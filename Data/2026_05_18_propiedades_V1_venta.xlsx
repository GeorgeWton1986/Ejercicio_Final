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jorgeviafara/Documents/No_Mercadeables/Ejercicio_Final/Data/"/>
    </mc:Choice>
  </mc:AlternateContent>
  <xr:revisionPtr revIDLastSave="0" documentId="13_ncr:1_{E33C43B0-679C-E544-B802-A398517C3595}" xr6:coauthVersionLast="47" xr6:coauthVersionMax="47" xr10:uidLastSave="{00000000-0000-0000-0000-000000000000}"/>
  <bookViews>
    <workbookView xWindow="34740" yWindow="1780" windowWidth="44200" windowHeight="22320" xr2:uid="{00000000-000D-0000-FFFF-FFFF00000000}"/>
  </bookViews>
  <sheets>
    <sheet name="Sheet1" sheetId="4" r:id="rId1"/>
  </sheets>
  <definedNames>
    <definedName name="_xlnm._FilterDatabase" localSheetId="0" hidden="1">Sheet1!$A$1:$BQ$1973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817" i="4" l="1"/>
  <c r="BP717" i="4"/>
  <c r="BP1327" i="4"/>
  <c r="BP30" i="4"/>
  <c r="BP29" i="4"/>
  <c r="BP1440" i="4"/>
  <c r="BP1378" i="4"/>
  <c r="BP1717" i="4"/>
  <c r="BP1716" i="4"/>
  <c r="BP159" i="4"/>
  <c r="BP1374" i="4"/>
  <c r="BP775" i="4"/>
  <c r="BP1720" i="4"/>
  <c r="BP37" i="4"/>
  <c r="BP1879" i="4"/>
  <c r="BP722" i="4"/>
  <c r="BP75" i="4"/>
  <c r="BP1880" i="4"/>
  <c r="BP764" i="4"/>
  <c r="BP788" i="4"/>
  <c r="BP819" i="4"/>
  <c r="BP1556" i="4"/>
  <c r="BP31" i="4"/>
  <c r="BP742" i="4"/>
  <c r="BP64" i="4"/>
  <c r="BP1471" i="4"/>
  <c r="BP728" i="4"/>
  <c r="BP774" i="4"/>
  <c r="BP165" i="4"/>
  <c r="BP1380" i="4"/>
  <c r="BP1881" i="4"/>
  <c r="BP736" i="4"/>
  <c r="BP1897" i="4"/>
  <c r="BP4" i="4"/>
  <c r="BP45" i="4"/>
  <c r="BP791" i="4"/>
  <c r="BP1369" i="4"/>
  <c r="BP41" i="4"/>
  <c r="BP605" i="4"/>
  <c r="BP18" i="4"/>
  <c r="BP19" i="4"/>
  <c r="BP1534" i="4"/>
  <c r="BP101" i="4"/>
  <c r="BP84" i="4"/>
  <c r="BP1878" i="4"/>
  <c r="BP463" i="4"/>
  <c r="BP74" i="4"/>
  <c r="BP106" i="4"/>
  <c r="BP1882" i="4"/>
  <c r="BP794" i="4"/>
  <c r="BP755" i="4"/>
  <c r="BP772" i="4"/>
  <c r="BP66" i="4"/>
  <c r="BP67" i="4"/>
  <c r="BP1569" i="4"/>
  <c r="BP185" i="4"/>
  <c r="BP732" i="4"/>
  <c r="BP53" i="4"/>
  <c r="BP826" i="4"/>
  <c r="BP745" i="4"/>
  <c r="BP27" i="4"/>
  <c r="BP48" i="4"/>
  <c r="BP13" i="4"/>
  <c r="BP32" i="4"/>
  <c r="BP33" i="4"/>
  <c r="BP9" i="4"/>
  <c r="BP735" i="4"/>
  <c r="BP50" i="4"/>
  <c r="BP1712" i="4"/>
  <c r="BP1828" i="4"/>
  <c r="BP1846" i="4"/>
  <c r="BP1883" i="4"/>
  <c r="BP1884" i="4"/>
  <c r="BP54" i="4"/>
  <c r="BP1885" i="4"/>
  <c r="BP1901" i="4"/>
  <c r="BP1668" i="4"/>
  <c r="BP15" i="4"/>
  <c r="BP83" i="4"/>
  <c r="BP1829" i="4"/>
  <c r="BP746" i="4"/>
  <c r="BP709" i="4"/>
  <c r="BP777" i="4"/>
  <c r="BP49" i="4"/>
  <c r="BP733" i="4"/>
  <c r="BP1940" i="4"/>
  <c r="BP645" i="4"/>
  <c r="BP1790" i="4"/>
  <c r="BP1889" i="4"/>
  <c r="BP727" i="4"/>
  <c r="BP762" i="4"/>
  <c r="BP113" i="4"/>
  <c r="BP14" i="4"/>
  <c r="BP20" i="4"/>
  <c r="BP112" i="4"/>
  <c r="BP58" i="4"/>
  <c r="BP1865" i="4"/>
  <c r="BP1456" i="4"/>
  <c r="BP1685" i="4"/>
  <c r="BP5" i="4"/>
  <c r="BP51" i="4"/>
  <c r="BP12" i="4"/>
  <c r="BP39" i="4"/>
  <c r="BP1898" i="4"/>
  <c r="BP1928" i="4"/>
  <c r="BP1929" i="4"/>
  <c r="BP76" i="4"/>
  <c r="BP802" i="4"/>
  <c r="BP1551" i="4"/>
  <c r="BP1935" i="4"/>
  <c r="BP1869" i="4"/>
  <c r="BP1941" i="4"/>
  <c r="BP740" i="4"/>
  <c r="BP756" i="4"/>
  <c r="BP63" i="4"/>
  <c r="BP1949" i="4"/>
  <c r="BP1570" i="4"/>
  <c r="BP36" i="4"/>
  <c r="BP718" i="4"/>
  <c r="BP59" i="4"/>
  <c r="BP708" i="4"/>
  <c r="BP1942" i="4"/>
  <c r="BP1916" i="4"/>
  <c r="BP82" i="4"/>
  <c r="BP7" i="4"/>
  <c r="BP1796" i="4"/>
  <c r="BP1943" i="4"/>
  <c r="BP1944" i="4"/>
  <c r="BP1945" i="4"/>
  <c r="BP60" i="4"/>
  <c r="BP21" i="4"/>
  <c r="BP707" i="4"/>
  <c r="BP1920" i="4"/>
  <c r="BP1934" i="4"/>
  <c r="BP120" i="4"/>
  <c r="BP34" i="4"/>
  <c r="BP1803" i="4"/>
  <c r="BP1670" i="4"/>
  <c r="BP1590" i="4"/>
  <c r="BP1842" i="4"/>
  <c r="BP42" i="4"/>
  <c r="BP134" i="4"/>
  <c r="BP1800" i="4"/>
  <c r="BP77" i="4"/>
  <c r="BP150" i="4"/>
  <c r="BP1801" i="4"/>
  <c r="BP1802" i="4"/>
  <c r="BP144" i="4"/>
  <c r="BP625" i="4"/>
  <c r="BP1680" i="4"/>
  <c r="BP10" i="4"/>
  <c r="BP114" i="4"/>
  <c r="BP46" i="4"/>
  <c r="BP124" i="4"/>
  <c r="BP6" i="4"/>
  <c r="BP131" i="4"/>
  <c r="BP78" i="4"/>
  <c r="BP1870" i="4"/>
  <c r="BP737" i="4"/>
  <c r="BP89" i="4"/>
  <c r="BP1855" i="4"/>
  <c r="BP79" i="4"/>
  <c r="BP172" i="4"/>
  <c r="BP1515" i="4"/>
  <c r="BP169" i="4"/>
  <c r="BP171" i="4"/>
  <c r="BP123" i="4"/>
  <c r="BP713" i="4"/>
  <c r="BP127" i="4"/>
  <c r="BP1797" i="4"/>
  <c r="BP1877" i="4"/>
  <c r="BP780" i="4"/>
  <c r="BP885" i="4"/>
  <c r="BP1384" i="4"/>
  <c r="BP1804" i="4"/>
  <c r="BP62" i="4"/>
  <c r="BP869" i="4"/>
  <c r="BP22" i="4"/>
  <c r="BP23" i="4"/>
  <c r="BP721" i="4"/>
  <c r="BP1477" i="4"/>
  <c r="BP143" i="4"/>
  <c r="BP1777" i="4"/>
  <c r="BP1805" i="4"/>
  <c r="BP1478" i="4"/>
  <c r="BP1778" i="4"/>
  <c r="BP1888" i="4"/>
  <c r="BP715" i="4"/>
  <c r="BP842" i="4"/>
  <c r="BP65" i="4"/>
  <c r="BP55" i="4"/>
  <c r="BP85" i="4"/>
  <c r="BP86" i="4"/>
  <c r="BP887" i="4"/>
  <c r="BP97" i="4"/>
  <c r="BP16" i="4"/>
  <c r="BP17" i="4"/>
  <c r="BP729" i="4"/>
  <c r="BP603" i="4"/>
  <c r="BP1621" i="4"/>
  <c r="BP1655" i="4"/>
  <c r="BP122" i="4"/>
  <c r="BP145" i="4"/>
  <c r="BP1838" i="4"/>
  <c r="BP3" i="4"/>
  <c r="BP1426" i="4"/>
  <c r="BP70" i="4"/>
  <c r="BP741" i="4"/>
  <c r="BP191" i="4"/>
  <c r="BP105" i="4"/>
  <c r="BP8" i="4"/>
  <c r="BP806" i="4"/>
  <c r="BP69" i="4"/>
  <c r="BP44" i="4"/>
  <c r="BP1830" i="4"/>
  <c r="BP619" i="4"/>
  <c r="BP117" i="4"/>
  <c r="BP1891" i="4"/>
  <c r="BP1794" i="4"/>
  <c r="BP1799" i="4"/>
  <c r="BP1789" i="4"/>
  <c r="BP1766" i="4"/>
  <c r="BP72" i="4"/>
  <c r="BP467" i="4"/>
  <c r="BP1795" i="4"/>
  <c r="BP1724" i="4"/>
  <c r="BP752" i="4"/>
  <c r="BP763" i="4"/>
  <c r="BP96" i="4"/>
  <c r="BP1769" i="4"/>
  <c r="BP2" i="4"/>
  <c r="BP118" i="4"/>
  <c r="BP828" i="4"/>
  <c r="BP1770" i="4"/>
  <c r="BP1815" i="4"/>
  <c r="BP509" i="4"/>
  <c r="BP1771" i="4"/>
  <c r="BP214" i="4"/>
  <c r="BP1543" i="4"/>
  <c r="BP1809" i="4"/>
  <c r="BP24" i="4"/>
  <c r="BP135" i="4"/>
  <c r="BP1479" i="4"/>
  <c r="BP710" i="4"/>
  <c r="BP866" i="4"/>
  <c r="BP119" i="4"/>
  <c r="BP252" i="4"/>
  <c r="BP508" i="4"/>
  <c r="BP1646" i="4"/>
  <c r="BP166" i="4"/>
  <c r="BP190" i="4"/>
  <c r="BP1768" i="4"/>
  <c r="BP1429" i="4"/>
  <c r="BP753" i="4"/>
  <c r="BP838" i="4"/>
  <c r="BP766" i="4"/>
  <c r="BP170" i="4"/>
  <c r="BP38" i="4"/>
  <c r="BP757" i="4"/>
  <c r="BP807" i="4"/>
  <c r="BP1587" i="4"/>
  <c r="BP125" i="4"/>
  <c r="BP768" i="4"/>
  <c r="BP1529" i="4"/>
  <c r="BP142" i="4"/>
  <c r="BP287" i="4"/>
  <c r="BP863" i="4"/>
  <c r="BP864" i="4"/>
  <c r="BP825" i="4"/>
  <c r="BP900" i="4"/>
  <c r="BP98" i="4"/>
  <c r="BP40" i="4"/>
  <c r="BP1839" i="4"/>
  <c r="BP1728" i="4"/>
  <c r="BP87" i="4"/>
  <c r="BP747" i="4"/>
  <c r="BP781" i="4"/>
  <c r="BP1370" i="4"/>
  <c r="BP115" i="4"/>
  <c r="BP843" i="4"/>
  <c r="BP91" i="4"/>
  <c r="BP1538" i="4"/>
  <c r="BP210" i="4"/>
  <c r="BP211" i="4"/>
  <c r="BP212" i="4"/>
  <c r="BP1632" i="4"/>
  <c r="BP1544" i="4"/>
  <c r="BP749" i="4"/>
  <c r="BP28" i="4"/>
  <c r="BP714" i="4"/>
  <c r="BP107" i="4"/>
  <c r="BP814" i="4"/>
  <c r="BP815" i="4"/>
  <c r="BP25" i="4"/>
  <c r="BP73" i="4"/>
  <c r="BP95" i="4"/>
  <c r="BP1588" i="4"/>
  <c r="BP1751" i="4"/>
  <c r="BP1827" i="4"/>
  <c r="BP104" i="4"/>
  <c r="BP161" i="4"/>
  <c r="BP778" i="4"/>
  <c r="BP183" i="4"/>
  <c r="BP151" i="4"/>
  <c r="BP56" i="4"/>
  <c r="BP1494" i="4"/>
  <c r="BP90" i="4"/>
  <c r="BP61" i="4"/>
  <c r="BP1675" i="4"/>
  <c r="BP116" i="4"/>
  <c r="BP725" i="4"/>
  <c r="BP47" i="4"/>
  <c r="BP1688" i="4"/>
  <c r="BP109" i="4"/>
  <c r="BP110" i="4"/>
  <c r="BP1677" i="4"/>
  <c r="BP723" i="4"/>
  <c r="BP1678" i="4"/>
  <c r="BP1764" i="4"/>
  <c r="BP754" i="4"/>
  <c r="BP1627" i="4"/>
  <c r="BP1468" i="4"/>
  <c r="BP1584" i="4"/>
  <c r="BP1616" i="4"/>
  <c r="BP162" i="4"/>
  <c r="BP168" i="4"/>
  <c r="BP854" i="4"/>
  <c r="BP274" i="4"/>
  <c r="BP1395" i="4"/>
  <c r="BP862" i="4"/>
  <c r="BP1947" i="4"/>
  <c r="BP712" i="4"/>
  <c r="BP750" i="4"/>
  <c r="BP35" i="4"/>
  <c r="BP216" i="4"/>
  <c r="BP1739" i="4"/>
  <c r="BP1831" i="4"/>
  <c r="BP734" i="4"/>
  <c r="BP198" i="4"/>
  <c r="BP194" i="4"/>
  <c r="BP770" i="4"/>
  <c r="BP1905" i="4"/>
  <c r="BP1772" i="4"/>
  <c r="BP1840" i="4"/>
  <c r="BP80" i="4"/>
  <c r="BP706" i="4"/>
  <c r="BP1906" i="4"/>
  <c r="BP724" i="4"/>
  <c r="BP1958" i="4"/>
  <c r="BP180" i="4"/>
  <c r="BP1580" i="4"/>
  <c r="BP1575" i="4"/>
  <c r="BP236" i="4"/>
  <c r="BP808" i="4"/>
  <c r="BP207" i="4"/>
  <c r="BP769" i="4"/>
  <c r="BP809" i="4"/>
  <c r="BP103" i="4"/>
  <c r="BP898" i="4"/>
  <c r="BP133" i="4"/>
  <c r="BP1391" i="4"/>
  <c r="BP197" i="4"/>
  <c r="BP248" i="4"/>
  <c r="BP1381" i="4"/>
  <c r="BP175" i="4"/>
  <c r="BP829" i="4"/>
  <c r="BP11" i="4"/>
  <c r="BP93" i="4"/>
  <c r="BP126" i="4"/>
  <c r="BP88" i="4"/>
  <c r="BP94" i="4"/>
  <c r="BP1400" i="4"/>
  <c r="BP1367" i="4"/>
  <c r="BP1368" i="4"/>
  <c r="BP779" i="4"/>
  <c r="BP195" i="4"/>
  <c r="BP1969" i="4"/>
  <c r="BP146" i="4"/>
  <c r="BP822" i="4"/>
  <c r="BP184" i="4"/>
  <c r="BP1723" i="4"/>
  <c r="BP1970" i="4"/>
  <c r="BP1408" i="4"/>
  <c r="BP1854" i="4"/>
  <c r="BP232" i="4"/>
  <c r="BP524" i="4"/>
  <c r="BP1946" i="4"/>
  <c r="BP1520" i="4"/>
  <c r="BP136" i="4"/>
  <c r="BP787" i="4"/>
  <c r="BP81" i="4"/>
  <c r="BP810" i="4"/>
  <c r="BP52" i="4"/>
  <c r="BP26" i="4"/>
  <c r="BP839" i="4"/>
  <c r="BP859" i="4"/>
  <c r="BP1623" i="4"/>
  <c r="BP313" i="4"/>
  <c r="BP1458" i="4"/>
  <c r="BP1752" i="4"/>
  <c r="BP1557" i="4"/>
  <c r="BP845" i="4"/>
  <c r="BP1415" i="4"/>
  <c r="BP1785" i="4"/>
  <c r="BP1416" i="4"/>
  <c r="BP876" i="4"/>
  <c r="BP1738" i="4"/>
  <c r="BP147" i="4"/>
  <c r="BP71" i="4"/>
  <c r="BP726" i="4"/>
  <c r="BP1662" i="4"/>
  <c r="BP1541" i="4"/>
  <c r="BP465" i="4"/>
  <c r="BP621" i="4"/>
  <c r="BP173" i="4"/>
  <c r="BP1434" i="4"/>
  <c r="BP849" i="4"/>
  <c r="BP1630" i="4"/>
  <c r="BP1517" i="4"/>
  <c r="BP1613" i="4"/>
  <c r="BP1776" i="4"/>
  <c r="BP121" i="4"/>
  <c r="BP607" i="4"/>
  <c r="BP1937" i="4"/>
  <c r="BP604" i="4"/>
  <c r="BP874" i="4"/>
  <c r="BP1417" i="4"/>
  <c r="BP141" i="4"/>
  <c r="BP798" i="4"/>
  <c r="BP1585" i="4"/>
  <c r="BP1819" i="4"/>
  <c r="BP738" i="4"/>
  <c r="BP1358" i="4"/>
  <c r="BP201" i="4"/>
  <c r="BP1386" i="4"/>
  <c r="BP1513" i="4"/>
  <c r="BP1489" i="4"/>
  <c r="BP857" i="4"/>
  <c r="BP152" i="4"/>
  <c r="BP202" i="4"/>
  <c r="BP1567" i="4"/>
  <c r="BP203" i="4"/>
  <c r="BP1900" i="4"/>
  <c r="BP1924" i="4"/>
  <c r="BP1401" i="4"/>
  <c r="BP237" i="4"/>
  <c r="BP1690" i="4"/>
  <c r="BP189" i="4"/>
  <c r="BP1954" i="4"/>
  <c r="BP1927" i="4"/>
  <c r="BP1960" i="4"/>
  <c r="BP1961" i="4"/>
  <c r="BP1964" i="4"/>
  <c r="BP1671" i="4"/>
  <c r="BP218" i="4"/>
  <c r="BP1679" i="4"/>
  <c r="BP1866" i="4"/>
  <c r="BP43" i="4"/>
  <c r="BP217" i="4"/>
  <c r="BP1824" i="4"/>
  <c r="BP861" i="4"/>
  <c r="BP622" i="4"/>
  <c r="BP128" i="4"/>
  <c r="BP57" i="4"/>
  <c r="BP716" i="4"/>
  <c r="BP873" i="4"/>
  <c r="BP1773" i="4"/>
  <c r="BP174" i="4"/>
  <c r="BP1933" i="4"/>
  <c r="BP1938" i="4"/>
  <c r="BP1424" i="4"/>
  <c r="BP1375" i="4"/>
  <c r="BP525" i="4"/>
  <c r="BP905" i="4"/>
  <c r="BP818" i="4"/>
  <c r="BP1628" i="4"/>
  <c r="BP800" i="4"/>
  <c r="BP196" i="4"/>
  <c r="BP68" i="4"/>
  <c r="BP1708" i="4"/>
  <c r="BP1486" i="4"/>
  <c r="BP1836" i="4"/>
  <c r="BP867" i="4"/>
  <c r="BP1782" i="4"/>
  <c r="BP1689" i="4"/>
  <c r="BP1786" i="4"/>
  <c r="BP853" i="4"/>
  <c r="BP870" i="4"/>
  <c r="BP830" i="4"/>
  <c r="BP108" i="4"/>
  <c r="BP148" i="4"/>
  <c r="BP1571" i="4"/>
  <c r="BP1672" i="4"/>
  <c r="BP1503" i="4"/>
  <c r="BP1624" i="4"/>
  <c r="BP1598" i="4"/>
  <c r="BP160" i="4"/>
  <c r="BP1971" i="4"/>
  <c r="BP187" i="4"/>
  <c r="BP1470" i="4"/>
  <c r="BP782" i="4"/>
  <c r="BP1562" i="4"/>
  <c r="BP767" i="4"/>
  <c r="BP158" i="4"/>
  <c r="BP1867" i="4"/>
  <c r="BP1547" i="4"/>
  <c r="BP246" i="4"/>
  <c r="BP102" i="4"/>
  <c r="BP1781" i="4"/>
  <c r="BP871" i="4"/>
  <c r="BP804" i="4"/>
  <c r="BP1871" i="4"/>
  <c r="BP924" i="4"/>
  <c r="BP765" i="4"/>
  <c r="BP220" i="4"/>
  <c r="BP827" i="4"/>
  <c r="BP851" i="4"/>
  <c r="BP256" i="4"/>
  <c r="BP783" i="4"/>
  <c r="BP1719" i="4"/>
  <c r="BP743" i="4"/>
  <c r="BP823" i="4"/>
  <c r="BP265" i="4"/>
  <c r="BP182" i="4"/>
  <c r="BP100" i="4"/>
  <c r="BP1721" i="4"/>
  <c r="BP208" i="4"/>
  <c r="BP811" i="4"/>
  <c r="BP1359" i="4"/>
  <c r="BP264" i="4"/>
  <c r="BP137" i="4"/>
  <c r="BP193" i="4"/>
  <c r="BP464" i="4"/>
  <c r="BP267" i="4"/>
  <c r="BP519" i="4"/>
  <c r="BP230" i="4"/>
  <c r="BP231" i="4"/>
  <c r="BP1409" i="4"/>
  <c r="BP1826" i="4"/>
  <c r="BP132" i="4"/>
  <c r="BP239" i="4"/>
  <c r="BP1807" i="4"/>
  <c r="BP186" i="4"/>
  <c r="BP939" i="4"/>
  <c r="BP517" i="4"/>
  <c r="BP1792" i="4"/>
  <c r="BP221" i="4"/>
  <c r="BP156" i="4"/>
  <c r="BP157" i="4"/>
  <c r="BP255" i="4"/>
  <c r="BP1527" i="4"/>
  <c r="BP1586" i="4"/>
  <c r="BP1506" i="4"/>
  <c r="BP224" i="4"/>
  <c r="BP225" i="4"/>
  <c r="BP1402" i="4"/>
  <c r="BP1361" i="4"/>
  <c r="BP92" i="4"/>
  <c r="BP1847" i="4"/>
  <c r="BP1611" i="4"/>
  <c r="BP1697" i="4"/>
  <c r="BP1950" i="4"/>
  <c r="BP812" i="4"/>
  <c r="BP233" i="4"/>
  <c r="BP1414" i="4"/>
  <c r="BP614" i="4"/>
  <c r="BP1843" i="4"/>
  <c r="BP222" i="4"/>
  <c r="BP129" i="4"/>
  <c r="BP908" i="4"/>
  <c r="BP1681" i="4"/>
  <c r="BP882" i="4"/>
  <c r="BP1858" i="4"/>
  <c r="BP1848" i="4"/>
  <c r="BP247" i="4"/>
  <c r="BP879" i="4"/>
  <c r="BP1917" i="4"/>
  <c r="BP1597" i="4"/>
  <c r="BP1639" i="4"/>
  <c r="BP258" i="4"/>
  <c r="BP176" i="4"/>
  <c r="BP1740" i="4"/>
  <c r="BP624" i="4"/>
  <c r="BP719" i="4"/>
  <c r="BP1660" i="4"/>
  <c r="BP138" i="4"/>
  <c r="BP479" i="4"/>
  <c r="BP278" i="4"/>
  <c r="BP153" i="4"/>
  <c r="BP1758" i="4"/>
  <c r="BP1618" i="4"/>
  <c r="BP1619" i="4"/>
  <c r="BP200" i="4"/>
  <c r="BP1620" i="4"/>
  <c r="BP1834" i="4"/>
  <c r="BP631" i="4"/>
  <c r="BP192" i="4"/>
  <c r="BP251" i="4"/>
  <c r="BP1835" i="4"/>
  <c r="BP259" i="4"/>
  <c r="BP270" i="4"/>
  <c r="BP824" i="4"/>
  <c r="BP181" i="4"/>
  <c r="BP229" i="4"/>
  <c r="BP612" i="4"/>
  <c r="BP215" i="4"/>
  <c r="BP154" i="4"/>
  <c r="BP155" i="4"/>
  <c r="BP139" i="4"/>
  <c r="BP1633" i="4"/>
  <c r="BP1608" i="4"/>
  <c r="BP1729" i="4"/>
  <c r="BP1398" i="4"/>
  <c r="BP789" i="4"/>
  <c r="BP894" i="4"/>
  <c r="BP1731" i="4"/>
  <c r="BP918" i="4"/>
  <c r="BP1849" i="4"/>
  <c r="BP243" i="4"/>
  <c r="BP253" i="4"/>
  <c r="BP283" i="4"/>
  <c r="BP1652" i="4"/>
  <c r="BP1629" i="4"/>
  <c r="BP1727" i="4"/>
  <c r="BP244" i="4"/>
  <c r="BP850" i="4"/>
  <c r="BP1640" i="4"/>
  <c r="BP177" i="4"/>
  <c r="BP284" i="4"/>
  <c r="BP204" i="4"/>
  <c r="BP1918" i="4"/>
  <c r="BP1583" i="4"/>
  <c r="BP286" i="4"/>
  <c r="BP268" i="4"/>
  <c r="BP1684" i="4"/>
  <c r="BP1427" i="4"/>
  <c r="BP1710" i="4"/>
  <c r="BP271" i="4"/>
  <c r="BP209" i="4"/>
  <c r="BP1818" i="4"/>
  <c r="BP199" i="4"/>
  <c r="BP163" i="4"/>
  <c r="BP164" i="4"/>
  <c r="BP1475" i="4"/>
  <c r="BP111" i="4"/>
  <c r="BP837" i="4"/>
  <c r="BP206" i="4"/>
  <c r="BP1490" i="4"/>
  <c r="BP1718" i="4"/>
  <c r="BP179" i="4"/>
  <c r="BP1599" i="4"/>
  <c r="BP758" i="4"/>
  <c r="BP1907" i="4"/>
  <c r="BP1491" i="4"/>
  <c r="BP1550" i="4"/>
  <c r="BP1926" i="4"/>
  <c r="BP226" i="4"/>
  <c r="BP227" i="4"/>
  <c r="BP530" i="4"/>
  <c r="BP1872" i="4"/>
  <c r="BP784" i="4"/>
  <c r="BP1676" i="4"/>
  <c r="BP303" i="4"/>
  <c r="BP228" i="4"/>
  <c r="BP925" i="4"/>
  <c r="BP448" i="4"/>
  <c r="BP841" i="4"/>
  <c r="BP1873" i="4"/>
  <c r="BP875" i="4"/>
  <c r="BP472" i="4"/>
  <c r="BP261" i="4"/>
  <c r="BP1432" i="4"/>
  <c r="BP1578" i="4"/>
  <c r="BP895" i="4"/>
  <c r="BP1617" i="4"/>
  <c r="BP140" i="4"/>
  <c r="BP1634" i="4"/>
  <c r="BP840" i="4"/>
  <c r="BP327" i="4"/>
  <c r="BP290" i="4"/>
  <c r="BP858" i="4"/>
  <c r="BP523" i="4"/>
  <c r="BP906" i="4"/>
  <c r="BP1516" i="4"/>
  <c r="BP1459" i="4"/>
  <c r="BP335" i="4"/>
  <c r="BP835" i="4"/>
  <c r="BP1480" i="4"/>
  <c r="BP1736" i="4"/>
  <c r="BP1820" i="4"/>
  <c r="BP1443" i="4"/>
  <c r="BP1631" i="4"/>
  <c r="BP273" i="4"/>
  <c r="BP1362" i="4"/>
  <c r="BP946" i="4"/>
  <c r="BP1814" i="4"/>
  <c r="BP538" i="4"/>
  <c r="BP1466" i="4"/>
  <c r="BP149" i="4"/>
  <c r="BP868" i="4"/>
  <c r="BP883" i="4"/>
  <c r="BP759" i="4"/>
  <c r="BP1484" i="4"/>
  <c r="BP890" i="4"/>
  <c r="BP606" i="4"/>
  <c r="BP205" i="4"/>
  <c r="BP903" i="4"/>
  <c r="BP1035" i="4"/>
  <c r="BP1748" i="4"/>
  <c r="BP1591" i="4"/>
  <c r="BP167" i="4"/>
  <c r="BP785" i="4"/>
  <c r="BP1875" i="4"/>
  <c r="BP213" i="4"/>
  <c r="BP796" i="4"/>
  <c r="BP821" i="4"/>
  <c r="BP1696" i="4"/>
  <c r="BP751" i="4"/>
  <c r="BP1899" i="4"/>
  <c r="BP1837" i="4"/>
  <c r="BP1895" i="4"/>
  <c r="BP1930" i="4"/>
  <c r="BP847" i="4"/>
  <c r="BP1936" i="4"/>
  <c r="BP761" i="4"/>
  <c r="BP915" i="4"/>
  <c r="BP913" i="4"/>
  <c r="BP1908" i="4"/>
  <c r="BP311" i="4"/>
  <c r="BP801" i="4"/>
  <c r="BP1925" i="4"/>
  <c r="BP872" i="4"/>
  <c r="BP834" i="4"/>
  <c r="BP1909" i="4"/>
  <c r="BP250" i="4"/>
  <c r="BP1932" i="4"/>
  <c r="BP610" i="4"/>
  <c r="BP891" i="4"/>
  <c r="BP914" i="4"/>
  <c r="BP613" i="4"/>
  <c r="BP354" i="4"/>
  <c r="BP1418" i="4"/>
  <c r="BP245" i="4"/>
  <c r="BP364" i="4"/>
  <c r="BP1548" i="4"/>
  <c r="BP865" i="4"/>
  <c r="BP907" i="4"/>
  <c r="BP959" i="4"/>
  <c r="BP773" i="4"/>
  <c r="BP526" i="4"/>
  <c r="BP466" i="4"/>
  <c r="BP1330" i="4"/>
  <c r="BP240" i="4"/>
  <c r="BP223" i="4"/>
  <c r="BP188" i="4"/>
  <c r="BP130" i="4"/>
  <c r="BP1469" i="4"/>
  <c r="BP279" i="4"/>
  <c r="BP1454" i="4"/>
  <c r="BP608" i="4"/>
  <c r="BP956" i="4"/>
  <c r="BP1892" i="4"/>
  <c r="BP1910" i="4"/>
  <c r="BP1667" i="4"/>
  <c r="BP711" i="4"/>
  <c r="BP730" i="4"/>
  <c r="BP615" i="4"/>
  <c r="BP262" i="4"/>
  <c r="BP880" i="4"/>
  <c r="BP1759" i="4"/>
  <c r="BP1657" i="4"/>
  <c r="BP637" i="4"/>
  <c r="BP1890" i="4"/>
  <c r="BP617" i="4"/>
  <c r="BP1948" i="4"/>
  <c r="BP285" i="4"/>
  <c r="BP797" i="4"/>
  <c r="BP803" i="4"/>
  <c r="BP846" i="4"/>
  <c r="BP831" i="4"/>
  <c r="BP1564" i="4"/>
  <c r="BP1647" i="4"/>
  <c r="BP234" i="4"/>
  <c r="BP620" i="4"/>
  <c r="BP633" i="4"/>
  <c r="BP1332" i="4"/>
  <c r="BP1476" i="4"/>
  <c r="BP178" i="4"/>
  <c r="BP634" i="4"/>
  <c r="BP249" i="4"/>
  <c r="BP632" i="4"/>
  <c r="BP288" i="4"/>
  <c r="BP611" i="4"/>
  <c r="BP1474" i="4"/>
  <c r="BP1921" i="4"/>
  <c r="BP242" i="4"/>
  <c r="BP1904" i="4"/>
  <c r="BP280" i="4"/>
  <c r="BP760" i="4"/>
  <c r="BP899" i="4"/>
  <c r="BP1911" i="4"/>
  <c r="BP627" i="4"/>
  <c r="BP266" i="4"/>
  <c r="BP1455" i="4"/>
  <c r="BP1642" i="4"/>
  <c r="BP1447" i="4"/>
  <c r="BP1609" i="4"/>
  <c r="BP1555" i="4"/>
  <c r="BP1730" i="4"/>
  <c r="BP527" i="4"/>
  <c r="BP541" i="4"/>
  <c r="BP1328" i="4"/>
  <c r="BP238" i="4"/>
  <c r="BP241" i="4"/>
  <c r="BP926" i="4"/>
  <c r="BP639" i="4"/>
  <c r="BP375" i="4"/>
  <c r="BP260" i="4"/>
  <c r="BP1505" i="4"/>
  <c r="BP1643" i="4"/>
  <c r="BP985" i="4"/>
  <c r="BP1709" i="4"/>
  <c r="BP609" i="4"/>
  <c r="BP1753" i="4"/>
  <c r="BP357" i="4"/>
  <c r="BP1329" i="4"/>
  <c r="BP481" i="4"/>
  <c r="BP292" i="4"/>
  <c r="BP1956" i="4"/>
  <c r="BP790" i="4"/>
  <c r="BP927" i="4"/>
  <c r="BP799" i="4"/>
  <c r="BP1645" i="4"/>
  <c r="BP269" i="4"/>
  <c r="BP640" i="4"/>
  <c r="BP638" i="4"/>
  <c r="BP1832" i="4"/>
  <c r="BP1850" i="4"/>
  <c r="BP345" i="4"/>
  <c r="BP1973" i="4"/>
  <c r="BP1526" i="4"/>
  <c r="BP1566" i="4"/>
  <c r="BP1734" i="4"/>
  <c r="BP1673" i="4"/>
  <c r="BP1423" i="4"/>
  <c r="BP537" i="4"/>
  <c r="BP1859" i="4"/>
  <c r="BP892" i="4"/>
  <c r="BP99" i="4"/>
  <c r="BP1876" i="4"/>
  <c r="BP276" i="4"/>
  <c r="BP1663" i="4"/>
  <c r="BP920" i="4"/>
  <c r="BP320" i="4"/>
  <c r="BP341" i="4"/>
  <c r="BP263" i="4"/>
  <c r="BP1868" i="4"/>
  <c r="BP889" i="4"/>
  <c r="BP322" i="4"/>
  <c r="BP272" i="4"/>
  <c r="BP468" i="4"/>
  <c r="BP1530" i="4"/>
  <c r="BP1387" i="4"/>
  <c r="BP522" i="4"/>
  <c r="BP1853" i="4"/>
  <c r="BP1360" i="4"/>
  <c r="BP820" i="4"/>
  <c r="BP315" i="4"/>
  <c r="BP748" i="4"/>
  <c r="BP1691" i="4"/>
  <c r="BP1760" i="4"/>
  <c r="BP1783" i="4"/>
  <c r="BP1055" i="4"/>
  <c r="BP628" i="4"/>
  <c r="BP476" i="4"/>
  <c r="BP1435" i="4"/>
  <c r="BP254" i="4"/>
  <c r="BP470" i="4"/>
  <c r="BP282" i="4"/>
  <c r="BP1326" i="4"/>
  <c r="BP298" i="4"/>
  <c r="BP916" i="4"/>
  <c r="BP958" i="4"/>
  <c r="BP1788" i="4"/>
  <c r="BP314" i="4"/>
  <c r="BP1614" i="4"/>
  <c r="BP1531" i="4"/>
  <c r="BP1704" i="4"/>
  <c r="BP992" i="4"/>
  <c r="BP289" i="4"/>
  <c r="BP329" i="4"/>
  <c r="BP1481" i="4"/>
  <c r="BP978" i="4"/>
  <c r="BP936" i="4"/>
  <c r="BP786" i="4"/>
  <c r="BP1713" i="4"/>
  <c r="BP1364" i="4"/>
  <c r="BP257" i="4"/>
  <c r="BP480" i="4"/>
  <c r="BP1363" i="4"/>
  <c r="BP1601" i="4"/>
  <c r="BP1845" i="4"/>
  <c r="BP1492" i="4"/>
  <c r="BP921" i="4"/>
  <c r="BP1003" i="4"/>
  <c r="BP993" i="4"/>
  <c r="BP235" i="4"/>
  <c r="BP1493" i="4"/>
  <c r="BP626" i="4"/>
  <c r="BP1966" i="4"/>
  <c r="BP1306" i="4"/>
  <c r="BP1043" i="4"/>
  <c r="BP832" i="4"/>
  <c r="BP483" i="4"/>
  <c r="BP642" i="4"/>
  <c r="BP275" i="4"/>
  <c r="BP532" i="4"/>
  <c r="BP1592" i="4"/>
  <c r="BP324" i="4"/>
  <c r="BP336" i="4"/>
  <c r="BP793" i="4"/>
  <c r="BP1902" i="4"/>
  <c r="BP618" i="4"/>
  <c r="BP482" i="4"/>
  <c r="BP473" i="4"/>
  <c r="BP776" i="4"/>
  <c r="BP520" i="4"/>
  <c r="BP521" i="4"/>
  <c r="BP931" i="4"/>
  <c r="BP1903" i="4"/>
  <c r="BP294" i="4"/>
  <c r="BP904" i="4"/>
  <c r="BP342" i="4"/>
  <c r="BP937" i="4"/>
  <c r="BP304" i="4"/>
  <c r="BP1549" i="4"/>
  <c r="BP518" i="4"/>
  <c r="BP291" i="4"/>
  <c r="BP277" i="4"/>
  <c r="BP1589" i="4"/>
  <c r="BP307" i="4"/>
  <c r="BP629" i="4"/>
  <c r="BP330" i="4"/>
  <c r="BP940" i="4"/>
  <c r="BP1545" i="4"/>
  <c r="BP1693" i="4"/>
  <c r="BP1856" i="4"/>
  <c r="BP877" i="4"/>
  <c r="BP949" i="4"/>
  <c r="BP1774" i="4"/>
  <c r="BP933" i="4"/>
  <c r="BP1714" i="4"/>
  <c r="BP281" i="4"/>
  <c r="BP1500" i="4"/>
  <c r="BP919" i="4"/>
  <c r="BP1376" i="4"/>
  <c r="BP986" i="4"/>
  <c r="BP962" i="4"/>
  <c r="BP1125" i="4"/>
  <c r="BP970" i="4"/>
  <c r="BP836" i="4"/>
  <c r="BP1661" i="4"/>
  <c r="BP1644" i="4"/>
  <c r="BP929" i="4"/>
  <c r="BP917" i="4"/>
  <c r="BP1553" i="4"/>
  <c r="BP947" i="4"/>
  <c r="BP991" i="4"/>
  <c r="BP295" i="4"/>
  <c r="BP1365" i="4"/>
  <c r="BP296" i="4"/>
  <c r="BP813" i="4"/>
  <c r="BP1707" i="4"/>
  <c r="BP299" i="4"/>
  <c r="BP219" i="4"/>
  <c r="BP856" i="4"/>
  <c r="BP654" i="4"/>
  <c r="BP321" i="4"/>
  <c r="BP860" i="4"/>
  <c r="BP1650" i="4"/>
  <c r="BP300" i="4"/>
  <c r="BP1653" i="4"/>
  <c r="BP944" i="4"/>
  <c r="BP293" i="4"/>
  <c r="BP1722" i="4"/>
  <c r="BP1542" i="4"/>
  <c r="BP1604" i="4"/>
  <c r="BP1658" i="4"/>
  <c r="BP1399" i="4"/>
  <c r="BP1851" i="4"/>
  <c r="BP1864" i="4"/>
  <c r="BP635" i="4"/>
  <c r="BP1798" i="4"/>
  <c r="BP317" i="4"/>
  <c r="BP932" i="4"/>
  <c r="BP1568" i="4"/>
  <c r="BP1791" i="4"/>
  <c r="BP1563" i="4"/>
  <c r="BP1579" i="4"/>
  <c r="BP1784" i="4"/>
  <c r="BP1951" i="4"/>
  <c r="BP1893" i="4"/>
  <c r="BP1552" i="4"/>
  <c r="BP616" i="4"/>
  <c r="BP306" i="4"/>
  <c r="BP516" i="4"/>
  <c r="BP923" i="4"/>
  <c r="BP1816" i="4"/>
  <c r="BP1823" i="4"/>
  <c r="BP1874" i="4"/>
  <c r="BP1574" i="4"/>
  <c r="BP1382" i="4"/>
  <c r="BP316" i="4"/>
  <c r="BP1754" i="4"/>
  <c r="BP1410" i="4"/>
  <c r="BP325" i="4"/>
  <c r="BP1444" i="4"/>
  <c r="BP1377" i="4"/>
  <c r="BP952" i="4"/>
  <c r="BP326" i="4"/>
  <c r="BP1356" i="4"/>
  <c r="BP328" i="4"/>
  <c r="BP380" i="4"/>
  <c r="BP1495" i="4"/>
  <c r="BP974" i="4"/>
  <c r="BP911" i="4"/>
  <c r="BP930" i="4"/>
  <c r="BP833" i="4"/>
  <c r="BP1923" i="4"/>
  <c r="BP1040" i="4"/>
  <c r="BP1939" i="4"/>
  <c r="BP1605" i="4"/>
  <c r="BP649" i="4"/>
  <c r="BP305" i="4"/>
  <c r="BP1931" i="4"/>
  <c r="BP934" i="4"/>
  <c r="BP1744" i="4"/>
  <c r="BP1700" i="4"/>
  <c r="BP1385" i="4"/>
  <c r="BP1431" i="4"/>
  <c r="BP987" i="4"/>
  <c r="BP951" i="4"/>
  <c r="BP1582" i="4"/>
  <c r="BP653" i="4"/>
  <c r="BP548" i="4"/>
  <c r="BP531" i="4"/>
  <c r="BP922" i="4"/>
  <c r="BP1461" i="4"/>
  <c r="BP318" i="4"/>
  <c r="BP319" i="4"/>
  <c r="BP1120" i="4"/>
  <c r="BP1502" i="4"/>
  <c r="BP979" i="4"/>
  <c r="BP1388" i="4"/>
  <c r="BP471" i="4"/>
  <c r="BP953" i="4"/>
  <c r="BP938" i="4"/>
  <c r="BP1460" i="4"/>
  <c r="BP1648" i="4"/>
  <c r="BP1488" i="4"/>
  <c r="BP912" i="4"/>
  <c r="BP1806" i="4"/>
  <c r="BP475" i="4"/>
  <c r="BP340" i="4"/>
  <c r="BP337" i="4"/>
  <c r="BP1659" i="4"/>
  <c r="BP1635" i="4"/>
  <c r="BP1413" i="4"/>
  <c r="BP536" i="4"/>
  <c r="BP893" i="4"/>
  <c r="BP1603" i="4"/>
  <c r="BP377" i="4"/>
  <c r="BP1428" i="4"/>
  <c r="BP399" i="4"/>
  <c r="BP1537" i="4"/>
  <c r="BP1701" i="4"/>
  <c r="BP376" i="4"/>
  <c r="BP1127" i="4"/>
  <c r="BP901" i="4"/>
  <c r="BP969" i="4"/>
  <c r="BP935" i="4"/>
  <c r="BP1682" i="4"/>
  <c r="BP909" i="4"/>
  <c r="BP910" i="4"/>
  <c r="BP1482" i="4"/>
  <c r="BP1561" i="4"/>
  <c r="BP1372" i="4"/>
  <c r="BP720" i="4"/>
  <c r="BP562" i="4"/>
  <c r="BP1052" i="4"/>
  <c r="BP1602" i="4"/>
  <c r="BP1441" i="4"/>
  <c r="BP506" i="4"/>
  <c r="BP1411" i="4"/>
  <c r="BP478" i="4"/>
  <c r="BP630" i="4"/>
  <c r="BP1009" i="4"/>
  <c r="BP878" i="4"/>
  <c r="BP1033" i="4"/>
  <c r="BP1452" i="4"/>
  <c r="BP371" i="4"/>
  <c r="BP848" i="4"/>
  <c r="BP623" i="4"/>
  <c r="BP347" i="4"/>
  <c r="BP1004" i="4"/>
  <c r="BP1860" i="4"/>
  <c r="BP957" i="4"/>
  <c r="BP543" i="4"/>
  <c r="BP331" i="4"/>
  <c r="BP643" i="4"/>
  <c r="BP1610" i="4"/>
  <c r="BP301" i="4"/>
  <c r="BP302" i="4"/>
  <c r="BP372" i="4"/>
  <c r="BP1528" i="4"/>
  <c r="BP1518" i="4"/>
  <c r="BP297" i="4"/>
  <c r="BP1005" i="4"/>
  <c r="BP1912" i="4"/>
  <c r="BP1787" i="4"/>
  <c r="BP312" i="4"/>
  <c r="BP1318" i="4"/>
  <c r="BP1336" i="4"/>
  <c r="BP1913" i="4"/>
  <c r="BP1010" i="4"/>
  <c r="BP955" i="4"/>
  <c r="BP792" i="4"/>
  <c r="BP379" i="4"/>
  <c r="BP477" i="4"/>
  <c r="BP1392" i="4"/>
  <c r="BP355" i="4"/>
  <c r="BP1507" i="4"/>
  <c r="BP1448" i="4"/>
  <c r="BP550" i="4"/>
  <c r="BP1625" i="4"/>
  <c r="BP333" i="4"/>
  <c r="BP655" i="4"/>
  <c r="BP960" i="4"/>
  <c r="BP1896" i="4"/>
  <c r="BP1706" i="4"/>
  <c r="BP474" i="4"/>
  <c r="BP884" i="4"/>
  <c r="BP486" i="4"/>
  <c r="BP1636" i="4"/>
  <c r="BP1683" i="4"/>
  <c r="BP941" i="4"/>
  <c r="BP942" i="4"/>
  <c r="BP658" i="4"/>
  <c r="BP334" i="4"/>
  <c r="BP1732" i="4"/>
  <c r="BP1686" i="4"/>
  <c r="BP1775" i="4"/>
  <c r="BP1222" i="4"/>
  <c r="BP528" i="4"/>
  <c r="BP1056" i="4"/>
  <c r="BP338" i="4"/>
  <c r="BP1745" i="4"/>
  <c r="BP656" i="4"/>
  <c r="BP1746" i="4"/>
  <c r="BP1026" i="4"/>
  <c r="BP641" i="4"/>
  <c r="BP994" i="4"/>
  <c r="BP366" i="4"/>
  <c r="BP902" i="4"/>
  <c r="BP1453" i="4"/>
  <c r="BP1622" i="4"/>
  <c r="BP323" i="4"/>
  <c r="BP1496" i="4"/>
  <c r="BP1725" i="4"/>
  <c r="BP1810" i="4"/>
  <c r="BP505" i="4"/>
  <c r="BP980" i="4"/>
  <c r="BP1779" i="4"/>
  <c r="BP547" i="4"/>
  <c r="BP1074" i="4"/>
  <c r="BP1396" i="4"/>
  <c r="BP966" i="4"/>
  <c r="BP1023" i="4"/>
  <c r="BP995" i="4"/>
  <c r="BP539" i="4"/>
  <c r="BP999" i="4"/>
  <c r="BP1641" i="4"/>
  <c r="BP660" i="4"/>
  <c r="BP669" i="4"/>
  <c r="BP1282" i="4"/>
  <c r="BP1212" i="4"/>
  <c r="BP504" i="4"/>
  <c r="BP1638" i="4"/>
  <c r="BP973" i="4"/>
  <c r="BP339" i="4"/>
  <c r="BP1016" i="4"/>
  <c r="BP1654" i="4"/>
  <c r="BP1914" i="4"/>
  <c r="BP1761" i="4"/>
  <c r="BP996" i="4"/>
  <c r="BP652" i="4"/>
  <c r="BP308" i="4"/>
  <c r="BP1445" i="4"/>
  <c r="BP1025" i="4"/>
  <c r="BP1780" i="4"/>
  <c r="BP309" i="4"/>
  <c r="BP346" i="4"/>
  <c r="BP1075" i="4"/>
  <c r="BP967" i="4"/>
  <c r="BP975" i="4"/>
  <c r="BP990" i="4"/>
  <c r="BP332" i="4"/>
  <c r="BP542" i="4"/>
  <c r="BP1006" i="4"/>
  <c r="BP1808" i="4"/>
  <c r="BP1919" i="4"/>
  <c r="BP1749" i="4"/>
  <c r="BP358" i="4"/>
  <c r="BP356" i="4"/>
  <c r="BP1235" i="4"/>
  <c r="BP1581" i="4"/>
  <c r="BP1612" i="4"/>
  <c r="BP1111" i="4"/>
  <c r="BP1765" i="4"/>
  <c r="BP1535" i="4"/>
  <c r="BP964" i="4"/>
  <c r="BP1357" i="4"/>
  <c r="BP1600" i="4"/>
  <c r="BP1483" i="4"/>
  <c r="BP739" i="4"/>
  <c r="BP943" i="4"/>
  <c r="BP552" i="4"/>
  <c r="BP1092" i="4"/>
  <c r="BP383" i="4"/>
  <c r="BP1085" i="4"/>
  <c r="BP1151" i="4"/>
  <c r="BP816" i="4"/>
  <c r="BP367" i="4"/>
  <c r="BP1524" i="4"/>
  <c r="BP1017" i="4"/>
  <c r="BP1508" i="4"/>
  <c r="BP1039" i="4"/>
  <c r="BP1509" i="4"/>
  <c r="BP1112" i="4"/>
  <c r="BP1191" i="4"/>
  <c r="BP1852" i="4"/>
  <c r="BP1422" i="4"/>
  <c r="BP401" i="4"/>
  <c r="BP1433" i="4"/>
  <c r="BP1572" i="4"/>
  <c r="BP489" i="4"/>
  <c r="BP487" i="4"/>
  <c r="BP1011" i="4"/>
  <c r="BP1403" i="4"/>
  <c r="BP414" i="4"/>
  <c r="BP1733" i="4"/>
  <c r="BP664" i="4"/>
  <c r="BP665" i="4"/>
  <c r="BP310" i="4"/>
  <c r="BP540" i="4"/>
  <c r="BP1536" i="4"/>
  <c r="BP1437" i="4"/>
  <c r="BP1103" i="4"/>
  <c r="BP1063" i="4"/>
  <c r="BP388" i="4"/>
  <c r="BP1067" i="4"/>
  <c r="BP1134" i="4"/>
  <c r="BP981" i="4"/>
  <c r="BP368" i="4"/>
  <c r="BP1887" i="4"/>
  <c r="BP484" i="4"/>
  <c r="BP1073" i="4"/>
  <c r="BP1064" i="4"/>
  <c r="BP644" i="4"/>
  <c r="BP1747" i="4"/>
  <c r="BP1487" i="4"/>
  <c r="BP684" i="4"/>
  <c r="BP1076" i="4"/>
  <c r="BP988" i="4"/>
  <c r="BP1044" i="4"/>
  <c r="BP442" i="4"/>
  <c r="BP673" i="4"/>
  <c r="BP666" i="4"/>
  <c r="BP1576" i="4"/>
  <c r="BP1886" i="4"/>
  <c r="BP1894" i="4"/>
  <c r="BP971" i="4"/>
  <c r="BP1027" i="4"/>
  <c r="BP1041" i="4"/>
  <c r="BP1018" i="4"/>
  <c r="BP1406" i="4"/>
  <c r="BP1497" i="4"/>
  <c r="BP976" i="4"/>
  <c r="BP950" i="4"/>
  <c r="BP672" i="4"/>
  <c r="BP529" i="4"/>
  <c r="BP1959" i="4"/>
  <c r="BP1121" i="4"/>
  <c r="BP1817" i="4"/>
  <c r="BP1419" i="4"/>
  <c r="BP415" i="4"/>
  <c r="BP384" i="4"/>
  <c r="BP1405" i="4"/>
  <c r="BP1833" i="4"/>
  <c r="BP1019" i="4"/>
  <c r="BP1236" i="4"/>
  <c r="BP1711" i="4"/>
  <c r="BP469" i="4"/>
  <c r="BP945" i="4"/>
  <c r="BP1811" i="4"/>
  <c r="BP1750" i="4"/>
  <c r="BP1034" i="4"/>
  <c r="BP1756" i="4"/>
  <c r="BP360" i="4"/>
  <c r="BP427" i="4"/>
  <c r="BP1451" i="4"/>
  <c r="BP668" i="4"/>
  <c r="BP1071" i="4"/>
  <c r="BP1521" i="4"/>
  <c r="BP1615" i="4"/>
  <c r="BP391" i="4"/>
  <c r="BP392" i="4"/>
  <c r="BP1038" i="4"/>
  <c r="BP546" i="4"/>
  <c r="BP636" i="4"/>
  <c r="BP535" i="4"/>
  <c r="BP359" i="4"/>
  <c r="BP352" i="4"/>
  <c r="BP1962" i="4"/>
  <c r="BP1390" i="4"/>
  <c r="BP1449" i="4"/>
  <c r="BP1922" i="4"/>
  <c r="BP1649" i="4"/>
  <c r="BP1450" i="4"/>
  <c r="BP1522" i="4"/>
  <c r="BP1812" i="4"/>
  <c r="BP1813" i="4"/>
  <c r="BP1762" i="4"/>
  <c r="BP1726" i="4"/>
  <c r="BP1694" i="4"/>
  <c r="BP1048" i="4"/>
  <c r="BP1698" i="4"/>
  <c r="BP1767" i="4"/>
  <c r="BP1757" i="4"/>
  <c r="BP488" i="4"/>
  <c r="BP896" i="4"/>
  <c r="BP646" i="4"/>
  <c r="BP1666" i="4"/>
  <c r="BP928" i="4"/>
  <c r="BP1210" i="4"/>
  <c r="BP387" i="4"/>
  <c r="BP1238" i="4"/>
  <c r="BP1270" i="4"/>
  <c r="BP1271" i="4"/>
  <c r="BP1065" i="4"/>
  <c r="BP1015" i="4"/>
  <c r="BP1637" i="4"/>
  <c r="BP1558" i="4"/>
  <c r="BP365" i="4"/>
  <c r="BP1439" i="4"/>
  <c r="BP1715" i="4"/>
  <c r="BP348" i="4"/>
  <c r="BP1084" i="4"/>
  <c r="BP344" i="4"/>
  <c r="BP1020" i="4"/>
  <c r="BP1021" i="4"/>
  <c r="BP1472" i="4"/>
  <c r="BP954" i="4"/>
  <c r="BP1421" i="4"/>
  <c r="BP982" i="4"/>
  <c r="BP385" i="4"/>
  <c r="BP1546" i="4"/>
  <c r="BP395" i="4"/>
  <c r="BP1371" i="4"/>
  <c r="BP897" i="4"/>
  <c r="BP1821" i="4"/>
  <c r="BP416" i="4"/>
  <c r="BP997" i="4"/>
  <c r="BP555" i="4"/>
  <c r="BP389" i="4"/>
  <c r="BP1687" i="4"/>
  <c r="BP491" i="4"/>
  <c r="BP1091" i="4"/>
  <c r="BP534" i="4"/>
  <c r="BP1606" i="4"/>
  <c r="BP1285" i="4"/>
  <c r="BP1607" i="4"/>
  <c r="BP1741" i="4"/>
  <c r="BP1438" i="4"/>
  <c r="BP1737" i="4"/>
  <c r="BP989" i="4"/>
  <c r="BP647" i="4"/>
  <c r="BP1955" i="4"/>
  <c r="BP659" i="4"/>
  <c r="BP805" i="4"/>
  <c r="BP1068" i="4"/>
  <c r="BP1086" i="4"/>
  <c r="BP1957" i="4"/>
  <c r="BP369" i="4"/>
  <c r="BP1968" i="4"/>
  <c r="BP350" i="4"/>
  <c r="BP998" i="4"/>
  <c r="BP1119" i="4"/>
  <c r="BP351" i="4"/>
  <c r="BP1967" i="4"/>
  <c r="BP881" i="4"/>
  <c r="BP670" i="4"/>
  <c r="BP533" i="4"/>
  <c r="BP1110" i="4"/>
  <c r="BP361" i="4"/>
  <c r="BP1965" i="4"/>
  <c r="BP1383" i="4"/>
  <c r="BP1072" i="4"/>
  <c r="BP771" i="4"/>
  <c r="BP1069" i="4"/>
  <c r="BP1146" i="4"/>
  <c r="BP671" i="4"/>
  <c r="BP1014" i="4"/>
  <c r="BP1379" i="4"/>
  <c r="BP1699" i="4"/>
  <c r="BP1457" i="4"/>
  <c r="BP1963" i="4"/>
  <c r="BP1213" i="4"/>
  <c r="BP1214" i="4"/>
  <c r="BP370" i="4"/>
  <c r="BP852" i="4"/>
  <c r="BP578" i="4"/>
  <c r="BP1195" i="4"/>
  <c r="BP1106" i="4"/>
  <c r="BP1107" i="4"/>
  <c r="BP948" i="4"/>
  <c r="BP648" i="4"/>
  <c r="BP1180" i="4"/>
  <c r="BP1463" i="4"/>
  <c r="BP1464" i="4"/>
  <c r="BP554" i="4"/>
  <c r="BP1196" i="4"/>
  <c r="BP1087" i="4"/>
  <c r="BP1192" i="4"/>
  <c r="BP1077" i="4"/>
  <c r="BP353" i="4"/>
  <c r="BP661" i="4"/>
  <c r="BP662" i="4"/>
  <c r="BP650" i="4"/>
  <c r="BP1239" i="4"/>
  <c r="BP1070" i="4"/>
  <c r="BP400" i="4"/>
  <c r="BP1008" i="4"/>
  <c r="BP1147" i="4"/>
  <c r="BP667" i="4"/>
  <c r="BP343" i="4"/>
  <c r="BP349" i="4"/>
  <c r="BP1002" i="4"/>
  <c r="BP961" i="4"/>
  <c r="BP692" i="4"/>
  <c r="BP1057" i="4"/>
  <c r="BP1952" i="4"/>
  <c r="BP677" i="4"/>
  <c r="BP1181" i="4"/>
  <c r="BP1559" i="4"/>
  <c r="BP381" i="4"/>
  <c r="BP1028" i="4"/>
  <c r="BP1108" i="4"/>
  <c r="BP1109" i="4"/>
  <c r="BP1122" i="4"/>
  <c r="BP551" i="4"/>
  <c r="BP1498" i="4"/>
  <c r="BP1051" i="4"/>
  <c r="BP1130" i="4"/>
  <c r="BP1113" i="4"/>
  <c r="BP1145" i="4"/>
  <c r="BP1029" i="4"/>
  <c r="BP983" i="4"/>
  <c r="BP1220" i="4"/>
  <c r="BP1179" i="4"/>
  <c r="BP1128" i="4"/>
  <c r="BP1215" i="4"/>
  <c r="BP1241" i="4"/>
  <c r="BP374" i="4"/>
  <c r="BP589" i="4"/>
  <c r="BP402" i="4"/>
  <c r="BP1093" i="4"/>
  <c r="BP390" i="4"/>
  <c r="BP1182" i="4"/>
  <c r="BP1090" i="4"/>
  <c r="BP1501" i="4"/>
  <c r="BP1132" i="4"/>
  <c r="BP1510" i="4"/>
  <c r="BP1045" i="4"/>
  <c r="BP1150" i="4"/>
  <c r="BP1167" i="4"/>
  <c r="BP1168" i="4"/>
  <c r="BP1169" i="4"/>
  <c r="BP1430" i="4"/>
  <c r="BP1105" i="4"/>
  <c r="BP676" i="4"/>
  <c r="BP1058" i="4"/>
  <c r="BP1059" i="4"/>
  <c r="BP977" i="4"/>
  <c r="BP386" i="4"/>
  <c r="BP1049" i="4"/>
  <c r="BP1114" i="4"/>
  <c r="BP1115" i="4"/>
  <c r="BP1097" i="4"/>
  <c r="BP1825" i="4"/>
  <c r="BP1024" i="4"/>
  <c r="BP444" i="4"/>
  <c r="BP362" i="4"/>
  <c r="BP1030" i="4"/>
  <c r="BP1331" i="4"/>
  <c r="BP394" i="4"/>
  <c r="BP1104" i="4"/>
  <c r="BP1088" i="4"/>
  <c r="BP492" i="4"/>
  <c r="BP744" i="4"/>
  <c r="BP1062" i="4"/>
  <c r="BP1473" i="4"/>
  <c r="BP1172" i="4"/>
  <c r="BP1333" i="4"/>
  <c r="BP1197" i="4"/>
  <c r="BP1152" i="4"/>
  <c r="BP493" i="4"/>
  <c r="BP1164" i="4"/>
  <c r="BP1245" i="4"/>
  <c r="BP1246" i="4"/>
  <c r="BP549" i="4"/>
  <c r="BP679" i="4"/>
  <c r="BP657" i="4"/>
  <c r="BP1573" i="4"/>
  <c r="BP689" i="4"/>
  <c r="BP1000" i="4"/>
  <c r="BP1001" i="4"/>
  <c r="BP1511" i="4"/>
  <c r="BP378" i="4"/>
  <c r="BP1101" i="4"/>
  <c r="BP1166" i="4"/>
  <c r="BP1170" i="4"/>
  <c r="BP1178" i="4"/>
  <c r="BP1286" i="4"/>
  <c r="BP1861" i="4"/>
  <c r="BP438" i="4"/>
  <c r="BP1234" i="4"/>
  <c r="BP1135" i="4"/>
  <c r="BP588" i="4"/>
  <c r="BP1325" i="4"/>
  <c r="BP428" i="4"/>
  <c r="BP1198" i="4"/>
  <c r="BP680" i="4"/>
  <c r="BP1183" i="4"/>
  <c r="BP1116" i="4"/>
  <c r="BP1089" i="4"/>
  <c r="BP556" i="4"/>
  <c r="BP1078" i="4"/>
  <c r="BP1184" i="4"/>
  <c r="BP590" i="4"/>
  <c r="BP507" i="4"/>
  <c r="BP1046" i="4"/>
  <c r="BP1098" i="4"/>
  <c r="BP363" i="4"/>
  <c r="BP1096" i="4"/>
  <c r="BP1504" i="4"/>
  <c r="BP1199" i="4"/>
  <c r="BP1247" i="4"/>
  <c r="BP1593" i="4"/>
  <c r="BP1133" i="4"/>
  <c r="BP1763" i="4"/>
  <c r="BP1244" i="4"/>
  <c r="BP1153" i="4"/>
  <c r="BP1094" i="4"/>
  <c r="BP441" i="4"/>
  <c r="BP1079" i="4"/>
  <c r="BP599" i="4"/>
  <c r="BP598" i="4"/>
  <c r="BP1176" i="4"/>
  <c r="BP675" i="4"/>
  <c r="BP1705" i="4"/>
  <c r="BP393" i="4"/>
  <c r="BP1240" i="4"/>
  <c r="BP1131" i="4"/>
  <c r="BP1216" i="4"/>
  <c r="BP1053" i="4"/>
  <c r="BP886" i="4"/>
  <c r="BP1512" i="4"/>
  <c r="BP1307" i="4"/>
  <c r="BP1308" i="4"/>
  <c r="BP1314" i="4"/>
  <c r="BP1319" i="4"/>
  <c r="BP1136" i="4"/>
  <c r="BP1287" i="4"/>
  <c r="BP585" i="4"/>
  <c r="BP397" i="4"/>
  <c r="BP1462" i="4"/>
  <c r="BP1217" i="4"/>
  <c r="BP1844" i="4"/>
  <c r="BP1269" i="4"/>
  <c r="BP1095" i="4"/>
  <c r="BP495" i="4"/>
  <c r="BP1099" i="4"/>
  <c r="BP1499" i="4"/>
  <c r="BP1594" i="4"/>
  <c r="BP1036" i="4"/>
  <c r="BP1037" i="4"/>
  <c r="BP1313" i="4"/>
  <c r="BP1315" i="4"/>
  <c r="BP557" i="4"/>
  <c r="BP437" i="4"/>
  <c r="BP1248" i="4"/>
  <c r="BP702" i="4"/>
  <c r="BP703" i="4"/>
  <c r="BP1420" i="4"/>
  <c r="BP1080" i="4"/>
  <c r="BP1735" i="4"/>
  <c r="BP1137" i="4"/>
  <c r="BP1100" i="4"/>
  <c r="BP1298" i="4"/>
  <c r="BP1412" i="4"/>
  <c r="BP1232" i="4"/>
  <c r="BP576" i="4"/>
  <c r="BP1351" i="4"/>
  <c r="BP1200" i="4"/>
  <c r="BP696" i="4"/>
  <c r="BP1223" i="4"/>
  <c r="BP972" i="4"/>
  <c r="BP1211" i="4"/>
  <c r="BP1081" i="4"/>
  <c r="BP1272" i="4"/>
  <c r="BP1275" i="4"/>
  <c r="BP457" i="4"/>
  <c r="BP1173" i="4"/>
  <c r="BP1177" i="4"/>
  <c r="BP439" i="4"/>
  <c r="BP1257" i="4"/>
  <c r="BP1230" i="4"/>
  <c r="BP1047" i="4"/>
  <c r="BP1316" i="4"/>
  <c r="BP1299" i="4"/>
  <c r="BP1337" i="4"/>
  <c r="BP699" i="4"/>
  <c r="BP1595" i="4"/>
  <c r="BP1366" i="4"/>
  <c r="BP600" i="4"/>
  <c r="BP1185" i="4"/>
  <c r="BP409" i="4"/>
  <c r="BP413" i="4"/>
  <c r="BP697" i="4"/>
  <c r="BP563" i="4"/>
  <c r="BP459" i="4"/>
  <c r="BP1280" i="4"/>
  <c r="BP1273" i="4"/>
  <c r="BP1284" i="4"/>
  <c r="BP1233" i="4"/>
  <c r="BP565" i="4"/>
  <c r="BP1702" i="4"/>
  <c r="BP586" i="4"/>
  <c r="BP1032" i="4"/>
  <c r="BP1953" i="4"/>
  <c r="BP1193" i="4"/>
  <c r="BP1201" i="4"/>
  <c r="BP1186" i="4"/>
  <c r="BP1042" i="4"/>
  <c r="BP1154" i="4"/>
  <c r="BP651" i="4"/>
  <c r="BP1224" i="4"/>
  <c r="BP1174" i="4"/>
  <c r="BP1155" i="4"/>
  <c r="BP429" i="4"/>
  <c r="BP1465" i="4"/>
  <c r="BP1225" i="4"/>
  <c r="BP1288" i="4"/>
  <c r="BP1202" i="4"/>
  <c r="BP681" i="4"/>
  <c r="BP1190" i="4"/>
  <c r="BP1309" i="4"/>
  <c r="BP1289" i="4"/>
  <c r="BP1310" i="4"/>
  <c r="BP1231" i="4"/>
  <c r="BP1194" i="4"/>
  <c r="BP1149" i="4"/>
  <c r="BP700" i="4"/>
  <c r="BP1560" i="4"/>
  <c r="BP373" i="4"/>
  <c r="BP1138" i="4"/>
  <c r="BP1243" i="4"/>
  <c r="BP432" i="4"/>
  <c r="BP1258" i="4"/>
  <c r="BP1218" i="4"/>
  <c r="BP1276" i="4"/>
  <c r="BP1156" i="4"/>
  <c r="BP1226" i="4"/>
  <c r="BP1249" i="4"/>
  <c r="BP1187" i="4"/>
  <c r="BP410" i="4"/>
  <c r="BP1237" i="4"/>
  <c r="BP510" i="4"/>
  <c r="BP1373" i="4"/>
  <c r="BP1334" i="4"/>
  <c r="BP490" i="4"/>
  <c r="BP1157" i="4"/>
  <c r="BP1250" i="4"/>
  <c r="BP446" i="4"/>
  <c r="BP1117" i="4"/>
  <c r="BP1554" i="4"/>
  <c r="BP496" i="4"/>
  <c r="BP580" i="4"/>
  <c r="BP1862" i="4"/>
  <c r="BP687" i="4"/>
  <c r="BP1158" i="4"/>
  <c r="BP431" i="4"/>
  <c r="BP1188" i="4"/>
  <c r="BP1203" i="4"/>
  <c r="BP795" i="4"/>
  <c r="BP512" i="4"/>
  <c r="BP1251" i="4"/>
  <c r="BP511" i="4"/>
  <c r="BP1703" i="4"/>
  <c r="BP1539" i="4"/>
  <c r="BP1407" i="4"/>
  <c r="BP1159" i="4"/>
  <c r="BP433" i="4"/>
  <c r="BP1793" i="4"/>
  <c r="BP1352" i="4"/>
  <c r="BP1656" i="4"/>
  <c r="BP1160" i="4"/>
  <c r="BP1540" i="4"/>
  <c r="BP1857" i="4"/>
  <c r="BP497" i="4"/>
  <c r="BP1404" i="4"/>
  <c r="BP571" i="4"/>
  <c r="BP1651" i="4"/>
  <c r="BP422" i="4"/>
  <c r="BP1305" i="4"/>
  <c r="BP1277" i="4"/>
  <c r="BP704" i="4"/>
  <c r="BP1161" i="4"/>
  <c r="BP1139" i="4"/>
  <c r="BP1335" i="4"/>
  <c r="BP417" i="4"/>
  <c r="BP1290" i="4"/>
  <c r="BP485" i="4"/>
  <c r="BP455" i="4"/>
  <c r="BP693" i="4"/>
  <c r="BP456" i="4"/>
  <c r="BP1227" i="4"/>
  <c r="BP674" i="4"/>
  <c r="BP1204" i="4"/>
  <c r="BP1066" i="4"/>
  <c r="BP1345" i="4"/>
  <c r="BP1863" i="4"/>
  <c r="BP423" i="4"/>
  <c r="BP398" i="4"/>
  <c r="BP572" i="4"/>
  <c r="BP731" i="4"/>
  <c r="BP494" i="4"/>
  <c r="BP449" i="4"/>
  <c r="BP1300" i="4"/>
  <c r="BP1742" i="4"/>
  <c r="BP1596" i="4"/>
  <c r="BP1841" i="4"/>
  <c r="BP1822" i="4"/>
  <c r="BP434" i="4"/>
  <c r="BP1323" i="4"/>
  <c r="BP1268" i="4"/>
  <c r="BP1259" i="4"/>
  <c r="BP1205" i="4"/>
  <c r="BP1228" i="4"/>
  <c r="BP1140" i="4"/>
  <c r="BP1175" i="4"/>
  <c r="BP1118" i="4"/>
  <c r="BP1665" i="4"/>
  <c r="BP544" i="4"/>
  <c r="BP1577" i="4"/>
  <c r="BP1533" i="4"/>
  <c r="BP1692" i="4"/>
  <c r="BP405" i="4"/>
  <c r="BP1221" i="4"/>
  <c r="BP1007" i="4"/>
  <c r="BP1442" i="4"/>
  <c r="BP412" i="4"/>
  <c r="BP1525" i="4"/>
  <c r="BP1485" i="4"/>
  <c r="BP1523" i="4"/>
  <c r="BP1082" i="4"/>
  <c r="BP418" i="4"/>
  <c r="BP1229" i="4"/>
  <c r="BP1674" i="4"/>
  <c r="BP1347" i="4"/>
  <c r="BP426" i="4"/>
  <c r="BP1255" i="4"/>
  <c r="BP450" i="4"/>
  <c r="BP682" i="4"/>
  <c r="BP575" i="4"/>
  <c r="BP678" i="4"/>
  <c r="BP1165" i="4"/>
  <c r="BP403" i="4"/>
  <c r="BP424" i="4"/>
  <c r="BP685" i="4"/>
  <c r="BP591" i="4"/>
  <c r="BP1695" i="4"/>
  <c r="BP592" i="4"/>
  <c r="BP593" i="4"/>
  <c r="BP404" i="4"/>
  <c r="BP690" i="4"/>
  <c r="BP1141" i="4"/>
  <c r="BP1260" i="4"/>
  <c r="BP1394" i="4"/>
  <c r="BP1281" i="4"/>
  <c r="BP558" i="4"/>
  <c r="BP1060" i="4"/>
  <c r="BP1083" i="4"/>
  <c r="BP1242" i="4"/>
  <c r="BP1209" i="4"/>
  <c r="BP686" i="4"/>
  <c r="BP443" i="4"/>
  <c r="BP1291" i="4"/>
  <c r="BP1261" i="4"/>
  <c r="BP1389" i="4"/>
  <c r="BP545" i="4"/>
  <c r="BP594" i="4"/>
  <c r="BP1338" i="4"/>
  <c r="BP1626" i="4"/>
  <c r="BP436" i="4"/>
  <c r="BP1669" i="4"/>
  <c r="BP1262" i="4"/>
  <c r="BP1532" i="4"/>
  <c r="BP1263" i="4"/>
  <c r="BP1324" i="4"/>
  <c r="BP1397" i="4"/>
  <c r="BP396" i="4"/>
  <c r="BP1296" i="4"/>
  <c r="BP574" i="4"/>
  <c r="BP382" i="4"/>
  <c r="BP1206" i="4"/>
  <c r="BP1311" i="4"/>
  <c r="BP435" i="4"/>
  <c r="BP984" i="4"/>
  <c r="BP560" i="4"/>
  <c r="BP500" i="4"/>
  <c r="BP579" i="4"/>
  <c r="BP1341" i="4"/>
  <c r="BP1425" i="4"/>
  <c r="BP663" i="4"/>
  <c r="BP513" i="4"/>
  <c r="BP559" i="4"/>
  <c r="BP454" i="4"/>
  <c r="BP1348" i="4"/>
  <c r="BP1467" i="4"/>
  <c r="BP1393" i="4"/>
  <c r="BP1349" i="4"/>
  <c r="BP570" i="4"/>
  <c r="BP460" i="4"/>
  <c r="BP694" i="4"/>
  <c r="BP1294" i="4"/>
  <c r="BP1126" i="4"/>
  <c r="BP1339" i="4"/>
  <c r="BP1436" i="4"/>
  <c r="BP688" i="4"/>
  <c r="BP1972" i="4"/>
  <c r="BP1514" i="4"/>
  <c r="BP1129" i="4"/>
  <c r="BP553" i="4"/>
  <c r="BP855" i="4"/>
  <c r="BP440" i="4"/>
  <c r="BP569" i="4"/>
  <c r="BP407" i="4"/>
  <c r="BP1342" i="4"/>
  <c r="BP683" i="4"/>
  <c r="BP430" i="4"/>
  <c r="BP1565" i="4"/>
  <c r="BP844" i="4"/>
  <c r="BP1317" i="4"/>
  <c r="BP1322" i="4"/>
  <c r="BP1519" i="4"/>
  <c r="BP1292" i="4"/>
  <c r="BP1278" i="4"/>
  <c r="BP1279" i="4"/>
  <c r="BP1297" i="4"/>
  <c r="BP695" i="4"/>
  <c r="BP1264" i="4"/>
  <c r="BP1304" i="4"/>
  <c r="BP452" i="4"/>
  <c r="BP1755" i="4"/>
  <c r="BP1162" i="4"/>
  <c r="BP567" i="4"/>
  <c r="BP1320" i="4"/>
  <c r="BP1265" i="4"/>
  <c r="BP461" i="4"/>
  <c r="BP451" i="4"/>
  <c r="BP963" i="4"/>
  <c r="BP566" i="4"/>
  <c r="BP573" i="4"/>
  <c r="BP1915" i="4"/>
  <c r="BP1340" i="4"/>
  <c r="BP425" i="4"/>
  <c r="BP1207" i="4"/>
  <c r="BP1189" i="4"/>
  <c r="BP1219" i="4"/>
  <c r="BP1171" i="4"/>
  <c r="BP447" i="4"/>
  <c r="BP583" i="4"/>
  <c r="BP411" i="4"/>
  <c r="BP515" i="4"/>
  <c r="BP561" i="4"/>
  <c r="BP419" i="4"/>
  <c r="BP420" i="4"/>
  <c r="BP408" i="4"/>
  <c r="BP1256" i="4"/>
  <c r="BP587" i="4"/>
  <c r="BP1266" i="4"/>
  <c r="BP1301" i="4"/>
  <c r="BP1302" i="4"/>
  <c r="BP406" i="4"/>
  <c r="BP1312" i="4"/>
  <c r="BP1283" i="4"/>
  <c r="BP1293" i="4"/>
  <c r="BP1252" i="4"/>
  <c r="BP453" i="4"/>
  <c r="BP1148" i="4"/>
  <c r="BP514" i="4"/>
  <c r="BP1321" i="4"/>
  <c r="BP1012" i="4"/>
  <c r="BP1054" i="4"/>
  <c r="BP888" i="4"/>
  <c r="BP968" i="4"/>
  <c r="BP1142" i="4"/>
  <c r="BP1143" i="4"/>
  <c r="BP1144" i="4"/>
  <c r="BP568" i="4"/>
  <c r="BP691" i="4"/>
  <c r="BP1061" i="4"/>
  <c r="BP582" i="4"/>
  <c r="BP965" i="4"/>
  <c r="BP1013" i="4"/>
  <c r="BP445" i="4"/>
  <c r="BP1208" i="4"/>
  <c r="BP1743" i="4"/>
  <c r="BP701" i="4"/>
  <c r="BP1031" i="4"/>
  <c r="BP462" i="4"/>
  <c r="BP1354" i="4"/>
  <c r="BP498" i="4"/>
  <c r="BP1346" i="4"/>
  <c r="BP499" i="4"/>
  <c r="BP1303" i="4"/>
  <c r="BP1163" i="4"/>
  <c r="BP705" i="4"/>
  <c r="BP1102" i="4"/>
  <c r="BP501" i="4"/>
  <c r="BP502" i="4"/>
  <c r="BP1353" i="4"/>
  <c r="BP1253" i="4"/>
  <c r="BP595" i="4"/>
  <c r="BP1274" i="4"/>
  <c r="BP503" i="4"/>
  <c r="BP1344" i="4"/>
  <c r="BP1355" i="4"/>
  <c r="BP458" i="4"/>
  <c r="BP421" i="4"/>
  <c r="BP564" i="4"/>
  <c r="BP698" i="4"/>
  <c r="BP577" i="4"/>
  <c r="BP1350" i="4"/>
  <c r="BP1022" i="4"/>
  <c r="BP1664" i="4"/>
  <c r="BP581" i="4"/>
  <c r="BP1050" i="4"/>
  <c r="BP1295" i="4"/>
  <c r="BP1267" i="4"/>
  <c r="BP601" i="4"/>
  <c r="BP1343" i="4"/>
  <c r="BP1254" i="4"/>
  <c r="BP597" i="4"/>
  <c r="BP596" i="4"/>
  <c r="BP584" i="4"/>
  <c r="BP1123" i="4"/>
  <c r="BP602" i="4"/>
  <c r="BP1124" i="4"/>
  <c r="BP1446" i="4"/>
  <c r="BQ752" i="4"/>
  <c r="BQ1724" i="4"/>
  <c r="BQ1795" i="4"/>
  <c r="BQ467" i="4"/>
  <c r="BQ72" i="4"/>
  <c r="BQ1766" i="4"/>
  <c r="BQ1789" i="4"/>
  <c r="BQ1799" i="4"/>
  <c r="BQ1794" i="4"/>
  <c r="BQ1891" i="4"/>
  <c r="BQ117" i="4"/>
  <c r="BQ619" i="4"/>
  <c r="BQ1830" i="4"/>
  <c r="BQ44" i="4"/>
  <c r="BQ69" i="4"/>
  <c r="BQ806" i="4"/>
  <c r="BQ8" i="4"/>
  <c r="BQ105" i="4"/>
  <c r="BQ191" i="4"/>
  <c r="BQ741" i="4"/>
  <c r="BQ70" i="4"/>
  <c r="BQ1426" i="4"/>
  <c r="BQ3" i="4"/>
  <c r="BQ1838" i="4"/>
  <c r="BQ145" i="4"/>
  <c r="BQ122" i="4"/>
  <c r="BQ1655" i="4"/>
  <c r="BQ1621" i="4"/>
  <c r="BQ603" i="4"/>
  <c r="BQ729" i="4"/>
  <c r="BQ17" i="4"/>
  <c r="BQ16" i="4"/>
  <c r="BQ97" i="4"/>
  <c r="BQ887" i="4"/>
  <c r="BQ86" i="4"/>
  <c r="BQ85" i="4"/>
  <c r="BQ55" i="4"/>
  <c r="BQ65" i="4"/>
  <c r="BQ842" i="4"/>
  <c r="BQ715" i="4"/>
  <c r="BQ1888" i="4"/>
  <c r="BQ1778" i="4"/>
  <c r="BQ1478" i="4"/>
  <c r="BQ1805" i="4"/>
  <c r="BQ1777" i="4"/>
  <c r="BQ143" i="4"/>
  <c r="BQ1477" i="4"/>
  <c r="BQ721" i="4"/>
  <c r="BQ23" i="4"/>
  <c r="BQ22" i="4"/>
  <c r="BQ869" i="4"/>
  <c r="BQ62" i="4"/>
  <c r="BQ1804" i="4"/>
  <c r="BQ1384" i="4"/>
  <c r="BQ885" i="4"/>
  <c r="BQ780" i="4"/>
  <c r="BQ1877" i="4"/>
  <c r="BQ1797" i="4"/>
  <c r="BQ127" i="4"/>
  <c r="BQ713" i="4"/>
  <c r="BQ123" i="4"/>
  <c r="BQ171" i="4"/>
  <c r="BQ169" i="4"/>
  <c r="BQ1515" i="4"/>
  <c r="BQ172" i="4"/>
  <c r="BQ79" i="4"/>
  <c r="BQ1855" i="4"/>
  <c r="BQ89" i="4"/>
  <c r="BQ737" i="4"/>
  <c r="BQ1870" i="4"/>
  <c r="BQ78" i="4"/>
  <c r="BQ131" i="4"/>
  <c r="BQ6" i="4"/>
  <c r="BQ124" i="4"/>
  <c r="BQ46" i="4"/>
  <c r="BQ114" i="4"/>
  <c r="BQ10" i="4"/>
  <c r="BQ1680" i="4"/>
  <c r="BQ625" i="4"/>
  <c r="BQ144" i="4"/>
  <c r="BQ1802" i="4"/>
  <c r="BQ1801" i="4"/>
  <c r="BQ150" i="4"/>
  <c r="BQ77" i="4"/>
  <c r="BQ1800" i="4"/>
  <c r="BQ134" i="4"/>
  <c r="BQ42" i="4"/>
  <c r="BQ1842" i="4"/>
  <c r="BQ1590" i="4"/>
  <c r="BQ1670" i="4"/>
  <c r="BQ1803" i="4"/>
  <c r="BQ34" i="4"/>
  <c r="BQ120" i="4"/>
  <c r="BQ1934" i="4"/>
  <c r="BQ1920" i="4"/>
  <c r="BQ707" i="4"/>
  <c r="BQ21" i="4"/>
  <c r="BQ60" i="4"/>
  <c r="BQ1945" i="4"/>
  <c r="BQ1944" i="4"/>
  <c r="BQ1943" i="4"/>
  <c r="BQ1796" i="4"/>
  <c r="BQ7" i="4"/>
  <c r="BQ82" i="4"/>
  <c r="BQ1916" i="4"/>
  <c r="BQ1942" i="4"/>
  <c r="BQ708" i="4"/>
  <c r="BQ59" i="4"/>
  <c r="BQ718" i="4"/>
  <c r="BQ36" i="4"/>
  <c r="BQ1570" i="4"/>
  <c r="BQ1949" i="4"/>
  <c r="BQ63" i="4"/>
  <c r="BQ756" i="4"/>
  <c r="BQ740" i="4"/>
  <c r="BQ1941" i="4"/>
  <c r="BQ1869" i="4"/>
  <c r="BQ1935" i="4"/>
  <c r="BQ1551" i="4"/>
  <c r="BQ802" i="4"/>
  <c r="BQ76" i="4"/>
  <c r="BQ1929" i="4"/>
  <c r="BQ1928" i="4"/>
  <c r="BQ1898" i="4"/>
  <c r="BQ39" i="4"/>
  <c r="BQ12" i="4"/>
  <c r="BQ51" i="4"/>
  <c r="BQ5" i="4"/>
  <c r="BQ1685" i="4"/>
  <c r="BQ1456" i="4"/>
  <c r="BQ1865" i="4"/>
  <c r="BQ58" i="4"/>
  <c r="BQ112" i="4"/>
  <c r="BQ20" i="4"/>
  <c r="BQ14" i="4"/>
  <c r="BQ113" i="4"/>
  <c r="BQ762" i="4"/>
  <c r="BQ727" i="4"/>
  <c r="BQ1889" i="4"/>
  <c r="BQ1790" i="4"/>
  <c r="BQ645" i="4"/>
  <c r="BQ1940" i="4"/>
  <c r="BQ733" i="4"/>
  <c r="BQ49" i="4"/>
  <c r="BQ777" i="4"/>
  <c r="BQ709" i="4"/>
  <c r="BQ746" i="4"/>
  <c r="BQ1829" i="4"/>
  <c r="BQ83" i="4"/>
  <c r="BQ15" i="4"/>
  <c r="BQ1668" i="4"/>
  <c r="BQ1901" i="4"/>
  <c r="BQ1885" i="4"/>
  <c r="BQ54" i="4"/>
  <c r="BQ1884" i="4"/>
  <c r="BQ1883" i="4"/>
  <c r="BQ1846" i="4"/>
  <c r="BQ1828" i="4"/>
  <c r="BQ1712" i="4"/>
  <c r="BQ50" i="4"/>
  <c r="BQ735" i="4"/>
  <c r="BQ9" i="4"/>
  <c r="BQ33" i="4"/>
  <c r="BQ32" i="4"/>
  <c r="BQ13" i="4"/>
  <c r="BQ48" i="4"/>
  <c r="BQ27" i="4"/>
  <c r="BQ745" i="4"/>
  <c r="BQ826" i="4"/>
  <c r="BQ53" i="4"/>
  <c r="BQ732" i="4"/>
  <c r="BQ185" i="4"/>
  <c r="BQ1569" i="4"/>
  <c r="BQ67" i="4"/>
  <c r="BQ66" i="4"/>
  <c r="BQ772" i="4"/>
  <c r="BQ755" i="4"/>
  <c r="BQ794" i="4"/>
  <c r="BQ1882" i="4"/>
  <c r="BQ106" i="4"/>
  <c r="BQ74" i="4"/>
  <c r="BQ463" i="4"/>
  <c r="BQ1878" i="4"/>
  <c r="BQ84" i="4"/>
  <c r="BQ101" i="4"/>
  <c r="BQ1534" i="4"/>
  <c r="BQ19" i="4"/>
  <c r="BQ18" i="4"/>
  <c r="BQ605" i="4"/>
  <c r="BQ41" i="4"/>
  <c r="BQ1369" i="4"/>
  <c r="BQ791" i="4"/>
  <c r="BQ45" i="4"/>
  <c r="BQ4" i="4"/>
  <c r="BQ1897" i="4"/>
  <c r="BQ736" i="4"/>
  <c r="BQ1881" i="4"/>
  <c r="BQ1380" i="4"/>
  <c r="BQ165" i="4"/>
  <c r="BQ774" i="4"/>
  <c r="BQ728" i="4"/>
  <c r="BQ1471" i="4"/>
  <c r="BQ64" i="4"/>
  <c r="BQ742" i="4"/>
  <c r="BQ31" i="4"/>
  <c r="BQ1556" i="4"/>
  <c r="BQ819" i="4"/>
  <c r="BQ788" i="4"/>
  <c r="BQ764" i="4"/>
  <c r="BQ1880" i="4"/>
  <c r="BQ75" i="4"/>
  <c r="BQ722" i="4"/>
  <c r="BQ1879" i="4"/>
  <c r="BQ37" i="4"/>
  <c r="BQ1720" i="4"/>
  <c r="BQ775" i="4"/>
  <c r="BQ1374" i="4"/>
  <c r="BQ159" i="4"/>
  <c r="BQ1716" i="4"/>
  <c r="BQ1717" i="4"/>
  <c r="BQ1378" i="4"/>
  <c r="BQ1440" i="4"/>
  <c r="BQ29" i="4"/>
  <c r="BQ30" i="4"/>
  <c r="BQ1327" i="4"/>
  <c r="BQ717" i="4"/>
  <c r="BQ817" i="4"/>
  <c r="BQ1446" i="4"/>
  <c r="BQ1124" i="4"/>
  <c r="BQ602" i="4"/>
  <c r="BQ1123" i="4"/>
  <c r="BQ584" i="4"/>
  <c r="BQ596" i="4"/>
  <c r="BQ597" i="4"/>
  <c r="BQ1254" i="4"/>
  <c r="BQ1343" i="4"/>
  <c r="BQ601" i="4"/>
  <c r="BQ1267" i="4"/>
  <c r="BQ1295" i="4"/>
  <c r="BQ1050" i="4"/>
  <c r="BQ581" i="4"/>
  <c r="BQ1664" i="4"/>
  <c r="BQ1022" i="4"/>
  <c r="BQ1350" i="4"/>
  <c r="BQ577" i="4"/>
  <c r="BQ698" i="4"/>
  <c r="BQ564" i="4"/>
  <c r="BQ421" i="4"/>
  <c r="BQ458" i="4"/>
  <c r="BQ1355" i="4"/>
  <c r="BQ1344" i="4"/>
  <c r="BQ503" i="4"/>
  <c r="BQ1274" i="4"/>
  <c r="BQ595" i="4"/>
  <c r="BQ1253" i="4"/>
  <c r="BQ1353" i="4"/>
  <c r="BQ502" i="4"/>
  <c r="BQ501" i="4"/>
  <c r="BQ1102" i="4"/>
  <c r="BQ705" i="4"/>
  <c r="BQ1163" i="4"/>
  <c r="BQ1303" i="4"/>
  <c r="BQ499" i="4"/>
  <c r="BQ1346" i="4"/>
  <c r="BQ498" i="4"/>
  <c r="BQ1354" i="4"/>
  <c r="BQ462" i="4"/>
  <c r="BQ1031" i="4"/>
  <c r="BQ701" i="4"/>
  <c r="BQ1743" i="4"/>
  <c r="BQ1208" i="4"/>
  <c r="BQ445" i="4"/>
  <c r="BQ1013" i="4"/>
  <c r="BQ965" i="4"/>
  <c r="BQ582" i="4"/>
  <c r="BQ1061" i="4"/>
  <c r="BQ691" i="4"/>
  <c r="BQ568" i="4"/>
  <c r="BQ1144" i="4"/>
  <c r="BQ1143" i="4"/>
  <c r="BQ1142" i="4"/>
  <c r="BQ968" i="4"/>
  <c r="BQ888" i="4"/>
  <c r="BQ1054" i="4"/>
  <c r="BQ1012" i="4"/>
  <c r="BQ1321" i="4"/>
  <c r="BQ514" i="4"/>
  <c r="BQ1148" i="4"/>
  <c r="BQ453" i="4"/>
  <c r="BQ1252" i="4"/>
  <c r="BQ1293" i="4"/>
  <c r="BQ1283" i="4"/>
  <c r="BQ1312" i="4"/>
  <c r="BQ406" i="4"/>
  <c r="BQ1302" i="4"/>
  <c r="BQ1301" i="4"/>
  <c r="BQ1266" i="4"/>
  <c r="BQ587" i="4"/>
  <c r="BQ1256" i="4"/>
  <c r="BQ408" i="4"/>
  <c r="BQ420" i="4"/>
  <c r="BQ419" i="4"/>
  <c r="BQ561" i="4"/>
  <c r="BQ515" i="4"/>
  <c r="BQ411" i="4"/>
  <c r="BQ583" i="4"/>
  <c r="BQ447" i="4"/>
  <c r="BQ1171" i="4"/>
  <c r="BQ1219" i="4"/>
  <c r="BQ1189" i="4"/>
  <c r="BQ1207" i="4"/>
  <c r="BQ425" i="4"/>
  <c r="BQ1340" i="4"/>
  <c r="BQ1915" i="4"/>
  <c r="BQ573" i="4"/>
  <c r="BQ566" i="4"/>
  <c r="BQ963" i="4"/>
  <c r="BQ451" i="4"/>
  <c r="BQ461" i="4"/>
  <c r="BQ1265" i="4"/>
  <c r="BQ1320" i="4"/>
  <c r="BQ567" i="4"/>
  <c r="BQ1162" i="4"/>
  <c r="BQ1755" i="4"/>
  <c r="BQ452" i="4"/>
  <c r="BQ1304" i="4"/>
  <c r="BQ1264" i="4"/>
  <c r="BQ695" i="4"/>
  <c r="BQ1297" i="4"/>
  <c r="BQ1279" i="4"/>
  <c r="BQ1278" i="4"/>
  <c r="BQ1292" i="4"/>
  <c r="BQ1519" i="4"/>
  <c r="BQ1322" i="4"/>
  <c r="BQ1317" i="4"/>
  <c r="BQ844" i="4"/>
  <c r="BQ1565" i="4"/>
  <c r="BQ430" i="4"/>
  <c r="BQ683" i="4"/>
  <c r="BQ1342" i="4"/>
  <c r="BQ407" i="4"/>
  <c r="BQ569" i="4"/>
  <c r="BQ440" i="4"/>
  <c r="BQ855" i="4"/>
  <c r="BQ553" i="4"/>
  <c r="BQ1129" i="4"/>
  <c r="BQ1514" i="4"/>
  <c r="BQ1972" i="4"/>
  <c r="BQ688" i="4"/>
  <c r="BQ1436" i="4"/>
  <c r="BQ1339" i="4"/>
  <c r="BQ1126" i="4"/>
  <c r="BQ1294" i="4"/>
  <c r="BQ694" i="4"/>
  <c r="BQ460" i="4"/>
  <c r="BQ570" i="4"/>
  <c r="BQ1349" i="4"/>
  <c r="BQ1393" i="4"/>
  <c r="BQ1467" i="4"/>
  <c r="BQ1348" i="4"/>
  <c r="BQ454" i="4"/>
  <c r="BQ559" i="4"/>
  <c r="BQ513" i="4"/>
  <c r="BQ663" i="4"/>
  <c r="BQ1425" i="4"/>
  <c r="BQ1341" i="4"/>
  <c r="BQ579" i="4"/>
  <c r="BQ500" i="4"/>
  <c r="BQ560" i="4"/>
  <c r="BQ984" i="4"/>
  <c r="BQ435" i="4"/>
  <c r="BQ1311" i="4"/>
  <c r="BQ1206" i="4"/>
  <c r="BQ382" i="4"/>
  <c r="BQ574" i="4"/>
  <c r="BQ1296" i="4"/>
  <c r="BQ396" i="4"/>
  <c r="BQ1397" i="4"/>
  <c r="BQ1324" i="4"/>
  <c r="BQ1263" i="4"/>
  <c r="BQ1532" i="4"/>
  <c r="BQ1262" i="4"/>
  <c r="BQ1669" i="4"/>
  <c r="BQ436" i="4"/>
  <c r="BQ1626" i="4"/>
  <c r="BQ1338" i="4"/>
  <c r="BQ594" i="4"/>
  <c r="BQ545" i="4"/>
  <c r="BQ1389" i="4"/>
  <c r="BQ1261" i="4"/>
  <c r="BQ1291" i="4"/>
  <c r="BQ443" i="4"/>
  <c r="BQ686" i="4"/>
  <c r="BQ1209" i="4"/>
  <c r="BQ1242" i="4"/>
  <c r="BQ1083" i="4"/>
  <c r="BQ1060" i="4"/>
  <c r="BQ558" i="4"/>
  <c r="BQ1281" i="4"/>
  <c r="BQ1394" i="4"/>
  <c r="BQ1260" i="4"/>
  <c r="BQ1141" i="4"/>
  <c r="BQ690" i="4"/>
  <c r="BQ404" i="4"/>
  <c r="BQ593" i="4"/>
  <c r="BQ592" i="4"/>
  <c r="BQ1695" i="4"/>
  <c r="BQ591" i="4"/>
  <c r="BQ685" i="4"/>
  <c r="BQ424" i="4"/>
  <c r="BQ403" i="4"/>
  <c r="BQ1165" i="4"/>
  <c r="BQ678" i="4"/>
  <c r="BQ575" i="4"/>
  <c r="BQ682" i="4"/>
  <c r="BQ450" i="4"/>
  <c r="BQ1255" i="4"/>
  <c r="BQ426" i="4"/>
  <c r="BQ1347" i="4"/>
  <c r="BQ1674" i="4"/>
  <c r="BQ1229" i="4"/>
  <c r="BQ418" i="4"/>
  <c r="BQ1082" i="4"/>
  <c r="BQ1523" i="4"/>
  <c r="BQ1485" i="4"/>
  <c r="BQ1525" i="4"/>
  <c r="BQ412" i="4"/>
  <c r="BQ1442" i="4"/>
  <c r="BQ1007" i="4"/>
  <c r="BQ1221" i="4"/>
  <c r="BQ405" i="4"/>
  <c r="BQ1692" i="4"/>
  <c r="BQ1533" i="4"/>
  <c r="BQ1577" i="4"/>
  <c r="BQ544" i="4"/>
  <c r="BQ1665" i="4"/>
  <c r="BQ1118" i="4"/>
  <c r="BQ1175" i="4"/>
  <c r="BQ1140" i="4"/>
  <c r="BQ1228" i="4"/>
  <c r="BQ1205" i="4"/>
  <c r="BQ1259" i="4"/>
  <c r="BQ1268" i="4"/>
  <c r="BQ1323" i="4"/>
  <c r="BQ434" i="4"/>
  <c r="BQ1822" i="4"/>
  <c r="BQ1841" i="4"/>
  <c r="BQ1596" i="4"/>
  <c r="BQ1742" i="4"/>
  <c r="BQ1300" i="4"/>
  <c r="BQ449" i="4"/>
  <c r="BQ494" i="4"/>
  <c r="BQ731" i="4"/>
  <c r="BQ572" i="4"/>
  <c r="BQ398" i="4"/>
  <c r="BQ423" i="4"/>
  <c r="BQ1863" i="4"/>
  <c r="BQ1345" i="4"/>
  <c r="BQ1066" i="4"/>
  <c r="BQ1204" i="4"/>
  <c r="BQ674" i="4"/>
  <c r="BQ1227" i="4"/>
  <c r="BQ456" i="4"/>
  <c r="BQ693" i="4"/>
  <c r="BQ455" i="4"/>
  <c r="BQ485" i="4"/>
  <c r="BQ1290" i="4"/>
  <c r="BQ417" i="4"/>
  <c r="BQ1335" i="4"/>
  <c r="BQ1139" i="4"/>
  <c r="BQ1161" i="4"/>
  <c r="BQ704" i="4"/>
  <c r="BQ1277" i="4"/>
  <c r="BQ1305" i="4"/>
  <c r="BQ422" i="4"/>
  <c r="BQ1651" i="4"/>
  <c r="BQ571" i="4"/>
  <c r="BQ1404" i="4"/>
  <c r="BQ497" i="4"/>
  <c r="BQ1857" i="4"/>
  <c r="BQ1540" i="4"/>
  <c r="BQ1160" i="4"/>
  <c r="BQ1656" i="4"/>
  <c r="BQ1352" i="4"/>
  <c r="BQ1793" i="4"/>
  <c r="BQ433" i="4"/>
  <c r="BQ1159" i="4"/>
  <c r="BQ1407" i="4"/>
  <c r="BQ1539" i="4"/>
  <c r="BQ1703" i="4"/>
  <c r="BQ511" i="4"/>
  <c r="BQ1251" i="4"/>
  <c r="BQ512" i="4"/>
  <c r="BQ795" i="4"/>
  <c r="BQ1203" i="4"/>
  <c r="BQ1188" i="4"/>
  <c r="BQ431" i="4"/>
  <c r="BQ1158" i="4"/>
  <c r="BQ687" i="4"/>
  <c r="BQ1862" i="4"/>
  <c r="BQ580" i="4"/>
  <c r="BQ496" i="4"/>
  <c r="BQ1554" i="4"/>
  <c r="BQ1117" i="4"/>
  <c r="BQ446" i="4"/>
  <c r="BQ1250" i="4"/>
  <c r="BQ1157" i="4"/>
  <c r="BQ490" i="4"/>
  <c r="BQ1334" i="4"/>
  <c r="BQ1373" i="4"/>
  <c r="BQ510" i="4"/>
  <c r="BQ1237" i="4"/>
  <c r="BQ410" i="4"/>
  <c r="BQ1187" i="4"/>
  <c r="BQ1249" i="4"/>
  <c r="BQ1226" i="4"/>
  <c r="BQ1156" i="4"/>
  <c r="BQ1276" i="4"/>
  <c r="BQ1218" i="4"/>
  <c r="BQ1258" i="4"/>
  <c r="BQ432" i="4"/>
  <c r="BQ1243" i="4"/>
  <c r="BQ1138" i="4"/>
  <c r="BQ373" i="4"/>
  <c r="BQ1560" i="4"/>
  <c r="BQ700" i="4"/>
  <c r="BQ1149" i="4"/>
  <c r="BQ1194" i="4"/>
  <c r="BQ1231" i="4"/>
  <c r="BQ1310" i="4"/>
  <c r="BQ1289" i="4"/>
  <c r="BQ1309" i="4"/>
  <c r="BQ1190" i="4"/>
  <c r="BQ681" i="4"/>
  <c r="BQ1202" i="4"/>
  <c r="BQ1288" i="4"/>
  <c r="BQ1225" i="4"/>
  <c r="BQ1465" i="4"/>
  <c r="BQ429" i="4"/>
  <c r="BQ1155" i="4"/>
  <c r="BQ1174" i="4"/>
  <c r="BQ1224" i="4"/>
  <c r="BQ651" i="4"/>
  <c r="BQ1154" i="4"/>
  <c r="BQ1042" i="4"/>
  <c r="BQ1186" i="4"/>
  <c r="BQ1201" i="4"/>
  <c r="BQ1193" i="4"/>
  <c r="BQ1953" i="4"/>
  <c r="BQ1032" i="4"/>
  <c r="BQ586" i="4"/>
  <c r="BQ1702" i="4"/>
  <c r="BQ565" i="4"/>
  <c r="BQ1233" i="4"/>
  <c r="BQ1284" i="4"/>
  <c r="BQ1273" i="4"/>
  <c r="BQ1280" i="4"/>
  <c r="BQ459" i="4"/>
  <c r="BQ563" i="4"/>
  <c r="BQ697" i="4"/>
  <c r="BQ413" i="4"/>
  <c r="BQ409" i="4"/>
  <c r="BQ1185" i="4"/>
  <c r="BQ600" i="4"/>
  <c r="BQ1366" i="4"/>
  <c r="BQ1595" i="4"/>
  <c r="BQ699" i="4"/>
  <c r="BQ1337" i="4"/>
  <c r="BQ1299" i="4"/>
  <c r="BQ1316" i="4"/>
  <c r="BQ1047" i="4"/>
  <c r="BQ1230" i="4"/>
  <c r="BQ1257" i="4"/>
  <c r="BQ439" i="4"/>
  <c r="BQ1177" i="4"/>
  <c r="BQ1173" i="4"/>
  <c r="BQ457" i="4"/>
  <c r="BQ1275" i="4"/>
  <c r="BQ1272" i="4"/>
  <c r="BQ1081" i="4"/>
  <c r="BQ1211" i="4"/>
  <c r="BQ972" i="4"/>
  <c r="BQ1223" i="4"/>
  <c r="BQ696" i="4"/>
  <c r="BQ1200" i="4"/>
  <c r="BQ1351" i="4"/>
  <c r="BQ576" i="4"/>
  <c r="BQ1232" i="4"/>
  <c r="BQ1412" i="4"/>
  <c r="BQ1298" i="4"/>
  <c r="BQ1100" i="4"/>
  <c r="BQ1137" i="4"/>
  <c r="BQ1735" i="4"/>
  <c r="BQ1080" i="4"/>
  <c r="BQ1420" i="4"/>
  <c r="BQ703" i="4"/>
  <c r="BQ702" i="4"/>
  <c r="BQ1248" i="4"/>
  <c r="BQ437" i="4"/>
  <c r="BQ557" i="4"/>
  <c r="BQ1315" i="4"/>
  <c r="BQ1313" i="4"/>
  <c r="BQ1037" i="4"/>
  <c r="BQ1036" i="4"/>
  <c r="BQ1594" i="4"/>
  <c r="BQ1499" i="4"/>
  <c r="BQ1099" i="4"/>
  <c r="BQ495" i="4"/>
  <c r="BQ1095" i="4"/>
  <c r="BQ1269" i="4"/>
  <c r="BQ1844" i="4"/>
  <c r="BQ1217" i="4"/>
  <c r="BQ1462" i="4"/>
  <c r="BQ397" i="4"/>
  <c r="BQ585" i="4"/>
  <c r="BQ1287" i="4"/>
  <c r="BQ1136" i="4"/>
  <c r="BQ1319" i="4"/>
  <c r="BQ1314" i="4"/>
  <c r="BQ1308" i="4"/>
  <c r="BQ1307" i="4"/>
  <c r="BQ1512" i="4"/>
  <c r="BQ886" i="4"/>
  <c r="BQ1053" i="4"/>
  <c r="BQ1216" i="4"/>
  <c r="BQ1131" i="4"/>
  <c r="BQ1240" i="4"/>
  <c r="BQ393" i="4"/>
  <c r="BQ1705" i="4"/>
  <c r="BQ675" i="4"/>
  <c r="BQ1176" i="4"/>
  <c r="BQ598" i="4"/>
  <c r="BQ599" i="4"/>
  <c r="BQ1079" i="4"/>
  <c r="BQ441" i="4"/>
  <c r="BQ1094" i="4"/>
  <c r="BQ1153" i="4"/>
  <c r="BQ1244" i="4"/>
  <c r="BQ1763" i="4"/>
  <c r="BQ1133" i="4"/>
  <c r="BQ1593" i="4"/>
  <c r="BQ1247" i="4"/>
  <c r="BQ1199" i="4"/>
  <c r="BQ1504" i="4"/>
  <c r="BQ1096" i="4"/>
  <c r="BQ363" i="4"/>
  <c r="BQ1098" i="4"/>
  <c r="BQ1046" i="4"/>
  <c r="BQ507" i="4"/>
  <c r="BQ590" i="4"/>
  <c r="BQ1184" i="4"/>
  <c r="BQ1078" i="4"/>
  <c r="BQ556" i="4"/>
  <c r="BQ1089" i="4"/>
  <c r="BQ1116" i="4"/>
  <c r="BQ1183" i="4"/>
  <c r="BQ680" i="4"/>
  <c r="BQ1198" i="4"/>
  <c r="BQ428" i="4"/>
  <c r="BQ1325" i="4"/>
  <c r="BQ588" i="4"/>
  <c r="BQ1135" i="4"/>
  <c r="BQ1234" i="4"/>
  <c r="BQ438" i="4"/>
  <c r="BQ1861" i="4"/>
  <c r="BQ1286" i="4"/>
  <c r="BQ1178" i="4"/>
  <c r="BQ1170" i="4"/>
  <c r="BQ1166" i="4"/>
  <c r="BQ1101" i="4"/>
  <c r="BQ378" i="4"/>
  <c r="BQ1511" i="4"/>
  <c r="BQ1001" i="4"/>
  <c r="BQ1000" i="4"/>
  <c r="BQ689" i="4"/>
  <c r="BQ1573" i="4"/>
  <c r="BQ657" i="4"/>
  <c r="BQ679" i="4"/>
  <c r="BQ549" i="4"/>
  <c r="BQ1246" i="4"/>
  <c r="BQ1245" i="4"/>
  <c r="BQ1164" i="4"/>
  <c r="BQ493" i="4"/>
  <c r="BQ1152" i="4"/>
  <c r="BQ1197" i="4"/>
  <c r="BQ1333" i="4"/>
  <c r="BQ1172" i="4"/>
  <c r="BQ1473" i="4"/>
  <c r="BQ1062" i="4"/>
  <c r="BQ744" i="4"/>
  <c r="BQ492" i="4"/>
  <c r="BQ1088" i="4"/>
  <c r="BQ1104" i="4"/>
  <c r="BQ394" i="4"/>
  <c r="BQ1331" i="4"/>
  <c r="BQ1030" i="4"/>
  <c r="BQ362" i="4"/>
  <c r="BQ444" i="4"/>
  <c r="BQ1024" i="4"/>
  <c r="BQ1825" i="4"/>
  <c r="BQ1097" i="4"/>
  <c r="BQ1115" i="4"/>
  <c r="BQ1114" i="4"/>
  <c r="BQ1049" i="4"/>
  <c r="BQ386" i="4"/>
  <c r="BQ977" i="4"/>
  <c r="BQ1059" i="4"/>
  <c r="BQ1058" i="4"/>
  <c r="BQ676" i="4"/>
  <c r="BQ1105" i="4"/>
  <c r="BQ1430" i="4"/>
  <c r="BQ1169" i="4"/>
  <c r="BQ1168" i="4"/>
  <c r="BQ1167" i="4"/>
  <c r="BQ1150" i="4"/>
  <c r="BQ1045" i="4"/>
  <c r="BQ1510" i="4"/>
  <c r="BQ1132" i="4"/>
  <c r="BQ1501" i="4"/>
  <c r="BQ1090" i="4"/>
  <c r="BQ1182" i="4"/>
  <c r="BQ390" i="4"/>
  <c r="BQ1093" i="4"/>
  <c r="BQ402" i="4"/>
  <c r="BQ589" i="4"/>
  <c r="BQ374" i="4"/>
  <c r="BQ1241" i="4"/>
  <c r="BQ1215" i="4"/>
  <c r="BQ1128" i="4"/>
  <c r="BQ1179" i="4"/>
  <c r="BQ1220" i="4"/>
  <c r="BQ983" i="4"/>
  <c r="BQ1029" i="4"/>
  <c r="BQ1145" i="4"/>
  <c r="BQ1113" i="4"/>
  <c r="BQ1130" i="4"/>
  <c r="BQ1051" i="4"/>
  <c r="BQ1498" i="4"/>
  <c r="BQ551" i="4"/>
  <c r="BQ1122" i="4"/>
  <c r="BQ1109" i="4"/>
  <c r="BQ1108" i="4"/>
  <c r="BQ1028" i="4"/>
  <c r="BQ381" i="4"/>
  <c r="BQ1559" i="4"/>
  <c r="BQ1181" i="4"/>
  <c r="BQ677" i="4"/>
  <c r="BQ1952" i="4"/>
  <c r="BQ1057" i="4"/>
  <c r="BQ692" i="4"/>
  <c r="BQ961" i="4"/>
  <c r="BQ1002" i="4"/>
  <c r="BQ349" i="4"/>
  <c r="BQ343" i="4"/>
  <c r="BQ667" i="4"/>
  <c r="BQ1147" i="4"/>
  <c r="BQ1008" i="4"/>
  <c r="BQ400" i="4"/>
  <c r="BQ1070" i="4"/>
  <c r="BQ1239" i="4"/>
  <c r="BQ650" i="4"/>
  <c r="BQ662" i="4"/>
  <c r="BQ661" i="4"/>
  <c r="BQ353" i="4"/>
  <c r="BQ1077" i="4"/>
  <c r="BQ1192" i="4"/>
  <c r="BQ1087" i="4"/>
  <c r="BQ1196" i="4"/>
  <c r="BQ554" i="4"/>
  <c r="BQ1464" i="4"/>
  <c r="BQ1463" i="4"/>
  <c r="BQ1180" i="4"/>
  <c r="BQ648" i="4"/>
  <c r="BQ948" i="4"/>
  <c r="BQ1107" i="4"/>
  <c r="BQ1106" i="4"/>
  <c r="BQ1195" i="4"/>
  <c r="BQ578" i="4"/>
  <c r="BQ852" i="4"/>
  <c r="BQ370" i="4"/>
  <c r="BQ1214" i="4"/>
  <c r="BQ1213" i="4"/>
  <c r="BQ1963" i="4"/>
  <c r="BQ1457" i="4"/>
  <c r="BQ1699" i="4"/>
  <c r="BQ1379" i="4"/>
  <c r="BQ1014" i="4"/>
  <c r="BQ671" i="4"/>
  <c r="BQ1146" i="4"/>
  <c r="BQ1069" i="4"/>
  <c r="BQ771" i="4"/>
  <c r="BQ1072" i="4"/>
  <c r="BQ1383" i="4"/>
  <c r="BQ1965" i="4"/>
  <c r="BQ361" i="4"/>
  <c r="BQ1110" i="4"/>
  <c r="BQ533" i="4"/>
  <c r="BQ670" i="4"/>
  <c r="BQ881" i="4"/>
  <c r="BQ1967" i="4"/>
  <c r="BQ351" i="4"/>
  <c r="BQ1119" i="4"/>
  <c r="BQ998" i="4"/>
  <c r="BQ350" i="4"/>
  <c r="BQ1968" i="4"/>
  <c r="BQ369" i="4"/>
  <c r="BQ1957" i="4"/>
  <c r="BQ1086" i="4"/>
  <c r="BQ1068" i="4"/>
  <c r="BQ805" i="4"/>
  <c r="BQ659" i="4"/>
  <c r="BQ1955" i="4"/>
  <c r="BQ647" i="4"/>
  <c r="BQ989" i="4"/>
  <c r="BQ1737" i="4"/>
  <c r="BQ1438" i="4"/>
  <c r="BQ1741" i="4"/>
  <c r="BQ1607" i="4"/>
  <c r="BQ1285" i="4"/>
  <c r="BQ1606" i="4"/>
  <c r="BQ534" i="4"/>
  <c r="BQ1091" i="4"/>
  <c r="BQ491" i="4"/>
  <c r="BQ1687" i="4"/>
  <c r="BQ389" i="4"/>
  <c r="BQ555" i="4"/>
  <c r="BQ997" i="4"/>
  <c r="BQ416" i="4"/>
  <c r="BQ1821" i="4"/>
  <c r="BQ897" i="4"/>
  <c r="BQ1371" i="4"/>
  <c r="BQ395" i="4"/>
  <c r="BQ1546" i="4"/>
  <c r="BQ385" i="4"/>
  <c r="BQ982" i="4"/>
  <c r="BQ1421" i="4"/>
  <c r="BQ954" i="4"/>
  <c r="BQ1472" i="4"/>
  <c r="BQ1021" i="4"/>
  <c r="BQ1020" i="4"/>
  <c r="BQ344" i="4"/>
  <c r="BQ1084" i="4"/>
  <c r="BQ348" i="4"/>
  <c r="BQ1715" i="4"/>
  <c r="BQ1439" i="4"/>
  <c r="BQ365" i="4"/>
  <c r="BQ1558" i="4"/>
  <c r="BQ1637" i="4"/>
  <c r="BQ1015" i="4"/>
  <c r="BQ1065" i="4"/>
  <c r="BQ1271" i="4"/>
  <c r="BQ1270" i="4"/>
  <c r="BQ1238" i="4"/>
  <c r="BQ387" i="4"/>
  <c r="BQ1210" i="4"/>
  <c r="BQ928" i="4"/>
  <c r="BQ1666" i="4"/>
  <c r="BQ646" i="4"/>
  <c r="BQ896" i="4"/>
  <c r="BQ488" i="4"/>
  <c r="BQ1757" i="4"/>
  <c r="BQ1767" i="4"/>
  <c r="BQ1698" i="4"/>
  <c r="BQ1048" i="4"/>
  <c r="BQ1694" i="4"/>
  <c r="BQ1726" i="4"/>
  <c r="BQ1762" i="4"/>
  <c r="BQ1813" i="4"/>
  <c r="BQ1812" i="4"/>
  <c r="BQ1522" i="4"/>
  <c r="BQ1450" i="4"/>
  <c r="BQ1649" i="4"/>
  <c r="BQ1922" i="4"/>
  <c r="BQ1449" i="4"/>
  <c r="BQ1390" i="4"/>
  <c r="BQ1962" i="4"/>
  <c r="BQ352" i="4"/>
  <c r="BQ359" i="4"/>
  <c r="BQ535" i="4"/>
  <c r="BQ636" i="4"/>
  <c r="BQ546" i="4"/>
  <c r="BQ1038" i="4"/>
  <c r="BQ392" i="4"/>
  <c r="BQ391" i="4"/>
  <c r="BQ1615" i="4"/>
  <c r="BQ1521" i="4"/>
  <c r="BQ1071" i="4"/>
  <c r="BQ668" i="4"/>
  <c r="BQ1451" i="4"/>
  <c r="BQ427" i="4"/>
  <c r="BQ360" i="4"/>
  <c r="BQ1756" i="4"/>
  <c r="BQ1034" i="4"/>
  <c r="BQ1750" i="4"/>
  <c r="BQ1811" i="4"/>
  <c r="BQ945" i="4"/>
  <c r="BQ469" i="4"/>
  <c r="BQ1711" i="4"/>
  <c r="BQ1236" i="4"/>
  <c r="BQ1019" i="4"/>
  <c r="BQ1833" i="4"/>
  <c r="BQ1405" i="4"/>
  <c r="BQ384" i="4"/>
  <c r="BQ415" i="4"/>
  <c r="BQ1419" i="4"/>
  <c r="BQ1817" i="4"/>
  <c r="BQ1121" i="4"/>
  <c r="BQ1959" i="4"/>
  <c r="BQ529" i="4"/>
  <c r="BQ672" i="4"/>
  <c r="BQ950" i="4"/>
  <c r="BQ976" i="4"/>
  <c r="BQ1497" i="4"/>
  <c r="BQ1406" i="4"/>
  <c r="BQ1018" i="4"/>
  <c r="BQ1041" i="4"/>
  <c r="BQ1027" i="4"/>
  <c r="BQ971" i="4"/>
  <c r="BQ1894" i="4"/>
  <c r="BQ1886" i="4"/>
  <c r="BQ1576" i="4"/>
  <c r="BQ666" i="4"/>
  <c r="BQ673" i="4"/>
  <c r="BQ442" i="4"/>
  <c r="BQ1044" i="4"/>
  <c r="BQ988" i="4"/>
  <c r="BQ1076" i="4"/>
  <c r="BQ684" i="4"/>
  <c r="BQ1487" i="4"/>
  <c r="BQ1747" i="4"/>
  <c r="BQ644" i="4"/>
  <c r="BQ1064" i="4"/>
  <c r="BQ1073" i="4"/>
  <c r="BQ484" i="4"/>
  <c r="BQ1887" i="4"/>
  <c r="BQ368" i="4"/>
  <c r="BQ981" i="4"/>
  <c r="BQ1134" i="4"/>
  <c r="BQ1067" i="4"/>
  <c r="BQ388" i="4"/>
  <c r="BQ1063" i="4"/>
  <c r="BQ1103" i="4"/>
  <c r="BQ1437" i="4"/>
  <c r="BQ1536" i="4"/>
  <c r="BQ540" i="4"/>
  <c r="BQ310" i="4"/>
  <c r="BQ665" i="4"/>
  <c r="BQ664" i="4"/>
  <c r="BQ1733" i="4"/>
  <c r="BQ414" i="4"/>
  <c r="BQ1403" i="4"/>
  <c r="BQ1011" i="4"/>
  <c r="BQ487" i="4"/>
  <c r="BQ489" i="4"/>
  <c r="BQ1572" i="4"/>
  <c r="BQ1433" i="4"/>
  <c r="BQ401" i="4"/>
  <c r="BQ1422" i="4"/>
  <c r="BQ1852" i="4"/>
  <c r="BQ1191" i="4"/>
  <c r="BQ1112" i="4"/>
  <c r="BQ1509" i="4"/>
  <c r="BQ1039" i="4"/>
  <c r="BQ1508" i="4"/>
  <c r="BQ1017" i="4"/>
  <c r="BQ1524" i="4"/>
  <c r="BQ367" i="4"/>
  <c r="BQ816" i="4"/>
  <c r="BQ1151" i="4"/>
  <c r="BQ1085" i="4"/>
  <c r="BQ383" i="4"/>
  <c r="BQ1092" i="4"/>
  <c r="BQ552" i="4"/>
  <c r="BQ943" i="4"/>
  <c r="BQ739" i="4"/>
  <c r="BQ1483" i="4"/>
  <c r="BQ1600" i="4"/>
  <c r="BQ1357" i="4"/>
  <c r="BQ964" i="4"/>
  <c r="BQ1535" i="4"/>
  <c r="BQ1765" i="4"/>
  <c r="BQ1111" i="4"/>
  <c r="BQ1612" i="4"/>
  <c r="BQ1581" i="4"/>
  <c r="BQ1235" i="4"/>
  <c r="BQ356" i="4"/>
  <c r="BQ358" i="4"/>
  <c r="BQ1749" i="4"/>
  <c r="BQ1919" i="4"/>
  <c r="BQ1808" i="4"/>
  <c r="BQ1006" i="4"/>
  <c r="BQ542" i="4"/>
  <c r="BQ332" i="4"/>
  <c r="BQ990" i="4"/>
  <c r="BQ975" i="4"/>
  <c r="BQ967" i="4"/>
  <c r="BQ1075" i="4"/>
  <c r="BQ346" i="4"/>
  <c r="BQ309" i="4"/>
  <c r="BQ1780" i="4"/>
  <c r="BQ1025" i="4"/>
  <c r="BQ1445" i="4"/>
  <c r="BQ308" i="4"/>
  <c r="BQ652" i="4"/>
  <c r="BQ996" i="4"/>
  <c r="BQ1761" i="4"/>
  <c r="BQ1914" i="4"/>
  <c r="BQ1654" i="4"/>
  <c r="BQ1016" i="4"/>
  <c r="BQ339" i="4"/>
  <c r="BQ973" i="4"/>
  <c r="BQ1638" i="4"/>
  <c r="BQ504" i="4"/>
  <c r="BQ1212" i="4"/>
  <c r="BQ1282" i="4"/>
  <c r="BQ669" i="4"/>
  <c r="BQ660" i="4"/>
  <c r="BQ1641" i="4"/>
  <c r="BQ999" i="4"/>
  <c r="BQ539" i="4"/>
  <c r="BQ995" i="4"/>
  <c r="BQ1023" i="4"/>
  <c r="BQ966" i="4"/>
  <c r="BQ1396" i="4"/>
  <c r="BQ1074" i="4"/>
  <c r="BQ547" i="4"/>
  <c r="BQ1779" i="4"/>
  <c r="BQ980" i="4"/>
  <c r="BQ505" i="4"/>
  <c r="BQ1810" i="4"/>
  <c r="BQ1725" i="4"/>
  <c r="BQ1496" i="4"/>
  <c r="BQ323" i="4"/>
  <c r="BQ1622" i="4"/>
  <c r="BQ1453" i="4"/>
  <c r="BQ902" i="4"/>
  <c r="BQ366" i="4"/>
  <c r="BQ994" i="4"/>
  <c r="BQ641" i="4"/>
  <c r="BQ1026" i="4"/>
  <c r="BQ1746" i="4"/>
  <c r="BQ656" i="4"/>
  <c r="BQ1745" i="4"/>
  <c r="BQ338" i="4"/>
  <c r="BQ1056" i="4"/>
  <c r="BQ528" i="4"/>
  <c r="BQ1222" i="4"/>
  <c r="BQ1775" i="4"/>
  <c r="BQ1686" i="4"/>
  <c r="BQ1732" i="4"/>
  <c r="BQ334" i="4"/>
  <c r="BQ658" i="4"/>
  <c r="BQ942" i="4"/>
  <c r="BQ941" i="4"/>
  <c r="BQ1683" i="4"/>
  <c r="BQ1636" i="4"/>
  <c r="BQ486" i="4"/>
  <c r="BQ884" i="4"/>
  <c r="BQ474" i="4"/>
  <c r="BQ1706" i="4"/>
  <c r="BQ1896" i="4"/>
  <c r="BQ960" i="4"/>
  <c r="BQ655" i="4"/>
  <c r="BQ333" i="4"/>
  <c r="BQ1625" i="4"/>
  <c r="BQ550" i="4"/>
  <c r="BQ1448" i="4"/>
  <c r="BQ1507" i="4"/>
  <c r="BQ355" i="4"/>
  <c r="BQ1392" i="4"/>
  <c r="BQ477" i="4"/>
  <c r="BQ379" i="4"/>
  <c r="BQ792" i="4"/>
  <c r="BQ955" i="4"/>
  <c r="BQ1010" i="4"/>
  <c r="BQ1913" i="4"/>
  <c r="BQ1336" i="4"/>
  <c r="BQ1318" i="4"/>
  <c r="BQ312" i="4"/>
  <c r="BQ1787" i="4"/>
  <c r="BQ1912" i="4"/>
  <c r="BQ1005" i="4"/>
  <c r="BQ297" i="4"/>
  <c r="BQ1518" i="4"/>
  <c r="BQ1528" i="4"/>
  <c r="BQ372" i="4"/>
  <c r="BQ302" i="4"/>
  <c r="BQ301" i="4"/>
  <c r="BQ1610" i="4"/>
  <c r="BQ643" i="4"/>
  <c r="BQ331" i="4"/>
  <c r="BQ543" i="4"/>
  <c r="BQ957" i="4"/>
  <c r="BQ1860" i="4"/>
  <c r="BQ1004" i="4"/>
  <c r="BQ347" i="4"/>
  <c r="BQ623" i="4"/>
  <c r="BQ848" i="4"/>
  <c r="BQ371" i="4"/>
  <c r="BQ1452" i="4"/>
  <c r="BQ1033" i="4"/>
  <c r="BQ878" i="4"/>
  <c r="BQ1009" i="4"/>
  <c r="BQ630" i="4"/>
  <c r="BQ478" i="4"/>
  <c r="BQ1411" i="4"/>
  <c r="BQ506" i="4"/>
  <c r="BQ1441" i="4"/>
  <c r="BQ1602" i="4"/>
  <c r="BQ1052" i="4"/>
  <c r="BQ562" i="4"/>
  <c r="BQ720" i="4"/>
  <c r="BQ1372" i="4"/>
  <c r="BQ1561" i="4"/>
  <c r="BQ1482" i="4"/>
  <c r="BQ910" i="4"/>
  <c r="BQ909" i="4"/>
  <c r="BQ1682" i="4"/>
  <c r="BQ935" i="4"/>
  <c r="BQ969" i="4"/>
  <c r="BQ901" i="4"/>
  <c r="BQ1127" i="4"/>
  <c r="BQ376" i="4"/>
  <c r="BQ1701" i="4"/>
  <c r="BQ1537" i="4"/>
  <c r="BQ399" i="4"/>
  <c r="BQ1428" i="4"/>
  <c r="BQ377" i="4"/>
  <c r="BQ1603" i="4"/>
  <c r="BQ893" i="4"/>
  <c r="BQ536" i="4"/>
  <c r="BQ1413" i="4"/>
  <c r="BQ1635" i="4"/>
  <c r="BQ1659" i="4"/>
  <c r="BQ337" i="4"/>
  <c r="BQ340" i="4"/>
  <c r="BQ475" i="4"/>
  <c r="BQ1806" i="4"/>
  <c r="BQ912" i="4"/>
  <c r="BQ1488" i="4"/>
  <c r="BQ1648" i="4"/>
  <c r="BQ1460" i="4"/>
  <c r="BQ938" i="4"/>
  <c r="BQ953" i="4"/>
  <c r="BQ471" i="4"/>
  <c r="BQ1388" i="4"/>
  <c r="BQ979" i="4"/>
  <c r="BQ1502" i="4"/>
  <c r="BQ1120" i="4"/>
  <c r="BQ319" i="4"/>
  <c r="BQ318" i="4"/>
  <c r="BQ1461" i="4"/>
  <c r="BQ922" i="4"/>
  <c r="BQ531" i="4"/>
  <c r="BQ548" i="4"/>
  <c r="BQ653" i="4"/>
  <c r="BQ1582" i="4"/>
  <c r="BQ951" i="4"/>
  <c r="BQ987" i="4"/>
  <c r="BQ1431" i="4"/>
  <c r="BQ1385" i="4"/>
  <c r="BQ1700" i="4"/>
  <c r="BQ1744" i="4"/>
  <c r="BQ934" i="4"/>
  <c r="BQ1931" i="4"/>
  <c r="BQ305" i="4"/>
  <c r="BQ649" i="4"/>
  <c r="BQ1605" i="4"/>
  <c r="BQ1939" i="4"/>
  <c r="BQ1040" i="4"/>
  <c r="BQ1923" i="4"/>
  <c r="BQ833" i="4"/>
  <c r="BQ930" i="4"/>
  <c r="BQ911" i="4"/>
  <c r="BQ974" i="4"/>
  <c r="BQ1495" i="4"/>
  <c r="BQ380" i="4"/>
  <c r="BQ328" i="4"/>
  <c r="BQ1356" i="4"/>
  <c r="BQ326" i="4"/>
  <c r="BQ952" i="4"/>
  <c r="BQ1377" i="4"/>
  <c r="BQ1444" i="4"/>
  <c r="BQ325" i="4"/>
  <c r="BQ1410" i="4"/>
  <c r="BQ1754" i="4"/>
  <c r="BQ316" i="4"/>
  <c r="BQ1382" i="4"/>
  <c r="BQ1574" i="4"/>
  <c r="BQ1874" i="4"/>
  <c r="BQ1823" i="4"/>
  <c r="BQ1816" i="4"/>
  <c r="BQ923" i="4"/>
  <c r="BQ516" i="4"/>
  <c r="BQ306" i="4"/>
  <c r="BQ616" i="4"/>
  <c r="BQ1552" i="4"/>
  <c r="BQ1893" i="4"/>
  <c r="BQ1951" i="4"/>
  <c r="BQ1784" i="4"/>
  <c r="BQ1579" i="4"/>
  <c r="BQ1563" i="4"/>
  <c r="BQ1791" i="4"/>
  <c r="BQ1568" i="4"/>
  <c r="BQ932" i="4"/>
  <c r="BQ317" i="4"/>
  <c r="BQ1798" i="4"/>
  <c r="BQ635" i="4"/>
  <c r="BQ1864" i="4"/>
  <c r="BQ1851" i="4"/>
  <c r="BQ1399" i="4"/>
  <c r="BQ1658" i="4"/>
  <c r="BQ1604" i="4"/>
  <c r="BQ1542" i="4"/>
  <c r="BQ1722" i="4"/>
  <c r="BQ293" i="4"/>
  <c r="BQ944" i="4"/>
  <c r="BQ1653" i="4"/>
  <c r="BQ300" i="4"/>
  <c r="BQ1650" i="4"/>
  <c r="BQ860" i="4"/>
  <c r="BQ321" i="4"/>
  <c r="BQ654" i="4"/>
  <c r="BQ856" i="4"/>
  <c r="BQ219" i="4"/>
  <c r="BQ299" i="4"/>
  <c r="BQ1707" i="4"/>
  <c r="BQ813" i="4"/>
  <c r="BQ296" i="4"/>
  <c r="BQ1365" i="4"/>
  <c r="BQ295" i="4"/>
  <c r="BQ991" i="4"/>
  <c r="BQ947" i="4"/>
  <c r="BQ1553" i="4"/>
  <c r="BQ917" i="4"/>
  <c r="BQ929" i="4"/>
  <c r="BQ1644" i="4"/>
  <c r="BQ1661" i="4"/>
  <c r="BQ836" i="4"/>
  <c r="BQ970" i="4"/>
  <c r="BQ1125" i="4"/>
  <c r="BQ962" i="4"/>
  <c r="BQ986" i="4"/>
  <c r="BQ1376" i="4"/>
  <c r="BQ919" i="4"/>
  <c r="BQ1500" i="4"/>
  <c r="BQ281" i="4"/>
  <c r="BQ1714" i="4"/>
  <c r="BQ933" i="4"/>
  <c r="BQ1774" i="4"/>
  <c r="BQ949" i="4"/>
  <c r="BQ877" i="4"/>
  <c r="BQ1856" i="4"/>
  <c r="BQ1693" i="4"/>
  <c r="BQ1545" i="4"/>
  <c r="BQ940" i="4"/>
  <c r="BQ330" i="4"/>
  <c r="BQ629" i="4"/>
  <c r="BQ307" i="4"/>
  <c r="BQ1589" i="4"/>
  <c r="BQ277" i="4"/>
  <c r="BQ291" i="4"/>
  <c r="BQ518" i="4"/>
  <c r="BQ1549" i="4"/>
  <c r="BQ304" i="4"/>
  <c r="BQ937" i="4"/>
  <c r="BQ342" i="4"/>
  <c r="BQ904" i="4"/>
  <c r="BQ294" i="4"/>
  <c r="BQ1903" i="4"/>
  <c r="BQ931" i="4"/>
  <c r="BQ521" i="4"/>
  <c r="BQ520" i="4"/>
  <c r="BQ776" i="4"/>
  <c r="BQ473" i="4"/>
  <c r="BQ482" i="4"/>
  <c r="BQ618" i="4"/>
  <c r="BQ1902" i="4"/>
  <c r="BQ793" i="4"/>
  <c r="BQ336" i="4"/>
  <c r="BQ324" i="4"/>
  <c r="BQ1592" i="4"/>
  <c r="BQ532" i="4"/>
  <c r="BQ275" i="4"/>
  <c r="BQ642" i="4"/>
  <c r="BQ483" i="4"/>
  <c r="BQ832" i="4"/>
  <c r="BQ1043" i="4"/>
  <c r="BQ1306" i="4"/>
  <c r="BQ1966" i="4"/>
  <c r="BQ626" i="4"/>
  <c r="BQ1493" i="4"/>
  <c r="BQ235" i="4"/>
  <c r="BQ993" i="4"/>
  <c r="BQ1003" i="4"/>
  <c r="BQ921" i="4"/>
  <c r="BQ1492" i="4"/>
  <c r="BQ1845" i="4"/>
  <c r="BQ1601" i="4"/>
  <c r="BQ1363" i="4"/>
  <c r="BQ480" i="4"/>
  <c r="BQ257" i="4"/>
  <c r="BQ1364" i="4"/>
  <c r="BQ1713" i="4"/>
  <c r="BQ786" i="4"/>
  <c r="BQ936" i="4"/>
  <c r="BQ978" i="4"/>
  <c r="BQ1481" i="4"/>
  <c r="BQ329" i="4"/>
  <c r="BQ289" i="4"/>
  <c r="BQ992" i="4"/>
  <c r="BQ1704" i="4"/>
  <c r="BQ1531" i="4"/>
  <c r="BQ1614" i="4"/>
  <c r="BQ314" i="4"/>
  <c r="BQ1788" i="4"/>
  <c r="BQ958" i="4"/>
  <c r="BQ916" i="4"/>
  <c r="BQ298" i="4"/>
  <c r="BQ1326" i="4"/>
  <c r="BQ282" i="4"/>
  <c r="BQ470" i="4"/>
  <c r="BQ254" i="4"/>
  <c r="BQ1435" i="4"/>
  <c r="BQ476" i="4"/>
  <c r="BQ628" i="4"/>
  <c r="BQ1055" i="4"/>
  <c r="BQ1783" i="4"/>
  <c r="BQ1760" i="4"/>
  <c r="BQ1691" i="4"/>
  <c r="BQ748" i="4"/>
  <c r="BQ315" i="4"/>
  <c r="BQ820" i="4"/>
  <c r="BQ1360" i="4"/>
  <c r="BQ1853" i="4"/>
  <c r="BQ522" i="4"/>
  <c r="BQ1387" i="4"/>
  <c r="BQ1530" i="4"/>
  <c r="BQ468" i="4"/>
  <c r="BQ272" i="4"/>
  <c r="BQ322" i="4"/>
  <c r="BQ889" i="4"/>
  <c r="BQ1868" i="4"/>
  <c r="BQ263" i="4"/>
  <c r="BQ341" i="4"/>
  <c r="BQ320" i="4"/>
  <c r="BQ920" i="4"/>
  <c r="BQ1663" i="4"/>
  <c r="BQ276" i="4"/>
  <c r="BQ1876" i="4"/>
  <c r="BQ99" i="4"/>
  <c r="BQ892" i="4"/>
  <c r="BQ1859" i="4"/>
  <c r="BQ537" i="4"/>
  <c r="BQ1423" i="4"/>
  <c r="BQ1673" i="4"/>
  <c r="BQ1734" i="4"/>
  <c r="BQ1566" i="4"/>
  <c r="BQ1526" i="4"/>
  <c r="BQ1973" i="4"/>
  <c r="BQ345" i="4"/>
  <c r="BQ1850" i="4"/>
  <c r="BQ1832" i="4"/>
  <c r="BQ638" i="4"/>
  <c r="BQ640" i="4"/>
  <c r="BQ269" i="4"/>
  <c r="BQ1645" i="4"/>
  <c r="BQ799" i="4"/>
  <c r="BQ927" i="4"/>
  <c r="BQ790" i="4"/>
  <c r="BQ1956" i="4"/>
  <c r="BQ292" i="4"/>
  <c r="BQ481" i="4"/>
  <c r="BQ1329" i="4"/>
  <c r="BQ357" i="4"/>
  <c r="BQ1753" i="4"/>
  <c r="BQ609" i="4"/>
  <c r="BQ1709" i="4"/>
  <c r="BQ985" i="4"/>
  <c r="BQ1643" i="4"/>
  <c r="BQ1505" i="4"/>
  <c r="BQ260" i="4"/>
  <c r="BQ375" i="4"/>
  <c r="BQ639" i="4"/>
  <c r="BQ926" i="4"/>
  <c r="BQ241" i="4"/>
  <c r="BQ238" i="4"/>
  <c r="BQ1328" i="4"/>
  <c r="BQ541" i="4"/>
  <c r="BQ527" i="4"/>
  <c r="BQ1730" i="4"/>
  <c r="BQ1555" i="4"/>
  <c r="BQ1609" i="4"/>
  <c r="BQ1447" i="4"/>
  <c r="BQ1642" i="4"/>
  <c r="BQ1455" i="4"/>
  <c r="BQ266" i="4"/>
  <c r="BQ627" i="4"/>
  <c r="BQ1911" i="4"/>
  <c r="BQ899" i="4"/>
  <c r="BQ760" i="4"/>
  <c r="BQ280" i="4"/>
  <c r="BQ1904" i="4"/>
  <c r="BQ242" i="4"/>
  <c r="BQ1921" i="4"/>
  <c r="BQ1474" i="4"/>
  <c r="BQ611" i="4"/>
  <c r="BQ288" i="4"/>
  <c r="BQ632" i="4"/>
  <c r="BQ249" i="4"/>
  <c r="BQ634" i="4"/>
  <c r="BQ178" i="4"/>
  <c r="BQ1476" i="4"/>
  <c r="BQ1332" i="4"/>
  <c r="BQ633" i="4"/>
  <c r="BQ620" i="4"/>
  <c r="BQ234" i="4"/>
  <c r="BQ1647" i="4"/>
  <c r="BQ1564" i="4"/>
  <c r="BQ831" i="4"/>
  <c r="BQ846" i="4"/>
  <c r="BQ803" i="4"/>
  <c r="BQ797" i="4"/>
  <c r="BQ285" i="4"/>
  <c r="BQ1948" i="4"/>
  <c r="BQ617" i="4"/>
  <c r="BQ1890" i="4"/>
  <c r="BQ637" i="4"/>
  <c r="BQ1657" i="4"/>
  <c r="BQ1759" i="4"/>
  <c r="BQ880" i="4"/>
  <c r="BQ262" i="4"/>
  <c r="BQ615" i="4"/>
  <c r="BQ730" i="4"/>
  <c r="BQ711" i="4"/>
  <c r="BQ1667" i="4"/>
  <c r="BQ1910" i="4"/>
  <c r="BQ1892" i="4"/>
  <c r="BQ956" i="4"/>
  <c r="BQ608" i="4"/>
  <c r="BQ1454" i="4"/>
  <c r="BQ279" i="4"/>
  <c r="BQ1469" i="4"/>
  <c r="BQ130" i="4"/>
  <c r="BQ188" i="4"/>
  <c r="BQ223" i="4"/>
  <c r="BQ240" i="4"/>
  <c r="BQ1330" i="4"/>
  <c r="BQ466" i="4"/>
  <c r="BQ526" i="4"/>
  <c r="BQ773" i="4"/>
  <c r="BQ959" i="4"/>
  <c r="BQ907" i="4"/>
  <c r="BQ865" i="4"/>
  <c r="BQ1548" i="4"/>
  <c r="BQ364" i="4"/>
  <c r="BQ245" i="4"/>
  <c r="BQ1418" i="4"/>
  <c r="BQ354" i="4"/>
  <c r="BQ613" i="4"/>
  <c r="BQ914" i="4"/>
  <c r="BQ891" i="4"/>
  <c r="BQ610" i="4"/>
  <c r="BQ1932" i="4"/>
  <c r="BQ250" i="4"/>
  <c r="BQ1909" i="4"/>
  <c r="BQ834" i="4"/>
  <c r="BQ872" i="4"/>
  <c r="BQ1925" i="4"/>
  <c r="BQ801" i="4"/>
  <c r="BQ311" i="4"/>
  <c r="BQ1908" i="4"/>
  <c r="BQ913" i="4"/>
  <c r="BQ915" i="4"/>
  <c r="BQ761" i="4"/>
  <c r="BQ1936" i="4"/>
  <c r="BQ847" i="4"/>
  <c r="BQ1930" i="4"/>
  <c r="BQ1895" i="4"/>
  <c r="BQ1837" i="4"/>
  <c r="BQ1899" i="4"/>
  <c r="BQ751" i="4"/>
  <c r="BQ1696" i="4"/>
  <c r="BQ821" i="4"/>
  <c r="BQ796" i="4"/>
  <c r="BQ213" i="4"/>
  <c r="BQ1875" i="4"/>
  <c r="BQ785" i="4"/>
  <c r="BQ167" i="4"/>
  <c r="BQ1591" i="4"/>
  <c r="BQ1748" i="4"/>
  <c r="BQ1035" i="4"/>
  <c r="BQ903" i="4"/>
  <c r="BQ205" i="4"/>
  <c r="BQ606" i="4"/>
  <c r="BQ890" i="4"/>
  <c r="BQ1484" i="4"/>
  <c r="BQ759" i="4"/>
  <c r="BQ883" i="4"/>
  <c r="BQ868" i="4"/>
  <c r="BQ149" i="4"/>
  <c r="BQ1466" i="4"/>
  <c r="BQ538" i="4"/>
  <c r="BQ1814" i="4"/>
  <c r="BQ946" i="4"/>
  <c r="BQ1362" i="4"/>
  <c r="BQ273" i="4"/>
  <c r="BQ1631" i="4"/>
  <c r="BQ1443" i="4"/>
  <c r="BQ1820" i="4"/>
  <c r="BQ1736" i="4"/>
  <c r="BQ1480" i="4"/>
  <c r="BQ835" i="4"/>
  <c r="BQ335" i="4"/>
  <c r="BQ1459" i="4"/>
  <c r="BQ1516" i="4"/>
  <c r="BQ906" i="4"/>
  <c r="BQ523" i="4"/>
  <c r="BQ858" i="4"/>
  <c r="BQ290" i="4"/>
  <c r="BQ327" i="4"/>
  <c r="BQ840" i="4"/>
  <c r="BQ1634" i="4"/>
  <c r="BQ140" i="4"/>
  <c r="BQ1617" i="4"/>
  <c r="BQ895" i="4"/>
  <c r="BQ1578" i="4"/>
  <c r="BQ1432" i="4"/>
  <c r="BQ261" i="4"/>
  <c r="BQ472" i="4"/>
  <c r="BQ875" i="4"/>
  <c r="BQ1873" i="4"/>
  <c r="BQ841" i="4"/>
  <c r="BQ448" i="4"/>
  <c r="BQ925" i="4"/>
  <c r="BQ228" i="4"/>
  <c r="BQ303" i="4"/>
  <c r="BQ1676" i="4"/>
  <c r="BQ784" i="4"/>
  <c r="BQ1872" i="4"/>
  <c r="BQ530" i="4"/>
  <c r="BQ227" i="4"/>
  <c r="BQ226" i="4"/>
  <c r="BQ1926" i="4"/>
  <c r="BQ1550" i="4"/>
  <c r="BQ1491" i="4"/>
  <c r="BQ1907" i="4"/>
  <c r="BQ758" i="4"/>
  <c r="BQ1599" i="4"/>
  <c r="BQ179" i="4"/>
  <c r="BQ1718" i="4"/>
  <c r="BQ1490" i="4"/>
  <c r="BQ206" i="4"/>
  <c r="BQ837" i="4"/>
  <c r="BQ111" i="4"/>
  <c r="BQ1475" i="4"/>
  <c r="BQ164" i="4"/>
  <c r="BQ163" i="4"/>
  <c r="BQ199" i="4"/>
  <c r="BQ1818" i="4"/>
  <c r="BQ209" i="4"/>
  <c r="BQ271" i="4"/>
  <c r="BQ1710" i="4"/>
  <c r="BQ1427" i="4"/>
  <c r="BQ1684" i="4"/>
  <c r="BQ268" i="4"/>
  <c r="BQ286" i="4"/>
  <c r="BQ1583" i="4"/>
  <c r="BQ1918" i="4"/>
  <c r="BQ204" i="4"/>
  <c r="BQ284" i="4"/>
  <c r="BQ177" i="4"/>
  <c r="BQ1640" i="4"/>
  <c r="BQ850" i="4"/>
  <c r="BQ244" i="4"/>
  <c r="BQ1727" i="4"/>
  <c r="BQ1629" i="4"/>
  <c r="BQ1652" i="4"/>
  <c r="BQ283" i="4"/>
  <c r="BQ253" i="4"/>
  <c r="BQ243" i="4"/>
  <c r="BQ1849" i="4"/>
  <c r="BQ918" i="4"/>
  <c r="BQ1731" i="4"/>
  <c r="BQ894" i="4"/>
  <c r="BQ789" i="4"/>
  <c r="BQ1398" i="4"/>
  <c r="BQ1729" i="4"/>
  <c r="BQ1608" i="4"/>
  <c r="BQ1633" i="4"/>
  <c r="BQ139" i="4"/>
  <c r="BQ155" i="4"/>
  <c r="BQ154" i="4"/>
  <c r="BQ215" i="4"/>
  <c r="BQ612" i="4"/>
  <c r="BQ229" i="4"/>
  <c r="BQ181" i="4"/>
  <c r="BQ824" i="4"/>
  <c r="BQ270" i="4"/>
  <c r="BQ259" i="4"/>
  <c r="BQ1835" i="4"/>
  <c r="BQ251" i="4"/>
  <c r="BQ192" i="4"/>
  <c r="BQ631" i="4"/>
  <c r="BQ1834" i="4"/>
  <c r="BQ1620" i="4"/>
  <c r="BQ200" i="4"/>
  <c r="BQ1619" i="4"/>
  <c r="BQ1618" i="4"/>
  <c r="BQ1758" i="4"/>
  <c r="BQ153" i="4"/>
  <c r="BQ278" i="4"/>
  <c r="BQ479" i="4"/>
  <c r="BQ138" i="4"/>
  <c r="BQ1660" i="4"/>
  <c r="BQ719" i="4"/>
  <c r="BQ624" i="4"/>
  <c r="BQ1740" i="4"/>
  <c r="BQ176" i="4"/>
  <c r="BQ258" i="4"/>
  <c r="BQ1639" i="4"/>
  <c r="BQ1597" i="4"/>
  <c r="BQ1917" i="4"/>
  <c r="BQ879" i="4"/>
  <c r="BQ247" i="4"/>
  <c r="BQ1848" i="4"/>
  <c r="BQ1858" i="4"/>
  <c r="BQ882" i="4"/>
  <c r="BQ1681" i="4"/>
  <c r="BQ908" i="4"/>
  <c r="BQ129" i="4"/>
  <c r="BQ222" i="4"/>
  <c r="BQ1843" i="4"/>
  <c r="BQ614" i="4"/>
  <c r="BQ1414" i="4"/>
  <c r="BQ233" i="4"/>
  <c r="BQ812" i="4"/>
  <c r="BQ1950" i="4"/>
  <c r="BQ1697" i="4"/>
  <c r="BQ1611" i="4"/>
  <c r="BQ1847" i="4"/>
  <c r="BQ92" i="4"/>
  <c r="BQ1361" i="4"/>
  <c r="BQ1402" i="4"/>
  <c r="BQ225" i="4"/>
  <c r="BQ224" i="4"/>
  <c r="BQ1506" i="4"/>
  <c r="BQ1586" i="4"/>
  <c r="BQ1527" i="4"/>
  <c r="BQ255" i="4"/>
  <c r="BQ157" i="4"/>
  <c r="BQ156" i="4"/>
  <c r="BQ221" i="4"/>
  <c r="BQ1792" i="4"/>
  <c r="BQ517" i="4"/>
  <c r="BQ939" i="4"/>
  <c r="BQ186" i="4"/>
  <c r="BQ1807" i="4"/>
  <c r="BQ239" i="4"/>
  <c r="BQ132" i="4"/>
  <c r="BQ1826" i="4"/>
  <c r="BQ1409" i="4"/>
  <c r="BQ231" i="4"/>
  <c r="BQ230" i="4"/>
  <c r="BQ519" i="4"/>
  <c r="BQ267" i="4"/>
  <c r="BQ464" i="4"/>
  <c r="BQ193" i="4"/>
  <c r="BQ137" i="4"/>
  <c r="BQ264" i="4"/>
  <c r="BQ1359" i="4"/>
  <c r="BQ811" i="4"/>
  <c r="BQ208" i="4"/>
  <c r="BQ1721" i="4"/>
  <c r="BQ100" i="4"/>
  <c r="BQ182" i="4"/>
  <c r="BQ265" i="4"/>
  <c r="BQ823" i="4"/>
  <c r="BQ743" i="4"/>
  <c r="BQ1719" i="4"/>
  <c r="BQ783" i="4"/>
  <c r="BQ256" i="4"/>
  <c r="BQ851" i="4"/>
  <c r="BQ827" i="4"/>
  <c r="BQ220" i="4"/>
  <c r="BQ765" i="4"/>
  <c r="BQ924" i="4"/>
  <c r="BQ1871" i="4"/>
  <c r="BQ804" i="4"/>
  <c r="BQ871" i="4"/>
  <c r="BQ1781" i="4"/>
  <c r="BQ102" i="4"/>
  <c r="BQ246" i="4"/>
  <c r="BQ1547" i="4"/>
  <c r="BQ1867" i="4"/>
  <c r="BQ158" i="4"/>
  <c r="BQ767" i="4"/>
  <c r="BQ1562" i="4"/>
  <c r="BQ782" i="4"/>
  <c r="BQ1470" i="4"/>
  <c r="BQ187" i="4"/>
  <c r="BQ1971" i="4"/>
  <c r="BQ160" i="4"/>
  <c r="BQ1598" i="4"/>
  <c r="BQ1624" i="4"/>
  <c r="BQ1503" i="4"/>
  <c r="BQ1672" i="4"/>
  <c r="BQ1571" i="4"/>
  <c r="BQ148" i="4"/>
  <c r="BQ108" i="4"/>
  <c r="BQ830" i="4"/>
  <c r="BQ870" i="4"/>
  <c r="BQ853" i="4"/>
  <c r="BQ1786" i="4"/>
  <c r="BQ1689" i="4"/>
  <c r="BQ1782" i="4"/>
  <c r="BQ867" i="4"/>
  <c r="BQ1836" i="4"/>
  <c r="BQ1486" i="4"/>
  <c r="BQ1708" i="4"/>
  <c r="BQ68" i="4"/>
  <c r="BQ196" i="4"/>
  <c r="BQ800" i="4"/>
  <c r="BQ1628" i="4"/>
  <c r="BQ818" i="4"/>
  <c r="BQ905" i="4"/>
  <c r="BQ525" i="4"/>
  <c r="BQ1375" i="4"/>
  <c r="BQ1424" i="4"/>
  <c r="BQ1938" i="4"/>
  <c r="BQ1933" i="4"/>
  <c r="BQ174" i="4"/>
  <c r="BQ1773" i="4"/>
  <c r="BQ873" i="4"/>
  <c r="BQ716" i="4"/>
  <c r="BQ57" i="4"/>
  <c r="BQ128" i="4"/>
  <c r="BQ622" i="4"/>
  <c r="BQ861" i="4"/>
  <c r="BQ1824" i="4"/>
  <c r="BQ217" i="4"/>
  <c r="BQ43" i="4"/>
  <c r="BQ1866" i="4"/>
  <c r="BQ1679" i="4"/>
  <c r="BQ218" i="4"/>
  <c r="BQ1671" i="4"/>
  <c r="BQ1964" i="4"/>
  <c r="BQ1961" i="4"/>
  <c r="BQ1960" i="4"/>
  <c r="BQ1927" i="4"/>
  <c r="BQ1954" i="4"/>
  <c r="BQ189" i="4"/>
  <c r="BQ1690" i="4"/>
  <c r="BQ237" i="4"/>
  <c r="BQ1401" i="4"/>
  <c r="BQ1924" i="4"/>
  <c r="BQ1900" i="4"/>
  <c r="BQ203" i="4"/>
  <c r="BQ1567" i="4"/>
  <c r="BQ202" i="4"/>
  <c r="BQ152" i="4"/>
  <c r="BQ857" i="4"/>
  <c r="BQ1489" i="4"/>
  <c r="BQ1513" i="4"/>
  <c r="BQ1386" i="4"/>
  <c r="BQ201" i="4"/>
  <c r="BQ1358" i="4"/>
  <c r="BQ738" i="4"/>
  <c r="BQ1819" i="4"/>
  <c r="BQ1585" i="4"/>
  <c r="BQ798" i="4"/>
  <c r="BQ141" i="4"/>
  <c r="BQ1417" i="4"/>
  <c r="BQ874" i="4"/>
  <c r="BQ604" i="4"/>
  <c r="BQ1937" i="4"/>
  <c r="BQ607" i="4"/>
  <c r="BQ121" i="4"/>
  <c r="BQ1776" i="4"/>
  <c r="BQ1613" i="4"/>
  <c r="BQ1517" i="4"/>
  <c r="BQ1630" i="4"/>
  <c r="BQ849" i="4"/>
  <c r="BQ1434" i="4"/>
  <c r="BQ173" i="4"/>
  <c r="BQ621" i="4"/>
  <c r="BQ465" i="4"/>
  <c r="BQ1541" i="4"/>
  <c r="BQ1662" i="4"/>
  <c r="BQ726" i="4"/>
  <c r="BQ71" i="4"/>
  <c r="BQ147" i="4"/>
  <c r="BQ1738" i="4"/>
  <c r="BQ876" i="4"/>
  <c r="BQ1416" i="4"/>
  <c r="BQ1785" i="4"/>
  <c r="BQ1415" i="4"/>
  <c r="BQ845" i="4"/>
  <c r="BQ1557" i="4"/>
  <c r="BQ1752" i="4"/>
  <c r="BQ1458" i="4"/>
  <c r="BQ313" i="4"/>
  <c r="BQ1623" i="4"/>
  <c r="BQ859" i="4"/>
  <c r="BQ839" i="4"/>
  <c r="BQ26" i="4"/>
  <c r="BQ52" i="4"/>
  <c r="BQ810" i="4"/>
  <c r="BQ81" i="4"/>
  <c r="BQ787" i="4"/>
  <c r="BQ136" i="4"/>
  <c r="BQ1520" i="4"/>
  <c r="BQ1946" i="4"/>
  <c r="BQ524" i="4"/>
  <c r="BQ232" i="4"/>
  <c r="BQ1854" i="4"/>
  <c r="BQ1408" i="4"/>
  <c r="BQ1970" i="4"/>
  <c r="BQ1723" i="4"/>
  <c r="BQ184" i="4"/>
  <c r="BQ822" i="4"/>
  <c r="BQ146" i="4"/>
  <c r="BQ1969" i="4"/>
  <c r="BQ195" i="4"/>
  <c r="BQ779" i="4"/>
  <c r="BQ1368" i="4"/>
  <c r="BQ1367" i="4"/>
  <c r="BQ1400" i="4"/>
  <c r="BQ94" i="4"/>
  <c r="BQ88" i="4"/>
  <c r="BQ126" i="4"/>
  <c r="BQ93" i="4"/>
  <c r="BQ11" i="4"/>
  <c r="BQ829" i="4"/>
  <c r="BQ175" i="4"/>
  <c r="BQ1381" i="4"/>
  <c r="BQ248" i="4"/>
  <c r="BQ197" i="4"/>
  <c r="BQ1391" i="4"/>
  <c r="BQ133" i="4"/>
  <c r="BQ898" i="4"/>
  <c r="BQ103" i="4"/>
  <c r="BQ809" i="4"/>
  <c r="BQ769" i="4"/>
  <c r="BQ207" i="4"/>
  <c r="BQ808" i="4"/>
  <c r="BQ236" i="4"/>
  <c r="BQ1575" i="4"/>
  <c r="BQ1580" i="4"/>
  <c r="BQ180" i="4"/>
  <c r="BQ1958" i="4"/>
  <c r="BQ724" i="4"/>
  <c r="BQ1906" i="4"/>
  <c r="BQ706" i="4"/>
  <c r="BQ80" i="4"/>
  <c r="BQ1840" i="4"/>
  <c r="BQ1772" i="4"/>
  <c r="BQ1905" i="4"/>
  <c r="BQ770" i="4"/>
  <c r="BQ194" i="4"/>
  <c r="BQ198" i="4"/>
  <c r="BQ734" i="4"/>
  <c r="BQ1831" i="4"/>
  <c r="BQ1739" i="4"/>
  <c r="BQ216" i="4"/>
  <c r="BQ35" i="4"/>
  <c r="BQ750" i="4"/>
  <c r="BQ712" i="4"/>
  <c r="BQ1947" i="4"/>
  <c r="BQ862" i="4"/>
  <c r="BQ1395" i="4"/>
  <c r="BQ274" i="4"/>
  <c r="BQ854" i="4"/>
  <c r="BQ168" i="4"/>
  <c r="BQ162" i="4"/>
  <c r="BQ1616" i="4"/>
  <c r="BQ1584" i="4"/>
  <c r="BQ1468" i="4"/>
  <c r="BQ1627" i="4"/>
  <c r="BQ754" i="4"/>
  <c r="BQ1764" i="4"/>
  <c r="BQ1678" i="4"/>
  <c r="BQ723" i="4"/>
  <c r="BQ1677" i="4"/>
  <c r="BQ110" i="4"/>
  <c r="BQ109" i="4"/>
  <c r="BQ1688" i="4"/>
  <c r="BQ47" i="4"/>
  <c r="BQ725" i="4"/>
  <c r="BQ116" i="4"/>
  <c r="BQ1675" i="4"/>
  <c r="BQ61" i="4"/>
  <c r="BQ90" i="4"/>
  <c r="BQ1494" i="4"/>
  <c r="BQ56" i="4"/>
  <c r="BQ151" i="4"/>
  <c r="BQ183" i="4"/>
  <c r="BQ778" i="4"/>
  <c r="BQ161" i="4"/>
  <c r="BQ104" i="4"/>
  <c r="BQ1827" i="4"/>
  <c r="BQ1751" i="4"/>
  <c r="BQ1588" i="4"/>
  <c r="BQ95" i="4"/>
  <c r="BQ73" i="4"/>
  <c r="BQ25" i="4"/>
  <c r="BQ815" i="4"/>
  <c r="BQ814" i="4"/>
  <c r="BQ107" i="4"/>
  <c r="BQ714" i="4"/>
  <c r="BQ28" i="4"/>
  <c r="BQ749" i="4"/>
  <c r="BQ1544" i="4"/>
  <c r="BQ1632" i="4"/>
  <c r="BQ212" i="4"/>
  <c r="BQ211" i="4"/>
  <c r="BQ210" i="4"/>
  <c r="BQ1538" i="4"/>
  <c r="BQ91" i="4"/>
  <c r="BQ843" i="4"/>
  <c r="BQ115" i="4"/>
  <c r="BQ1370" i="4"/>
  <c r="BQ781" i="4"/>
  <c r="BQ747" i="4"/>
  <c r="BQ87" i="4"/>
  <c r="BQ1728" i="4"/>
  <c r="BQ1839" i="4"/>
  <c r="BQ40" i="4"/>
  <c r="BQ98" i="4"/>
  <c r="BQ900" i="4"/>
  <c r="BQ825" i="4"/>
  <c r="BQ864" i="4"/>
  <c r="BQ863" i="4"/>
  <c r="BQ287" i="4"/>
  <c r="BQ142" i="4"/>
  <c r="BQ1529" i="4"/>
  <c r="BQ768" i="4"/>
  <c r="BQ125" i="4"/>
  <c r="BQ1587" i="4"/>
  <c r="BQ807" i="4"/>
  <c r="BQ757" i="4"/>
  <c r="BQ38" i="4"/>
  <c r="BQ170" i="4"/>
  <c r="BQ766" i="4"/>
  <c r="BQ838" i="4"/>
  <c r="BQ753" i="4"/>
  <c r="BQ1429" i="4"/>
  <c r="BQ1768" i="4"/>
  <c r="BQ190" i="4"/>
  <c r="BQ166" i="4"/>
  <c r="BQ1646" i="4"/>
  <c r="BQ508" i="4"/>
  <c r="BQ252" i="4"/>
  <c r="BQ119" i="4"/>
  <c r="BQ866" i="4"/>
  <c r="BQ710" i="4"/>
  <c r="BQ1479" i="4"/>
  <c r="BQ135" i="4"/>
  <c r="BQ24" i="4"/>
  <c r="BQ1809" i="4"/>
  <c r="BQ1543" i="4"/>
  <c r="BQ214" i="4"/>
  <c r="BQ1771" i="4"/>
  <c r="BQ509" i="4"/>
  <c r="BQ1815" i="4"/>
  <c r="BQ1770" i="4"/>
  <c r="BQ828" i="4"/>
  <c r="BQ118" i="4"/>
  <c r="BQ2" i="4"/>
  <c r="BQ1769" i="4"/>
  <c r="BQ96" i="4"/>
  <c r="BQ763" i="4"/>
</calcChain>
</file>

<file path=xl/sharedStrings.xml><?xml version="1.0" encoding="utf-8"?>
<sst xmlns="http://schemas.openxmlformats.org/spreadsheetml/2006/main" count="35565" uniqueCount="4677">
  <si>
    <t>codigo_inmueble</t>
  </si>
  <si>
    <t>ciudad</t>
  </si>
  <si>
    <t>tipo_inmueble</t>
  </si>
  <si>
    <t>tipo_negocio</t>
  </si>
  <si>
    <t>barrio</t>
  </si>
  <si>
    <t>estrato</t>
  </si>
  <si>
    <t>area_m2</t>
  </si>
  <si>
    <t>habitaciones</t>
  </si>
  <si>
    <t>banos</t>
  </si>
  <si>
    <t>parqueaderos</t>
  </si>
  <si>
    <t>estado</t>
  </si>
  <si>
    <t>antiguedad</t>
  </si>
  <si>
    <t>precio_venta</t>
  </si>
  <si>
    <t>precio_arriendo</t>
  </si>
  <si>
    <t>latitud</t>
  </si>
  <si>
    <t>longitud</t>
  </si>
  <si>
    <t>url</t>
  </si>
  <si>
    <t>venta_por_m2</t>
  </si>
  <si>
    <t>arriendo_por_m2</t>
  </si>
  <si>
    <t>estacion_meteorologica_mas_cercana</t>
  </si>
  <si>
    <t>sigla_estacion</t>
  </si>
  <si>
    <t>ciudad_estacion</t>
  </si>
  <si>
    <t>localidad_estacion</t>
  </si>
  <si>
    <t>direccion_estacion</t>
  </si>
  <si>
    <t>distancia_estacion_km</t>
  </si>
  <si>
    <t>distancia_estacion_m</t>
  </si>
  <si>
    <t>lat_estacion</t>
  </si>
  <si>
    <t>lon_estacion</t>
  </si>
  <si>
    <t>altitud_estacion_m</t>
  </si>
  <si>
    <t>altura_estacion_m</t>
  </si>
  <si>
    <t>tipo_zona_estacion</t>
  </si>
  <si>
    <t>tipo_estacion</t>
  </si>
  <si>
    <t>variables_medidas_estacion</t>
  </si>
  <si>
    <t>fuente_estacion</t>
  </si>
  <si>
    <t>localidad_oficial_ideca</t>
  </si>
  <si>
    <t>dist_transmilenio_km</t>
  </si>
  <si>
    <t>dist_parque_km</t>
  </si>
  <si>
    <t>dist_colegio_km</t>
  </si>
  <si>
    <t>dist_salud_km</t>
  </si>
  <si>
    <t>dist_seguridad_km</t>
  </si>
  <si>
    <t>dist_malla_vial_integral_km</t>
  </si>
  <si>
    <t>dist_malla_vial_intermedia_km</t>
  </si>
  <si>
    <t>n_transmilenio_500m</t>
  </si>
  <si>
    <t>n_transmilenio_1km</t>
  </si>
  <si>
    <t>n_parques_500m</t>
  </si>
  <si>
    <t>n_parques_1km</t>
  </si>
  <si>
    <t>n_colegios_1km</t>
  </si>
  <si>
    <t>n_salud_1km</t>
  </si>
  <si>
    <t>n_seguridad_1km</t>
  </si>
  <si>
    <t>n_equipamientos_1km</t>
  </si>
  <si>
    <t>temperatura_y</t>
  </si>
  <si>
    <t>pm2_5</t>
  </si>
  <si>
    <t>pm10</t>
  </si>
  <si>
    <t>presion_baro</t>
  </si>
  <si>
    <t>hr</t>
  </si>
  <si>
    <t>vel_viento</t>
  </si>
  <si>
    <t>dir_viento</t>
  </si>
  <si>
    <t>precipitacion</t>
  </si>
  <si>
    <t>rad_solar</t>
  </si>
  <si>
    <t>no</t>
  </si>
  <si>
    <t>no2</t>
  </si>
  <si>
    <t>nox</t>
  </si>
  <si>
    <t>co</t>
  </si>
  <si>
    <t>ozono</t>
  </si>
  <si>
    <t>so2</t>
  </si>
  <si>
    <t>bbp</t>
  </si>
  <si>
    <t>ebc</t>
  </si>
  <si>
    <t>21133-C0002-02</t>
  </si>
  <si>
    <t>Bogotá D.C.</t>
  </si>
  <si>
    <t>apartamento</t>
  </si>
  <si>
    <t>venta</t>
  </si>
  <si>
    <t>SAN LUIS</t>
  </si>
  <si>
    <t>Nuevo</t>
  </si>
  <si>
    <t>No disponible</t>
  </si>
  <si>
    <t>https://www.metrocuadrado.com/proyecto/burano-54/21133-C0002-02</t>
  </si>
  <si>
    <t>Centro de alto rendimiento</t>
  </si>
  <si>
    <t>CDAR</t>
  </si>
  <si>
    <t>Bogotá</t>
  </si>
  <si>
    <t>Engativá</t>
  </si>
  <si>
    <t>Calle 63 # 59A-06</t>
  </si>
  <si>
    <t>Urbana</t>
  </si>
  <si>
    <t>De tráfico</t>
  </si>
  <si>
    <t>PM10, PM2.5, O3, NO2, CO, SO2, BC, V. Viento, D. Viento, Temperatura, Precipitación, R. Solar, H. Relativa, Presión atmosférica según disponibilidad por estación</t>
  </si>
  <si>
    <t>https://www.ambientebogota.gov.co/estaciones-rmcab</t>
  </si>
  <si>
    <t>TEUSAQUILLO</t>
  </si>
  <si>
    <t>213-C0724-01</t>
  </si>
  <si>
    <t>CIUDAD SALITRE OCCIDENTAL</t>
  </si>
  <si>
    <t>https://www.metrocuadrado.com/proyecto/automatizacion-javier/213-C0724-01</t>
  </si>
  <si>
    <t>Puente Aranda</t>
  </si>
  <si>
    <t>PTE</t>
  </si>
  <si>
    <t>Calle 10 # 65-28</t>
  </si>
  <si>
    <t>Industrial</t>
  </si>
  <si>
    <t>FONTIBON</t>
  </si>
  <si>
    <t>17855-C0019-02</t>
  </si>
  <si>
    <t>LA FELICIDAD</t>
  </si>
  <si>
    <t>https://www.metrocuadrado.com/proyecto/coral-2-la-felicidad/17855-C0019-02</t>
  </si>
  <si>
    <t>Móvil Fontibón</t>
  </si>
  <si>
    <t>MOV2</t>
  </si>
  <si>
    <t>Fontibón</t>
  </si>
  <si>
    <t>Cra. 98 #16 B 50</t>
  </si>
  <si>
    <t>Tráfico/industrial</t>
  </si>
  <si>
    <t>15315-C0001-04</t>
  </si>
  <si>
    <t>SANTA BARBARA</t>
  </si>
  <si>
    <t>https://www.metrocuadrado.com/proyecto/edificio-balmes-santa-barbara/15315-C0001-04</t>
  </si>
  <si>
    <t>Usaquén</t>
  </si>
  <si>
    <t>USQ</t>
  </si>
  <si>
    <t>Carrera 7B Bis # 132-11</t>
  </si>
  <si>
    <t>De fondo</t>
  </si>
  <si>
    <t>USAQUEN</t>
  </si>
  <si>
    <t>3422-M6531906</t>
  </si>
  <si>
    <t>Usado</t>
  </si>
  <si>
    <t>Entre 0 y 5 años</t>
  </si>
  <si>
    <t>https://www.metrocuadrado.com/inmueble/venta-apartamento-bogota-la-felicidad-2-habitaciones-2-banos-1-garajes/3422-M6531906</t>
  </si>
  <si>
    <t>MC6541162</t>
  </si>
  <si>
    <t>NIZA NORTE</t>
  </si>
  <si>
    <t>Remodelado</t>
  </si>
  <si>
    <t>https://www.metrocuadrado.com/inmueble/venta-apartamento-bogota-niza-norte-3-habitaciones-3-banos-2-garajes/MC6541162</t>
  </si>
  <si>
    <t>Colina</t>
  </si>
  <si>
    <t>COL</t>
  </si>
  <si>
    <t>Suba</t>
  </si>
  <si>
    <t>Avenida Boyacá No 142ª-55</t>
  </si>
  <si>
    <t>SUBA</t>
  </si>
  <si>
    <t>MC6369506</t>
  </si>
  <si>
    <t>CHAPINERO CENTRAL</t>
  </si>
  <si>
    <t>Entre 10 y 20 años</t>
  </si>
  <si>
    <t>https://www.metrocuadrado.com/inmueble/venta-apartamento-bogota-chapinero-central-1-habitaciones-1-banos-1-garajes/MC6369506</t>
  </si>
  <si>
    <t>MinAmbiente</t>
  </si>
  <si>
    <t>MAM</t>
  </si>
  <si>
    <t>Santa Fe</t>
  </si>
  <si>
    <t>Calle 37 # 8-40</t>
  </si>
  <si>
    <t>CHAPINERO</t>
  </si>
  <si>
    <t>18942-M6487252</t>
  </si>
  <si>
    <t>CHICO</t>
  </si>
  <si>
    <t>Entre 5 y 10 años</t>
  </si>
  <si>
    <t>https://www.metrocuadrado.com/inmueble/venta-apartamento-bogota-chico-1-habitaciones-2-banos-2-garajes/18942-M6487252</t>
  </si>
  <si>
    <t>MC6466115</t>
  </si>
  <si>
    <t>SAMPER</t>
  </si>
  <si>
    <t>https://www.metrocuadrado.com/inmueble/venta-apartamento-bogota-samper-1-habitaciones-2-banos-1-garajes/MC6466115</t>
  </si>
  <si>
    <t>SANTA FE</t>
  </si>
  <si>
    <t>MC6541111</t>
  </si>
  <si>
    <t>CANTALEJO</t>
  </si>
  <si>
    <t>https://www.metrocuadrado.com/inmueble/venta-apartamento-bogota-cantalejo-2-habitaciones-2-banos-1-garajes/MC6541111</t>
  </si>
  <si>
    <t>MC6415410</t>
  </si>
  <si>
    <t>EL TINTAL A S D</t>
  </si>
  <si>
    <t>https://www.metrocuadrado.com/inmueble/venta-apartamento-bogota-el-tintal-a.s.d.-3-habitaciones-2-banos-2-garajes/MC6415410</t>
  </si>
  <si>
    <t>15062-M6466065</t>
  </si>
  <si>
    <t>FONTIBON  BOGOTA D C</t>
  </si>
  <si>
    <t>https://www.metrocuadrado.com/inmueble/venta-apartamento-bogota-fontibon-bogota-d.c-2-habitaciones-1-banos/15062-M6466065</t>
  </si>
  <si>
    <t>359-M6361260</t>
  </si>
  <si>
    <t>SAN ANTONIO</t>
  </si>
  <si>
    <t>https://www.metrocuadrado.com/inmueble/venta-apartamento-bogota-san-antonio-3-habitaciones-2-banos-1-garajes/359-M6361260</t>
  </si>
  <si>
    <t>Guaymaral</t>
  </si>
  <si>
    <t>GYR</t>
  </si>
  <si>
    <t>Autopista Norte # 205-59</t>
  </si>
  <si>
    <t>Sub urbana</t>
  </si>
  <si>
    <t>359-M5836896</t>
  </si>
  <si>
    <t>TIBABITA</t>
  </si>
  <si>
    <t>https://www.metrocuadrado.com/inmueble/venta-apartamento-bogota-tibabita-2-habitaciones-2-banos-1-garajes/359-M5836896</t>
  </si>
  <si>
    <t>359-M5836914</t>
  </si>
  <si>
    <t>https://www.metrocuadrado.com/inmueble/venta-apartamento-bogota-tibabita-2-habitaciones-2-banos-1-garajes/359-M5836914</t>
  </si>
  <si>
    <t>359-M6322587</t>
  </si>
  <si>
    <t>COLINA CAMPESTRE I Y II ETAPA</t>
  </si>
  <si>
    <t>Más de 20 años</t>
  </si>
  <si>
    <t>https://www.metrocuadrado.com/inmueble/venta-apartamento-bogota-colina-campestre-i-y-ii-etapa-2-habitaciones-2-banos-1-garajes/359-M6322587</t>
  </si>
  <si>
    <t>MC6474206</t>
  </si>
  <si>
    <t>NUEVA ZELANDIA</t>
  </si>
  <si>
    <t>https://www.metrocuadrado.com/inmueble/venta-apartamento-bogota-nueva-zelandia-2-habitaciones-1-banos/MC6474206</t>
  </si>
  <si>
    <t>359-M6470809</t>
  </si>
  <si>
    <t>QUINTA PAREDES</t>
  </si>
  <si>
    <t>https://www.metrocuadrado.com/inmueble/venta-apartamento-bogota-quinta-paredes-3-habitaciones-2-banos-1-garajes/359-M6470809</t>
  </si>
  <si>
    <t>359-M5762562</t>
  </si>
  <si>
    <t>MODELIA</t>
  </si>
  <si>
    <t>https://www.metrocuadrado.com/inmueble/venta-apartamento-bogota-modelia-3-habitaciones-2-banos-1-garajes/359-M5762562</t>
  </si>
  <si>
    <t>16994-M6210255</t>
  </si>
  <si>
    <t>EL PLAN</t>
  </si>
  <si>
    <t>https://www.metrocuadrado.com/inmueble/venta-apartamento-bogota-el-plan-3-habitaciones-3-banos-2-garajes/16994-M6210255</t>
  </si>
  <si>
    <t>20821-M6189136</t>
  </si>
  <si>
    <t>COUNTRY CLUB</t>
  </si>
  <si>
    <t>https://www.metrocuadrado.com/inmueble/venta-apartamento-bogota-country-club-4-habitaciones-5-banos-2-garajes/20821-M6189136</t>
  </si>
  <si>
    <t>CHICO NORTE ET  II</t>
  </si>
  <si>
    <t>21363-M6393755</t>
  </si>
  <si>
    <t>IBERIA</t>
  </si>
  <si>
    <t>https://www.metrocuadrado.com/inmueble/venta-apartamento-bogota-iberia-3-habitaciones-3-banos-1-garajes/21363-M6393755</t>
  </si>
  <si>
    <t>20134-M6499394</t>
  </si>
  <si>
    <t>BRITALIA</t>
  </si>
  <si>
    <t>https://www.metrocuadrado.com/inmueble/venta-apartamento-bogota-britalia-3-habitaciones-2-banos-1-garajes/20134-M6499394</t>
  </si>
  <si>
    <t>19054-M6162396</t>
  </si>
  <si>
    <t>EL REFUGIO</t>
  </si>
  <si>
    <t>https://www.metrocuadrado.com/inmueble/venta-apartamento-bogota-el-refugio-4-habitaciones-4-banos-2-garajes/19054-M6162396</t>
  </si>
  <si>
    <t>22324-M6588465</t>
  </si>
  <si>
    <t>RINCON DEL CHICO</t>
  </si>
  <si>
    <t>https://www.metrocuadrado.com/inmueble/venta-apartamento-bogota-rincon-del-chico-3-habitaciones-3-banos-2-garajes/22324-M6588465</t>
  </si>
  <si>
    <t>20343-M5837714</t>
  </si>
  <si>
    <t>SANTA BARBARA ORIENTAL</t>
  </si>
  <si>
    <t>https://www.metrocuadrado.com/inmueble/venta-apartamento-bogota-santa-barbara-oriental-3-habitaciones-4-banos-3-garajes/20343-M5837714</t>
  </si>
  <si>
    <t>2709-M6308254</t>
  </si>
  <si>
    <t>CHICO NORTE ET II</t>
  </si>
  <si>
    <t>https://www.metrocuadrado.com/inmueble/venta-apartamento-bogota-chico-norte-et-ii-3-habitaciones-3-banos-2-garajes/2709-M6308254</t>
  </si>
  <si>
    <t>20387-M6403407</t>
  </si>
  <si>
    <t>MONTEVIDEO</t>
  </si>
  <si>
    <t>https://www.metrocuadrado.com/inmueble/venta-apartamento-bogota-montevideo-3-habitaciones-2-banos-1-garajes/20387-M6403407</t>
  </si>
  <si>
    <t>22161-M6430750</t>
  </si>
  <si>
    <t>LOS ALPES</t>
  </si>
  <si>
    <t>https://www.metrocuadrado.com/inmueble/venta-apartamento-bogota-los-alpes-3-habitaciones-5-banos-3-garajes/22161-M6430750</t>
  </si>
  <si>
    <t>20100-M6412094</t>
  </si>
  <si>
    <t>CEDRITOS</t>
  </si>
  <si>
    <t>https://www.metrocuadrado.com/inmueble/venta-apartamento-bogota-cedritos-4-habitaciones-4-banos-2-garajes/20100-M6412094</t>
  </si>
  <si>
    <t>21597-M6237963</t>
  </si>
  <si>
    <t>https://www.metrocuadrado.com/inmueble/venta-apartamento-bogota-2-habitaciones-2-banos-2-garajes/21597-M6237963</t>
  </si>
  <si>
    <t>3437-M6499703</t>
  </si>
  <si>
    <t>SAN PATRICIO</t>
  </si>
  <si>
    <t>https://www.metrocuadrado.com/inmueble/venta-apartamento-bogota-san-patricio-3-habitaciones-5-banos-3-garajes/3437-M6499703</t>
  </si>
  <si>
    <t>20821-M6195758</t>
  </si>
  <si>
    <t>SANTA BARBARA CENTRAL</t>
  </si>
  <si>
    <t>https://www.metrocuadrado.com/inmueble/venta-apartamento-bogota-santa-barbara-central-5-habitaciones-5-banos-3-garajes/20821-M6195758</t>
  </si>
  <si>
    <t>4186-M5006500</t>
  </si>
  <si>
    <t>SANTA BARBARA CENTRAL   EDIF LA CASCADA 5</t>
  </si>
  <si>
    <t>https://www.metrocuadrado.com/inmueble/venta-apartamento-bogota-santa-barbara-central-edif-la-cascada-5-2-habitaciones-2-banos-1-garajes/4186-M5006500</t>
  </si>
  <si>
    <t>22266-M6491642</t>
  </si>
  <si>
    <t>ASD</t>
  </si>
  <si>
    <t>https://www.metrocuadrado.com/inmueble/venta-apartamento-bogota-asd-3-habitaciones-2-banos-1-garajes/22266-M6491642</t>
  </si>
  <si>
    <t>KENNEDY</t>
  </si>
  <si>
    <t>2120-M2744781</t>
  </si>
  <si>
    <t>LA PORCIUNCULA</t>
  </si>
  <si>
    <t>https://www.metrocuadrado.com/inmueble/venta-apartamento-bogota-la-porciuncula-3-habitaciones-5-banos-3-garajes/2120-M2744781</t>
  </si>
  <si>
    <t>21662-M6344592</t>
  </si>
  <si>
    <t>MOLINOS NORTE</t>
  </si>
  <si>
    <t>https://www.metrocuadrado.com/inmueble/venta-apartamento-bogota-molinos-norte-3-habitaciones-3-banos-3-garajes/21662-M6344592</t>
  </si>
  <si>
    <t>2120-M2946364</t>
  </si>
  <si>
    <t>CHICO NORTE</t>
  </si>
  <si>
    <t>https://www.metrocuadrado.com/inmueble/venta-apartamento-bogota-chico-norte-3-habitaciones-5-banos-3-garajes/2120-M2946364</t>
  </si>
  <si>
    <t>2120-M3034703</t>
  </si>
  <si>
    <t>EL RETIRO</t>
  </si>
  <si>
    <t>https://www.metrocuadrado.com/inmueble/venta-apartamento-bogota-el-retiro-3-habitaciones-5-banos-4-garajes/2120-M3034703</t>
  </si>
  <si>
    <t>18479-M6496200</t>
  </si>
  <si>
    <t>LA CAROLINA</t>
  </si>
  <si>
    <t>https://www.metrocuadrado.com/inmueble/venta-apartamento-bogota-la-carolina-5-habitaciones-4-banos-2-garajes/18479-M6496200</t>
  </si>
  <si>
    <t>14241-M6151821</t>
  </si>
  <si>
    <t>https://www.metrocuadrado.com/inmueble/venta-apartamento-bogota-chico-norte-4-habitaciones-5-banos-3-garajes/14241-M6151821</t>
  </si>
  <si>
    <t>12494-M5738764</t>
  </si>
  <si>
    <t>https://www.metrocuadrado.com/inmueble/venta-apartamento-bogota-chico-norte-et.-ii-1-habitaciones-2-banos-2-garajes/12494-M5738764</t>
  </si>
  <si>
    <t>16649-M4747901</t>
  </si>
  <si>
    <t>https://www.metrocuadrado.com/inmueble/venta-apartamento-bogota-santa-barbara-central-4-habitaciones-5-banos-4-garajes/16649-M4747901</t>
  </si>
  <si>
    <t>12494-M5403345</t>
  </si>
  <si>
    <t>https://www.metrocuadrado.com/inmueble/venta-apartamento-bogota-chico-norte-et.-ii-3-habitaciones-5-banos-4-garajes/12494-M5403345</t>
  </si>
  <si>
    <t>374-M6114068</t>
  </si>
  <si>
    <t>CIUDADELA REAL</t>
  </si>
  <si>
    <t>https://www.metrocuadrado.com/inmueble/venta-apartamento-bogota-ciudadela-real-4-habitaciones-5-banos-4-garajes/374-M6114068</t>
  </si>
  <si>
    <t>12494-M5940304</t>
  </si>
  <si>
    <t>https://www.metrocuadrado.com/inmueble/venta-apartamento-bogota-chico-norte-et-ii-3-habitaciones-4-banos-2-garajes/12494-M5940304</t>
  </si>
  <si>
    <t>15994-M4926192</t>
  </si>
  <si>
    <t>CJR GUADALQUIVIR</t>
  </si>
  <si>
    <t>https://www.metrocuadrado.com/inmueble/venta-apartamento-bogota-cjr-guadalquivir-3-habitaciones-3-banos-4-garajes/15994-M4926192</t>
  </si>
  <si>
    <t>16739-M5636893</t>
  </si>
  <si>
    <t>LAS ACACIAS</t>
  </si>
  <si>
    <t>https://www.metrocuadrado.com/inmueble/venta-apartamento-bogota-las-acacias-3-habitaciones-5-banos-3-garajes/16739-M5636893</t>
  </si>
  <si>
    <t>2162-M6394088</t>
  </si>
  <si>
    <t>PELODO DEL CONTRY</t>
  </si>
  <si>
    <t>https://www.metrocuadrado.com/inmueble/venta-apartamento-bogota-pelodo-del-contry-4-habitaciones-5-banos-4-garajes/2162-M6394088</t>
  </si>
  <si>
    <t>156-M5423677</t>
  </si>
  <si>
    <t>https://www.metrocuadrado.com/inmueble/venta-apartamento-bogota-cedritos-3-habitaciones-2-banos-2-garajes/156-M5423677</t>
  </si>
  <si>
    <t>660-M6244932</t>
  </si>
  <si>
    <t>BELLA SUIZA</t>
  </si>
  <si>
    <t>https://www.metrocuadrado.com/inmueble/venta-apartamento-bogota-bella-suiza-3-habitaciones-3-banos-1-garajes/660-M6244932</t>
  </si>
  <si>
    <t>14674-M6396864</t>
  </si>
  <si>
    <t>https://www.metrocuadrado.com/inmueble/venta-apartamento-bogota-el-plan-3-habitaciones-4-banos-2-garajes/14674-M6396864</t>
  </si>
  <si>
    <t>832-M5967402</t>
  </si>
  <si>
    <t>CASA BLANCA</t>
  </si>
  <si>
    <t>https://www.metrocuadrado.com/inmueble/venta-apartamento-bogota-casa-blanca-3-habitaciones-2-banos-2-garajes/832-M5967402</t>
  </si>
  <si>
    <t>17527-M6380738</t>
  </si>
  <si>
    <t>CERROS DE SANTA BARBARA</t>
  </si>
  <si>
    <t>https://www.metrocuadrado.com/inmueble/venta-apartamento-bogota-cerros-de-santa-barbara-3-habitaciones-5-banos-4-garajes/17527-M6380738</t>
  </si>
  <si>
    <t>SANTA ANA ORIENTAL</t>
  </si>
  <si>
    <t>18378-M6581657</t>
  </si>
  <si>
    <t>CIUDAD SALITRE SURORIENTAL</t>
  </si>
  <si>
    <t>https://www.metrocuadrado.com/inmueble/venta-apartamento-bogota-ciudad-salitre-suroriental-2-habitaciones-2-banos-2-garajes/18378-M6581657</t>
  </si>
  <si>
    <t>14255-M6579240</t>
  </si>
  <si>
    <t>SAN JOSE DEL PRADO</t>
  </si>
  <si>
    <t>https://www.metrocuadrado.com/inmueble/venta-apartamento-bogota-san-jose-del-prado-3-habitaciones-3-banos-2-garajes/14255-M6579240</t>
  </si>
  <si>
    <t>MC6485472</t>
  </si>
  <si>
    <t>PRADERA NORTE</t>
  </si>
  <si>
    <t>https://www.metrocuadrado.com/inmueble/venta-apartamento-bogota-pradera-norte-4-habitaciones-2-banos-2-garajes/MC6485472</t>
  </si>
  <si>
    <t>MC6385688</t>
  </si>
  <si>
    <t>CAOBOS SALAZAR</t>
  </si>
  <si>
    <t>https://www.metrocuadrado.com/inmueble/venta-apartamento-bogota-caobos-salazar-1-habitaciones-2-banos-1-garajes/MC6385688</t>
  </si>
  <si>
    <t>MC6527717</t>
  </si>
  <si>
    <t>CJR  URBAN SALITRE ZURICH</t>
  </si>
  <si>
    <t>https://www.metrocuadrado.com/inmueble/venta-apartamento-bogota-cjr.-urban-salitre-zurich-3-habitaciones-2-banos-2-garajes/MC6527717</t>
  </si>
  <si>
    <t>PUENTE ARANDA</t>
  </si>
  <si>
    <t>MC6574074</t>
  </si>
  <si>
    <t>EL VERBENAL</t>
  </si>
  <si>
    <t>https://www.metrocuadrado.com/inmueble/venta-apartamento-bogota-el-verbenal-3-habitaciones-2-banos-1-garajes/MC6574074</t>
  </si>
  <si>
    <t>21135-C0001-01</t>
  </si>
  <si>
    <t>BOSQUE IZQUIERDO</t>
  </si>
  <si>
    <t>https://www.metrocuadrado.com/proyecto/la-gauche/21135-C0001-01</t>
  </si>
  <si>
    <t>20028-C0001-02</t>
  </si>
  <si>
    <t>FRANCO</t>
  </si>
  <si>
    <t>https://www.metrocuadrado.com/proyecto/alsacia-arbore/20028-C0001-02</t>
  </si>
  <si>
    <t>17855-C0019-03</t>
  </si>
  <si>
    <t>https://www.metrocuadrado.com/proyecto/coral-2-la-felicidad/17855-C0019-03</t>
  </si>
  <si>
    <t>14693-C0004-02</t>
  </si>
  <si>
    <t>SAN FRANCISCO</t>
  </si>
  <si>
    <t>https://www.metrocuadrado.com/proyecto/pekin/14693-C0004-02</t>
  </si>
  <si>
    <t>359-M6572045</t>
  </si>
  <si>
    <t>https://www.metrocuadrado.com/inmueble/venta-apartamento-bogota-modelia-3-habitaciones-2-banos-1-garajes/359-M6572045</t>
  </si>
  <si>
    <t>359-M6549182</t>
  </si>
  <si>
    <t>PALOQUEMAO</t>
  </si>
  <si>
    <t>https://www.metrocuadrado.com/inmueble/venta-apartamento-bogota-paloquemao-1-habitaciones-1-banos/359-M6549182</t>
  </si>
  <si>
    <t>LOS MARTIRES</t>
  </si>
  <si>
    <t>17181-M6416623</t>
  </si>
  <si>
    <t>LOS ROSALES</t>
  </si>
  <si>
    <t>https://www.metrocuadrado.com/inmueble/venta-apartamento-bogota-los-rosales-2-habitaciones-2-banos-2-garajes/17181-M6416623</t>
  </si>
  <si>
    <t>MC6520601</t>
  </si>
  <si>
    <t>UB  HACIENDA CORDOBA NIZA</t>
  </si>
  <si>
    <t>https://www.metrocuadrado.com/inmueble/venta-apartamento-bogota-ub.-hacienda-cordoba-niza-3-habitaciones-2-banos-2-garajes/MC6520601</t>
  </si>
  <si>
    <t>17181-M6573846</t>
  </si>
  <si>
    <t>https://www.metrocuadrado.com/inmueble/venta-apartamento-bogota-los-rosales-2-habitaciones-3-banos-3-garajes/17181-M6573846</t>
  </si>
  <si>
    <t>MC6569588</t>
  </si>
  <si>
    <t>CR  GRAN RESERVA DE VALDIVIA</t>
  </si>
  <si>
    <t>https://www.metrocuadrado.com/inmueble/venta-apartamento-bogota-cr.-gran-reserva-de-valdivia-3-habitaciones-5-banos-3-garajes/MC6569588</t>
  </si>
  <si>
    <t>18758-M5594897</t>
  </si>
  <si>
    <t>https://www.metrocuadrado.com/inmueble/venta-apartamento-bogota-san-patricio-2-habitaciones-3-banos-2-garajes/18758-M5594897</t>
  </si>
  <si>
    <t>16297-M6573134</t>
  </si>
  <si>
    <t>EL TINTAL ASD</t>
  </si>
  <si>
    <t>https://www.metrocuadrado.com/inmueble/venta-apartamento-bogota-el-tintal-asd-3-habitaciones-3-banos-1-garajes/16297-M6573134</t>
  </si>
  <si>
    <t>MC4541326</t>
  </si>
  <si>
    <t>EL REDIL</t>
  </si>
  <si>
    <t>https://www.metrocuadrado.com/inmueble/venta-apartamento-bogota-el-redil-3-habitaciones-2-banos-2-garajes/MC4541326</t>
  </si>
  <si>
    <t>16297-M6553949</t>
  </si>
  <si>
    <t>POTOSI</t>
  </si>
  <si>
    <t>https://www.metrocuadrado.com/inmueble/venta-apartamento-bogota-potosi-3-habitaciones-2-banos-1-garajes/16297-M6553949</t>
  </si>
  <si>
    <t>MC6308117</t>
  </si>
  <si>
    <t>CEDRO SALAZAR</t>
  </si>
  <si>
    <t>https://www.metrocuadrado.com/inmueble/venta-apartamento-bogota-cedro-salazar-3-habitaciones-3-banos-1-garajes/MC6308117</t>
  </si>
  <si>
    <t>MC6534673</t>
  </si>
  <si>
    <t>https://www.metrocuadrado.com/inmueble/venta-apartamento-bogota-santa-barbara-central-5-habitaciones-4-banos-2-garajes/MC6534673</t>
  </si>
  <si>
    <t>20569-M6490680</t>
  </si>
  <si>
    <t>SANTA BARBARA OCCIDENTAL</t>
  </si>
  <si>
    <t>https://www.metrocuadrado.com/inmueble/venta-apartamento-bogota-santa-barbara-occidental-3-habitaciones-5-banos-4-garajes/20569-M6490680</t>
  </si>
  <si>
    <t>MC6035671</t>
  </si>
  <si>
    <t>SAN MIGUEL   EDIF ELITE 65</t>
  </si>
  <si>
    <t>https://www.metrocuadrado.com/inmueble/venta-apartamento-bogota-san-miguel-edif-elite-65-5-habitaciones-3-banos-1-garajes/MC6035671</t>
  </si>
  <si>
    <t>BARRIOS UNIDOS</t>
  </si>
  <si>
    <t>MC6311792</t>
  </si>
  <si>
    <t>MONACO</t>
  </si>
  <si>
    <t>https://www.metrocuadrado.com/inmueble/venta-apartamento-bogota-monaco-2-habitaciones-2-banos-1-garajes/MC6311792</t>
  </si>
  <si>
    <t>21648-M6292203</t>
  </si>
  <si>
    <t>https://www.metrocuadrado.com/inmueble/venta-apartamento-bogota-san-jose-del-prado-3-habitaciones-3-banos-2-garajes/21648-M6292203</t>
  </si>
  <si>
    <t>2671-M6538624</t>
  </si>
  <si>
    <t>CERROS DE SUBA</t>
  </si>
  <si>
    <t>https://www.metrocuadrado.com/inmueble/venta-apartamento-bogota-cerros-de-suba-3-habitaciones-3-banos-3-garajes/2671-M6538624</t>
  </si>
  <si>
    <t>BELLAVISTA</t>
  </si>
  <si>
    <t>21414-M6493544</t>
  </si>
  <si>
    <t>CIUDAD SALITRE</t>
  </si>
  <si>
    <t>https://www.metrocuadrado.com/inmueble/venta-apartamento-bogota-ciudad-salitre-4-habitaciones-5-banos-3-garajes/21414-M6493544</t>
  </si>
  <si>
    <t>21722-M6353302</t>
  </si>
  <si>
    <t>https://www.metrocuadrado.com/inmueble/venta-apartamento-bogota-santa-barbara-central-3-habitaciones-3-banos-2-garajes/21722-M6353302</t>
  </si>
  <si>
    <t>2559-M6017614</t>
  </si>
  <si>
    <t>https://www.metrocuadrado.com/inmueble/venta-apartamento-bogota-los-rosales-3-habitaciones-4-banos-4-garajes/2559-M6017614</t>
  </si>
  <si>
    <t>20262-M6577650</t>
  </si>
  <si>
    <t>BALCONES DE ORIENTE</t>
  </si>
  <si>
    <t>https://www.metrocuadrado.com/inmueble/venta-apartamento-bogota-balcones-de-oriente-3-habitaciones-1-banos-1-garajes/20262-M6577650</t>
  </si>
  <si>
    <t>20675-M6581374</t>
  </si>
  <si>
    <t>SAN BERNARDINO XXII</t>
  </si>
  <si>
    <t>https://www.metrocuadrado.com/inmueble/venta-apartamento-bogota-san-bernardino-xxii-3-habitaciones-1-banos/20675-M6581374</t>
  </si>
  <si>
    <t>Bosa</t>
  </si>
  <si>
    <t>BOS</t>
  </si>
  <si>
    <t>Diagonal 73 F Sur # 78 - 44</t>
  </si>
  <si>
    <t>BOSA</t>
  </si>
  <si>
    <t>21503-M6164859</t>
  </si>
  <si>
    <t>A S D</t>
  </si>
  <si>
    <t>https://www.metrocuadrado.com/inmueble/venta-apartamento-bogota-a.s.d.-3-habitaciones-5-banos-2-garajes/21503-M6164859</t>
  </si>
  <si>
    <t>2709-M5493226</t>
  </si>
  <si>
    <t>https://www.metrocuadrado.com/inmueble/venta-apartamento-bogota-chico-norte-3-habitaciones-4-banos-2-garajes/2709-M5493226</t>
  </si>
  <si>
    <t>2266-M6040377</t>
  </si>
  <si>
    <t>MOLINOS DEL NORTE</t>
  </si>
  <si>
    <t>https://www.metrocuadrado.com/inmueble/venta-apartamento-bogota-molinos-del-norte-3-habitaciones-2-banos-4-garajes/2266-M6040377</t>
  </si>
  <si>
    <t>20819-M6030317</t>
  </si>
  <si>
    <t>PRADO VERANIEGO NORTE</t>
  </si>
  <si>
    <t>https://www.metrocuadrado.com/inmueble/venta-apartamento-bogota-prado-veraniego-norte-3-habitaciones-2-banos-1-garajes/20819-M6030317</t>
  </si>
  <si>
    <t>19734-M6404909</t>
  </si>
  <si>
    <t>LA VERACRUZ</t>
  </si>
  <si>
    <t>https://www.metrocuadrado.com/inmueble/venta-apartamento-bogota-la-veracruz-3-habitaciones-2-banos/19734-M6404909</t>
  </si>
  <si>
    <t>20821-M6171926</t>
  </si>
  <si>
    <t>https://www.metrocuadrado.com/inmueble/venta-apartamento-bogota-tibabita-2-habitaciones-2-banos-1-garajes/20821-M6171926</t>
  </si>
  <si>
    <t>20343-M5837101</t>
  </si>
  <si>
    <t>https://www.metrocuadrado.com/inmueble/venta-apartamento-bogota-santa-barbara-oriental-3-habitaciones-4-banos-2-garajes/20343-M5837101</t>
  </si>
  <si>
    <t>5340-M6521420</t>
  </si>
  <si>
    <t>COLINAS DE SUBA</t>
  </si>
  <si>
    <t>https://www.metrocuadrado.com/inmueble/venta-apartamento-bogota-colinas-de-suba-3-habitaciones-5-banos-4-garajes/5340-M6521420</t>
  </si>
  <si>
    <t>3340-M6146278</t>
  </si>
  <si>
    <t>LOS CEDROS</t>
  </si>
  <si>
    <t>https://www.metrocuadrado.com/inmueble/venta-apartamento-bogota-los-cedros-3-habitaciones-3-banos-2-garajes/3340-M6146278</t>
  </si>
  <si>
    <t>20837-M6411679</t>
  </si>
  <si>
    <t>ACACIAS USAQUEN</t>
  </si>
  <si>
    <t>https://www.metrocuadrado.com/inmueble/venta-apartamento-bogota-acacias-usaquen-2-habitaciones-2-banos-1-garajes/20837-M6411679</t>
  </si>
  <si>
    <t>3340-M6588429</t>
  </si>
  <si>
    <t>https://www.metrocuadrado.com/inmueble/venta-apartamento-bogota-bella-suiza-3-habitaciones-2-banos-2-garajes/3340-M6588429</t>
  </si>
  <si>
    <t>21414-M6128189</t>
  </si>
  <si>
    <t>PROVENZA</t>
  </si>
  <si>
    <t>https://www.metrocuadrado.com/inmueble/venta-apartamento-bogota-provenza-4-habitaciones-5-banos-3-garajes/21414-M6128189</t>
  </si>
  <si>
    <t>21222-M6360787</t>
  </si>
  <si>
    <t>https://www.metrocuadrado.com/inmueble/venta-apartamento-bogota-casa-blanca-3-habitaciones-2-banos-1-garajes/21222-M6360787</t>
  </si>
  <si>
    <t>19414-M6380456</t>
  </si>
  <si>
    <t>ANTIGUO COUNTRY</t>
  </si>
  <si>
    <t>https://www.metrocuadrado.com/inmueble/venta-apartamento-bogota-antiguo-country-3-habitaciones-3-banos-2-garajes/19414-M6380456</t>
  </si>
  <si>
    <t>19275-M6201109</t>
  </si>
  <si>
    <t>LA EMILIA</t>
  </si>
  <si>
    <t>https://www.metrocuadrado.com/inmueble/venta-apartamento-bogota-la-emilia-3-habitaciones-2-banos-1-garajes/19275-M6201109</t>
  </si>
  <si>
    <t>14356-M6500103</t>
  </si>
  <si>
    <t>MINUTO DE DIOS</t>
  </si>
  <si>
    <t>https://www.metrocuadrado.com/inmueble/venta-apartamento-bogota-minuto-de-dios-3-habitaciones-2-banos-1-garajes/14356-M6500103</t>
  </si>
  <si>
    <t>ENGATIVA</t>
  </si>
  <si>
    <t>13180-M6426035</t>
  </si>
  <si>
    <t>NICOLAS DE FEDERMAN</t>
  </si>
  <si>
    <t>https://www.metrocuadrado.com/inmueble/venta-apartamento-bogota-nicolas-de-federman-2-habitaciones-3-banos-2-garajes/13180-M6426035</t>
  </si>
  <si>
    <t>17152-M5955134</t>
  </si>
  <si>
    <t>UB BOCHICA III IV</t>
  </si>
  <si>
    <t>https://www.metrocuadrado.com/inmueble/venta-apartamento-bogota-ub-bochica-iii-iv-3-habitaciones-1-banos/17152-M5955134</t>
  </si>
  <si>
    <t>Bolivia</t>
  </si>
  <si>
    <t>BOL</t>
  </si>
  <si>
    <t>Avenida Calle 80  # 121-98</t>
  </si>
  <si>
    <t>17553-M6531783</t>
  </si>
  <si>
    <t>SAN JOSE DE USAQUEN</t>
  </si>
  <si>
    <t>https://www.metrocuadrado.com/inmueble/venta-apartamento-bogota-san-jose-de-usaquen-2-habitaciones-1-banos/17553-M6531783</t>
  </si>
  <si>
    <t>17152-M5564674</t>
  </si>
  <si>
    <t>SANTA BARBARA OCCIDENTAL   EDIF VENETTO</t>
  </si>
  <si>
    <t>https://www.metrocuadrado.com/inmueble/venta-apartamento-bogota-santa-barbara-occidental-edif-venetto-3-habitaciones-3-banos-2-garajes/17152-M5564674</t>
  </si>
  <si>
    <t>13194-M6588695</t>
  </si>
  <si>
    <t>LOS CEDRITOS</t>
  </si>
  <si>
    <t>https://www.metrocuadrado.com/inmueble/venta-apartamento-bogota-los-cedritos-3-habitaciones-3-banos-2-garajes/13194-M6588695</t>
  </si>
  <si>
    <t>17286-M6399546</t>
  </si>
  <si>
    <t>ESTORIL</t>
  </si>
  <si>
    <t>https://www.metrocuadrado.com/inmueble/venta-apartamento-bogota-estoril-1-habitaciones-2-banos-1-garajes/17286-M6399546</t>
  </si>
  <si>
    <t>18479-M6164224</t>
  </si>
  <si>
    <t>https://www.metrocuadrado.com/inmueble/venta-apartamento-bogota-santa-barbara-central-3-habitaciones-3-banos-2-garajes/18479-M6164224</t>
  </si>
  <si>
    <t>2162-M6071306</t>
  </si>
  <si>
    <t>https://www.metrocuadrado.com/inmueble/venta-apartamento-bogota-los-rosales-3-habitaciones-4-banos-2-garajes/2162-M6071306</t>
  </si>
  <si>
    <t>2123-M6495107</t>
  </si>
  <si>
    <t>UB DELICIAS DEL CARMEN</t>
  </si>
  <si>
    <t>https://www.metrocuadrado.com/inmueble/venta-apartamento-bogota-ub-delicias-del-carmen-3-habitaciones-4-banos-2-garajes/2123-M6495107</t>
  </si>
  <si>
    <t>660-M6372591</t>
  </si>
  <si>
    <t>NUEVO CONTRY</t>
  </si>
  <si>
    <t>https://www.metrocuadrado.com/inmueble/venta-apartamento-bogota-nuevo-contry-2-habitaciones-2-banos-1-garajes/660-M6372591</t>
  </si>
  <si>
    <t>156-M6495738</t>
  </si>
  <si>
    <t>https://www.metrocuadrado.com/inmueble/venta-apartamento-bogota-britalia-3-habitaciones-2-banos-1-garajes/156-M6495738</t>
  </si>
  <si>
    <t>156-M6456414</t>
  </si>
  <si>
    <t>https://www.metrocuadrado.com/inmueble/venta-apartamento-bogota-britalia-2-habitaciones-2-banos-1-garajes/156-M6456414</t>
  </si>
  <si>
    <t>12473-M6496681</t>
  </si>
  <si>
    <t>https://www.metrocuadrado.com/inmueble/venta-apartamento-bogota-los-rosales-3-habitaciones-4-banos-4-garajes/12473-M6496681</t>
  </si>
  <si>
    <t>2821-M6395927</t>
  </si>
  <si>
    <t>https://www.metrocuadrado.com/inmueble/venta-apartamento-bogota-nueva-zelandia-3-habitaciones-2-banos-2-garajes/2821-M6395927</t>
  </si>
  <si>
    <t>17527-M6229847</t>
  </si>
  <si>
    <t>https://www.metrocuadrado.com/inmueble/venta-apartamento-bogota-chico-norte-2-habitaciones-3-banos-2-garajes/17527-M6229847</t>
  </si>
  <si>
    <t>16034-M6492663</t>
  </si>
  <si>
    <t>CASA BLANCA SUBA</t>
  </si>
  <si>
    <t>https://www.metrocuadrado.com/inmueble/venta-apartamento-bogota-casa-blanca-suba-3-habitaciones-4-banos-4-garajes/16034-M6492663</t>
  </si>
  <si>
    <t>MC5951787</t>
  </si>
  <si>
    <t>MADELENA I Y II</t>
  </si>
  <si>
    <t>https://www.metrocuadrado.com/inmueble/venta-apartamento-bogota-madelena-i-y-ii-3-habitaciones-2-banos-1-garajes/MC5951787</t>
  </si>
  <si>
    <t>Carvajal-Sevillana</t>
  </si>
  <si>
    <t>CSE</t>
  </si>
  <si>
    <t>Kennedy</t>
  </si>
  <si>
    <t>Autopista Sur # 63-40</t>
  </si>
  <si>
    <t>CIUDAD BOLIVAR</t>
  </si>
  <si>
    <t>MC6496676</t>
  </si>
  <si>
    <t>https://www.metrocuadrado.com/inmueble/venta-apartamento-bogota-potosi-3-habitaciones-3-banos-1-garajes/MC6496676</t>
  </si>
  <si>
    <t>MC6318290</t>
  </si>
  <si>
    <t>SANTA BIBIANA</t>
  </si>
  <si>
    <t>https://www.metrocuadrado.com/inmueble/venta-apartamento-bogota-santa-bibiana-3-habitaciones-4-banos-4-garajes/MC6318290</t>
  </si>
  <si>
    <t>MC5943010</t>
  </si>
  <si>
    <t>MONACO   EDIF ESCORIAL I</t>
  </si>
  <si>
    <t>https://www.metrocuadrado.com/inmueble/venta-apartamento-bogota-monaco-edif-escorial-i-2-habitaciones-1-banos-1-garajes/MC5943010</t>
  </si>
  <si>
    <t>20028-C0001-01</t>
  </si>
  <si>
    <t>https://www.metrocuadrado.com/proyecto/alsacia-arbore/20028-C0001-01</t>
  </si>
  <si>
    <t>20028-C0001-03</t>
  </si>
  <si>
    <t>https://www.metrocuadrado.com/proyecto/alsacia-arbore/20028-C0001-03</t>
  </si>
  <si>
    <t>16432-C0017-01</t>
  </si>
  <si>
    <t>NUEVA CASTILLA</t>
  </si>
  <si>
    <t>https://www.metrocuadrado.com/proyecto/oikos-balmora/16432-C0017-01</t>
  </si>
  <si>
    <t>14693-C0004-07</t>
  </si>
  <si>
    <t>https://www.metrocuadrado.com/proyecto/pekin/14693-C0004-07</t>
  </si>
  <si>
    <t>MC6529090</t>
  </si>
  <si>
    <t>CIUDAD JARDIN NORTE</t>
  </si>
  <si>
    <t>https://www.metrocuadrado.com/inmueble/venta-apartamento-bogota-ciudad-jardin-norte-3-habitaciones-3-banos-2-garajes/MC6529090</t>
  </si>
  <si>
    <t>MC5185309</t>
  </si>
  <si>
    <t>https://www.metrocuadrado.com/inmueble/venta-apartamento-bogota-los-cedritos-1-habitaciones-1-banos-1-garajes/MC5185309</t>
  </si>
  <si>
    <t>3576-M6548483</t>
  </si>
  <si>
    <t>https://www.metrocuadrado.com/inmueble/venta-apartamento-bogota-santa-bibiana-3-habitaciones-3-banos-1-garajes/3576-M6548483</t>
  </si>
  <si>
    <t>16959-M5860227</t>
  </si>
  <si>
    <t>https://www.metrocuadrado.com/inmueble/venta-apartamento-bogota-san-jose-del-prado-3-habitaciones-2-banos-1-garajes/16959-M5860227</t>
  </si>
  <si>
    <t>16959-M6439309</t>
  </si>
  <si>
    <t>LAS VILLAS</t>
  </si>
  <si>
    <t>https://www.metrocuadrado.com/inmueble/venta-apartamento-bogota-las-villas-3-habitaciones-3-banos-1-garajes/16959-M6439309</t>
  </si>
  <si>
    <t>16959-M6366489</t>
  </si>
  <si>
    <t>PRADO PINZON</t>
  </si>
  <si>
    <t>https://www.metrocuadrado.com/inmueble/venta-apartamento-bogota-prado-pinzon-2-habitaciones-2-banos-1-garajes/16959-M6366489</t>
  </si>
  <si>
    <t>17140-M5830635</t>
  </si>
  <si>
    <t>https://www.metrocuadrado.com/inmueble/venta-apartamento-bogota-los-rosales-2-habitaciones-4-banos-3-garajes/17140-M5830635</t>
  </si>
  <si>
    <t>20689-M6035218</t>
  </si>
  <si>
    <t>https://www.metrocuadrado.com/inmueble/venta-apartamento-bogota-country-club-3-habitaciones-3-banos-2-garajes/20689-M6035218</t>
  </si>
  <si>
    <t>MC6339502</t>
  </si>
  <si>
    <t>COMUNEROS</t>
  </si>
  <si>
    <t>https://www.metrocuadrado.com/inmueble/venta-apartamento-bogota-comuneros-3-habitaciones-2-banos-1-garajes/MC6339502</t>
  </si>
  <si>
    <t>El Jazmín</t>
  </si>
  <si>
    <t>JAZ</t>
  </si>
  <si>
    <t>Calle 1 G # 41 A 39</t>
  </si>
  <si>
    <t>Residencial</t>
  </si>
  <si>
    <t>MC6567461</t>
  </si>
  <si>
    <t>BOSQUE CALDERON</t>
  </si>
  <si>
    <t>https://www.metrocuadrado.com/inmueble/venta-apartamento-bogota-bosque-calderon-1-habitaciones-1-banos/MC6567461</t>
  </si>
  <si>
    <t>MC6569404</t>
  </si>
  <si>
    <t>https://www.metrocuadrado.com/inmueble/venta-apartamento-bogota-el-plan-3-habitaciones-2-banos-1-garajes/MC6569404</t>
  </si>
  <si>
    <t>21845-M6429454</t>
  </si>
  <si>
    <t>PARDO RUBIO</t>
  </si>
  <si>
    <t>https://www.metrocuadrado.com/inmueble/venta-apartamento-bogota-pardo-rubio-1-habitaciones-2-banos-1-garajes/21845-M6429454</t>
  </si>
  <si>
    <t>21845-M6567592</t>
  </si>
  <si>
    <t>https://www.metrocuadrado.com/inmueble/venta-apartamento-bogota-santa-bibiana-1-habitaciones-1-banos-1-garajes/21845-M6567592</t>
  </si>
  <si>
    <t>20235-M6579454</t>
  </si>
  <si>
    <t>https://www.metrocuadrado.com/inmueble/venta-apartamento-bogota-ciudad-jardin-norte-3-habitaciones-2-banos-1-garajes/20235-M6579454</t>
  </si>
  <si>
    <t>MC6523696</t>
  </si>
  <si>
    <t>https://www.metrocuadrado.com/inmueble/venta-apartamento-bogota-chico-norte-et.-ii-1-habitaciones-1-banos-1-garajes/MC6523696</t>
  </si>
  <si>
    <t>20625-M5963849</t>
  </si>
  <si>
    <t>AEROPUERTO ELDORADO</t>
  </si>
  <si>
    <t>https://www.metrocuadrado.com/inmueble/venta-apartamento-bogota-aeropuerto-eldorado-2-habitaciones-2-banos/20625-M5963849</t>
  </si>
  <si>
    <t>FTB</t>
  </si>
  <si>
    <t>Carrera 104 # 20 C - 31</t>
  </si>
  <si>
    <t>917-M4244439</t>
  </si>
  <si>
    <t>https://www.metrocuadrado.com/inmueble/venta-apartamento-bogota-santa-ana-oriental-3-habitaciones-5-banos-3-garajes/917-M4244439</t>
  </si>
  <si>
    <t>2328-M6397738</t>
  </si>
  <si>
    <t>https://www.metrocuadrado.com/inmueble/venta-apartamento-bogota-los-rosales-3-habitaciones-5-banos-3-garajes/2328-M6397738</t>
  </si>
  <si>
    <t>2671-M6391191</t>
  </si>
  <si>
    <t>CERROS DE NIZA</t>
  </si>
  <si>
    <t>https://www.metrocuadrado.com/inmueble/venta-apartamento-bogota-cerros-de-niza-3-habitaciones-4-banos-4-garajes/2671-M6391191</t>
  </si>
  <si>
    <t>20706-M6141068</t>
  </si>
  <si>
    <t>LAS AGUAS</t>
  </si>
  <si>
    <t>https://www.metrocuadrado.com/inmueble/venta-apartamento-bogota-las-aguas-3-habitaciones-3-banos-2-garajes/20706-M6141068</t>
  </si>
  <si>
    <t>CANDELARIA</t>
  </si>
  <si>
    <t>13674-M6577233</t>
  </si>
  <si>
    <t>CR JARDINES DE LA COLINA ET I</t>
  </si>
  <si>
    <t>https://www.metrocuadrado.com/inmueble/venta-apartamento-bogota-cr-jardines-de-la-colina-et-i-3-habitaciones-2-banos-1-garajes/13674-M6577233</t>
  </si>
  <si>
    <t>836-M6084493</t>
  </si>
  <si>
    <t>LOS NARANJOS</t>
  </si>
  <si>
    <t>https://www.metrocuadrado.com/inmueble/venta-apartamento-bogota-los-naranjos-3-habitaciones-1-banos/836-M6084493</t>
  </si>
  <si>
    <t>21549-M6484793</t>
  </si>
  <si>
    <t>MAZUREN</t>
  </si>
  <si>
    <t>https://www.metrocuadrado.com/inmueble/venta-apartamento-bogota-mazuren-2-habitaciones-2-banos-2-garajes/21549-M6484793</t>
  </si>
  <si>
    <t>5537-M4866273</t>
  </si>
  <si>
    <t>NIZA SUBA</t>
  </si>
  <si>
    <t>https://www.metrocuadrado.com/inmueble/venta-apartamento-bogota-niza-suba-3-habitaciones-4-banos-2-garajes/5537-M4866273</t>
  </si>
  <si>
    <t>2671-M6560371</t>
  </si>
  <si>
    <t>https://www.metrocuadrado.com/inmueble/venta-apartamento-bogota-cerros-de-suba-3-habitaciones-5-banos-4-garajes/2671-M6560371</t>
  </si>
  <si>
    <t>2671-M6298135</t>
  </si>
  <si>
    <t>https://www.metrocuadrado.com/inmueble/venta-apartamento-bogota-cerros-de-suba-3-habitaciones-4-banos-4-garajes/2671-M6298135</t>
  </si>
  <si>
    <t>20342-M6364761</t>
  </si>
  <si>
    <t>https://www.metrocuadrado.com/inmueble/venta-apartamento-bogota-las-aguas-3-habitaciones-2-banos/20342-M6364761</t>
  </si>
  <si>
    <t>2671-M5794687</t>
  </si>
  <si>
    <t>LAGOS DE CORDOBA</t>
  </si>
  <si>
    <t>https://www.metrocuadrado.com/inmueble/venta-apartamento-bogota-lagos-de-cordoba-3-habitaciones-5-banos-2-garajes/2671-M5794687</t>
  </si>
  <si>
    <t>2671-M6377140</t>
  </si>
  <si>
    <t>LISBOA</t>
  </si>
  <si>
    <t>https://www.metrocuadrado.com/inmueble/venta-apartamento-bogota-lisboa-3-habitaciones-5-banos-4-garajes/2671-M6377140</t>
  </si>
  <si>
    <t>SANTA BARBARA ALTA</t>
  </si>
  <si>
    <t>2671-M5794267</t>
  </si>
  <si>
    <t>https://www.metrocuadrado.com/inmueble/venta-apartamento-bogota-cerros-de-suba-3-habitaciones-4-banos-4-garajes/2671-M5794267</t>
  </si>
  <si>
    <t>2671-M5792510</t>
  </si>
  <si>
    <t>https://www.metrocuadrado.com/inmueble/venta-apartamento-bogota-cerros-de-suba-4-habitaciones-5-banos-4-garajes/2671-M5792510</t>
  </si>
  <si>
    <t>SOTILEZA</t>
  </si>
  <si>
    <t>2671-M6272874</t>
  </si>
  <si>
    <t>RESERVA DE LA SIERRA</t>
  </si>
  <si>
    <t>https://www.metrocuadrado.com/inmueble/venta-apartamento-bogota-reserva-de-la-sierra-3-habitaciones-4-banos-3-garajes/2671-M6272874</t>
  </si>
  <si>
    <t>20819-M6025451</t>
  </si>
  <si>
    <t>https://www.metrocuadrado.com/inmueble/venta-apartamento-bogota-cantalejo-3-habitaciones-3-banos-2-garajes/20819-M6025451</t>
  </si>
  <si>
    <t>17553-M6445561</t>
  </si>
  <si>
    <t>SANTA ROSA</t>
  </si>
  <si>
    <t>https://www.metrocuadrado.com/inmueble/venta-apartamento-bogota-santa-rosa-3-habitaciones-2-banos-1-garajes/17553-M6445561</t>
  </si>
  <si>
    <t>3282-M4877936</t>
  </si>
  <si>
    <t>GINEBRA NORTE</t>
  </si>
  <si>
    <t>https://www.metrocuadrado.com/inmueble/venta-apartamento-bogota-ginebra-norte-3-habitaciones-3-banos-2-garajes/3282-M4877936</t>
  </si>
  <si>
    <t>4830-M5533758</t>
  </si>
  <si>
    <t>SANTA CECILIA</t>
  </si>
  <si>
    <t>https://www.metrocuadrado.com/inmueble/venta-apartamento-bogota-santa-cecilia-1-habitaciones-1-banos-1-garajes/4830-M5533758</t>
  </si>
  <si>
    <t>18294-M6585132</t>
  </si>
  <si>
    <t>SABANALARGA</t>
  </si>
  <si>
    <t>https://www.metrocuadrado.com/inmueble/venta-apartamento-bogota-sabanalarga-3-habitaciones-5-banos-4-garajes/18294-M6585132</t>
  </si>
  <si>
    <t>651-M5965752</t>
  </si>
  <si>
    <t>PRADOS DE LA CALLEJA</t>
  </si>
  <si>
    <t>https://www.metrocuadrado.com/inmueble/venta-apartamento-bogota-prados-de-la-calleja-3-habitaciones-5-banos-3-garajes/651-M5965752</t>
  </si>
  <si>
    <t>3065-M6143664</t>
  </si>
  <si>
    <t>https://www.metrocuadrado.com/inmueble/venta-apartamento-bogota-3-habitaciones-5-banos-3-garajes/3065-M6143664</t>
  </si>
  <si>
    <t>16108-M6400551</t>
  </si>
  <si>
    <t>CERROS DE SOTILEZA</t>
  </si>
  <si>
    <t>https://www.metrocuadrado.com/inmueble/venta-apartamento-bogota-cerros-de-sotileza-2-habitaciones-4-banos-4-garajes/16108-M6400551</t>
  </si>
  <si>
    <t>16369-M6198646</t>
  </si>
  <si>
    <t>CAMINO VIEJO DE SAN CRISTOBAL</t>
  </si>
  <si>
    <t>https://www.metrocuadrado.com/inmueble/venta-apartamento-bogota-camino-viejo-de-san-cristobal-3-habitaciones-2-banos-1-garajes/16369-M6198646</t>
  </si>
  <si>
    <t>San Cristóbal</t>
  </si>
  <si>
    <t>SCR</t>
  </si>
  <si>
    <t>Carrera 2 Este # 12-78 sur</t>
  </si>
  <si>
    <t>SAN CRISTOBAL</t>
  </si>
  <si>
    <t>374-M6388495</t>
  </si>
  <si>
    <t>https://www.metrocuadrado.com/inmueble/venta-apartamento-bogota-chico-norte-4-habitaciones-5-banos-3-garajes/374-M6388495</t>
  </si>
  <si>
    <t>16369-M6285849</t>
  </si>
  <si>
    <t>https://www.metrocuadrado.com/inmueble/venta-apartamento-bogota-santa-barbara-central-3-habitaciones-5-banos-3-garajes/16369-M6285849</t>
  </si>
  <si>
    <t>4535-M6354871</t>
  </si>
  <si>
    <t>https://www.metrocuadrado.com/inmueble/venta-apartamento-bogota-niza-suba-3-habitaciones-5-banos-4-garajes/4535-M6354871</t>
  </si>
  <si>
    <t>2162-M5845933</t>
  </si>
  <si>
    <t>https://www.metrocuadrado.com/inmueble/venta-apartamento-bogota-santa-barbara-central-3-habitaciones-5-banos-3-garajes/2162-M5845933</t>
  </si>
  <si>
    <t>2456-M4653615</t>
  </si>
  <si>
    <t>https://www.metrocuadrado.com/inmueble/venta-apartamento-bogota-el-plan-3-habitaciones-5-banos-3-garajes/2456-M4653615</t>
  </si>
  <si>
    <t>660-M6399885</t>
  </si>
  <si>
    <t>LAS ACASIAS</t>
  </si>
  <si>
    <t>https://www.metrocuadrado.com/inmueble/venta-apartamento-bogota-las-acasias-3-habitaciones-3-banos-1-garajes/660-M6399885</t>
  </si>
  <si>
    <t>16667-M5809644</t>
  </si>
  <si>
    <t>https://www.metrocuadrado.com/inmueble/venta-apartamento-bogota-san-jose-del-prado-3-habitaciones-2-banos-1-garajes/16667-M5809644</t>
  </si>
  <si>
    <t>17527-M5282584</t>
  </si>
  <si>
    <t>https://www.metrocuadrado.com/inmueble/venta-apartamento-bogota-el-refugio-3-habitaciones-3-banos-2-garajes/17527-M5282584</t>
  </si>
  <si>
    <t>17527-M6229947</t>
  </si>
  <si>
    <t>https://www.metrocuadrado.com/inmueble/venta-apartamento-bogota-san-patricio-3-habitaciones-4-banos-3-garajes/17527-M6229947</t>
  </si>
  <si>
    <t>16430-M5275168</t>
  </si>
  <si>
    <t>LA CABRERA</t>
  </si>
  <si>
    <t>https://www.metrocuadrado.com/inmueble/venta-apartamento-bogota-la-cabrera-4-habitaciones-5-banos-3-garajes/16430-M5275168</t>
  </si>
  <si>
    <t>18378-M6404357</t>
  </si>
  <si>
    <t>https://www.metrocuadrado.com/inmueble/venta-apartamento-bogota-quinta-paredes-2-habitaciones-2-banos-1-garajes/18378-M6404357</t>
  </si>
  <si>
    <t>MC6561150</t>
  </si>
  <si>
    <t>https://www.metrocuadrado.com/inmueble/venta-apartamento-bogota-el-plan-3-habitaciones-2-banos-1-garajes/MC6561150</t>
  </si>
  <si>
    <t>MC6460092</t>
  </si>
  <si>
    <t>EL DORADO</t>
  </si>
  <si>
    <t>https://www.metrocuadrado.com/inmueble/venta-apartamento-bogota-el-dorado-3-habitaciones-2-banos-1-garajes/MC6460092</t>
  </si>
  <si>
    <t>MC6525085</t>
  </si>
  <si>
    <t>NUESTRA SENORA DE LA PAZ</t>
  </si>
  <si>
    <t>https://www.metrocuadrado.com/inmueble/venta-apartamento-bogota-nuestra-senora-de-la-paz-4-habitaciones-2-banos-1-garajes/MC6525085</t>
  </si>
  <si>
    <t>MC6157736</t>
  </si>
  <si>
    <t>LA SOLEDAD</t>
  </si>
  <si>
    <t>https://www.metrocuadrado.com/inmueble/venta-apartamento-bogota-la-soledad-2-habitaciones-2-banos-1-garajes/MC6157736</t>
  </si>
  <si>
    <t>21962-C0003-01</t>
  </si>
  <si>
    <t>SAN CRISTÓBAL SUR</t>
  </si>
  <si>
    <t>https://www.metrocuadrado.com/proyecto/reserva-del-bosque-apartamentos/21962-C0003-01</t>
  </si>
  <si>
    <t>21389-C0001-03</t>
  </si>
  <si>
    <t>SAN MIGUEL</t>
  </si>
  <si>
    <t>https://www.metrocuadrado.com/proyecto/torre-rosetta/21389-C0001-03</t>
  </si>
  <si>
    <t>17156-C0001-04</t>
  </si>
  <si>
    <t>HAYUELOS</t>
  </si>
  <si>
    <t>https://www.metrocuadrado.com/proyecto/centriko/17156-C0001-04</t>
  </si>
  <si>
    <t>14693-C0004-12</t>
  </si>
  <si>
    <t>https://www.metrocuadrado.com/proyecto/pekin/14693-C0004-12</t>
  </si>
  <si>
    <t>MC3246928</t>
  </si>
  <si>
    <t>URBANIZACION CLASS</t>
  </si>
  <si>
    <t>https://www.metrocuadrado.com/inmueble/venta-apartamento-bogota-urbanizacion-class-3-habitaciones-2-banos/MC3246928</t>
  </si>
  <si>
    <t>KEN</t>
  </si>
  <si>
    <t>Carrera 80 # 40-55 sur</t>
  </si>
  <si>
    <t>MC6230255</t>
  </si>
  <si>
    <t>https://www.metrocuadrado.com/inmueble/venta-apartamento-bogota-san-patricio-2-habitaciones-2-banos-2-garajes/MC6230255</t>
  </si>
  <si>
    <t>MC6203118</t>
  </si>
  <si>
    <t>SANTA BARBARA ORIENTAL   EDIF NT TOWER</t>
  </si>
  <si>
    <t>https://www.metrocuadrado.com/inmueble/venta-apartamento-bogota-santa-barbara-oriental-edif-nt-tower-2-habitaciones-3-banos-2-garajes/MC6203118</t>
  </si>
  <si>
    <t>MC6526667</t>
  </si>
  <si>
    <t>https://www.metrocuadrado.com/inmueble/venta-apartamento-bogota-el-tintal-a.s.d.-3-habitaciones-2-banos-1-garajes/MC6526667</t>
  </si>
  <si>
    <t>MC4705450</t>
  </si>
  <si>
    <t>https://www.metrocuadrado.com/inmueble/venta-apartamento-bogota-chico-norte-et.-ii-1-habitaciones-2-banos-2-garajes/MC4705450</t>
  </si>
  <si>
    <t>MC6369410</t>
  </si>
  <si>
    <t>GILMAR</t>
  </si>
  <si>
    <t>https://www.metrocuadrado.com/inmueble/venta-apartamento-bogota-gilmar-3-habitaciones-2-banos-1-garajes/MC6369410</t>
  </si>
  <si>
    <t>MC6571665</t>
  </si>
  <si>
    <t>UB  EL CORTIJO</t>
  </si>
  <si>
    <t>https://www.metrocuadrado.com/inmueble/venta-apartamento-bogota-ub.-el-cortijo-3-habitaciones-1-banos-1-garajes/MC6571665</t>
  </si>
  <si>
    <t>19677-M6493313</t>
  </si>
  <si>
    <t>EL TINTAL</t>
  </si>
  <si>
    <t>https://www.metrocuadrado.com/inmueble/venta-apartamento-bogota-el-tintal-3-habitaciones-2-banos-1-garajes/19677-M6493313</t>
  </si>
  <si>
    <t>19677-M6494384</t>
  </si>
  <si>
    <t>CHAPINERO SUR OCCIDENTAL</t>
  </si>
  <si>
    <t>https://www.metrocuadrado.com/inmueble/venta-apartamento-bogota-chapinero-sur-occidental-1-habitaciones-1-banos/19677-M6494384</t>
  </si>
  <si>
    <t>MC4265878</t>
  </si>
  <si>
    <t>LA LIBERTAD</t>
  </si>
  <si>
    <t>https://www.metrocuadrado.com/inmueble/venta-apartamento-bogota-la-libertad-3-habitaciones-2-banos-1-garajes/MC4265878</t>
  </si>
  <si>
    <t>MC6586766</t>
  </si>
  <si>
    <t>UB  LA GRAN GRANADA</t>
  </si>
  <si>
    <t>https://www.metrocuadrado.com/inmueble/venta-apartamento-bogota-ub.-la-gran-granada-3-habitaciones-2-banos-1-garajes/MC6586766</t>
  </si>
  <si>
    <t>MC6526634</t>
  </si>
  <si>
    <t>CLUB LOS LAGARTOS</t>
  </si>
  <si>
    <t>https://www.metrocuadrado.com/inmueble/venta-apartamento-bogota-club-los-lagartos-3-habitaciones-4-banos-2-garajes/MC6526634</t>
  </si>
  <si>
    <t>11369-M6364017</t>
  </si>
  <si>
    <t>https://www.metrocuadrado.com/inmueble/venta-apartamento-bogota-quinta-paredes-3-habitaciones-2-banos-1-garajes/11369-M6364017</t>
  </si>
  <si>
    <t>11369-M5360184</t>
  </si>
  <si>
    <t>LA CASTELLANA</t>
  </si>
  <si>
    <t>https://www.metrocuadrado.com/inmueble/venta-apartamento-bogota-la-castellana-3-habitaciones-2-banos-1-garajes/11369-M5360184</t>
  </si>
  <si>
    <t>MC6459778</t>
  </si>
  <si>
    <t>https://www.metrocuadrado.com/inmueble/venta-apartamento-bogota-el-tintal-a.s.d.-3-habitaciones-2-banos-1-garajes/MC6459778</t>
  </si>
  <si>
    <t>2671-M6059551</t>
  </si>
  <si>
    <t>RECODO DEL COUNTRY</t>
  </si>
  <si>
    <t>https://www.metrocuadrado.com/inmueble/venta-apartamento-bogota-recodo-del-country-4-habitaciones-5-banos-4-garajes/2671-M6059551</t>
  </si>
  <si>
    <t>2671-M5840853</t>
  </si>
  <si>
    <t>https://www.metrocuadrado.com/inmueble/venta-apartamento-bogota-lagos-de-cordoba-4-habitaciones-5-banos-2-garajes/2671-M5840853</t>
  </si>
  <si>
    <t>13016-M6343370</t>
  </si>
  <si>
    <t>LA SALLE</t>
  </si>
  <si>
    <t>https://www.metrocuadrado.com/inmueble/venta-apartamento-bogota-la-salle-3-habitaciones-2-banos-1-garajes/13016-M6343370</t>
  </si>
  <si>
    <t>3774-M6119340</t>
  </si>
  <si>
    <t>https://www.metrocuadrado.com/inmueble/venta-apartamento-bogota-santa-barbara-occidental-3-habitaciones-4-banos-2-garajes/3774-M6119340</t>
  </si>
  <si>
    <t>2671-M6396797</t>
  </si>
  <si>
    <t>https://www.metrocuadrado.com/inmueble/venta-apartamento-bogota-provenza-3-habitaciones-4-banos-3-garajes/2671-M6396797</t>
  </si>
  <si>
    <t>3340-M4089412</t>
  </si>
  <si>
    <t>https://www.metrocuadrado.com/inmueble/venta-apartamento-bogota-molinos-norte-3-habitaciones-3-banos-4-garajes/3340-M4089412</t>
  </si>
  <si>
    <t>2671-M6360705</t>
  </si>
  <si>
    <t>https://www.metrocuadrado.com/inmueble/venta-apartamento-bogota-cerros-de-niza-3-habitaciones-4-banos-2-garajes/2671-M6360705</t>
  </si>
  <si>
    <t>20706-M6100194</t>
  </si>
  <si>
    <t>https://www.metrocuadrado.com/inmueble/venta-apartamento-bogota-san-patricio-3-habitaciones-4-banos-3-garajes/20706-M6100194</t>
  </si>
  <si>
    <t>2671-M5792970</t>
  </si>
  <si>
    <t>https://www.metrocuadrado.com/inmueble/venta-apartamento-bogota-cerros-de-suba-4-habitaciones-5-banos-4-garajes/2671-M5792970</t>
  </si>
  <si>
    <t>2671-M5717657</t>
  </si>
  <si>
    <t>COLINA CAMPESTRE</t>
  </si>
  <si>
    <t>https://www.metrocuadrado.com/inmueble/venta-apartamento-bogota-colina-campestre-3-habitaciones-3-banos-2-garajes/2671-M5717657</t>
  </si>
  <si>
    <t>19701-M6386461</t>
  </si>
  <si>
    <t>https://www.metrocuadrado.com/inmueble/venta-apartamento-bogota-la-carolina-3-habitaciones-4-banos-2-garajes/19701-M6386461</t>
  </si>
  <si>
    <t>21407-M6494766</t>
  </si>
  <si>
    <t>https://www.metrocuadrado.com/inmueble/venta-apartamento-bogota-franco-2-habitaciones-1-banos/21407-M6494766</t>
  </si>
  <si>
    <t>917-M5576970</t>
  </si>
  <si>
    <t>https://www.metrocuadrado.com/inmueble/venta-apartamento-bogota-santa-ana-oriental-2-habitaciones-3-banos-2-garajes/917-M5576970</t>
  </si>
  <si>
    <t>2671-M6431135</t>
  </si>
  <si>
    <t>https://www.metrocuadrado.com/inmueble/venta-apartamento-bogota-sotileza-4-habitaciones-4-banos-2-garajes/2671-M6431135</t>
  </si>
  <si>
    <t>5545-M6312614</t>
  </si>
  <si>
    <t>ACEVEDO TEJADA</t>
  </si>
  <si>
    <t>https://www.metrocuadrado.com/inmueble/venta-apartamento-bogota-acevedo-tejada-5-habitaciones-5-banos-1-garajes/5545-M6312614</t>
  </si>
  <si>
    <t>2671-M6328020</t>
  </si>
  <si>
    <t>https://www.metrocuadrado.com/inmueble/venta-apartamento-bogota-cerros-de-niza-3-habitaciones-4-banos-2-garajes/2671-M6328020</t>
  </si>
  <si>
    <t>2671-M5793497</t>
  </si>
  <si>
    <t>https://www.metrocuadrado.com/inmueble/venta-apartamento-bogota-cerros-de-suba-3-habitaciones-4-banos-4-garajes/2671-M5793497</t>
  </si>
  <si>
    <t>20706-M6120338</t>
  </si>
  <si>
    <t>https://www.metrocuadrado.com/inmueble/venta-apartamento-bogota-el-plan-3-habitaciones-2-banos-1-garajes/20706-M6120338</t>
  </si>
  <si>
    <t>2671-M5792987</t>
  </si>
  <si>
    <t>https://www.metrocuadrado.com/inmueble/venta-apartamento-bogota-sotileza-4-habitaciones-5-banos-4-garajes/2671-M5792987</t>
  </si>
  <si>
    <t>19734-M6012037</t>
  </si>
  <si>
    <t>EL CAMPIN</t>
  </si>
  <si>
    <t>https://www.metrocuadrado.com/inmueble/venta-apartamento-bogota-el-campin-4-habitaciones-2-banos/19734-M6012037</t>
  </si>
  <si>
    <t>2671-M5793043</t>
  </si>
  <si>
    <t>https://www.metrocuadrado.com/inmueble/venta-apartamento-bogota-cerros-de-niza-3-habitaciones-5-banos-4-garajes/2671-M5793043</t>
  </si>
  <si>
    <t>16108-M6509858</t>
  </si>
  <si>
    <t>https://www.metrocuadrado.com/inmueble/venta-apartamento-bogota-santa-ana-oriental-2-habitaciones-3-banos-3-garajes/16108-M6509858</t>
  </si>
  <si>
    <t>16108-M6400476</t>
  </si>
  <si>
    <t>https://www.metrocuadrado.com/inmueble/venta-apartamento-bogota-chico-3-habitaciones-4-banos-3-garajes/16108-M6400476</t>
  </si>
  <si>
    <t>4830-M3040996</t>
  </si>
  <si>
    <t>https://www.metrocuadrado.com/inmueble/venta-apartamento-bogota-niza-suba-3-habitaciones-2-banos-2-garajes/4830-M3040996</t>
  </si>
  <si>
    <t>2974-M6586951</t>
  </si>
  <si>
    <t>EL NOGAL</t>
  </si>
  <si>
    <t>https://www.metrocuadrado.com/inmueble/venta-apartamento-bogota-el-nogal-3-habitaciones-4-banos-2-garajes/2974-M6586951</t>
  </si>
  <si>
    <t>19339-M5959436</t>
  </si>
  <si>
    <t>CIUDAD SALITRE ORIENTAL</t>
  </si>
  <si>
    <t>https://www.metrocuadrado.com/inmueble/venta-apartamento-bogota-ciudad-salitre-oriental-3-habitaciones-3-banos-2-garajes/19339-M5959436</t>
  </si>
  <si>
    <t>16577-M6587645</t>
  </si>
  <si>
    <t>SANTA PAULA</t>
  </si>
  <si>
    <t>https://www.metrocuadrado.com/inmueble/venta-apartamento-bogota-santa-paula-3-habitaciones-3-banos-3-garajes/16577-M6587645</t>
  </si>
  <si>
    <t>15654-M6498871</t>
  </si>
  <si>
    <t>https://www.metrocuadrado.com/inmueble/venta-apartamento-bogota-santa-bibiana-3-habitaciones-2-banos-2-garajes/15654-M6498871</t>
  </si>
  <si>
    <t>16108-M6336613</t>
  </si>
  <si>
    <t>https://www.metrocuadrado.com/inmueble/venta-apartamento-bogota-chico-norte-2-habitaciones-3-banos-1-garajes/16108-M6336613</t>
  </si>
  <si>
    <t>15333-M4744878</t>
  </si>
  <si>
    <t>https://www.metrocuadrado.com/inmueble/venta-apartamento-bogota-santa-barbara-oriental-3-habitaciones-4-banos-2-garajes/15333-M4744878</t>
  </si>
  <si>
    <t>19434-M6280825</t>
  </si>
  <si>
    <t>https://www.metrocuadrado.com/inmueble/venta-apartamento-bogota-cerros-de-santa-barbara-3-habitaciones-5-banos-3-garajes/19434-M6280825</t>
  </si>
  <si>
    <t>2456-M4598178</t>
  </si>
  <si>
    <t>https://www.metrocuadrado.com/inmueble/venta-apartamento-bogota-el-plan-3-habitaciones-5-banos-3-garajes/2456-M4598178</t>
  </si>
  <si>
    <t>2456-M4598192</t>
  </si>
  <si>
    <t>https://www.metrocuadrado.com/inmueble/venta-apartamento-bogota-el-plan-3-habitaciones-5-banos-4-garajes/2456-M4598192</t>
  </si>
  <si>
    <t>2162-M5238302</t>
  </si>
  <si>
    <t>EMAUS</t>
  </si>
  <si>
    <t>https://www.metrocuadrado.com/inmueble/venta-apartamento-bogota-emaus-3-habitaciones-4-banos-3-garajes/2162-M5238302</t>
  </si>
  <si>
    <t>747-M2698555</t>
  </si>
  <si>
    <t>https://www.metrocuadrado.com/inmueble/venta-apartamento-bogota-gilmar-3-habitaciones-4-banos-2-garajes/747-M2698555</t>
  </si>
  <si>
    <t>17061-M6082530</t>
  </si>
  <si>
    <t>https://www.metrocuadrado.com/inmueble/venta-apartamento-bogota-santa-bibiana-2-habitaciones-3-banos-2-garajes/17061-M6082530</t>
  </si>
  <si>
    <t>12473-M5964309</t>
  </si>
  <si>
    <t>https://www.metrocuadrado.com/inmueble/venta-apartamento-bogota-balcones-de-oriente-3-habitaciones-2-banos/12473-M5964309</t>
  </si>
  <si>
    <t>14121-M5967932</t>
  </si>
  <si>
    <t>CEDRO NARVAEZ</t>
  </si>
  <si>
    <t>https://www.metrocuadrado.com/inmueble/venta-apartamento-bogota-cedro-narvaez-2-habitaciones-2-banos-1-garajes/14121-M5967932</t>
  </si>
  <si>
    <t>17723-M5389782</t>
  </si>
  <si>
    <t>COUNTRY CLUB   EDIF SAUCES DEL COUNTRY</t>
  </si>
  <si>
    <t>https://www.metrocuadrado.com/inmueble/venta-apartamento-bogota-country-club-edif-sauces-del-country-3-habitaciones-3-banos-2-garajes/17723-M5389782</t>
  </si>
  <si>
    <t>MC6577267</t>
  </si>
  <si>
    <t>https://www.metrocuadrado.com/inmueble/venta-apartamento-bogota-caobos-salazar-3-habitaciones-3-banos-2-garajes/MC6577267</t>
  </si>
  <si>
    <t>MC5543085</t>
  </si>
  <si>
    <t>CJR MIRANDELA 3</t>
  </si>
  <si>
    <t>https://www.metrocuadrado.com/inmueble/venta-apartamento-bogota-cjr-mirandela-3-3-habitaciones-2-banos-2-garajes/MC5543085</t>
  </si>
  <si>
    <t>MC6370425</t>
  </si>
  <si>
    <t>https://www.metrocuadrado.com/inmueble/venta-apartamento-bogota-el-dorado-3-habitaciones-2-banos-1-garajes/MC6370425</t>
  </si>
  <si>
    <t>MC6553365</t>
  </si>
  <si>
    <t>LAS FLORES</t>
  </si>
  <si>
    <t>https://www.metrocuadrado.com/inmueble/venta-apartamento-bogota-las-flores-2-habitaciones-1-banos-1-garajes/MC6553365</t>
  </si>
  <si>
    <t>SUB</t>
  </si>
  <si>
    <t>Carrera 111 # 159A-61</t>
  </si>
  <si>
    <t>22209-C0004-04</t>
  </si>
  <si>
    <t>https://www.metrocuadrado.com/proyecto/haus-park-haus-reservado/22209-C0004-04</t>
  </si>
  <si>
    <t>21389-C0001-04</t>
  </si>
  <si>
    <t>https://www.metrocuadrado.com/proyecto/torre-rosetta/21389-C0001-04</t>
  </si>
  <si>
    <t>17156-C0006-02</t>
  </si>
  <si>
    <t>RECREO</t>
  </si>
  <si>
    <t>https://www.metrocuadrado.com/proyecto/primavera/17156-C0006-02</t>
  </si>
  <si>
    <t>14693-C0004-08</t>
  </si>
  <si>
    <t>https://www.metrocuadrado.com/proyecto/pekin/14693-C0004-08</t>
  </si>
  <si>
    <t>MC6540902</t>
  </si>
  <si>
    <t>https://www.metrocuadrado.com/inmueble/venta-apartamento-bogota-los-naranjos-2-habitaciones-1-banos/MC6540902</t>
  </si>
  <si>
    <t>MC6484427</t>
  </si>
  <si>
    <t>ESTACION CENTRAL</t>
  </si>
  <si>
    <t>https://www.metrocuadrado.com/inmueble/venta-apartamento-bogota-estacion-central-2-habitaciones-1-banos/MC6484427</t>
  </si>
  <si>
    <t>19579-M5661649</t>
  </si>
  <si>
    <t>https://www.metrocuadrado.com/inmueble/venta-apartamento-bogota-santa-barbara-occidental-1-habitaciones-1-banos-1-garajes/19579-M5661649</t>
  </si>
  <si>
    <t>848-M6565326</t>
  </si>
  <si>
    <t>LA ESPERANZA NORTE</t>
  </si>
  <si>
    <t>https://www.metrocuadrado.com/inmueble/venta-apartamento-bogota-la-esperanza-norte-3-habitaciones-4-banos-3-garajes/848-M6565326</t>
  </si>
  <si>
    <t>18758-M6411475</t>
  </si>
  <si>
    <t>https://www.metrocuadrado.com/inmueble/venta-apartamento-bogota-caobos-salazar-3-habitaciones-3-banos-2-garajes/18758-M6411475</t>
  </si>
  <si>
    <t>MC6413056</t>
  </si>
  <si>
    <t>CHAPINERO NORTE</t>
  </si>
  <si>
    <t>https://www.metrocuadrado.com/inmueble/venta-apartamento-bogota-chapinero-norte-2-habitaciones-2-banos/MC6413056</t>
  </si>
  <si>
    <t>20462-M6578852</t>
  </si>
  <si>
    <t>https://www.metrocuadrado.com/inmueble/venta-apartamento-bogota-cedro-salazar-2-habitaciones-2-banos-1-garajes/20462-M6578852</t>
  </si>
  <si>
    <t>MC6043562</t>
  </si>
  <si>
    <t>https://www.metrocuadrado.com/inmueble/venta-apartamento-bogota-el-refugio-1-habitaciones-2-banos-2-garajes/MC6043562</t>
  </si>
  <si>
    <t>MC6232424</t>
  </si>
  <si>
    <t>CJR ARCOS DE CASIGUA A Y B</t>
  </si>
  <si>
    <t>https://www.metrocuadrado.com/inmueble/venta-apartamento-bogota-cjr-arcos-de-casigua-a-y-b-3-habitaciones-3-banos-2-garajes/MC6232424</t>
  </si>
  <si>
    <t>MC6307142</t>
  </si>
  <si>
    <t>https://www.metrocuadrado.com/inmueble/venta-apartamento-bogota-chico-norte-2-habitaciones-4-banos-3-garajes/MC6307142</t>
  </si>
  <si>
    <t>19657-M6099380</t>
  </si>
  <si>
    <t>https://www.metrocuadrado.com/inmueble/venta-apartamento-bogota-lisboa-1-habitaciones-2-banos-2-garajes/19657-M6099380</t>
  </si>
  <si>
    <t>MC6575087</t>
  </si>
  <si>
    <t>https://www.metrocuadrado.com/inmueble/venta-apartamento-bogota-pradera-norte-3-habitaciones-2-banos-1-garajes/MC6575087</t>
  </si>
  <si>
    <t>MC6490065</t>
  </si>
  <si>
    <t>https://www.metrocuadrado.com/inmueble/venta-apartamento-bogota-molinos-norte-1-habitaciones-1-banos-1-garajes/MC6490065</t>
  </si>
  <si>
    <t>MC6330876</t>
  </si>
  <si>
    <t>https://www.metrocuadrado.com/inmueble/venta-apartamento-bogota-rincon-del-chico-2-habitaciones-3-banos-2-garajes/MC6330876</t>
  </si>
  <si>
    <t>MC6422279</t>
  </si>
  <si>
    <t>https://www.metrocuadrado.com/inmueble/venta-apartamento-bogota-mazuren-3-habitaciones-2-banos-2-garajes/MC6422279</t>
  </si>
  <si>
    <t>ROSALES</t>
  </si>
  <si>
    <t>3340-M4693954</t>
  </si>
  <si>
    <t>https://www.metrocuadrado.com/inmueble/venta-apartamento-bogota-san-patricio-2-habitaciones-3-banos-1-garajes/3340-M4693954</t>
  </si>
  <si>
    <t>20706-M6036362</t>
  </si>
  <si>
    <t>https://www.metrocuadrado.com/inmueble/venta-apartamento-bogota-rincon-del-chico-3-habitaciones-4-banos-2-garajes/20706-M6036362</t>
  </si>
  <si>
    <t>2671-M6107175</t>
  </si>
  <si>
    <t>https://www.metrocuadrado.com/inmueble/venta-apartamento-bogota-colina-campestre-4-habitaciones-4-banos-2-garajes/2671-M6107175</t>
  </si>
  <si>
    <t>5537-M2945702</t>
  </si>
  <si>
    <t>https://www.metrocuadrado.com/inmueble/venta-apartamento-bogota-santa-barbara-occidental-3-habitaciones-5-banos-2-garajes/5537-M2945702</t>
  </si>
  <si>
    <t>21743-M6329150</t>
  </si>
  <si>
    <t>https://www.metrocuadrado.com/inmueble/venta-apartamento-bogota-santa-bibiana-3-habitaciones-3-banos-2-garajes/21743-M6329150</t>
  </si>
  <si>
    <t>2671-M6586893</t>
  </si>
  <si>
    <t>https://www.metrocuadrado.com/inmueble/venta-apartamento-bogota-cerros-de-suba-3-habitaciones-3-banos-2-garajes/2671-M6586893</t>
  </si>
  <si>
    <t>2671-M6377198</t>
  </si>
  <si>
    <t>https://www.metrocuadrado.com/inmueble/venta-apartamento-bogota-santa-paula-3-habitaciones-5-banos-2-garajes/2671-M6377198</t>
  </si>
  <si>
    <t>3220-M5621105</t>
  </si>
  <si>
    <t>https://www.metrocuadrado.com/inmueble/venta-apartamento-bogota-chico-norte-2-habitaciones-3-banos-2-garajes/3220-M5621105</t>
  </si>
  <si>
    <t>21884-M6490776</t>
  </si>
  <si>
    <t>https://www.metrocuadrado.com/inmueble/venta-apartamento-bogota-san-luis-4-habitaciones-3-banos-2-garajes/21884-M6490776</t>
  </si>
  <si>
    <t>2328-M6488970</t>
  </si>
  <si>
    <t>https://www.metrocuadrado.com/inmueble/venta-apartamento-bogota-2-habitaciones-2-banos-3-garajes/2328-M6488970</t>
  </si>
  <si>
    <t>2671-M6063668</t>
  </si>
  <si>
    <t>https://www.metrocuadrado.com/inmueble/venta-apartamento-bogota-cerros-de-niza-3-habitaciones-4-banos-2-garajes/2671-M6063668</t>
  </si>
  <si>
    <t>21438-M6499358</t>
  </si>
  <si>
    <t>https://www.metrocuadrado.com/inmueble/venta-apartamento-bogota-country-club-3-habitaciones-5-banos-2-garajes/21438-M6499358</t>
  </si>
  <si>
    <t>21884-M6362046</t>
  </si>
  <si>
    <t>https://www.metrocuadrado.com/inmueble/venta-apartamento-bogota-a.s.d.-3-habitaciones-4-banos-2-garajes/21884-M6362046</t>
  </si>
  <si>
    <t>2671-M5792928</t>
  </si>
  <si>
    <t>https://www.metrocuadrado.com/inmueble/venta-apartamento-bogota-cerros-de-suba-3-habitaciones-4-banos-4-garajes/2671-M5792928</t>
  </si>
  <si>
    <t>20363-M6403085</t>
  </si>
  <si>
    <t>RINCON DE SANTA INES</t>
  </si>
  <si>
    <t>https://www.metrocuadrado.com/inmueble/venta-apartamento-bogota-rincon-de-santa-ines-2-habitaciones-1-banos/20363-M6403085</t>
  </si>
  <si>
    <t>2671-M6099827</t>
  </si>
  <si>
    <t>MONTEARROYO</t>
  </si>
  <si>
    <t>https://www.metrocuadrado.com/inmueble/venta-apartamento-bogota-montearroyo-3-habitaciones-4-banos-3-garajes/2671-M6099827</t>
  </si>
  <si>
    <t>19554-M6499974</t>
  </si>
  <si>
    <t>TOBERIN</t>
  </si>
  <si>
    <t>https://www.metrocuadrado.com/inmueble/venta-apartamento-bogota-toberin-3-habitaciones-3-banos-2-garajes/19554-M6499974</t>
  </si>
  <si>
    <t>21884-M6436290</t>
  </si>
  <si>
    <t>MARIA CRISTINA</t>
  </si>
  <si>
    <t>https://www.metrocuadrado.com/inmueble/venta-apartamento-bogota-maria-cristina-3-habitaciones-3-banos-2-garajes/21884-M6436290</t>
  </si>
  <si>
    <t>21884-M6362959</t>
  </si>
  <si>
    <t>BOSQUE DE PINOS</t>
  </si>
  <si>
    <t>https://www.metrocuadrado.com/inmueble/venta-apartamento-bogota-bosque-de-pinos-3-habitaciones-4-banos-4-garajes/21884-M6362959</t>
  </si>
  <si>
    <t>2671-M6159687</t>
  </si>
  <si>
    <t>https://www.metrocuadrado.com/inmueble/venta-apartamento-bogota-cerros-de-suba-3-habitaciones-4-banos-2-garajes/2671-M6159687</t>
  </si>
  <si>
    <t>4830-M6002027</t>
  </si>
  <si>
    <t>SELECCIONAR BARRIO</t>
  </si>
  <si>
    <t>https://www.metrocuadrado.com/inmueble/venta-apartamento-bogota-seleccionar-barrio-2-habitaciones-2-banos/4830-M6002027</t>
  </si>
  <si>
    <t>16108-M6474540</t>
  </si>
  <si>
    <t>https://www.metrocuadrado.com/inmueble/venta-apartamento-bogota-los-rosales-3-habitaciones-4-banos-2-garajes/16108-M6474540</t>
  </si>
  <si>
    <t>12494-M2833832</t>
  </si>
  <si>
    <t>CHICO NORTE II</t>
  </si>
  <si>
    <t>https://www.metrocuadrado.com/inmueble/venta-apartamento-bogota-chico-norte-ii-2-habitaciones-4-banos-2-garajes/12494-M2833832</t>
  </si>
  <si>
    <t>16108-M4815910</t>
  </si>
  <si>
    <t>https://www.metrocuadrado.com/inmueble/venta-apartamento-bogota-santa-paula-5-habitaciones-5-banos-4-garajes/16108-M4815910</t>
  </si>
  <si>
    <t>16274-M6377768</t>
  </si>
  <si>
    <t>https://www.metrocuadrado.com/inmueble/venta-apartamento-bogota-chapinero-3-habitaciones-2-banos-1-garajes/16274-M6377768</t>
  </si>
  <si>
    <t>957-M5408121</t>
  </si>
  <si>
    <t>CHICO RESERVADO</t>
  </si>
  <si>
    <t>https://www.metrocuadrado.com/inmueble/venta-apartamento-bogota-chico-reservado-4-habitaciones-5-banos-4-garajes/957-M5408121</t>
  </si>
  <si>
    <t>19339-M5959218</t>
  </si>
  <si>
    <t>https://www.metrocuadrado.com/inmueble/venta-apartamento-bogota-hayuelos-3-habitaciones-2-banos-1-garajes/19339-M5959218</t>
  </si>
  <si>
    <t>15704-M6103081</t>
  </si>
  <si>
    <t>https://www.metrocuadrado.com/inmueble/venta-apartamento-bogota-hayuelos-3-habitaciones-2-banos-1-garajes/15704-M6103081</t>
  </si>
  <si>
    <t>3065-M6146232</t>
  </si>
  <si>
    <t>https://www.metrocuadrado.com/inmueble/venta-apartamento-bogota-santa-barbara-3-habitaciones-4-banos-3-garajes/3065-M6146232</t>
  </si>
  <si>
    <t>2456-M4823677</t>
  </si>
  <si>
    <t>SANTA HELENA ET  I</t>
  </si>
  <si>
    <t>https://www.metrocuadrado.com/inmueble/venta-apartamento-bogota-santa-helena-et.-i-3-habitaciones-4-banos-2-garajes/2456-M4823677</t>
  </si>
  <si>
    <t>11203-M5848268</t>
  </si>
  <si>
    <t>https://www.metrocuadrado.com/inmueble/venta-apartamento-bogota-chico-norte-et-ii-2-habitaciones-2-banos-2-garajes/11203-M5848268</t>
  </si>
  <si>
    <t>660-M5105858</t>
  </si>
  <si>
    <t>https://www.metrocuadrado.com/inmueble/venta-apartamento-bogota-bosque-izquierdo-3-habitaciones-3-banos-1-garajes/660-M5105858</t>
  </si>
  <si>
    <t>156-M6035311</t>
  </si>
  <si>
    <t>https://www.metrocuadrado.com/inmueble/venta-apartamento-bogota-asd-3-habitaciones-2-banos-1-garajes/156-M6035311</t>
  </si>
  <si>
    <t>11203-M5290728</t>
  </si>
  <si>
    <t>https://www.metrocuadrado.com/inmueble/venta-apartamento-bogota-a.s.d.-3-habitaciones-4-banos-3-garajes/11203-M5290728</t>
  </si>
  <si>
    <t>17061-M5974054</t>
  </si>
  <si>
    <t>https://www.metrocuadrado.com/inmueble/venta-apartamento-bogota-santa-bibiana-3-habitaciones-3-banos-2-garajes/17061-M5974054</t>
  </si>
  <si>
    <t>15942-M4910371</t>
  </si>
  <si>
    <t>SUBA NARANJOS</t>
  </si>
  <si>
    <t>https://www.metrocuadrado.com/inmueble/venta-apartamento-bogota-suba-naranjos-3-habitaciones-4-banos-2-garajes/15942-M4910371</t>
  </si>
  <si>
    <t>543-M6400782</t>
  </si>
  <si>
    <t>NUEVA GRANADA</t>
  </si>
  <si>
    <t>https://www.metrocuadrado.com/inmueble/venta-apartamento-bogota-nueva-granada-3-habitaciones-2-banos-2-garajes/543-M6400782</t>
  </si>
  <si>
    <t>18457-M6222141</t>
  </si>
  <si>
    <t>https://www.metrocuadrado.com/inmueble/venta-apartamento-bogota-cantalejo-3-habitaciones-3-banos-2-garajes/18457-M6222141</t>
  </si>
  <si>
    <t>17061-M6091761</t>
  </si>
  <si>
    <t>https://www.metrocuadrado.com/inmueble/venta-apartamento-bogota-santa-bibiana-3-habitaciones-4-banos-2-garajes/17061-M6091761</t>
  </si>
  <si>
    <t>MC6465764</t>
  </si>
  <si>
    <t>PARQUES DE LORENA</t>
  </si>
  <si>
    <t>https://www.metrocuadrado.com/inmueble/venta-apartamento-bogota-parques-de-lorena-3-habitaciones-2-banos-1-garajes/MC6465764</t>
  </si>
  <si>
    <t>MC6543134</t>
  </si>
  <si>
    <t>https://www.metrocuadrado.com/inmueble/venta-apartamento-bogota-el-dorado-4-habitaciones-4-banos-2-garajes/MC6543134</t>
  </si>
  <si>
    <t>MC6439353</t>
  </si>
  <si>
    <t>VICTORIA NORTE</t>
  </si>
  <si>
    <t>https://www.metrocuadrado.com/inmueble/venta-apartamento-bogota-victoria-norte-2-habitaciones-2-banos-1-garajes/MC6439353</t>
  </si>
  <si>
    <t>MC6573444</t>
  </si>
  <si>
    <t>FLORIDA BLANCA NORTE</t>
  </si>
  <si>
    <t>https://www.metrocuadrado.com/inmueble/venta-apartamento-bogota-florida-blanca-norte-2-habitaciones-1-banos-1-garajes/MC6573444</t>
  </si>
  <si>
    <t>1654-C0017-06</t>
  </si>
  <si>
    <t>EL PORVENIR</t>
  </si>
  <si>
    <t>https://www.metrocuadrado.com/proyecto/caney-reservado-fontibon/1654-C0017-06</t>
  </si>
  <si>
    <t>21389-C0001-01</t>
  </si>
  <si>
    <t>https://www.metrocuadrado.com/proyecto/torre-rosetta/21389-C0001-01</t>
  </si>
  <si>
    <t>17156-C0014-02</t>
  </si>
  <si>
    <t>https://www.metrocuadrado.com/proyecto/eskala/17156-C0014-02</t>
  </si>
  <si>
    <t>14693-C0004-01</t>
  </si>
  <si>
    <t>https://www.metrocuadrado.com/proyecto/pekin/14693-C0004-01</t>
  </si>
  <si>
    <t>21784-M6559956</t>
  </si>
  <si>
    <t>QUESADA</t>
  </si>
  <si>
    <t>https://www.metrocuadrado.com/inmueble/venta-apartamento-bogota-quesada-3-habitaciones-2-banos-1-garajes/21784-M6559956</t>
  </si>
  <si>
    <t>MC4532023</t>
  </si>
  <si>
    <t>https://www.metrocuadrado.com/inmueble/venta-apartamento-bogota-gilmar-4-habitaciones-5-banos-4-garajes/MC4532023</t>
  </si>
  <si>
    <t>5483-M6448722</t>
  </si>
  <si>
    <t>MARLY</t>
  </si>
  <si>
    <t>https://www.metrocuadrado.com/inmueble/venta-apartamento-bogota-marly-2-habitaciones-3-banos-1-garajes/5483-M6448722</t>
  </si>
  <si>
    <t>19954-M6571110</t>
  </si>
  <si>
    <t>https://www.metrocuadrado.com/inmueble/venta-apartamento-bogota-molinos-norte-5-habitaciones-5-banos-3-garajes/19954-M6571110</t>
  </si>
  <si>
    <t>MC6418309</t>
  </si>
  <si>
    <t>https://www.metrocuadrado.com/inmueble/venta-apartamento-bogota-la-porciuncula-1-habitaciones-2-banos-1-garajes/MC6418309</t>
  </si>
  <si>
    <t>5483-M6470033</t>
  </si>
  <si>
    <t>https://www.metrocuadrado.com/inmueble/venta-apartamento-bogota-caobos-salazar-3-habitaciones-3-banos-2-garajes/5483-M6470033</t>
  </si>
  <si>
    <t>5483-M6554318</t>
  </si>
  <si>
    <t>https://www.metrocuadrado.com/inmueble/venta-apartamento-bogota-monaco-4-habitaciones-4-banos-2-garajes/5483-M6554318</t>
  </si>
  <si>
    <t>MC5679936</t>
  </si>
  <si>
    <t>CJR 176 PARK</t>
  </si>
  <si>
    <t>https://www.metrocuadrado.com/inmueble/venta-apartamento-bogota-cjr-176-park-1-habitaciones-1-banos/MC5679936</t>
  </si>
  <si>
    <t>MC2218576</t>
  </si>
  <si>
    <t>https://www.metrocuadrado.com/inmueble/venta-apartamento-bogota-iberia-3-habitaciones-3-banos-2-garajes/MC2218576</t>
  </si>
  <si>
    <t>MC6462937</t>
  </si>
  <si>
    <t>https://www.metrocuadrado.com/inmueble/venta-apartamento-bogota-chico-norte-et.-ii-3-habitaciones-4-banos-1-garajes/MC6462937</t>
  </si>
  <si>
    <t>20726-M6568989</t>
  </si>
  <si>
    <t>https://www.metrocuadrado.com/inmueble/venta-apartamento-bogota-suba-naranjos-3-habitaciones-4-banos-2-garajes/20726-M6568989</t>
  </si>
  <si>
    <t>MC6410214</t>
  </si>
  <si>
    <t>https://www.metrocuadrado.com/inmueble/venta-apartamento-bogota-emaus-2-habitaciones-3-banos-2-garajes/MC6410214</t>
  </si>
  <si>
    <t>MC6537346</t>
  </si>
  <si>
    <t>TUNA ALTA</t>
  </si>
  <si>
    <t>https://www.metrocuadrado.com/inmueble/venta-apartamento-bogota-tuna-alta-3-habitaciones-2-banos-1-garajes/MC6537346</t>
  </si>
  <si>
    <t>MC6582531</t>
  </si>
  <si>
    <t>ALMAGRARIO</t>
  </si>
  <si>
    <t>https://www.metrocuadrado.com/inmueble/venta-apartamento-bogota-almagrario-2-habitaciones-2-banos/MC6582531</t>
  </si>
  <si>
    <t>21944-M6405415</t>
  </si>
  <si>
    <t>EL ENSUENO</t>
  </si>
  <si>
    <t>https://www.metrocuadrado.com/inmueble/venta-apartamento-bogota-el-ensueno-3-habitaciones-2-banos-1-garajes/21944-M6405415</t>
  </si>
  <si>
    <t>Ciudad Bolívar</t>
  </si>
  <si>
    <t>CBV</t>
  </si>
  <si>
    <t>Calle 70 Sur # 56 - 11</t>
  </si>
  <si>
    <t>2671-M5835692</t>
  </si>
  <si>
    <t>LA CALLEJA</t>
  </si>
  <si>
    <t>https://www.metrocuadrado.com/inmueble/venta-apartamento-bogota-la-calleja-3-habitaciones-3-banos-2-garajes/2671-M5835692</t>
  </si>
  <si>
    <t>20706-M6487747</t>
  </si>
  <si>
    <t>SANTANDER SUR</t>
  </si>
  <si>
    <t>https://www.metrocuadrado.com/inmueble/venta-apartamento-bogota-santander-sur-3-habitaciones-2-banos-1-garajes/20706-M6487747</t>
  </si>
  <si>
    <t>ANTONIO NARIÑO</t>
  </si>
  <si>
    <t>2671-M6313031</t>
  </si>
  <si>
    <t>REFUGIO</t>
  </si>
  <si>
    <t>https://www.metrocuadrado.com/inmueble/venta-apartamento-bogota-refugio-4-habitaciones-4-banos-3-garajes/2671-M6313031</t>
  </si>
  <si>
    <t>368-M5965917</t>
  </si>
  <si>
    <t>CONTADOR</t>
  </si>
  <si>
    <t>https://www.metrocuadrado.com/inmueble/venta-apartamento-bogota-contador-1-habitaciones-2-banos-1-garajes/368-M5965917</t>
  </si>
  <si>
    <t>2671-M5792451</t>
  </si>
  <si>
    <t>https://www.metrocuadrado.com/inmueble/venta-apartamento-bogota-cerros-de-niza-3-habitaciones-3-banos-3-garajes/2671-M5792451</t>
  </si>
  <si>
    <t>836-M3368805</t>
  </si>
  <si>
    <t>https://www.metrocuadrado.com/inmueble/venta-apartamento-bogota-santa-bibiana-4-habitaciones-5-banos-4-garajes/836-M3368805</t>
  </si>
  <si>
    <t>2266-M6105223</t>
  </si>
  <si>
    <t>https://www.metrocuadrado.com/inmueble/venta-apartamento-bogota-santa-barbara-oriental-3-habitaciones-2-banos-2-garajes/2266-M6105223</t>
  </si>
  <si>
    <t>2671-M6034767</t>
  </si>
  <si>
    <t>PUENTE LARGO</t>
  </si>
  <si>
    <t>https://www.metrocuadrado.com/inmueble/venta-apartamento-bogota-puente-largo-3-habitaciones-3-banos-2-garajes/2671-M6034767</t>
  </si>
  <si>
    <t>2671-M6062909</t>
  </si>
  <si>
    <t>https://www.metrocuadrado.com/inmueble/venta-apartamento-bogota-rosales-5-habitaciones-4-banos-4-garajes/2671-M6062909</t>
  </si>
  <si>
    <t>21542-M6377527</t>
  </si>
  <si>
    <t>https://www.metrocuadrado.com/inmueble/venta-apartamento-bogota-montearroyo-4-habitaciones-3-banos-3-garajes/21542-M6377527</t>
  </si>
  <si>
    <t>20706-M6139469</t>
  </si>
  <si>
    <t>https://www.metrocuadrado.com/inmueble/venta-apartamento-bogota-a.s.d.-2-habitaciones-1-banos/20706-M6139469</t>
  </si>
  <si>
    <t>2671-M6391574</t>
  </si>
  <si>
    <t>PASADENA</t>
  </si>
  <si>
    <t>https://www.metrocuadrado.com/inmueble/venta-apartamento-bogota-pasadena-3-habitaciones-3-banos-2-garajes/2671-M6391574</t>
  </si>
  <si>
    <t>2559-M5629326</t>
  </si>
  <si>
    <t>https://www.metrocuadrado.com/inmueble/venta-apartamento-bogota-el-nogal-3-habitaciones-4-banos-4-garajes/2559-M5629326</t>
  </si>
  <si>
    <t>20562-M6495367</t>
  </si>
  <si>
    <t>https://www.metrocuadrado.com/inmueble/venta-apartamento-bogota-acacias-usaquen-2-habitaciones-2-banos-1-garajes/20562-M6495367</t>
  </si>
  <si>
    <t>20706-M6226030</t>
  </si>
  <si>
    <t>ISLANDIA</t>
  </si>
  <si>
    <t>https://www.metrocuadrado.com/inmueble/venta-apartamento-bogota-islandia-3-habitaciones-2-banos/20706-M6226030</t>
  </si>
  <si>
    <t>20706-M6031912</t>
  </si>
  <si>
    <t>https://www.metrocuadrado.com/inmueble/venta-apartamento-bogota-molinos-norte-3-habitaciones-3-banos-2-garajes/20706-M6031912</t>
  </si>
  <si>
    <t>2671-M6351500</t>
  </si>
  <si>
    <t>PONTEVEDRA</t>
  </si>
  <si>
    <t>https://www.metrocuadrado.com/inmueble/venta-apartamento-bogota-pontevedra-3-habitaciones-2-banos-1-garajes/2671-M6351500</t>
  </si>
  <si>
    <t>20706-M6575903</t>
  </si>
  <si>
    <t>SANTA TERESA</t>
  </si>
  <si>
    <t>https://www.metrocuadrado.com/inmueble/venta-apartamento-bogota-santa-teresa-2-habitaciones-2-banos-1-garajes/20706-M6575903</t>
  </si>
  <si>
    <t>20706-M6241524</t>
  </si>
  <si>
    <t>https://www.metrocuadrado.com/inmueble/venta-apartamento-bogota-a.s.d.-3-habitaciones-2-banos/20706-M6241524</t>
  </si>
  <si>
    <t>20706-M6583926</t>
  </si>
  <si>
    <t>https://www.metrocuadrado.com/inmueble/venta-apartamento-bogota-los-cedritos-3-habitaciones-2-banos-1-garajes/20706-M6583926</t>
  </si>
  <si>
    <t>16288-M6402107</t>
  </si>
  <si>
    <t>EL CONTADOR</t>
  </si>
  <si>
    <t>https://www.metrocuadrado.com/inmueble/venta-apartamento-bogota-el-contador-3-habitaciones-4-banos-2-garajes/16288-M6402107</t>
  </si>
  <si>
    <t>2559-M2909906</t>
  </si>
  <si>
    <t>BOSQUE DE PINOS I</t>
  </si>
  <si>
    <t>https://www.metrocuadrado.com/inmueble/venta-apartamento-bogota-bosque-de-pinos-i-3-habitaciones-3-banos-3-garajes/2559-M2909906</t>
  </si>
  <si>
    <t>2639-M6318895</t>
  </si>
  <si>
    <t>https://www.metrocuadrado.com/inmueble/venta-apartamento-bogota-la-carolina-3-habitaciones-3-banos-2-garajes/2639-M6318895</t>
  </si>
  <si>
    <t>15704-M6451496</t>
  </si>
  <si>
    <t>EL ENSUEÑO</t>
  </si>
  <si>
    <t>https://www.metrocuadrado.com/inmueble/venta-apartamento-bogota-el-ensueno-3-habitaciones-2-banos-1-garajes/15704-M6451496</t>
  </si>
  <si>
    <t>15704-M6457371</t>
  </si>
  <si>
    <t>LA INDEPENDENCIA</t>
  </si>
  <si>
    <t>https://www.metrocuadrado.com/inmueble/venta-apartamento-bogota-la-independencia-3-habitaciones-2-banos/15704-M6457371</t>
  </si>
  <si>
    <t>3065-M5986810</t>
  </si>
  <si>
    <t>https://www.metrocuadrado.com/inmueble/venta-apartamento-bogota-santa-barbara-3-habitaciones-2-banos-2-garajes/3065-M5986810</t>
  </si>
  <si>
    <t>19434-M6102654</t>
  </si>
  <si>
    <t>https://www.metrocuadrado.com/inmueble/venta-apartamento-bogota-santa-barbara-central-3-habitaciones-3-banos-2-garajes/19434-M6102654</t>
  </si>
  <si>
    <t>2832-M3760477</t>
  </si>
  <si>
    <t>URBANIZACION BOSQUES DE MEDINA</t>
  </si>
  <si>
    <t>https://www.metrocuadrado.com/inmueble/venta-apartamento-bogota-urbanizacion-bosques-de-medina-3-habitaciones-4-banos-3-garajes/2832-M3760477</t>
  </si>
  <si>
    <t>3065-M6111704</t>
  </si>
  <si>
    <t>https://www.metrocuadrado.com/inmueble/venta-apartamento-bogota-san-patricio-3-habitaciones-3-banos-2-garajes/3065-M6111704</t>
  </si>
  <si>
    <t>15704-M6067716</t>
  </si>
  <si>
    <t>SANTANDER</t>
  </si>
  <si>
    <t>https://www.metrocuadrado.com/inmueble/venta-apartamento-bogota-santander-2-habitaciones-2-banos-1-garajes/15704-M6067716</t>
  </si>
  <si>
    <t>17568-M5612018</t>
  </si>
  <si>
    <t>CJR CERROS DE SOTILEZA</t>
  </si>
  <si>
    <t>https://www.metrocuadrado.com/inmueble/venta-apartamento-bogota-cjr-cerros-de-sotileza-3-habitaciones-4-banos-3-garajes/17568-M5612018</t>
  </si>
  <si>
    <t>16767-M6562116</t>
  </si>
  <si>
    <t>https://www.metrocuadrado.com/inmueble/venta-apartamento-bogota-santa-bibiana-3-habitaciones-4-banos-2-garajes/16767-M6562116</t>
  </si>
  <si>
    <t>2162-M5719257</t>
  </si>
  <si>
    <t>https://www.metrocuadrado.com/inmueble/venta-apartamento-bogota-los-rosales-3-habitaciones-4-banos-4-garajes/2162-M5719257</t>
  </si>
  <si>
    <t>660-M6435748</t>
  </si>
  <si>
    <t>https://www.metrocuadrado.com/inmueble/venta-apartamento-bogota-bosque-izquierdo-2-habitaciones-2-banos-1-garajes/660-M6435748</t>
  </si>
  <si>
    <t>660-M4869561</t>
  </si>
  <si>
    <t>CHICO NORTE ET  III   EDIF ALMERIA 95</t>
  </si>
  <si>
    <t>https://www.metrocuadrado.com/inmueble/venta-apartamento-bogota-chico-norte-et.-iii-edif-almeria-95-4-habitaciones-4-banos-3-garajes/660-M4869561</t>
  </si>
  <si>
    <t>156-M6438791</t>
  </si>
  <si>
    <t>https://www.metrocuadrado.com/inmueble/venta-apartamento-bogota-puente-largo-3-habitaciones-4-banos-2-garajes/156-M6438791</t>
  </si>
  <si>
    <t>17140-M6070369</t>
  </si>
  <si>
    <t>https://www.metrocuadrado.com/inmueble/venta-apartamento-bogota-santa-bibiana-3-habitaciones-3-banos-2-garajes/17140-M6070369</t>
  </si>
  <si>
    <t>12473-M6499960</t>
  </si>
  <si>
    <t>CHICO NORTE ET III</t>
  </si>
  <si>
    <t>https://www.metrocuadrado.com/inmueble/venta-apartamento-bogota-chico-norte-et-iii-3-habitaciones-4-banos-2-garajes/12473-M6499960</t>
  </si>
  <si>
    <t>533-M6498946</t>
  </si>
  <si>
    <t>https://www.metrocuadrado.com/inmueble/venta-apartamento-bogota-el-refugio-2-habitaciones-2-banos-2-garajes/533-M6498946</t>
  </si>
  <si>
    <t>14255-M6309281</t>
  </si>
  <si>
    <t>https://www.metrocuadrado.com/inmueble/venta-apartamento-bogota-la-cabrera-4-habitaciones-4-banos-4-garajes/14255-M6309281</t>
  </si>
  <si>
    <t>17527-M6098692</t>
  </si>
  <si>
    <t>https://www.metrocuadrado.com/inmueble/venta-apartamento-bogota-cerros-de-santa-barbara-3-habitaciones-3-banos-4-garajes/17527-M6098692</t>
  </si>
  <si>
    <t>14121-M6374414</t>
  </si>
  <si>
    <t>GINEBRA</t>
  </si>
  <si>
    <t>https://www.metrocuadrado.com/inmueble/venta-apartamento-bogota-ginebra-2-habitaciones-2-banos-1-garajes/14121-M6374414</t>
  </si>
  <si>
    <t>MC6379640</t>
  </si>
  <si>
    <t>https://www.metrocuadrado.com/inmueble/venta-apartamento-bogota-san-miguel-2-habitaciones-2-banos-1-garajes/MC6379640</t>
  </si>
  <si>
    <t>MC6542999</t>
  </si>
  <si>
    <t>https://www.metrocuadrado.com/inmueble/venta-apartamento-bogota-potosi-3-habitaciones-2-banos-2-garajes/MC6542999</t>
  </si>
  <si>
    <t>MC6411594</t>
  </si>
  <si>
    <t>https://www.metrocuadrado.com/inmueble/venta-apartamento-bogota-ub.-hacienda-cordoba-niza-3-habitaciones-3-banos-2-garajes/MC6411594</t>
  </si>
  <si>
    <t>MC5632606</t>
  </si>
  <si>
    <t>https://www.metrocuadrado.com/inmueble/venta-apartamento-bogota-acacias-usaquen-1-habitaciones-1-banos-1-garajes/MC5632606</t>
  </si>
  <si>
    <t>22209-C0004-02</t>
  </si>
  <si>
    <t>https://www.metrocuadrado.com/proyecto/haus-park-haus-reservado/22209-C0004-02</t>
  </si>
  <si>
    <t>22209-C0004-03</t>
  </si>
  <si>
    <t>https://www.metrocuadrado.com/proyecto/haus-park-haus-reservado/22209-C0004-03</t>
  </si>
  <si>
    <t>16432-C0012-04</t>
  </si>
  <si>
    <t>LAS NIEVES</t>
  </si>
  <si>
    <t>https://www.metrocuadrado.com/proyecto/zentral-apartamentos/16432-C0012-04</t>
  </si>
  <si>
    <t>15315-C0001-01</t>
  </si>
  <si>
    <t>https://www.metrocuadrado.com/proyecto/edificio-balmes-santa-barbara/15315-C0001-01</t>
  </si>
  <si>
    <t>MC6540012</t>
  </si>
  <si>
    <t>PARIS</t>
  </si>
  <si>
    <t>https://www.metrocuadrado.com/inmueble/venta-apartamento-bogota-paris-1-habitaciones-1-banos-1-garajes/MC6540012</t>
  </si>
  <si>
    <t>MC6585543</t>
  </si>
  <si>
    <t>UB  SANTA COLOMA</t>
  </si>
  <si>
    <t>https://www.metrocuadrado.com/inmueble/venta-apartamento-bogota-ub.-santa-coloma-3-habitaciones-2-banos-1-garajes/MC6585543</t>
  </si>
  <si>
    <t>MC6546909</t>
  </si>
  <si>
    <t>SALAZAR GOMEZ</t>
  </si>
  <si>
    <t>https://www.metrocuadrado.com/inmueble/venta-apartamento-bogota-salazar-gomez-1-habitaciones-1-banos/MC6546909</t>
  </si>
  <si>
    <t>MC6461481</t>
  </si>
  <si>
    <t>https://www.metrocuadrado.com/inmueble/venta-apartamento-bogota-san-jose-de-usaquen-2-habitaciones-1-banos/MC6461481</t>
  </si>
  <si>
    <t>MC6422748</t>
  </si>
  <si>
    <t>SAN ISIDRO</t>
  </si>
  <si>
    <t>https://www.metrocuadrado.com/inmueble/venta-apartamento-bogota-san-isidro-4-habitaciones-3-banos/MC6422748</t>
  </si>
  <si>
    <t>MC6446386</t>
  </si>
  <si>
    <t>PARQUE POPULAR SALITRE</t>
  </si>
  <si>
    <t>https://www.metrocuadrado.com/inmueble/venta-apartamento-bogota-parque-popular-salitre-1-habitaciones-1-banos/MC6446386</t>
  </si>
  <si>
    <t>MC6580909</t>
  </si>
  <si>
    <t>https://www.metrocuadrado.com/inmueble/venta-apartamento-bogota-club-los-lagartos-3-habitaciones-3-banos-3-garajes/MC6580909</t>
  </si>
  <si>
    <t>MC6342738</t>
  </si>
  <si>
    <t>CJR  PRATUM</t>
  </si>
  <si>
    <t>https://www.metrocuadrado.com/inmueble/venta-apartamento-bogota-cjr.-pratum-1-habitaciones-1-banos-1-garajes/MC6342738</t>
  </si>
  <si>
    <t>MC6573655</t>
  </si>
  <si>
    <t>https://www.metrocuadrado.com/inmueble/venta-apartamento-bogota-cantalejo-4-habitaciones-4-banos-2-garajes/MC6573655</t>
  </si>
  <si>
    <t>MC6343716</t>
  </si>
  <si>
    <t>BANCO CENTRAL</t>
  </si>
  <si>
    <t>https://www.metrocuadrado.com/inmueble/venta-apartamento-bogota-banco-central-3-habitaciones-2-banos-1-garajes/MC6343716</t>
  </si>
  <si>
    <t>MC6301762</t>
  </si>
  <si>
    <t>https://www.metrocuadrado.com/inmueble/venta-apartamento-bogota-el-redil-1-habitaciones-1-banos-1-garajes/MC6301762</t>
  </si>
  <si>
    <t>16399-M6482024</t>
  </si>
  <si>
    <t>LAGO TIMIZA ET I</t>
  </si>
  <si>
    <t>https://www.metrocuadrado.com/inmueble/venta-apartamento-bogota-lago-timiza-et-i-3-habitaciones-1-banos-1-garajes/16399-M6482024</t>
  </si>
  <si>
    <t>MC6588704</t>
  </si>
  <si>
    <t>CAMPO ALEGRE</t>
  </si>
  <si>
    <t>https://www.metrocuadrado.com/inmueble/venta-apartamento-bogota-campo-alegre-3-habitaciones-2-banos/MC6588704</t>
  </si>
  <si>
    <t>MC6416849</t>
  </si>
  <si>
    <t>https://www.metrocuadrado.com/inmueble/venta-apartamento-bogota-prado-veraniego-norte-2-habitaciones-2-banos-1-garajes/MC6416849</t>
  </si>
  <si>
    <t>MC6573610</t>
  </si>
  <si>
    <t>https://www.metrocuadrado.com/inmueble/venta-apartamento-bogota-san-jose-de-usaquen-3-habitaciones-2-banos/MC6573610</t>
  </si>
  <si>
    <t>2671-M5792969</t>
  </si>
  <si>
    <t>EL BATAN</t>
  </si>
  <si>
    <t>https://www.metrocuadrado.com/inmueble/venta-apartamento-bogota-el-batan-5-habitaciones-5-banos-3-garajes/2671-M5792969</t>
  </si>
  <si>
    <t>20706-M6166609</t>
  </si>
  <si>
    <t>NORMANDIA</t>
  </si>
  <si>
    <t>https://www.metrocuadrado.com/inmueble/venta-apartamento-bogota-normandia-2-habitaciones-2-banos-1-garajes/20706-M6166609</t>
  </si>
  <si>
    <t>20706-M6250713</t>
  </si>
  <si>
    <t>https://www.metrocuadrado.com/inmueble/venta-apartamento-bogota-comuneros-2-habitaciones-1-banos/20706-M6250713</t>
  </si>
  <si>
    <t>CERROS DE LOS ALPES</t>
  </si>
  <si>
    <t>20839-M6497046</t>
  </si>
  <si>
    <t>https://www.metrocuadrado.com/inmueble/venta-apartamento-bogota-puente-largo-3-habitaciones-3-banos-2-garajes/20839-M6497046</t>
  </si>
  <si>
    <t>20134-M6495931</t>
  </si>
  <si>
    <t>UB CASTILLA</t>
  </si>
  <si>
    <t>https://www.metrocuadrado.com/inmueble/venta-apartamento-bogota-ub-castilla-3-habitaciones-2-banos-1-garajes/20134-M6495931</t>
  </si>
  <si>
    <t>20706-M6469272</t>
  </si>
  <si>
    <t>https://www.metrocuadrado.com/inmueble/venta-apartamento-bogota-a.s.d.-3-habitaciones-2-banos/20706-M6469272</t>
  </si>
  <si>
    <t>2671-M6403644</t>
  </si>
  <si>
    <t>https://www.metrocuadrado.com/inmueble/venta-apartamento-bogota-chapinero-3-habitaciones-4-banos-2-garajes/2671-M6403644</t>
  </si>
  <si>
    <t>368-M6312260</t>
  </si>
  <si>
    <t>ATENAS</t>
  </si>
  <si>
    <t>https://www.metrocuadrado.com/inmueble/venta-apartamento-bogota-atenas-3-habitaciones-2-banos-1-garajes/368-M6312260</t>
  </si>
  <si>
    <t>2671-M6477971</t>
  </si>
  <si>
    <t>https://www.metrocuadrado.com/inmueble/venta-apartamento-bogota-santa-barbara-central-3-habitaciones-2-banos-2-garajes/2671-M6477971</t>
  </si>
  <si>
    <t>9914-M6342721</t>
  </si>
  <si>
    <t>https://www.metrocuadrado.com/inmueble/venta-apartamento-bogota-san-patricio-3-habitaciones-4-banos-4-garajes/9914-M6342721</t>
  </si>
  <si>
    <t>21187-M6500453</t>
  </si>
  <si>
    <t>SAN GABRIEL NORTE</t>
  </si>
  <si>
    <t>https://www.metrocuadrado.com/inmueble/venta-apartamento-bogota-san-gabriel-norte-3-habitaciones-3-banos-2-garajes/21187-M6500453</t>
  </si>
  <si>
    <t>2671-M6208523</t>
  </si>
  <si>
    <t>https://www.metrocuadrado.com/inmueble/venta-apartamento-bogota-santa-barbara-occidental-3-habitaciones-4-banos-4-garajes/2671-M6208523</t>
  </si>
  <si>
    <t>20706-M6357498</t>
  </si>
  <si>
    <t>https://www.metrocuadrado.com/inmueble/venta-apartamento-bogota-chapinero-2-habitaciones-2-banos/20706-M6357498</t>
  </si>
  <si>
    <t>20698-M6498694</t>
  </si>
  <si>
    <t>CIUDAD TECHO</t>
  </si>
  <si>
    <t>https://www.metrocuadrado.com/inmueble/venta-apartamento-bogota-ciudad-techo-3-habitaciones-2-banos-1-garajes/20698-M6498694</t>
  </si>
  <si>
    <t>20706-M6499144</t>
  </si>
  <si>
    <t>https://www.metrocuadrado.com/inmueble/venta-apartamento-bogota-el-dorado-3-habitaciones-2-banos-1-garajes/20706-M6499144</t>
  </si>
  <si>
    <t>20706-M6469878</t>
  </si>
  <si>
    <t>https://www.metrocuadrado.com/inmueble/venta-apartamento-bogota-ciudad-techo-3-habitaciones-2-banos-1-garajes/20706-M6469878</t>
  </si>
  <si>
    <t>2671-M5836105</t>
  </si>
  <si>
    <t>CHICO ALTO</t>
  </si>
  <si>
    <t>https://www.metrocuadrado.com/inmueble/venta-apartamento-bogota-chico-alto-4-habitaciones-5-banos-3-garajes/2671-M5836105</t>
  </si>
  <si>
    <t>2259-M4027633</t>
  </si>
  <si>
    <t>BOSQUE DE PINOS USAQUEN</t>
  </si>
  <si>
    <t>https://www.metrocuadrado.com/inmueble/venta-apartamento-bogota-bosque-de-pinos-usaquen-3-habitaciones-3-banos-4-garajes/2259-M4027633</t>
  </si>
  <si>
    <t>21884-M6371524</t>
  </si>
  <si>
    <t>https://www.metrocuadrado.com/inmueble/venta-apartamento-bogota-maria-cristina-3-habitaciones-3-banos-2-garajes/21884-M6371524</t>
  </si>
  <si>
    <t>2671-M6157814</t>
  </si>
  <si>
    <t>https://www.metrocuadrado.com/inmueble/venta-apartamento-bogota-santa-bibiana-5-habitaciones-5-banos-4-garajes/2671-M6157814</t>
  </si>
  <si>
    <t>17017-M6314309</t>
  </si>
  <si>
    <t>QUINTA CAMACHO</t>
  </si>
  <si>
    <t>https://www.metrocuadrado.com/inmueble/venta-apartamento-bogota-quinta-camacho-3-habitaciones-3-banos-1-garajes/17017-M6314309</t>
  </si>
  <si>
    <t>15704-M6291577</t>
  </si>
  <si>
    <t>https://www.metrocuadrado.com/inmueble/venta-apartamento-bogota-salazar-gomez-2-habitaciones-1-banos/15704-M6291577</t>
  </si>
  <si>
    <t>15704-M6443126</t>
  </si>
  <si>
    <t>BRITALIA NORTE</t>
  </si>
  <si>
    <t>https://www.metrocuadrado.com/inmueble/venta-apartamento-bogota-britalia-norte-3-habitaciones-2-banos/15704-M6443126</t>
  </si>
  <si>
    <t>15704-M6294719</t>
  </si>
  <si>
    <t>https://www.metrocuadrado.com/inmueble/venta-apartamento-bogota-salazar-gomez-2-habitaciones-1-banos/15704-M6294719</t>
  </si>
  <si>
    <t>3065-M6110621</t>
  </si>
  <si>
    <t>https://www.metrocuadrado.com/inmueble/venta-apartamento-bogota-san-patricio-3-habitaciones-4-banos-2-garajes/3065-M6110621</t>
  </si>
  <si>
    <t>16577-M6496090</t>
  </si>
  <si>
    <t>https://www.metrocuadrado.com/inmueble/venta-apartamento-bogota-rincon-del-chico-4-habitaciones-4-banos-3-garajes/16577-M6496090</t>
  </si>
  <si>
    <t>15704-M6469249</t>
  </si>
  <si>
    <t>NUEVO TECHO</t>
  </si>
  <si>
    <t>https://www.metrocuadrado.com/inmueble/venta-apartamento-bogota-nuevo-techo-2-habitaciones-1-banos/15704-M6469249</t>
  </si>
  <si>
    <t>15704-M6502029</t>
  </si>
  <si>
    <t>RICAURTE</t>
  </si>
  <si>
    <t>https://www.metrocuadrado.com/inmueble/venta-apartamento-bogota-ricaurte-2-habitaciones-1-banos/15704-M6502029</t>
  </si>
  <si>
    <t>15704-M6521816</t>
  </si>
  <si>
    <t>https://www.metrocuadrado.com/inmueble/venta-apartamento-bogota-normandia-2-habitaciones-2-banos-1-garajes/15704-M6521816</t>
  </si>
  <si>
    <t>3282-M4849331</t>
  </si>
  <si>
    <t>https://www.metrocuadrado.com/inmueble/venta-apartamento-bogota-san-gabriel-norte-3-habitaciones-5-banos-2-garajes/3282-M4849331</t>
  </si>
  <si>
    <t>11203-M5850947</t>
  </si>
  <si>
    <t>https://www.metrocuadrado.com/inmueble/venta-apartamento-bogota-el-nogal-3-habitaciones-2-banos-2-garajes/11203-M5850947</t>
  </si>
  <si>
    <t>2162-M6305476</t>
  </si>
  <si>
    <t>https://www.metrocuadrado.com/inmueble/venta-apartamento-bogota-antiguo-country-3-habitaciones-4-banos-2-garajes/2162-M6305476</t>
  </si>
  <si>
    <t>2123-M6559603</t>
  </si>
  <si>
    <t>https://www.metrocuadrado.com/inmueble/venta-apartamento-bogota-ginebra-3-habitaciones-4-banos-3-garajes/2123-M6559603</t>
  </si>
  <si>
    <t>18948-M6150812</t>
  </si>
  <si>
    <t>https://www.metrocuadrado.com/inmueble/venta-apartamento-bogota-los-alpes-3-habitaciones-3-banos-2-garajes/18948-M6150812</t>
  </si>
  <si>
    <t>156-M6526673</t>
  </si>
  <si>
    <t>https://www.metrocuadrado.com/inmueble/venta-apartamento-bogota-los-cedritos-3-habitaciones-2-banos-1-garajes/156-M6526673</t>
  </si>
  <si>
    <t>16430-M6041888</t>
  </si>
  <si>
    <t>https://www.metrocuadrado.com/inmueble/venta-apartamento-bogota-chico-3-habitaciones-4-banos-2-garajes/16430-M6041888</t>
  </si>
  <si>
    <t>14121-M4651697</t>
  </si>
  <si>
    <t>https://www.metrocuadrado.com/inmueble/venta-apartamento-bogota-molinos-norte-3-habitaciones-4-banos-2-garajes/14121-M4651697</t>
  </si>
  <si>
    <t>14121-M6133268</t>
  </si>
  <si>
    <t>https://www.metrocuadrado.com/inmueble/venta-apartamento-bogota-cedritos-4-habitaciones-3-banos-1-garajes/14121-M6133268</t>
  </si>
  <si>
    <t>12033-M3464348</t>
  </si>
  <si>
    <t>ALTOS DE LA COLINA</t>
  </si>
  <si>
    <t>https://www.metrocuadrado.com/inmueble/venta-apartamento-bogota-altos-de-la-colina-4-habitaciones-4-banos-2-garajes/12033-M3464348</t>
  </si>
  <si>
    <t>726-M6070604</t>
  </si>
  <si>
    <t>https://www.metrocuadrado.com/inmueble/venta-apartamento-bogota-caobos-salazar-3-habitaciones-3-banos-1-garajes/726-M6070604</t>
  </si>
  <si>
    <t>MC6568593</t>
  </si>
  <si>
    <t>CR  BOLIVIA XIV</t>
  </si>
  <si>
    <t>https://www.metrocuadrado.com/inmueble/venta-apartamento-bogota-cr.-bolivia-xiv-2-habitaciones-2-banos-1-garajes/MC6568593</t>
  </si>
  <si>
    <t>MC6382474</t>
  </si>
  <si>
    <t>https://www.metrocuadrado.com/inmueble/venta-apartamento-bogota-el-refugio-3-habitaciones-5-banos-2-garajes/MC6382474</t>
  </si>
  <si>
    <t>MC6535405</t>
  </si>
  <si>
    <t>SANTA MONICA</t>
  </si>
  <si>
    <t>https://www.metrocuadrado.com/inmueble/venta-apartamento-bogota-santa-monica-2-habitaciones-1-banos-1-garajes/MC6535405</t>
  </si>
  <si>
    <t>MC6315226</t>
  </si>
  <si>
    <t>https://www.metrocuadrado.com/inmueble/venta-apartamento-bogota-maria-cristina-2-habitaciones-2-banos-1-garajes/MC6315226</t>
  </si>
  <si>
    <t>11275-C0007-02</t>
  </si>
  <si>
    <t>VIRREY</t>
  </si>
  <si>
    <t>https://www.metrocuadrado.com/proyecto/aura/11275-C0007-02</t>
  </si>
  <si>
    <t>21477-C0001-03</t>
  </si>
  <si>
    <t>https://www.metrocuadrado.com/proyecto/dual-101/21477-C0001-03</t>
  </si>
  <si>
    <t>17156-C0004-02</t>
  </si>
  <si>
    <t>https://www.metrocuadrado.com/proyecto/serena/17156-C0004-02</t>
  </si>
  <si>
    <t>14693-C0004-10</t>
  </si>
  <si>
    <t>https://www.metrocuadrado.com/proyecto/pekin/14693-C0004-10</t>
  </si>
  <si>
    <t>MC6309192</t>
  </si>
  <si>
    <t>EL RINCON DE SAN NICOLAS</t>
  </si>
  <si>
    <t>https://www.metrocuadrado.com/inmueble/venta-apartamento-bogota-el-rincon-de-san-nicolas-3-habitaciones-2-banos-1-garajes/MC6309192</t>
  </si>
  <si>
    <t>18294-M6573651</t>
  </si>
  <si>
    <t>https://www.metrocuadrado.com/inmueble/venta-apartamento-bogota-san-jose-del-prado-3-habitaciones-3-banos-2-garajes/18294-M6573651</t>
  </si>
  <si>
    <t>MC6532923</t>
  </si>
  <si>
    <t>https://www.metrocuadrado.com/inmueble/venta-apartamento-bogota-ciudad-salitre-occidental-3-habitaciones-3-banos-2-garajes/MC6532923</t>
  </si>
  <si>
    <t>MC6573579</t>
  </si>
  <si>
    <t>LA LIBERIA</t>
  </si>
  <si>
    <t>https://www.metrocuadrado.com/inmueble/venta-apartamento-bogota-la-liberia-3-habitaciones-3-banos-2-garajes/MC6573579</t>
  </si>
  <si>
    <t>MC6588634</t>
  </si>
  <si>
    <t>https://www.metrocuadrado.com/inmueble/venta-apartamento-bogota-molinos-norte-2-habitaciones-2-banos-1-garajes/MC6588634</t>
  </si>
  <si>
    <t>18222-M5728465</t>
  </si>
  <si>
    <t>REMANSO SUR</t>
  </si>
  <si>
    <t>https://www.metrocuadrado.com/inmueble/venta-apartamento-bogota-remanso-sur-2-habitaciones-1-banos-1-garajes/18222-M5728465</t>
  </si>
  <si>
    <t>MC6588505</t>
  </si>
  <si>
    <t>https://www.metrocuadrado.com/inmueble/venta-apartamento-bogota-madelena-i-y-ii-3-habitaciones-1-banos-1-garajes/MC6588505</t>
  </si>
  <si>
    <t>14271-M6581207</t>
  </si>
  <si>
    <t>https://www.metrocuadrado.com/inmueble/venta-apartamento-bogota-antiguo-country-2-habitaciones-2-banos-2-garajes/14271-M6581207</t>
  </si>
  <si>
    <t>2266-M5702056</t>
  </si>
  <si>
    <t>CALLEJA ALTA COUNTRY</t>
  </si>
  <si>
    <t>https://www.metrocuadrado.com/inmueble/venta-apartamento-bogota-calleja-alta-country-3-habitaciones-5-banos-4-garajes/2266-M5702056</t>
  </si>
  <si>
    <t>2266-M6185451</t>
  </si>
  <si>
    <t>https://www.metrocuadrado.com/inmueble/venta-apartamento-bogota-la-cabrera-2-habitaciones-3-banos-2-garajes/2266-M6185451</t>
  </si>
  <si>
    <t>3422-M6436043</t>
  </si>
  <si>
    <t>BATAN</t>
  </si>
  <si>
    <t>https://www.metrocuadrado.com/inmueble/venta-apartamento-bogota-batan-2-habitaciones-2-banos-2-garajes/3422-M6436043</t>
  </si>
  <si>
    <t>MC6580911</t>
  </si>
  <si>
    <t>https://www.metrocuadrado.com/inmueble/venta-apartamento-bogota-los-rosales-2-habitaciones-2-banos-2-garajes/MC6580911</t>
  </si>
  <si>
    <t>MC6567941</t>
  </si>
  <si>
    <t>https://www.metrocuadrado.com/inmueble/venta-apartamento-bogota-teusaquillo-3-habitaciones-3-banos-2-garajes/MC6567941</t>
  </si>
  <si>
    <t>18222-M6481621</t>
  </si>
  <si>
    <t>EDUARDO SANTOS</t>
  </si>
  <si>
    <t>https://www.metrocuadrado.com/inmueble/venta-apartamento-bogota-eduardo-santos-2-habitaciones-2-banos-1-garajes/18222-M6481621</t>
  </si>
  <si>
    <t>2671-M6385881</t>
  </si>
  <si>
    <t>https://www.metrocuadrado.com/inmueble/venta-apartamento-bogota-santa-barbara-central-3-habitaciones-3-banos-2-garajes/2671-M6385881</t>
  </si>
  <si>
    <t>5545-M6375810</t>
  </si>
  <si>
    <t>CHAPINERO ALTO</t>
  </si>
  <si>
    <t>https://www.metrocuadrado.com/inmueble/venta-apartamento-bogota-chapinero-alto-3-habitaciones-3-banos-2-garajes/5545-M6375810</t>
  </si>
  <si>
    <t>20839-M6110969</t>
  </si>
  <si>
    <t>CJR GRAN RESERVA DE RIOJA</t>
  </si>
  <si>
    <t>https://www.metrocuadrado.com/inmueble/venta-apartamento-bogota-cjr-gran-reserva-de-rioja-3-habitaciones-4-banos-3-garajes/20839-M6110969</t>
  </si>
  <si>
    <t>3561-M5460372</t>
  </si>
  <si>
    <t>EL PENON DEL CORTIJO</t>
  </si>
  <si>
    <t>https://www.metrocuadrado.com/inmueble/venta-apartamento-bogota-el-penon-del-cortijo-2-habitaciones-2-banos/3561-M5460372</t>
  </si>
  <si>
    <t>9914-M6147553</t>
  </si>
  <si>
    <t>https://www.metrocuadrado.com/inmueble/venta-apartamento-bogota-a.s.d.-3-habitaciones-4-banos-3-garajes/9914-M6147553</t>
  </si>
  <si>
    <t>20706-M6440644</t>
  </si>
  <si>
    <t>https://www.metrocuadrado.com/inmueble/venta-apartamento-bogota-san-jose-de-usaquen-2-habitaciones-1-banos/20706-M6440644</t>
  </si>
  <si>
    <t>20706-M6274439</t>
  </si>
  <si>
    <t>https://www.metrocuadrado.com/inmueble/venta-apartamento-bogota-las-flores-3-habitaciones-2-banos/20706-M6274439</t>
  </si>
  <si>
    <t>20706-M6300198</t>
  </si>
  <si>
    <t>ESTRELLA DEL NORTE</t>
  </si>
  <si>
    <t>https://www.metrocuadrado.com/inmueble/venta-apartamento-bogota-estrella-del-norte-3-habitaciones-3-banos-2-garajes/20706-M6300198</t>
  </si>
  <si>
    <t>20706-M6108895</t>
  </si>
  <si>
    <t>LOS OLIVOS</t>
  </si>
  <si>
    <t>https://www.metrocuadrado.com/inmueble/venta-apartamento-bogota-los-olivos-1-habitaciones-1-banos/20706-M6108895</t>
  </si>
  <si>
    <t>20706-M6100877</t>
  </si>
  <si>
    <t>LAS ORQUIDEAS</t>
  </si>
  <si>
    <t>https://www.metrocuadrado.com/inmueble/venta-apartamento-bogota-las-orquideas-2-habitaciones-1-banos/20706-M6100877</t>
  </si>
  <si>
    <t>3340-M6582039</t>
  </si>
  <si>
    <t>https://www.metrocuadrado.com/inmueble/venta-apartamento-bogota-san-luis-3-habitaciones-3-banos-1-garajes/3340-M6582039</t>
  </si>
  <si>
    <t>20706-M6141466</t>
  </si>
  <si>
    <t>PASO ANCHO</t>
  </si>
  <si>
    <t>https://www.metrocuadrado.com/inmueble/venta-apartamento-bogota-paso-ancho-2-habitaciones-2-banos/20706-M6141466</t>
  </si>
  <si>
    <t>20706-M6584043</t>
  </si>
  <si>
    <t>https://www.metrocuadrado.com/inmueble/venta-apartamento-bogota-santa-barbara-central-3-habitaciones-3-banos-1-garajes/20706-M6584043</t>
  </si>
  <si>
    <t>9914-M5996600</t>
  </si>
  <si>
    <t>https://www.metrocuadrado.com/inmueble/venta-apartamento-bogota-los-rosales-3-habitaciones-3-banos-2-garajes/9914-M5996600</t>
  </si>
  <si>
    <t>17565-M6397772</t>
  </si>
  <si>
    <t>https://www.metrocuadrado.com/inmueble/venta-apartamento-bogota-cantalejo-4-habitaciones-3-banos-2-garajes/17565-M6397772</t>
  </si>
  <si>
    <t>20706-M6141376</t>
  </si>
  <si>
    <t>BRASIL</t>
  </si>
  <si>
    <t>https://www.metrocuadrado.com/inmueble/venta-apartamento-bogota-brasil-3-habitaciones-2-banos/20706-M6141376</t>
  </si>
  <si>
    <t>19578-M6587019</t>
  </si>
  <si>
    <t>https://www.metrocuadrado.com/inmueble/venta-apartamento-bogota-britalia-norte-3-habitaciones-2-banos-1-garajes/19578-M6587019</t>
  </si>
  <si>
    <t>2259-M5447525</t>
  </si>
  <si>
    <t>CHICO NORTE ET  III   EDIF CHICO 97</t>
  </si>
  <si>
    <t>https://www.metrocuadrado.com/inmueble/venta-apartamento-bogota-chico-norte-et.-iii-edif-chico-97-3-habitaciones-2-banos-2-garajes/2259-M5447525</t>
  </si>
  <si>
    <t>21597-M6483319</t>
  </si>
  <si>
    <t>https://www.metrocuadrado.com/inmueble/venta-apartamento-bogota-el-redil-2-habitaciones-1-banos/21597-M6483319</t>
  </si>
  <si>
    <t>9914-M5963518</t>
  </si>
  <si>
    <t>https://www.metrocuadrado.com/inmueble/venta-apartamento-bogota-los-rosales-3-habitaciones-3-banos-2-garajes/9914-M5963518</t>
  </si>
  <si>
    <t>20706-M6575144</t>
  </si>
  <si>
    <t>VERBENAL</t>
  </si>
  <si>
    <t>https://www.metrocuadrado.com/inmueble/venta-apartamento-bogota-verbenal-3-habitaciones-2-banos/20706-M6575144</t>
  </si>
  <si>
    <t>20706-M6072600</t>
  </si>
  <si>
    <t>https://www.metrocuadrado.com/inmueble/venta-apartamento-bogota-rincon-de-santa-ines-2-habitaciones-1-banos/20706-M6072600</t>
  </si>
  <si>
    <t>51-M2536826</t>
  </si>
  <si>
    <t>https://www.metrocuadrado.com/inmueble/venta-apartamento-bogota-los-alpes-3-habitaciones-5-banos-4-garajes/51-M2536826</t>
  </si>
  <si>
    <t>15704-M6454748</t>
  </si>
  <si>
    <t>https://www.metrocuadrado.com/inmueble/venta-apartamento-bogota-modelia-3-habitaciones-2-banos-1-garajes/15704-M6454748</t>
  </si>
  <si>
    <t>16577-M6230514</t>
  </si>
  <si>
    <t>https://www.metrocuadrado.com/inmueble/venta-apartamento-bogota-colina-campestre-3-habitaciones-4-banos-2-garajes/16577-M6230514</t>
  </si>
  <si>
    <t>15704-M6264934</t>
  </si>
  <si>
    <t>https://www.metrocuadrado.com/inmueble/venta-apartamento-bogota-ricaurte-2-habitaciones-1-banos/15704-M6264934</t>
  </si>
  <si>
    <t>16385-M4597431</t>
  </si>
  <si>
    <t>https://www.metrocuadrado.com/inmueble/venta-apartamento-bogota-santa-barbara-3-habitaciones-4-banos-4-garajes/16385-M4597431</t>
  </si>
  <si>
    <t>12073-M6418586</t>
  </si>
  <si>
    <t>https://www.metrocuadrado.com/inmueble/venta-apartamento-bogota-cerros-de-los-alpes-3-habitaciones-5-banos-3-garajes/12073-M6418586</t>
  </si>
  <si>
    <t>18235-M6067584</t>
  </si>
  <si>
    <t>https://www.metrocuadrado.com/inmueble/venta-apartamento-bogota-iberia-3-habitaciones-2-banos-2-garajes/18235-M6067584</t>
  </si>
  <si>
    <t>16274-M6329835</t>
  </si>
  <si>
    <t>SANTA CATALINA</t>
  </si>
  <si>
    <t>https://www.metrocuadrado.com/inmueble/venta-apartamento-bogota-santa-catalina-3-habitaciones-2-banos-1-garajes/16274-M6329835</t>
  </si>
  <si>
    <t>9894-M5156596</t>
  </si>
  <si>
    <t>CJR RESERVA DE LA MONTANA</t>
  </si>
  <si>
    <t>https://www.metrocuadrado.com/inmueble/venta-apartamento-bogota-cjr-reserva-de-la-montana-3-habitaciones-2-banos-2-garajes/9894-M5156596</t>
  </si>
  <si>
    <t>16216-M6112899</t>
  </si>
  <si>
    <t>https://www.metrocuadrado.com/inmueble/venta-apartamento-bogota-las-acacias-3-habitaciones-5-banos-2-garajes/16216-M6112899</t>
  </si>
  <si>
    <t>2162-M5783179</t>
  </si>
  <si>
    <t>https://www.metrocuadrado.com/inmueble/venta-apartamento-bogota-las-nieves-3-habitaciones-3-banos/2162-M5783179</t>
  </si>
  <si>
    <t>5268-M6476235</t>
  </si>
  <si>
    <t>https://www.metrocuadrado.com/inmueble/venta-apartamento-bogota-chapinero-central-1-habitaciones-2-banos-1-garajes/5268-M6476235</t>
  </si>
  <si>
    <t>2162-M6035674</t>
  </si>
  <si>
    <t>https://www.metrocuadrado.com/inmueble/venta-apartamento-bogota-santa-bibiana-3-habitaciones-3-banos-4-garajes/2162-M6035674</t>
  </si>
  <si>
    <t>14236-M6473108</t>
  </si>
  <si>
    <t>https://www.metrocuadrado.com/inmueble/venta-apartamento-bogota-lisboa-3-habitaciones-3-banos-3-garajes/14236-M6473108</t>
  </si>
  <si>
    <t>16933-M6497219</t>
  </si>
  <si>
    <t>https://www.metrocuadrado.com/inmueble/venta-apartamento-bogota-prados-de-la-calleja-4-habitaciones-4-banos-3-garajes/16933-M6497219</t>
  </si>
  <si>
    <t>12033-M6442112</t>
  </si>
  <si>
    <t>CASABLANCA SUBA</t>
  </si>
  <si>
    <t>https://www.metrocuadrado.com/inmueble/venta-apartamento-bogota-casablanca-suba-3-habitaciones-2-banos-1-garajes/12033-M6442112</t>
  </si>
  <si>
    <t>15942-M5196059</t>
  </si>
  <si>
    <t>https://www.metrocuadrado.com/inmueble/venta-apartamento-bogota-santa-bibiana-3-habitaciones-5-banos-3-garajes/15942-M5196059</t>
  </si>
  <si>
    <t>17289-M6226609</t>
  </si>
  <si>
    <t>CR  MONET</t>
  </si>
  <si>
    <t>https://www.metrocuadrado.com/inmueble/venta-apartamento-bogota-cr.-monet-3-habitaciones-3-banos-2-garajes/17289-M6226609</t>
  </si>
  <si>
    <t>2453-M4672288</t>
  </si>
  <si>
    <t>https://www.metrocuadrado.com/inmueble/venta-apartamento-bogota-caobos-salazar-3-habitaciones-5-banos-2-garajes/2453-M4672288</t>
  </si>
  <si>
    <t>MC6470769</t>
  </si>
  <si>
    <t>EL ROSARIO</t>
  </si>
  <si>
    <t>https://www.metrocuadrado.com/inmueble/venta-apartamento-bogota-el-rosario-3-habitaciones-2-banos-1-garajes/MC6470769</t>
  </si>
  <si>
    <t>MC6281521</t>
  </si>
  <si>
    <t>https://www.metrocuadrado.com/inmueble/venta-apartamento-bogota-estrella-del-norte-3-habitaciones-2-banos-1-garajes/MC6281521</t>
  </si>
  <si>
    <t>MC6350583</t>
  </si>
  <si>
    <t>USATAMA</t>
  </si>
  <si>
    <t>https://www.metrocuadrado.com/inmueble/venta-apartamento-bogota-usatama-4-habitaciones-2-banos-1-garajes/MC6350583</t>
  </si>
  <si>
    <t>MC6573443</t>
  </si>
  <si>
    <t>TIERRABUENA RESERVADO 1 Y 2</t>
  </si>
  <si>
    <t>https://www.metrocuadrado.com/inmueble/venta-apartamento-bogota-tierrabuena-reservado-1-y-2-2-habitaciones-1-banos-1-garajes/MC6573443</t>
  </si>
  <si>
    <t>11275-C0007-01</t>
  </si>
  <si>
    <t>https://www.metrocuadrado.com/proyecto/aura/11275-C0007-01</t>
  </si>
  <si>
    <t>21477-C0001-02</t>
  </si>
  <si>
    <t>https://www.metrocuadrado.com/proyecto/dual-101/21477-C0001-02</t>
  </si>
  <si>
    <t>17156-C0007-01</t>
  </si>
  <si>
    <t>LAS BRISAS</t>
  </si>
  <si>
    <t>https://www.metrocuadrado.com/proyecto/urbania-eco/17156-C0007-01</t>
  </si>
  <si>
    <t>14693-C0004-04</t>
  </si>
  <si>
    <t>https://www.metrocuadrado.com/proyecto/pekin/14693-C0004-04</t>
  </si>
  <si>
    <t>18222-M6456932</t>
  </si>
  <si>
    <t>JOSE JOAQUIN VARGAS</t>
  </si>
  <si>
    <t>https://www.metrocuadrado.com/inmueble/venta-apartamento-bogota-jose-joaquin-vargas-2-habitaciones-1-banos-1-garajes/18222-M6456932</t>
  </si>
  <si>
    <t>MC6580912</t>
  </si>
  <si>
    <t>https://www.metrocuadrado.com/inmueble/venta-apartamento-bogota-bella-suiza-3-habitaciones-3-banos-2-garajes/MC6580912</t>
  </si>
  <si>
    <t>20363-M6539406</t>
  </si>
  <si>
    <t>BOSQUES DE SAN JORGE</t>
  </si>
  <si>
    <t>https://www.metrocuadrado.com/inmueble/venta-apartamento-bogota-bosques-de-san-jorge-3-habitaciones-2-banos-1-garajes/20363-M6539406</t>
  </si>
  <si>
    <t>MC6415969</t>
  </si>
  <si>
    <t>https://www.metrocuadrado.com/inmueble/venta-apartamento-bogota-cedro-salazar-3-habitaciones-2-banos-1-garajes/MC6415969</t>
  </si>
  <si>
    <t>14271-M5056229</t>
  </si>
  <si>
    <t>https://www.metrocuadrado.com/inmueble/venta-apartamento-bogota-casa-blanca-suba-3-habitaciones-5-banos-4-garajes/14271-M5056229</t>
  </si>
  <si>
    <t>MC6313143</t>
  </si>
  <si>
    <t>https://www.metrocuadrado.com/inmueble/venta-apartamento-bogota-cerros-de-los-alpes-3-habitaciones-3-banos-2-garajes/MC6313143</t>
  </si>
  <si>
    <t>16933-M6588110</t>
  </si>
  <si>
    <t>PRADO VERANIEGO SUR</t>
  </si>
  <si>
    <t>https://www.metrocuadrado.com/inmueble/venta-apartamento-bogota-prado-veraniego-sur-1-habitaciones-1-banos-1-garajes/16933-M6588110</t>
  </si>
  <si>
    <t>20706-M6105950</t>
  </si>
  <si>
    <t>https://www.metrocuadrado.com/inmueble/venta-apartamento-bogota-britalia-3-habitaciones-2-banos/20706-M6105950</t>
  </si>
  <si>
    <t>21884-M6362036</t>
  </si>
  <si>
    <t>https://www.metrocuadrado.com/inmueble/venta-apartamento-bogota-los-rosales-3-habitaciones-3-banos-4-garajes/21884-M6362036</t>
  </si>
  <si>
    <t>20706-M6338859</t>
  </si>
  <si>
    <t>SAN ANTONIO NOR OCCIDENTAL</t>
  </si>
  <si>
    <t>https://www.metrocuadrado.com/inmueble/venta-apartamento-bogota-san-antonio-nor-occidental-3-habitaciones-2-banos/20706-M6338859</t>
  </si>
  <si>
    <t>2731-M5603303</t>
  </si>
  <si>
    <t>SAN PATRICIO   EDIF OASIS DE LA SIERRA</t>
  </si>
  <si>
    <t>https://www.metrocuadrado.com/inmueble/venta-apartamento-bogota-san-patricio-edif-oasis-de-la-sierra-3-habitaciones-3-banos-2-garajes/2731-M5603303</t>
  </si>
  <si>
    <t>20706-M6361478</t>
  </si>
  <si>
    <t>RINCON DEL NORTE</t>
  </si>
  <si>
    <t>https://www.metrocuadrado.com/inmueble/venta-apartamento-bogota-rincon-del-norte-3-habitaciones-2-banos-1-garajes/20706-M6361478</t>
  </si>
  <si>
    <t>14383-M6296555</t>
  </si>
  <si>
    <t>LA CATEDRAL</t>
  </si>
  <si>
    <t>https://www.metrocuadrado.com/inmueble/venta-apartamento-bogota-la-catedral-1-habitaciones-2-banos-1-garajes/14383-M6296555</t>
  </si>
  <si>
    <t>11079-M4202763</t>
  </si>
  <si>
    <t>https://www.metrocuadrado.com/inmueble/venta-apartamento-bogota-santa-barbara-1-habitaciones-2-banos-1-garajes/11079-M4202763</t>
  </si>
  <si>
    <t>20706-M6586759</t>
  </si>
  <si>
    <t>https://www.metrocuadrado.com/inmueble/venta-apartamento-bogota-santa-barbara-occidental-1-habitaciones-1-banos-1-garajes/20706-M6586759</t>
  </si>
  <si>
    <t>20706-M6395669</t>
  </si>
  <si>
    <t>JERICO</t>
  </si>
  <si>
    <t>https://www.metrocuadrado.com/inmueble/venta-apartamento-bogota-jerico-3-habitaciones-1-banos/20706-M6395669</t>
  </si>
  <si>
    <t>20033-M6499192</t>
  </si>
  <si>
    <t>https://www.metrocuadrado.com/inmueble/venta-apartamento-bogota-el-refugio-4-habitaciones-3.5-banos-2-garajes/20033-M6499192</t>
  </si>
  <si>
    <t>5545-M6074413</t>
  </si>
  <si>
    <t>https://www.metrocuadrado.com/inmueble/venta-apartamento-bogota-colina-campestre-3-habitaciones-5-banos-2-garajes/5545-M6074413</t>
  </si>
  <si>
    <t>17285-M5857870</t>
  </si>
  <si>
    <t>https://www.metrocuadrado.com/inmueble/venta-apartamento-bogota-cerros-de-suba-3-habitaciones-5-banos-4-garajes/17285-M5857870</t>
  </si>
  <si>
    <t>2671-M5834239</t>
  </si>
  <si>
    <t>MULTICENTRO</t>
  </si>
  <si>
    <t>https://www.metrocuadrado.com/inmueble/venta-apartamento-bogota-multicentro-3-habitaciones-4-banos-3-garajes/2671-M5834239</t>
  </si>
  <si>
    <t>20706-M6575652</t>
  </si>
  <si>
    <t>https://www.metrocuadrado.com/inmueble/venta-apartamento-bogota-santa-teresa-2-habitaciones-2-banos-1-garajes/20706-M6575652</t>
  </si>
  <si>
    <t>20706-M6083306</t>
  </si>
  <si>
    <t>GUACANI</t>
  </si>
  <si>
    <t>https://www.metrocuadrado.com/inmueble/venta-apartamento-bogota-guacani-3-habitaciones-2-banos-2-garajes/20706-M6083306</t>
  </si>
  <si>
    <t>356-M4045016</t>
  </si>
  <si>
    <t>https://www.metrocuadrado.com/inmueble/venta-apartamento-bogota-chico-4-habitaciones-5-banos-3-garajes/356-M4045016</t>
  </si>
  <si>
    <t>20706-M6141411</t>
  </si>
  <si>
    <t>https://www.metrocuadrado.com/inmueble/venta-apartamento-bogota-brasil-3-habitaciones-1-banos/20706-M6141411</t>
  </si>
  <si>
    <t>13436-M6584937</t>
  </si>
  <si>
    <t>https://www.metrocuadrado.com/inmueble/venta-apartamento-bogota-caobos-salazar-2-habitaciones-2-banos-2-garajes/13436-M6584937</t>
  </si>
  <si>
    <t>21539-M6358679</t>
  </si>
  <si>
    <t>https://www.metrocuadrado.com/inmueble/venta-apartamento-bogota-pardo-rubio-2-habitaciones-2-banos-1-garajes/21539-M6358679</t>
  </si>
  <si>
    <t>20706-M6063319</t>
  </si>
  <si>
    <t>https://www.metrocuadrado.com/inmueble/venta-apartamento-bogota-el-tintal-2-habitaciones-1-banos/20706-M6063319</t>
  </si>
  <si>
    <t>18599-M6327036</t>
  </si>
  <si>
    <t>https://www.metrocuadrado.com/inmueble/venta-apartamento-bogota-gilmar-3-habitaciones-3-banos-2-garajes/18599-M6327036</t>
  </si>
  <si>
    <t>20706-M6141519</t>
  </si>
  <si>
    <t>SAN JOSE</t>
  </si>
  <si>
    <t>https://www.metrocuadrado.com/inmueble/venta-apartamento-bogota-san-jose-2-habitaciones-1-banos/20706-M6141519</t>
  </si>
  <si>
    <t>15738-M6231889</t>
  </si>
  <si>
    <t>https://www.metrocuadrado.com/inmueble/venta-apartamento-bogota-chapinero-3-habitaciones-3-banos-1-garajes/15738-M6231889</t>
  </si>
  <si>
    <t>11200-M4676979</t>
  </si>
  <si>
    <t>https://www.metrocuadrado.com/inmueble/venta-apartamento-bogota-casa-blanca-suba-4-habitaciones-5-banos-3-garajes/11200-M4676979</t>
  </si>
  <si>
    <t>14390-M5753150</t>
  </si>
  <si>
    <t>BELLA SUIZA   EDIF MONTERROSA</t>
  </si>
  <si>
    <t>https://www.metrocuadrado.com/inmueble/venta-apartamento-bogota-bella-suiza-edif-monterrosa-3-habitaciones-3-banos-3-garajes/14390-M5753150</t>
  </si>
  <si>
    <t>18516-M5729262</t>
  </si>
  <si>
    <t>https://www.metrocuadrado.com/inmueble/venta-apartamento-bogota-la-castellana-3-habitaciones-3-banos-1-garajes/18516-M5729262</t>
  </si>
  <si>
    <t>15704-M6512306</t>
  </si>
  <si>
    <t>MADELENA</t>
  </si>
  <si>
    <t>https://www.metrocuadrado.com/inmueble/venta-apartamento-bogota-madelena-3-habitaciones-2-banos/15704-M6512306</t>
  </si>
  <si>
    <t>18345-M5467315</t>
  </si>
  <si>
    <t>CHICO NORTE ET  III</t>
  </si>
  <si>
    <t>https://www.metrocuadrado.com/inmueble/venta-apartamento-bogota-chico-norte-et.-iii-4-habitaciones-4-banos-2-garajes/18345-M5467315</t>
  </si>
  <si>
    <t>9894-M4516268</t>
  </si>
  <si>
    <t>https://www.metrocuadrado.com/inmueble/venta-apartamento-bogota-el-retiro-3-habitaciones-5-banos-3-garajes/9894-M4516268</t>
  </si>
  <si>
    <t>15996-M6588473</t>
  </si>
  <si>
    <t>https://www.metrocuadrado.com/inmueble/venta-apartamento-bogota-rincon-del-chico-2-habitaciones-3-banos-2-garajes/15996-M6588473</t>
  </si>
  <si>
    <t>17123-M6572463</t>
  </si>
  <si>
    <t>https://www.metrocuadrado.com/inmueble/venta-apartamento-bogota-campo-alegre-3-habitaciones-2-banos-1-garajes/17123-M6572463</t>
  </si>
  <si>
    <t>15738-M5639647</t>
  </si>
  <si>
    <t>ALEJANDRIA</t>
  </si>
  <si>
    <t>https://www.metrocuadrado.com/inmueble/venta-apartamento-bogota-alejandria-3-habitaciones-3-banos-2-garajes/15738-M5639647</t>
  </si>
  <si>
    <t>2162-M5952177</t>
  </si>
  <si>
    <t>SANTA BIBIANA EDIF LAS FUENTES</t>
  </si>
  <si>
    <t>https://www.metrocuadrado.com/inmueble/venta-apartamento-bogota-santa-bibiana-edif-las-fuentes-4-habitaciones-4-banos-3-garajes/2162-M5952177</t>
  </si>
  <si>
    <t>512-M3344882</t>
  </si>
  <si>
    <t>https://www.metrocuadrado.com/inmueble/venta-apartamento-bogota-lisboa-3-habitaciones-5-banos-3-garajes/512-M3344882</t>
  </si>
  <si>
    <t>3858-M6585718</t>
  </si>
  <si>
    <t>https://www.metrocuadrado.com/inmueble/venta-apartamento-bogota-chico-3-habitaciones-3-banos-2-garajes/3858-M6585718</t>
  </si>
  <si>
    <t>16474-M6500567</t>
  </si>
  <si>
    <t>LA URIBE</t>
  </si>
  <si>
    <t>https://www.metrocuadrado.com/inmueble/venta-apartamento-bogota-la-uribe-3-habitaciones-2-banos-1-garajes/16474-M6500567</t>
  </si>
  <si>
    <t>15942-M6073294</t>
  </si>
  <si>
    <t>https://www.metrocuadrado.com/inmueble/venta-apartamento-bogota-santa-bibiana-1-habitaciones-2-banos-1-garajes/15942-M6073294</t>
  </si>
  <si>
    <t>17723-M6389398</t>
  </si>
  <si>
    <t>https://www.metrocuadrado.com/inmueble/venta-apartamento-bogota-victoria-norte-5-habitaciones-5-banos-2-garajes/17723-M6389398</t>
  </si>
  <si>
    <t>15942-M4515269</t>
  </si>
  <si>
    <t>https://www.metrocuadrado.com/inmueble/venta-apartamento-bogota-los-rosales-3-habitaciones-5-banos-3-garajes/15942-M4515269</t>
  </si>
  <si>
    <t>17061-M4979799</t>
  </si>
  <si>
    <t>CJR TOKYO ZERO</t>
  </si>
  <si>
    <t>https://www.metrocuadrado.com/inmueble/venta-apartamento-bogota-cjr-tokyo-zero-1-habitaciones-1-banos/17061-M4979799</t>
  </si>
  <si>
    <t>17000-M6176388</t>
  </si>
  <si>
    <t>NIZA</t>
  </si>
  <si>
    <t>https://www.metrocuadrado.com/inmueble/venta-apartamento-bogota-niza-3-habitaciones-2-banos/17000-M6176388</t>
  </si>
  <si>
    <t>MC6154642</t>
  </si>
  <si>
    <t>https://www.metrocuadrado.com/inmueble/venta-apartamento-bogota-el-dorado-3-habitaciones-2-banos-1-garajes/MC6154642</t>
  </si>
  <si>
    <t>MC6115734</t>
  </si>
  <si>
    <t>https://www.metrocuadrado.com/inmueble/venta-apartamento-bogota-el-batan-3-habitaciones-4-banos-2-garajes/MC6115734</t>
  </si>
  <si>
    <t>MC6440640</t>
  </si>
  <si>
    <t>PORTALES DEL NORTE</t>
  </si>
  <si>
    <t>https://www.metrocuadrado.com/inmueble/venta-apartamento-bogota-portales-del-norte-3-habitaciones-2-banos-2-garajes/MC6440640</t>
  </si>
  <si>
    <t>MC6281387</t>
  </si>
  <si>
    <t>EL SEMINARIO</t>
  </si>
  <si>
    <t>https://www.metrocuadrado.com/inmueble/venta-apartamento-bogota-el-seminario-4-habitaciones-4-banos-2-garajes/MC6281387</t>
  </si>
  <si>
    <t>22277-C0001-09</t>
  </si>
  <si>
    <t>SAN MARTIN</t>
  </si>
  <si>
    <t>https://www.metrocuadrado.com/proyecto/proyecto-33-dc/22277-C0001-09</t>
  </si>
  <si>
    <t>22277-C0001-13</t>
  </si>
  <si>
    <t>https://www.metrocuadrado.com/proyecto/proyecto-33-dc/22277-C0001-13</t>
  </si>
  <si>
    <t>17156-C0001-01</t>
  </si>
  <si>
    <t>https://www.metrocuadrado.com/proyecto/centriko/17156-C0001-01</t>
  </si>
  <si>
    <t>17774-C0005-03</t>
  </si>
  <si>
    <t>LOS ALAMOS</t>
  </si>
  <si>
    <t>https://www.metrocuadrado.com/proyecto/connect-living/17774-C0005-03</t>
  </si>
  <si>
    <t>17565-M6353813</t>
  </si>
  <si>
    <t>https://www.metrocuadrado.com/inmueble/venta-apartamento-bogota-chico-2-habitaciones-2-banos/17565-M6353813</t>
  </si>
  <si>
    <t>20607-M6403465</t>
  </si>
  <si>
    <t>TARRAGONA DEL SALITRE ET II</t>
  </si>
  <si>
    <t>https://www.metrocuadrado.com/inmueble/venta-apartamento-bogota-tarragona-del-salitre-et-ii-3-habitaciones-2-banos-1-garajes/20607-M6403465</t>
  </si>
  <si>
    <t>2259-M4694018</t>
  </si>
  <si>
    <t>UB  BOSQUES DE MEDINA</t>
  </si>
  <si>
    <t>https://www.metrocuadrado.com/inmueble/venta-apartamento-bogota-ub.-bosques-de-medina-3-habitaciones-4-banos-3-garajes/2259-M4694018</t>
  </si>
  <si>
    <t>20706-M6360051</t>
  </si>
  <si>
    <t>https://www.metrocuadrado.com/inmueble/venta-apartamento-bogota-el-ensueno-3-habitaciones-2-banos/20706-M6360051</t>
  </si>
  <si>
    <t>20706-M6274393</t>
  </si>
  <si>
    <t>TIBABUYES</t>
  </si>
  <si>
    <t>https://www.metrocuadrado.com/inmueble/venta-apartamento-bogota-tibabuyes-3-habitaciones-1-banos/20706-M6274393</t>
  </si>
  <si>
    <t>20264-M6498719</t>
  </si>
  <si>
    <t>https://www.metrocuadrado.com/inmueble/venta-apartamento-bogota-chico-norte-4-habitaciones-4-banos-3-garajes/20264-M6498719</t>
  </si>
  <si>
    <t>17565-M6235091</t>
  </si>
  <si>
    <t>VILLA MAGDALA</t>
  </si>
  <si>
    <t>https://www.metrocuadrado.com/inmueble/venta-apartamento-bogota-villa-magdala-3-habitaciones-3-banos-2-garajes/17565-M6235091</t>
  </si>
  <si>
    <t>20706-M6111768</t>
  </si>
  <si>
    <t>CARVAJAL</t>
  </si>
  <si>
    <t>https://www.metrocuadrado.com/inmueble/venta-apartamento-bogota-carvajal-2-habitaciones-1-banos/20706-M6111768</t>
  </si>
  <si>
    <t>17565-M6354461</t>
  </si>
  <si>
    <t>METROPOLIS</t>
  </si>
  <si>
    <t>https://www.metrocuadrado.com/inmueble/venta-apartamento-bogota-metropolis-3-habitaciones-2-banos/17565-M6354461</t>
  </si>
  <si>
    <t>21884-M6368268</t>
  </si>
  <si>
    <t>BARRANCAS NORTE</t>
  </si>
  <si>
    <t>https://www.metrocuadrado.com/inmueble/venta-apartamento-bogota-barrancas-norte-3-habitaciones-2-banos-1-garajes/21884-M6368268</t>
  </si>
  <si>
    <t>5545-M4264805</t>
  </si>
  <si>
    <t>https://www.metrocuadrado.com/inmueble/venta-apartamento-bogota-chico-norte-3-habitaciones-3-banos-2-garajes/5545-M4264805</t>
  </si>
  <si>
    <t>20706-M6332490</t>
  </si>
  <si>
    <t>FLORENCIA</t>
  </si>
  <si>
    <t>https://www.metrocuadrado.com/inmueble/venta-apartamento-bogota-florencia-3-habitaciones-1-banos/20706-M6332490</t>
  </si>
  <si>
    <t>20706-M6311793</t>
  </si>
  <si>
    <t>GRAN BRITALIA</t>
  </si>
  <si>
    <t>https://www.metrocuadrado.com/inmueble/venta-apartamento-bogota-gran-britalia-2-habitaciones-1-banos/20706-M6311793</t>
  </si>
  <si>
    <t>19895-M6319562</t>
  </si>
  <si>
    <t>https://www.metrocuadrado.com/inmueble/venta-apartamento-bogota-san-patricio-3-habitaciones-5-banos-2-garajes/19895-M6319562</t>
  </si>
  <si>
    <t>19701-M5760133</t>
  </si>
  <si>
    <t>https://www.metrocuadrado.com/inmueble/venta-apartamento-bogota-la-calleja-4-habitaciones-5-banos-4-garajes/19701-M5760133</t>
  </si>
  <si>
    <t>20706-M6339238</t>
  </si>
  <si>
    <t>https://www.metrocuadrado.com/inmueble/venta-apartamento-bogota-antiguo-country-2-habitaciones-2-banos-1-garajes/20706-M6339238</t>
  </si>
  <si>
    <t>2266-M5644137</t>
  </si>
  <si>
    <t>https://www.metrocuadrado.com/inmueble/venta-apartamento-bogota-chapinero-3-habitaciones-2-banos-2-garajes/2266-M5644137</t>
  </si>
  <si>
    <t>17285-M5942550</t>
  </si>
  <si>
    <t>https://www.metrocuadrado.com/inmueble/venta-apartamento-bogota-chico-alto-3-habitaciones-4-banos-2-garajes/17285-M5942550</t>
  </si>
  <si>
    <t>5545-M5764910</t>
  </si>
  <si>
    <t>NAVARRA</t>
  </si>
  <si>
    <t>https://www.metrocuadrado.com/inmueble/venta-apartamento-bogota-navarra-3-habitaciones-4-banos-3-garajes/5545-M5764910</t>
  </si>
  <si>
    <t>20839-M6082792</t>
  </si>
  <si>
    <t>CONEJERA</t>
  </si>
  <si>
    <t>https://www.metrocuadrado.com/inmueble/venta-apartamento-bogota-conejera-3-habitaciones-3-banos-2-garajes/20839-M6082792</t>
  </si>
  <si>
    <t>16108-M6377339</t>
  </si>
  <si>
    <t>https://www.metrocuadrado.com/inmueble/venta-apartamento-bogota-molinos-norte-3-habitaciones-3-banos-3-garajes/16108-M6377339</t>
  </si>
  <si>
    <t>13194-M6312616</t>
  </si>
  <si>
    <t>https://www.metrocuadrado.com/inmueble/venta-apartamento-bogota-los-rosales-4-habitaciones-5-banos-2-garajes/13194-M6312616</t>
  </si>
  <si>
    <t>16437-M6569775</t>
  </si>
  <si>
    <t>https://www.metrocuadrado.com/inmueble/venta-apartamento-bogota-los-rosales-3-habitaciones-3-banos-2-garajes/16437-M6569775</t>
  </si>
  <si>
    <t>320-M6583268</t>
  </si>
  <si>
    <t>https://www.metrocuadrado.com/inmueble/venta-apartamento-bogota-el-redil-1-habitaciones-1-banos/320-M6583268</t>
  </si>
  <si>
    <t>17152-M5658451</t>
  </si>
  <si>
    <t>https://www.metrocuadrado.com/inmueble/venta-apartamento-bogota-santa-barbara-occidental-3-habitaciones-3-banos-2-garajes/17152-M5658451</t>
  </si>
  <si>
    <t>3065-M4811827</t>
  </si>
  <si>
    <t>https://www.metrocuadrado.com/inmueble/venta-apartamento-bogota-santa-barbara-3-habitaciones-4-banos-2-garajes/3065-M4811827</t>
  </si>
  <si>
    <t>14237-M5313173</t>
  </si>
  <si>
    <t>CEDRO BOLIVAR</t>
  </si>
  <si>
    <t>https://www.metrocuadrado.com/inmueble/venta-apartamento-bogota-cedro-bolivar-3-habitaciones-2-banos-1-garajes/14237-M5313173</t>
  </si>
  <si>
    <t>957-M6363692</t>
  </si>
  <si>
    <t>https://www.metrocuadrado.com/inmueble/venta-apartamento-bogota-club-los-lagartos-3-habitaciones-3-banos-2-garajes/957-M6363692</t>
  </si>
  <si>
    <t>374-M6309622</t>
  </si>
  <si>
    <t>https://www.metrocuadrado.com/inmueble/venta-apartamento-bogota-cerros-de-santa-barbara-3-habitaciones-5-banos-4-garajes/374-M6309622</t>
  </si>
  <si>
    <t>16739-M6332447</t>
  </si>
  <si>
    <t>LISBOA NUEVO COUNTRY</t>
  </si>
  <si>
    <t>https://www.metrocuadrado.com/inmueble/venta-apartamento-bogota-lisboa-nuevo-country-3-habitaciones-4-banos-3-garajes/16739-M6332447</t>
  </si>
  <si>
    <t>660-M6411521</t>
  </si>
  <si>
    <t>https://www.metrocuadrado.com/inmueble/venta-apartamento-bogota-el-dorado-3-habitaciones-2-banos-1-garajes/660-M6411521</t>
  </si>
  <si>
    <t>16040-M6072257</t>
  </si>
  <si>
    <t>CJR BOSQUES DEL COUNTRY</t>
  </si>
  <si>
    <t>https://www.metrocuadrado.com/inmueble/venta-apartamento-bogota-cjr-bosques-del-country-4-habitaciones-5-banos-4-garajes/16040-M6072257</t>
  </si>
  <si>
    <t>515-M5358596</t>
  </si>
  <si>
    <t>https://www.metrocuadrado.com/inmueble/venta-apartamento-bogota-santa-bibiana-4-habitaciones-4-banos-2-garajes/515-M5358596</t>
  </si>
  <si>
    <t>12735-M6501015</t>
  </si>
  <si>
    <t>https://www.metrocuadrado.com/inmueble/venta-apartamento-bogota-rosales-3-habitaciones-4-banos-4-garajes/12735-M6501015</t>
  </si>
  <si>
    <t>17137-M6010201</t>
  </si>
  <si>
    <t>https://www.metrocuadrado.com/inmueble/venta-apartamento-bogota-colina-campestre-4-habitaciones-5-banos-3-garajes/17137-M6010201</t>
  </si>
  <si>
    <t>17000-M6179520</t>
  </si>
  <si>
    <t>https://www.metrocuadrado.com/inmueble/venta-apartamento-bogota-niza-3-habitaciones-2-banos/17000-M6179520</t>
  </si>
  <si>
    <t>17575-M6495151</t>
  </si>
  <si>
    <t>LA ESPERANZA</t>
  </si>
  <si>
    <t>https://www.metrocuadrado.com/inmueble/venta-apartamento-bogota-la-esperanza-3-habitaciones-2-banos-1-garajes/17575-M6495151</t>
  </si>
  <si>
    <t>17000-M6357569</t>
  </si>
  <si>
    <t>https://www.metrocuadrado.com/inmueble/venta-apartamento-bogota-pontevedra-3-habitaciones-2-banos-2-garajes/17000-M6357569</t>
  </si>
  <si>
    <t>MC6309495</t>
  </si>
  <si>
    <t>https://www.metrocuadrado.com/inmueble/venta-apartamento-bogota-el-dorado-2-habitaciones-2-banos-1-garajes/MC6309495</t>
  </si>
  <si>
    <t>MC6325118</t>
  </si>
  <si>
    <t>https://www.metrocuadrado.com/inmueble/venta-apartamento-bogota-santa-barbara-occidental-2-habitaciones-3-banos-2-garajes/MC6325118</t>
  </si>
  <si>
    <t>MC6142521</t>
  </si>
  <si>
    <t>CJR PRADO GRANDE II</t>
  </si>
  <si>
    <t>https://www.metrocuadrado.com/inmueble/venta-apartamento-bogota-cjr-prado-grande-ii-3-habitaciones-2-banos-1-garajes/MC6142521</t>
  </si>
  <si>
    <t>MC6567878</t>
  </si>
  <si>
    <t>https://www.metrocuadrado.com/inmueble/venta-apartamento-bogota-carvajal-3-habitaciones-2-banos-1-garajes/MC6567878</t>
  </si>
  <si>
    <t>22277-C0001-12</t>
  </si>
  <si>
    <t>https://www.metrocuadrado.com/proyecto/proyecto-33-dc/22277-C0001-12</t>
  </si>
  <si>
    <t>22277-C0001-08</t>
  </si>
  <si>
    <t>https://www.metrocuadrado.com/proyecto/proyecto-33-dc/22277-C0001-08</t>
  </si>
  <si>
    <t>17156-C0011-01</t>
  </si>
  <si>
    <t>https://www.metrocuadrado.com/proyecto/urbania-bio/17156-C0011-01</t>
  </si>
  <si>
    <t>17774-C0006-01</t>
  </si>
  <si>
    <t>SAN DIEGO</t>
  </si>
  <si>
    <t>https://www.metrocuadrado.com/proyecto/macarena/17774-C0006-01</t>
  </si>
  <si>
    <t>21432-M6391670</t>
  </si>
  <si>
    <t>CHICO NAVARRA</t>
  </si>
  <si>
    <t>https://www.metrocuadrado.com/inmueble/venta-apartamento-bogota-chico-navarra-5-habitaciones-5-banos-2-garajes/21432-M6391670</t>
  </si>
  <si>
    <t>17565-M5837660</t>
  </si>
  <si>
    <t>https://www.metrocuadrado.com/inmueble/venta-apartamento-bogota-santa-barbara-4-habitaciones-3-banos/17565-M5837660</t>
  </si>
  <si>
    <t>22189-M6498348</t>
  </si>
  <si>
    <t>https://www.metrocuadrado.com/inmueble/venta-apartamento-bogota-rincon-del-chico-2-habitaciones-3-banos-2-garajes/22189-M6498348</t>
  </si>
  <si>
    <t>10677-M6345762</t>
  </si>
  <si>
    <t>https://www.metrocuadrado.com/inmueble/venta-apartamento-bogota-los-rosales-4-habitaciones-5-banos-2-garajes/10677-M6345762</t>
  </si>
  <si>
    <t>661-M6151571</t>
  </si>
  <si>
    <t>CHICO NORTE III</t>
  </si>
  <si>
    <t>https://www.metrocuadrado.com/inmueble/venta-apartamento-bogota-chico-norte-iii-2-habitaciones-2-banos-1-garajes/661-M6151571</t>
  </si>
  <si>
    <t>20706-M6328961</t>
  </si>
  <si>
    <t>UB  CASTILLA REAL</t>
  </si>
  <si>
    <t>https://www.metrocuadrado.com/inmueble/venta-apartamento-bogota-ub.-castilla-real-3-habitaciones-2-banos/20706-M6328961</t>
  </si>
  <si>
    <t>356-M4709081</t>
  </si>
  <si>
    <t>https://www.metrocuadrado.com/inmueble/venta-apartamento-bogota-la-carolina-3-habitaciones-4-banos-4-garajes/356-M4709081</t>
  </si>
  <si>
    <t>5044-M5834862</t>
  </si>
  <si>
    <t>https://www.metrocuadrado.com/inmueble/venta-apartamento-bogota-chico-norte-et.-iii-2-habitaciones-3-banos-2-garajes/5044-M5834862</t>
  </si>
  <si>
    <t>21187-M6312222</t>
  </si>
  <si>
    <t>https://www.metrocuadrado.com/inmueble/venta-apartamento-bogota-santa-barbara-3-habitaciones-4-banos-2-garajes/21187-M6312222</t>
  </si>
  <si>
    <t>17565-M6156592</t>
  </si>
  <si>
    <t>https://www.metrocuadrado.com/inmueble/venta-apartamento-bogota-san-patricio-2-habitaciones-3-banos-2-garajes/17565-M6156592</t>
  </si>
  <si>
    <t>20234-M5793816</t>
  </si>
  <si>
    <t>https://www.metrocuadrado.com/inmueble/venta-apartamento-bogota-la-calleja-3-habitaciones-4-banos-2-garajes/20234-M5793816</t>
  </si>
  <si>
    <t>20258-M6308979</t>
  </si>
  <si>
    <t>PRIMAVERA OCCIDENTAL</t>
  </si>
  <si>
    <t>https://www.metrocuadrado.com/inmueble/venta-apartamento-bogota-primavera-occidental-2-habitaciones-1-banos/20258-M6308979</t>
  </si>
  <si>
    <t>20728-M5977889</t>
  </si>
  <si>
    <t>BOSQUE MEDINA</t>
  </si>
  <si>
    <t>https://www.metrocuadrado.com/inmueble/venta-apartamento-bogota-bosque-medina-2-habitaciones-2-banos-2-garajes/20728-M5977889</t>
  </si>
  <si>
    <t>34-M5758057</t>
  </si>
  <si>
    <t>https://www.metrocuadrado.com/inmueble/venta-apartamento-bogota-santa-paula-4-habitaciones-5-banos-3-garajes/34-M5758057</t>
  </si>
  <si>
    <t>19734-M6012055</t>
  </si>
  <si>
    <t>https://www.metrocuadrado.com/inmueble/venta-apartamento-bogota-chico-1-habitaciones-1-banos-1-garajes/19734-M6012055</t>
  </si>
  <si>
    <t>11079-M6282779</t>
  </si>
  <si>
    <t>https://www.metrocuadrado.com/inmueble/venta-apartamento-bogota-cerros-de-suba-3-habitaciones-4-banos/11079-M6282779</t>
  </si>
  <si>
    <t>356-M6329563</t>
  </si>
  <si>
    <t>CALLEJA</t>
  </si>
  <si>
    <t>https://www.metrocuadrado.com/inmueble/venta-apartamento-bogota-calleja-3-habitaciones-4-banos-3-garajes/356-M6329563</t>
  </si>
  <si>
    <t>20706-M6487659</t>
  </si>
  <si>
    <t>https://www.metrocuadrado.com/inmueble/venta-apartamento-bogota-chico-norte-et.-iii-4-habitaciones-4-banos-3-garajes/20706-M6487659</t>
  </si>
  <si>
    <t>21414-M6338946</t>
  </si>
  <si>
    <t>https://www.metrocuadrado.com/inmueble/venta-apartamento-bogota-santander-2-habitaciones-1-banos/21414-M6338946</t>
  </si>
  <si>
    <t>304-M6312001</t>
  </si>
  <si>
    <t>https://www.metrocuadrado.com/inmueble/venta-apartamento-bogota-la-carolina-3-habitaciones-3-banos-2-garajes/304-M6312001</t>
  </si>
  <si>
    <t>651-M5729299</t>
  </si>
  <si>
    <t>CJR PADUA</t>
  </si>
  <si>
    <t>https://www.metrocuadrado.com/inmueble/venta-apartamento-bogota-cjr-padua-3-habitaciones-5-banos-3-garajes/651-M5729299</t>
  </si>
  <si>
    <t>3282-M6480657</t>
  </si>
  <si>
    <t>MIRANDELA</t>
  </si>
  <si>
    <t>https://www.metrocuadrado.com/inmueble/venta-apartamento-bogota-mirandela-2-habitaciones-2-banos-1-garajes/3282-M6480657</t>
  </si>
  <si>
    <t>15704-M5977724</t>
  </si>
  <si>
    <t>https://www.metrocuadrado.com/inmueble/venta-apartamento-bogota-la-calleja-3-habitaciones-4-banos-3-garajes/15704-M5977724</t>
  </si>
  <si>
    <t>10857-M6158743</t>
  </si>
  <si>
    <t>https://www.metrocuadrado.com/inmueble/venta-apartamento-bogota-chico-norte-2-habitaciones-2-banos-2-garajes/10857-M6158743</t>
  </si>
  <si>
    <t>668-M6400523</t>
  </si>
  <si>
    <t>https://www.metrocuadrado.com/inmueble/venta-apartamento-bogota-santa-barbara-central-3-habitaciones-4-banos-2-garajes/668-M6400523</t>
  </si>
  <si>
    <t>19434-M5654791</t>
  </si>
  <si>
    <t>SIERRAS DEL MORAL</t>
  </si>
  <si>
    <t>https://www.metrocuadrado.com/inmueble/venta-apartamento-bogota-sierras-del-moral-4-habitaciones-5-banos-4-garajes/19434-M5654791</t>
  </si>
  <si>
    <t>18854-M6490425</t>
  </si>
  <si>
    <t>SENDEROS DE MODELIA</t>
  </si>
  <si>
    <t>https://www.metrocuadrado.com/inmueble/venta-apartamento-bogota-senderos-de-modelia-2-habitaciones-2-banos-1-garajes/18854-M6490425</t>
  </si>
  <si>
    <t>374-M6309568</t>
  </si>
  <si>
    <t>https://www.metrocuadrado.com/inmueble/venta-apartamento-bogota-cerros-de-santa-barbara-3-habitaciones-5-banos-3-garajes/374-M6309568</t>
  </si>
  <si>
    <t>16172-M5557935</t>
  </si>
  <si>
    <t>BAVARIA</t>
  </si>
  <si>
    <t>https://www.metrocuadrado.com/inmueble/venta-apartamento-bogota-bavaria-2-habitaciones-2-banos-1-garajes/16172-M5557935</t>
  </si>
  <si>
    <t>39-M5608503</t>
  </si>
  <si>
    <t>https://www.metrocuadrado.com/inmueble/venta-apartamento-bogota-el-nogal-3-habitaciones-4-banos-2-garajes/39-M5608503</t>
  </si>
  <si>
    <t>11203-M3467060</t>
  </si>
  <si>
    <t>https://www.metrocuadrado.com/inmueble/venta-apartamento-bogota-bellavista-4-habitaciones-4-banos-3-garajes/11203-M3467060</t>
  </si>
  <si>
    <t>14236-M6138805</t>
  </si>
  <si>
    <t>https://www.metrocuadrado.com/inmueble/venta-apartamento-bogota-lisboa-3-habitaciones-3-banos-2-garajes/14236-M6138805</t>
  </si>
  <si>
    <t>16739-M6546845</t>
  </si>
  <si>
    <t>SAN JOSE DE BAVARIA</t>
  </si>
  <si>
    <t>https://www.metrocuadrado.com/inmueble/venta-apartamento-bogota-san-jose-de-bavaria-3-habitaciones-3-banos-2-garajes/16739-M6546845</t>
  </si>
  <si>
    <t>16474-M6500612</t>
  </si>
  <si>
    <t>GRAN GRANADA</t>
  </si>
  <si>
    <t>https://www.metrocuadrado.com/inmueble/venta-apartamento-bogota-gran-granada-3-habitaciones-2-banos-1-garajes/16474-M6500612</t>
  </si>
  <si>
    <t>17000-M6358262</t>
  </si>
  <si>
    <t>https://www.metrocuadrado.com/inmueble/venta-apartamento-bogota-el-dorado-3-habitaciones-2-banos-1-garajes/17000-M6358262</t>
  </si>
  <si>
    <t>18037-M5715568</t>
  </si>
  <si>
    <t>https://www.metrocuadrado.com/inmueble/venta-apartamento-bogota-san-patricio-2-habitaciones-3-banos-2-garajes/18037-M5715568</t>
  </si>
  <si>
    <t>11676-M6466654</t>
  </si>
  <si>
    <t>https://www.metrocuadrado.com/inmueble/venta-apartamento-bogota-san-patricio-3-habitaciones-4-banos-3-garajes/11676-M6466654</t>
  </si>
  <si>
    <t>17000-M6341286</t>
  </si>
  <si>
    <t>https://www.metrocuadrado.com/inmueble/venta-apartamento-bogota-pontevedra-3-habitaciones-2-banos-2-garajes/17000-M6341286</t>
  </si>
  <si>
    <t>17000-M4910563</t>
  </si>
  <si>
    <t>https://www.metrocuadrado.com/inmueble/venta-apartamento-bogota-el-dorado-3-habitaciones-2-banos-1-garajes/17000-M4910563</t>
  </si>
  <si>
    <t>MC6470893</t>
  </si>
  <si>
    <t>https://www.metrocuadrado.com/inmueble/venta-apartamento-bogota-puente-largo-4-habitaciones-3-banos-1-garajes/MC6470893</t>
  </si>
  <si>
    <t>MC6374338</t>
  </si>
  <si>
    <t>https://www.metrocuadrado.com/inmueble/venta-apartamento-bogota-potosi-3-habitaciones-2-banos-2-garajes/MC6374338</t>
  </si>
  <si>
    <t>MC6471138</t>
  </si>
  <si>
    <t>https://www.metrocuadrado.com/inmueble/venta-apartamento-bogota-el-tintal-1-habitaciones-1-banos/MC6471138</t>
  </si>
  <si>
    <t>MC6491398</t>
  </si>
  <si>
    <t>https://www.metrocuadrado.com/inmueble/venta-apartamento-bogota-las-nieves-2-habitaciones-2-banos-1-garajes/MC6491398</t>
  </si>
  <si>
    <t>22277-C0001-10</t>
  </si>
  <si>
    <t>https://www.metrocuadrado.com/proyecto/proyecto-33-dc/22277-C0001-10</t>
  </si>
  <si>
    <t>22277-C0001-16</t>
  </si>
  <si>
    <t>https://www.metrocuadrado.com/proyecto/proyecto-33-dc/22277-C0001-16</t>
  </si>
  <si>
    <t>17156-C0032-07</t>
  </si>
  <si>
    <t>AUTOPISTA NORTE CON CALLE 142</t>
  </si>
  <si>
    <t>https://www.metrocuadrado.com/proyecto/element-142/17156-C0032-07</t>
  </si>
  <si>
    <t>14693-C0004-03</t>
  </si>
  <si>
    <t>https://www.metrocuadrado.com/proyecto/pekin/14693-C0004-03</t>
  </si>
  <si>
    <t>2489-M6403338</t>
  </si>
  <si>
    <t>https://www.metrocuadrado.com/inmueble/venta-apartamento-bogota-el-nogal-4-habitaciones-5-banos-4-garajes/2489-M6403338</t>
  </si>
  <si>
    <t>10173-M6581194</t>
  </si>
  <si>
    <t>https://www.metrocuadrado.com/inmueble/venta-apartamento-bogota-cerros-de-santa-barbara-4-habitaciones-4-banos-4-garajes/10173-M6581194</t>
  </si>
  <si>
    <t>17285-M5863601</t>
  </si>
  <si>
    <t>https://www.metrocuadrado.com/inmueble/venta-apartamento-bogota-santa-barbara-4-habitaciones-5-banos-4-garajes/17285-M5863601</t>
  </si>
  <si>
    <t>17285-M5863570</t>
  </si>
  <si>
    <t>https://www.metrocuadrado.com/inmueble/venta-apartamento-bogota-santa-barbara-3-habitaciones-5-banos-4-garajes/17285-M5863570</t>
  </si>
  <si>
    <t>3774-M4101966</t>
  </si>
  <si>
    <t>https://www.metrocuadrado.com/inmueble/venta-apartamento-bogota-sierras-del-moral-3-habitaciones-3-banos-2-garajes/3774-M4101966</t>
  </si>
  <si>
    <t>20451-M6052448</t>
  </si>
  <si>
    <t>LA COLINA CAMPESTRE</t>
  </si>
  <si>
    <t>https://www.metrocuadrado.com/inmueble/venta-apartamento-bogota-la-colina-campestre-3-habitaciones-4-banos-2-garajes/20451-M6052448</t>
  </si>
  <si>
    <t>9914-M6381830</t>
  </si>
  <si>
    <t>https://www.metrocuadrado.com/inmueble/venta-apartamento-bogota-santa-bibiana-3-habitaciones-3-banos-3-garajes/9914-M6381830</t>
  </si>
  <si>
    <t>17285-M5944909</t>
  </si>
  <si>
    <t>https://www.metrocuadrado.com/inmueble/venta-apartamento-bogota-cerros-de-suba-2-habitaciones-3-banos-2-garajes/17285-M5944909</t>
  </si>
  <si>
    <t>20234-M5792517</t>
  </si>
  <si>
    <t>SANTA ANA</t>
  </si>
  <si>
    <t>https://www.metrocuadrado.com/inmueble/venta-apartamento-bogota-santa-ana-3-habitaciones-4-banos-3-garajes/20234-M5792517</t>
  </si>
  <si>
    <t>14-M5529351</t>
  </si>
  <si>
    <t>SAN CRISTOBAL NORTE</t>
  </si>
  <si>
    <t>https://www.metrocuadrado.com/inmueble/venta-apartamento-bogota-san-cristobal-norte-2-habitaciones-2-banos/14-M5529351</t>
  </si>
  <si>
    <t>304-M6144659</t>
  </si>
  <si>
    <t>https://www.metrocuadrado.com/inmueble/venta-apartamento-bogota-la-carolina-3-habitaciones-5-banos-2-garajes/304-M6144659</t>
  </si>
  <si>
    <t>20562-M6012468</t>
  </si>
  <si>
    <t>https://www.metrocuadrado.com/inmueble/venta-apartamento-bogota-chico-norte-et-iii-3-habitaciones-3-banos-2-garajes/20562-M6012468</t>
  </si>
  <si>
    <t>2748-M3751157</t>
  </si>
  <si>
    <t>https://www.metrocuadrado.com/inmueble/venta-apartamento-bogota-el-retiro-4-habitaciones-5-banos-2-garajes/2748-M3751157</t>
  </si>
  <si>
    <t>2671-M5793915</t>
  </si>
  <si>
    <t>https://www.metrocuadrado.com/inmueble/venta-apartamento-bogota-colina-campestre-3-habitaciones-5-banos-3-garajes/2671-M5793915</t>
  </si>
  <si>
    <t>20607-M6404566</t>
  </si>
  <si>
    <t>https://www.metrocuadrado.com/inmueble/venta-apartamento-bogota-cantalejo-3-habitaciones-2-banos-1-garajes/20607-M6404566</t>
  </si>
  <si>
    <t>20234-M5792541</t>
  </si>
  <si>
    <t>EL VIRREY</t>
  </si>
  <si>
    <t>https://www.metrocuadrado.com/inmueble/venta-apartamento-bogota-el-virrey-1-habitaciones-2-banos-1-garajes/20234-M5792541</t>
  </si>
  <si>
    <t>20234-M5793790</t>
  </si>
  <si>
    <t>https://www.metrocuadrado.com/inmueble/venta-apartamento-bogota-la-carolina-3-habitaciones-3-banos-3-garajes/20234-M5793790</t>
  </si>
  <si>
    <t>2671-M5793936</t>
  </si>
  <si>
    <t>https://www.metrocuadrado.com/inmueble/venta-apartamento-bogota-colina-campestre-3-habitaciones-5-banos-3-garajes/2671-M5793936</t>
  </si>
  <si>
    <t>5031-M6213997</t>
  </si>
  <si>
    <t>https://www.metrocuadrado.com/inmueble/venta-apartamento-bogota-la-calleja-3-habitaciones-2-banos-2-garajes/5031-M6213997</t>
  </si>
  <si>
    <t>5044-M5255858</t>
  </si>
  <si>
    <t>https://www.metrocuadrado.com/inmueble/venta-apartamento-bogota-chico-norte-et.-iii-3-habitaciones-3-banos-2-garajes/5044-M5255858</t>
  </si>
  <si>
    <t>19434-M5654727</t>
  </si>
  <si>
    <t>https://www.metrocuadrado.com/inmueble/venta-apartamento-bogota-sierras-del-moral-4-habitaciones-5-banos-4-garajes/19434-M5654727</t>
  </si>
  <si>
    <t>16649-M6091528</t>
  </si>
  <si>
    <t>https://www.metrocuadrado.com/inmueble/venta-apartamento-bogota-ciudad-jardin-norte-3-habitaciones-2-banos-2-garajes/16649-M6091528</t>
  </si>
  <si>
    <t>51-M6579588</t>
  </si>
  <si>
    <t>https://www.metrocuadrado.com/inmueble/venta-apartamento-bogota-san-patricio-3-habitaciones-3-banos-2-garajes/51-M6579588</t>
  </si>
  <si>
    <t>15738-M5562427</t>
  </si>
  <si>
    <t>LIJACA</t>
  </si>
  <si>
    <t>https://www.metrocuadrado.com/inmueble/venta-apartamento-bogota-lijaca-2-habitaciones-2-banos-1-garajes/15738-M5562427</t>
  </si>
  <si>
    <t>2974-M6282789</t>
  </si>
  <si>
    <t>https://www.metrocuadrado.com/inmueble/venta-apartamento-bogota-el-plan-3-habitaciones-4-banos-2-garajes/2974-M6282789</t>
  </si>
  <si>
    <t>2974-M6557309</t>
  </si>
  <si>
    <t>https://www.metrocuadrado.com/inmueble/venta-apartamento-bogota-victoria-norte-3-habitaciones-3-banos-2-garajes/2974-M6557309</t>
  </si>
  <si>
    <t>9894-M5132113</t>
  </si>
  <si>
    <t>CJR LEVEL VIRREY</t>
  </si>
  <si>
    <t>https://www.metrocuadrado.com/inmueble/venta-apartamento-bogota-cjr-level-virrey-3-habitaciones-4-banos-2-garajes/9894-M5132113</t>
  </si>
  <si>
    <t>14193-M6571755</t>
  </si>
  <si>
    <t>https://www.metrocuadrado.com/inmueble/venta-apartamento-bogota-santa-barbara-oriental-2-habitaciones-3-banos-2-garajes/14193-M6571755</t>
  </si>
  <si>
    <t>11002-M6161111</t>
  </si>
  <si>
    <t>https://www.metrocuadrado.com/inmueble/venta-apartamento-bogota-san-martin-1-habitaciones-2-banos-1-garajes/11002-M6161111</t>
  </si>
  <si>
    <t>3858-M6330320</t>
  </si>
  <si>
    <t>CASA BLANCA ET II</t>
  </si>
  <si>
    <t>https://www.metrocuadrado.com/inmueble/venta-apartamento-bogota-casa-blanca-et-ii-3-habitaciones-1-banos/3858-M6330320</t>
  </si>
  <si>
    <t>512-M6068456</t>
  </si>
  <si>
    <t>UB BOSQUES</t>
  </si>
  <si>
    <t>https://www.metrocuadrado.com/inmueble/venta-apartamento-bogota-ub-bosques-3-habitaciones-4-banos-4-garajes/512-M6068456</t>
  </si>
  <si>
    <t>5105-M6499397</t>
  </si>
  <si>
    <t>https://www.metrocuadrado.com/inmueble/venta-apartamento-bogota-casa-blanca-suba-3-habitaciones-4-banos-2-garajes/5105-M6499397</t>
  </si>
  <si>
    <t>3229-M6391060</t>
  </si>
  <si>
    <t>BOSQUE LA RESERVA</t>
  </si>
  <si>
    <t>https://www.metrocuadrado.com/inmueble/venta-apartamento-bogota-bosque-la-reserva-3-habitaciones-4-banos-3-garajes/3229-M6391060</t>
  </si>
  <si>
    <t>3858-M6426662</t>
  </si>
  <si>
    <t>CABRERA</t>
  </si>
  <si>
    <t>https://www.metrocuadrado.com/inmueble/venta-apartamento-bogota-cabrera-3-habitaciones-5-banos-4-garajes/3858-M6426662</t>
  </si>
  <si>
    <t>709-M6311235</t>
  </si>
  <si>
    <t>https://www.metrocuadrado.com/inmueble/venta-apartamento-bogota-mazuren-3-habitaciones-2-banos-2-garajes/709-M6311235</t>
  </si>
  <si>
    <t>17289-M6226601</t>
  </si>
  <si>
    <t>https://www.metrocuadrado.com/inmueble/venta-apartamento-bogota-antiguo-country-3-habitaciones-2-banos-2-garajes/17289-M6226601</t>
  </si>
  <si>
    <t>11369-M6497453</t>
  </si>
  <si>
    <t>https://www.metrocuadrado.com/inmueble/venta-apartamento-bogota-chico-2-habitaciones-3-banos-1-garajes/11369-M6497453</t>
  </si>
  <si>
    <t>695-M6497792</t>
  </si>
  <si>
    <t>QUIROGA</t>
  </si>
  <si>
    <t>https://www.metrocuadrado.com/inmueble/venta-apartamento-bogota-quiroga-3-habitaciones-2-banos-1-garajes/695-M6497792</t>
  </si>
  <si>
    <t>Tunal</t>
  </si>
  <si>
    <t>TUN</t>
  </si>
  <si>
    <t>Tunjuelito</t>
  </si>
  <si>
    <t>Carrera 24  # 49-86 sur</t>
  </si>
  <si>
    <t>RAFAEL URIBE URIBE</t>
  </si>
  <si>
    <t>797-M4694740</t>
  </si>
  <si>
    <t>https://www.metrocuadrado.com/inmueble/venta-apartamento-bogota-marly-4-habitaciones-3-banos/797-M4694740</t>
  </si>
  <si>
    <t>MC6583450</t>
  </si>
  <si>
    <t>https://www.metrocuadrado.com/inmueble/venta-apartamento-bogota-la-carolina-1-habitaciones-2-banos-1-garajes/MC6583450</t>
  </si>
  <si>
    <t>MC6554648</t>
  </si>
  <si>
    <t>https://www.metrocuadrado.com/inmueble/venta-apartamento-bogota-el-verbenal-3-habitaciones-2-banos-1-garajes/MC6554648</t>
  </si>
  <si>
    <t>MC6525128</t>
  </si>
  <si>
    <t>https://www.metrocuadrado.com/inmueble/venta-apartamento-bogota-bella-suiza-3-habitaciones-3-banos-2-garajes/MC6525128</t>
  </si>
  <si>
    <t>MC6541348</t>
  </si>
  <si>
    <t>https://www.metrocuadrado.com/inmueble/venta-apartamento-bogota-san-gabriel-norte-3-habitaciones-4-banos-2-garajes/MC6541348</t>
  </si>
  <si>
    <t>22286-C0006-05</t>
  </si>
  <si>
    <t>https://www.metrocuadrado.com/proyecto/colina-living/22286-C0006-05</t>
  </si>
  <si>
    <t>22286-C0006-03</t>
  </si>
  <si>
    <t>https://www.metrocuadrado.com/proyecto/colina-living/22286-C0006-03</t>
  </si>
  <si>
    <t>17156-C0032-02</t>
  </si>
  <si>
    <t>https://www.metrocuadrado.com/proyecto/element-142/17156-C0032-02</t>
  </si>
  <si>
    <t>14693-C0004-11</t>
  </si>
  <si>
    <t>https://www.metrocuadrado.com/proyecto/pekin/14693-C0004-11</t>
  </si>
  <si>
    <t>464-M5285456</t>
  </si>
  <si>
    <t>https://www.metrocuadrado.com/inmueble/venta-apartamento-bogota-country-club-3-habitaciones-4-banos-2-garajes/464-M5285456</t>
  </si>
  <si>
    <t>17285-M6013528</t>
  </si>
  <si>
    <t>https://www.metrocuadrado.com/inmueble/venta-apartamento-bogota-chico-reservado-3-habitaciones-5-banos-3-garajes/17285-M6013528</t>
  </si>
  <si>
    <t>464-M5285433</t>
  </si>
  <si>
    <t>https://www.metrocuadrado.com/inmueble/venta-apartamento-bogota-la-cabrera-2-habitaciones-5-banos-2-garajes/464-M5285433</t>
  </si>
  <si>
    <t>20706-M6487776</t>
  </si>
  <si>
    <t>https://www.metrocuadrado.com/inmueble/venta-apartamento-bogota-caobos-salazar-2-habitaciones-3-banos/20706-M6487776</t>
  </si>
  <si>
    <t>464-M5285754</t>
  </si>
  <si>
    <t>https://www.metrocuadrado.com/inmueble/venta-apartamento-bogota-la-cabrera-3-habitaciones-5-banos-4-garajes/464-M5285754</t>
  </si>
  <si>
    <t>4186-M6479963</t>
  </si>
  <si>
    <t>https://www.metrocuadrado.com/inmueble/venta-apartamento-bogota-antiguo-country-2-habitaciones-3-banos-1-garajes/4186-M6479963</t>
  </si>
  <si>
    <t>3774-M4583633</t>
  </si>
  <si>
    <t>SANTA ANA OCCIDENTAL</t>
  </si>
  <si>
    <t>https://www.metrocuadrado.com/inmueble/venta-apartamento-bogota-santa-ana-occidental-3-habitaciones-4-banos-2-garajes/3774-M4583633</t>
  </si>
  <si>
    <t>5031-M6294017</t>
  </si>
  <si>
    <t>https://www.metrocuadrado.com/inmueble/venta-apartamento-bogota-la-colina-campestre-3-habitaciones-4-banos-3-garajes/5031-M6294017</t>
  </si>
  <si>
    <t>11079-M4858013</t>
  </si>
  <si>
    <t>https://www.metrocuadrado.com/inmueble/venta-apartamento-bogota-cerros-de-santa-barbara-3-habitaciones-5-banos-2-garajes/11079-M4858013</t>
  </si>
  <si>
    <t>5044-M5129423</t>
  </si>
  <si>
    <t>https://www.metrocuadrado.com/inmueble/venta-apartamento-bogota-san-patricio-3-habitaciones-3-banos-4-garajes/5044-M5129423</t>
  </si>
  <si>
    <t>17565-M6097138</t>
  </si>
  <si>
    <t>https://www.metrocuadrado.com/inmueble/venta-apartamento-bogota-san-patricio-3-habitaciones-4-banos-3-garajes/17565-M6097138</t>
  </si>
  <si>
    <t>5031-M6214163</t>
  </si>
  <si>
    <t>https://www.metrocuadrado.com/inmueble/venta-apartamento-bogota-santa-barbara-1-habitaciones-1-banos-1-garajes/5031-M6214163</t>
  </si>
  <si>
    <t>771-M6479467</t>
  </si>
  <si>
    <t>https://www.metrocuadrado.com/inmueble/venta-apartamento-bogota-el-rosario-3-habitaciones-2-banos-2-garajes/771-M6479467</t>
  </si>
  <si>
    <t>11079-M5785874</t>
  </si>
  <si>
    <t>https://www.metrocuadrado.com/inmueble/venta-apartamento-bogota-a.s.d.-3-habitaciones-5-banos-3-garajes/11079-M5785874</t>
  </si>
  <si>
    <t>356-M4668141</t>
  </si>
  <si>
    <t>https://www.metrocuadrado.com/inmueble/venta-apartamento-bogota-la-carolina-3-habitaciones-4-banos-4-garajes/356-M4668141</t>
  </si>
  <si>
    <t>20234-M5823979</t>
  </si>
  <si>
    <t>https://www.metrocuadrado.com/inmueble/venta-apartamento-bogota-cerros-de-suba-3-habitaciones-4-banos-3-garajes/20234-M5823979</t>
  </si>
  <si>
    <t>871-M4060696</t>
  </si>
  <si>
    <t>https://www.metrocuadrado.com/inmueble/venta-apartamento-bogota-chico-reservado-4-habitaciones-4-banos-2-garajes/871-M4060696</t>
  </si>
  <si>
    <t>21638-M6290888</t>
  </si>
  <si>
    <t>https://www.metrocuadrado.com/inmueble/venta-apartamento-bogota-santa-barbara-oriental-3-habitaciones-4-banos-4-garajes/21638-M6290888</t>
  </si>
  <si>
    <t>20728-M5978348</t>
  </si>
  <si>
    <t>https://www.metrocuadrado.com/inmueble/venta-apartamento-bogota-santa-barbara-2-habitaciones-3-banos-1-garajes/20728-M5978348</t>
  </si>
  <si>
    <t>2147-M5855292</t>
  </si>
  <si>
    <t>https://www.metrocuadrado.com/inmueble/venta-apartamento-bogota-potosi-4-habitaciones-5-banos-3-garajes/2147-M5855292</t>
  </si>
  <si>
    <t>2147-M6070343</t>
  </si>
  <si>
    <t>https://www.metrocuadrado.com/inmueble/venta-apartamento-bogota-chico-navarra-5-habitaciones-5-banos-4-garajes/2147-M6070343</t>
  </si>
  <si>
    <t>2147-M6333181</t>
  </si>
  <si>
    <t>https://www.metrocuadrado.com/inmueble/venta-apartamento-bogota-niza-norte-2-habitaciones-3-banos-2-garajes/2147-M6333181</t>
  </si>
  <si>
    <t>2147-M5609568</t>
  </si>
  <si>
    <t>https://www.metrocuadrado.com/inmueble/venta-apartamento-bogota-chico-navarra-5-habitaciones-5-banos-4-garajes/2147-M5609568</t>
  </si>
  <si>
    <t>17123-M6584330</t>
  </si>
  <si>
    <t>https://www.metrocuadrado.com/inmueble/venta-apartamento-bogota-ub-castilla-3-habitaciones-2-banos-1-garajes/17123-M6584330</t>
  </si>
  <si>
    <t>2974-M6213753</t>
  </si>
  <si>
    <t>https://www.metrocuadrado.com/inmueble/venta-apartamento-bogota-contador-2-habitaciones-2-banos-1-garajes/2974-M6213753</t>
  </si>
  <si>
    <t>13194-M6306141</t>
  </si>
  <si>
    <t>https://www.metrocuadrado.com/inmueble/venta-apartamento-bogota-santa-bibiana-2-habitaciones-3-banos-2-garajes/13194-M6306141</t>
  </si>
  <si>
    <t>18854-M6490437</t>
  </si>
  <si>
    <t>GALERIAS</t>
  </si>
  <si>
    <t>https://www.metrocuadrado.com/inmueble/venta-apartamento-bogota-galerias-1-habitaciones-2-banos-1-garajes/18854-M6490437</t>
  </si>
  <si>
    <t>18598-M6396573</t>
  </si>
  <si>
    <t>https://www.metrocuadrado.com/inmueble/venta-apartamento-bogota-chico-3-habitaciones-3-banos-2-garajes/18598-M6396573</t>
  </si>
  <si>
    <t>2147-M6524501</t>
  </si>
  <si>
    <t>https://www.metrocuadrado.com/inmueble/venta-apartamento-bogota-chico-norte-3-habitaciones-5-banos-2-garajes/2147-M6524501</t>
  </si>
  <si>
    <t>156-M6470752</t>
  </si>
  <si>
    <t>VILLA ELISA</t>
  </si>
  <si>
    <t>https://www.metrocuadrado.com/inmueble/venta-apartamento-bogota-villa-elisa-2-habitaciones-1-banos-1-garajes/156-M6470752</t>
  </si>
  <si>
    <t>156-M6485865</t>
  </si>
  <si>
    <t>https://www.metrocuadrado.com/inmueble/venta-apartamento-bogota-el-plan-3-habitaciones-2-banos-1-garajes/156-M6485865</t>
  </si>
  <si>
    <t>14153-M6020684</t>
  </si>
  <si>
    <t>https://www.metrocuadrado.com/inmueble/venta-apartamento-bogota-3-habitaciones-1-banos/14153-M6020684</t>
  </si>
  <si>
    <t>512-9630015</t>
  </si>
  <si>
    <t>https://www.metrocuadrado.com/inmueble/venta-apartamento-bogota-cerros-de-santa-barbara-4-habitaciones-5-banos-3-garajes/512-9630015</t>
  </si>
  <si>
    <t>3438-M6160974</t>
  </si>
  <si>
    <t>https://www.metrocuadrado.com/inmueble/venta-apartamento-bogota-santa-barbara-occidental-3-habitaciones-3-banos-1-garajes/3438-M6160974</t>
  </si>
  <si>
    <t>562-M6311582</t>
  </si>
  <si>
    <t>https://www.metrocuadrado.com/inmueble/venta-apartamento-bogota-santa-paula-3-habitaciones-3-banos-2-garajes/562-M6311582</t>
  </si>
  <si>
    <t>17549-M5304252</t>
  </si>
  <si>
    <t>https://www.metrocuadrado.com/inmueble/venta-apartamento-bogota-bellavista-3-habitaciones-3-banos-3-garajes/17549-M5304252</t>
  </si>
  <si>
    <t>19534-M6003400</t>
  </si>
  <si>
    <t>https://www.metrocuadrado.com/inmueble/venta-apartamento-bogota-colina-campestre-3-habitaciones-3-banos-2-garajes/19534-M6003400</t>
  </si>
  <si>
    <t>12364-M6351642</t>
  </si>
  <si>
    <t>https://www.metrocuadrado.com/inmueble/venta-apartamento-bogota-la-colina-campestre-2-habitaciones-3-banos-2-garajes/12364-M6351642</t>
  </si>
  <si>
    <t>MC6372065</t>
  </si>
  <si>
    <t>OLAYA</t>
  </si>
  <si>
    <t>https://www.metrocuadrado.com/inmueble/venta-apartamento-bogota-olaya-3-habitaciones-2-banos-1-garajes/MC6372065</t>
  </si>
  <si>
    <t>MC6397527</t>
  </si>
  <si>
    <t>TECHO</t>
  </si>
  <si>
    <t>https://www.metrocuadrado.com/inmueble/venta-apartamento-bogota-techo-2-habitaciones-1-banos/MC6397527</t>
  </si>
  <si>
    <t>MC6573988</t>
  </si>
  <si>
    <t>https://www.metrocuadrado.com/inmueble/venta-apartamento-bogota-san-patricio-4-habitaciones-5-banos-3-garajes/MC6573988</t>
  </si>
  <si>
    <t>MC5062890</t>
  </si>
  <si>
    <t>https://www.metrocuadrado.com/inmueble/venta-apartamento-bogota-ub.-hacienda-cordoba-niza-3-habitaciones-2-banos-2-garajes/MC5062890</t>
  </si>
  <si>
    <t>21135-C0002-02</t>
  </si>
  <si>
    <t>casa</t>
  </si>
  <si>
    <t>https://www.metrocuadrado.com/proyecto/makapi-sotileza/21135-C0002-02</t>
  </si>
  <si>
    <t>21135-C0002-01</t>
  </si>
  <si>
    <t>https://www.metrocuadrado.com/proyecto/makapi-sotileza/21135-C0002-01</t>
  </si>
  <si>
    <t>1572-C0073-02</t>
  </si>
  <si>
    <t>https://www.metrocuadrado.com/proyecto/torreladera-bosque-reservado-casas-4/1572-C0073-02</t>
  </si>
  <si>
    <t>1572-C0073-01</t>
  </si>
  <si>
    <t>https://www.metrocuadrado.com/proyecto/torreladera-bosque-reservado-casas-4/1572-C0073-01</t>
  </si>
  <si>
    <t>MC6529290</t>
  </si>
  <si>
    <t>https://www.metrocuadrado.com/inmueble/venta-casa-bogota-suba-naranjos-3-habitaciones-4-banos-2-garajes/MC6529290</t>
  </si>
  <si>
    <t>MC6572902</t>
  </si>
  <si>
    <t>https://www.metrocuadrado.com/inmueble/venta-casa-bogota-banco-central-5-habitaciones-3-banos-1-garajes/MC6572902</t>
  </si>
  <si>
    <t>17465-M6223388</t>
  </si>
  <si>
    <t>NUEVO MUZU</t>
  </si>
  <si>
    <t>https://www.metrocuadrado.com/inmueble/venta-casa-bogota-nuevo-muzu-4-habitaciones-2-banos-1-garajes/17465-M6223388</t>
  </si>
  <si>
    <t>TUNJUELITO</t>
  </si>
  <si>
    <t>18294-M6139147</t>
  </si>
  <si>
    <t>https://www.metrocuadrado.com/inmueble/venta-casa-bogota-santa-rosa-3-habitaciones-2-banos-2-garajes/18294-M6139147</t>
  </si>
  <si>
    <t>16297-M6505514</t>
  </si>
  <si>
    <t>https://www.metrocuadrado.com/inmueble/venta-casa-bogota-ciudad-jardin-norte-4-habitaciones-4-banos-2-garajes/16297-M6505514</t>
  </si>
  <si>
    <t>18297-M6075427</t>
  </si>
  <si>
    <t>https://www.metrocuadrado.com/inmueble/venta-casa-bogota-la-calleja-4-habitaciones-3-banos-2-garajes/18297-M6075427</t>
  </si>
  <si>
    <t>16959-M6234609</t>
  </si>
  <si>
    <t>https://www.metrocuadrado.com/inmueble/venta-casa-bogota-cedro-bolivar-3-habitaciones-3-banos-1-garajes/16959-M6234609</t>
  </si>
  <si>
    <t>MC5857615</t>
  </si>
  <si>
    <t>CJR ALSACIA REAL</t>
  </si>
  <si>
    <t>https://www.metrocuadrado.com/inmueble/venta-casa-bogota-cjr-alsacia-real-4-habitaciones-2-banos/MC5857615</t>
  </si>
  <si>
    <t>MC5530179</t>
  </si>
  <si>
    <t>LA CAMELIA</t>
  </si>
  <si>
    <t>https://www.metrocuadrado.com/inmueble/venta-casa-bogota-la-camelia-5-habitaciones-4-banos-2-garajes/MC5530179</t>
  </si>
  <si>
    <t>MC4066763</t>
  </si>
  <si>
    <t>MARANTA III SECTOR</t>
  </si>
  <si>
    <t>https://www.metrocuadrado.com/inmueble/venta-casa-bogota-maranta-iii-sector-3-habitaciones-3-banos-2-garajes/MC4066763</t>
  </si>
  <si>
    <t>MC5957801</t>
  </si>
  <si>
    <t>JULIO FLOREZ</t>
  </si>
  <si>
    <t>https://www.metrocuadrado.com/inmueble/venta-casa-bogota-julio-florez-3-habitaciones-2-banos-1-garajes/MC5957801</t>
  </si>
  <si>
    <t>MC6334786</t>
  </si>
  <si>
    <t>https://www.metrocuadrado.com/inmueble/venta-casa-bogota-gran-britalia-5-habitaciones-3-banos-1-garajes/MC6334786</t>
  </si>
  <si>
    <t>17638-M5788215</t>
  </si>
  <si>
    <t>MARANTA</t>
  </si>
  <si>
    <t>https://www.metrocuadrado.com/inmueble/venta-casa-bogota-maranta-3-habitaciones-3-banos-2-garajes/17638-M5788215</t>
  </si>
  <si>
    <t>MC6422278</t>
  </si>
  <si>
    <t>https://www.metrocuadrado.com/inmueble/venta-casa-bogota-victoria-norte-4-habitaciones-4-banos-2-garajes/MC6422278</t>
  </si>
  <si>
    <t>10967-M3684965</t>
  </si>
  <si>
    <t>https://www.metrocuadrado.com/inmueble/venta-casa-bogota-san-jose-de-bavaria-4-habitaciones-5-banos-4-garajes/10967-M3684965</t>
  </si>
  <si>
    <t>10307-M6149637</t>
  </si>
  <si>
    <t>https://www.metrocuadrado.com/inmueble/venta-casa-bogota-conejera-4-habitaciones-4-banos-2-garajes/10307-M6149637</t>
  </si>
  <si>
    <t>21662-M6313158</t>
  </si>
  <si>
    <t>https://www.metrocuadrado.com/inmueble/venta-casa-bogota-el-batan-3-habitaciones-3-banos-2-garajes/21662-M6313158</t>
  </si>
  <si>
    <t>3774-M4477911</t>
  </si>
  <si>
    <t>https://www.metrocuadrado.com/inmueble/venta-casa-bogota-casa-blanca-4-habitaciones-5-banos-3-garajes/3774-M4477911</t>
  </si>
  <si>
    <t>10307-M6373460</t>
  </si>
  <si>
    <t>https://www.metrocuadrado.com/inmueble/venta-casa-bogota-conejera-3-habitaciones-5-banos-2-garajes/10307-M6373460</t>
  </si>
  <si>
    <t>5545-M6014412</t>
  </si>
  <si>
    <t>https://www.metrocuadrado.com/inmueble/venta-casa-bogota-4-habitaciones-4-banos-2-garajes/5545-M6014412</t>
  </si>
  <si>
    <t>19734-M5730176</t>
  </si>
  <si>
    <t>https://www.metrocuadrado.com/inmueble/venta-casa-bogota-casa-blanca-4-habitaciones-5-banos-4-garajes/19734-M5730176</t>
  </si>
  <si>
    <t>2259-M5800799</t>
  </si>
  <si>
    <t>https://www.metrocuadrado.com/inmueble/venta-casa-bogota-casa-blanca-suba-4-habitaciones-5-banos-2-garajes/2259-M5800799</t>
  </si>
  <si>
    <t>10307-M3697000</t>
  </si>
  <si>
    <t>https://www.metrocuadrado.com/inmueble/venta-casa-bogota-conejera-4-habitaciones-5-banos-2-garajes/10307-M3697000</t>
  </si>
  <si>
    <t>10307-M3068621</t>
  </si>
  <si>
    <t>https://www.metrocuadrado.com/inmueble/venta-casa-bogota-conejera-3-habitaciones-5-banos-4-garajes/10307-M3068621</t>
  </si>
  <si>
    <t>3604-M3988410</t>
  </si>
  <si>
    <t>https://www.metrocuadrado.com/inmueble/venta-casa-bogota-casa-blanca-4-habitaciones-4-banos-3-garajes/3604-M3988410</t>
  </si>
  <si>
    <t>10307-M5317391</t>
  </si>
  <si>
    <t>https://www.metrocuadrado.com/inmueble/venta-casa-bogota-conejera-4-habitaciones-4-banos-2-garajes/10307-M5317391</t>
  </si>
  <si>
    <t>20485-M5961088</t>
  </si>
  <si>
    <t>https://www.metrocuadrado.com/inmueble/venta-casa-bogota-casa-blanca-4-habitaciones-5-banos-4-garajes/20485-M5961088</t>
  </si>
  <si>
    <t>3604-M4020122</t>
  </si>
  <si>
    <t>https://www.metrocuadrado.com/inmueble/venta-casa-bogota-casa-blanca-4-habitaciones-4-banos-3-garajes/3604-M4020122</t>
  </si>
  <si>
    <t>2359-M5702765</t>
  </si>
  <si>
    <t>https://www.metrocuadrado.com/inmueble/venta-casa-bogota-cedro-bolivar-4-habitaciones-5-banos-4-garajes/2359-M5702765</t>
  </si>
  <si>
    <t>10967-M2526902</t>
  </si>
  <si>
    <t>https://www.metrocuadrado.com/inmueble/venta-casa-bogota-san-jose-de-bavaria-5-habitaciones-5-banos-4-garajes/10967-M2526902</t>
  </si>
  <si>
    <t>10967-M6108392</t>
  </si>
  <si>
    <t>https://www.metrocuadrado.com/inmueble/venta-casa-bogota-san-jose-de-bavaria-5-habitaciones-5-banos-4-garajes/10967-M6108392</t>
  </si>
  <si>
    <t>3340-M5237266</t>
  </si>
  <si>
    <t>LOS ANDES NORTE</t>
  </si>
  <si>
    <t>https://www.metrocuadrado.com/inmueble/venta-casa-bogota-los-andes-norte-4-habitaciones-5-banos-2-garajes/3340-M5237266</t>
  </si>
  <si>
    <t>3604-M3905107</t>
  </si>
  <si>
    <t>https://www.metrocuadrado.com/inmueble/venta-casa-bogota-san-jose-de-bavaria-3-habitaciones-4-banos-3-garajes/3604-M3905107</t>
  </si>
  <si>
    <t>13634-M5839046</t>
  </si>
  <si>
    <t>https://www.metrocuadrado.com/inmueble/venta-casa-bogota-san-jose-de-bavaria-4-habitaciones-5-banos-4-garajes/13634-M5839046</t>
  </si>
  <si>
    <t>20485-M6105478</t>
  </si>
  <si>
    <t>https://www.metrocuadrado.com/inmueble/venta-casa-bogota-casa-blanca-5-habitaciones-5-banos-4-garajes/20485-M6105478</t>
  </si>
  <si>
    <t>651-M2698510</t>
  </si>
  <si>
    <t>URBANIZACION SANTA COLOMA</t>
  </si>
  <si>
    <t>https://www.metrocuadrado.com/inmueble/venta-casa-bogota-urbanizacion-santa-coloma-3-habitaciones-5-banos-2-garajes/651-M2698510</t>
  </si>
  <si>
    <t>16108-M6075021</t>
  </si>
  <si>
    <t>https://www.metrocuadrado.com/inmueble/venta-casa-bogota-cerros-de-niza-3-habitaciones-4-banos-4-garajes/16108-M6075021</t>
  </si>
  <si>
    <t>4830-M2711134</t>
  </si>
  <si>
    <t>https://www.metrocuadrado.com/inmueble/venta-casa-bogota-los-andes-norte-5-habitaciones-5-banos-2-garajes/4830-M2711134</t>
  </si>
  <si>
    <t>4830-M4513952</t>
  </si>
  <si>
    <t>https://www.metrocuadrado.com/inmueble/venta-casa-bogota-potosi-5-habitaciones-5-banos-2-garajes/4830-M4513952</t>
  </si>
  <si>
    <t>11068-M5339462</t>
  </si>
  <si>
    <t>https://www.metrocuadrado.com/inmueble/venta-casa-bogota-quinta-camacho-5-habitaciones-5-banos-3-garajes/11068-M5339462</t>
  </si>
  <si>
    <t>4887-M6484760</t>
  </si>
  <si>
    <t>https://www.metrocuadrado.com/inmueble/venta-casa-bogota-la-camelia-3-habitaciones-5-banos-3-garajes/4887-M6484760</t>
  </si>
  <si>
    <t>17553-M6149114</t>
  </si>
  <si>
    <t>https://www.metrocuadrado.com/inmueble/venta-casa-bogota-maranta-iii-sector-4-habitaciones-3-banos-2-garajes/17553-M6149114</t>
  </si>
  <si>
    <t>16996-M5474431</t>
  </si>
  <si>
    <t>https://www.metrocuadrado.com/inmueble/venta-casa-bogota-banco-central-5-habitaciones-5-banos-1-garajes/16996-M5474431</t>
  </si>
  <si>
    <t>156-M5857292</t>
  </si>
  <si>
    <t>SANTA TERESITA</t>
  </si>
  <si>
    <t>https://www.metrocuadrado.com/inmueble/venta-casa-bogota-santa-teresita-3-habitaciones-2-banos/156-M5857292</t>
  </si>
  <si>
    <t>17237-M6311143</t>
  </si>
  <si>
    <t>VIVEROS</t>
  </si>
  <si>
    <t>https://www.metrocuadrado.com/inmueble/venta-casa-bogota-viveros-4-habitaciones-5-banos-4-garajes/17237-M6311143</t>
  </si>
  <si>
    <t>156-M6438709</t>
  </si>
  <si>
    <t>https://www.metrocuadrado.com/inmueble/venta-casa-bogota-san-antonio-nor-occidental-3-habitaciones-2-banos/156-M6438709</t>
  </si>
  <si>
    <t>660-M6400016</t>
  </si>
  <si>
    <t>CR CIUDAD TINTAL</t>
  </si>
  <si>
    <t>https://www.metrocuadrado.com/inmueble/venta-casa-bogota-cr-ciudad-tintal-3-habitaciones-1-banos/660-M6400016</t>
  </si>
  <si>
    <t>16145-M5526941</t>
  </si>
  <si>
    <t>https://www.metrocuadrado.com/inmueble/venta-casa-bogota-conejera-4-habitaciones-5-banos-2-garajes/16145-M5526941</t>
  </si>
  <si>
    <t>14121-M3700482</t>
  </si>
  <si>
    <t>https://www.metrocuadrado.com/inmueble/venta-casa-bogota-san-jose-de-bavaria-4-habitaciones-5-banos-4-garajes/14121-M3700482</t>
  </si>
  <si>
    <t>14121-M6006535</t>
  </si>
  <si>
    <t>https://www.metrocuadrado.com/inmueble/venta-casa-bogota-niza-suba-4-habitaciones-4-banos-3-garajes/14121-M6006535</t>
  </si>
  <si>
    <t>14121-M6430691</t>
  </si>
  <si>
    <t>https://www.metrocuadrado.com/inmueble/venta-casa-bogota-la-salle-5-habitaciones-5-banos-2-garajes/14121-M6430691</t>
  </si>
  <si>
    <t>14121-M6094137</t>
  </si>
  <si>
    <t>https://www.metrocuadrado.com/inmueble/venta-casa-bogota-niza-suba-3-habitaciones-5-banos-2-garajes/14121-M6094137</t>
  </si>
  <si>
    <t>13374-M6427994</t>
  </si>
  <si>
    <t>https://www.metrocuadrado.com/inmueble/venta-casa-bogota-santa-barbara-alta-4-habitaciones-5-banos-4-garajes/13374-M6427994</t>
  </si>
  <si>
    <t>MC6108165</t>
  </si>
  <si>
    <t>BELMIRA</t>
  </si>
  <si>
    <t>https://www.metrocuadrado.com/inmueble/venta-casa-bogota-belmira-5-habitaciones-5-banos-2-garajes/MC6108165</t>
  </si>
  <si>
    <t>MC6375512</t>
  </si>
  <si>
    <t>https://www.metrocuadrado.com/inmueble/venta-casa-bogota-quinta-paredes-3-habitaciones-3-banos-2-garajes/MC6375512</t>
  </si>
  <si>
    <t>MC6582887</t>
  </si>
  <si>
    <t>CAPELLANIA</t>
  </si>
  <si>
    <t>https://www.metrocuadrado.com/inmueble/venta-casa-bogota-capellania-3-habitaciones-2-banos-2-garajes/MC6582887</t>
  </si>
  <si>
    <t>MC6422277</t>
  </si>
  <si>
    <t>https://www.metrocuadrado.com/inmueble/venta-casa-bogota-mazuren-3-habitaciones-3-banos-2-garajes/MC6422277</t>
  </si>
  <si>
    <t>19954-M6006700</t>
  </si>
  <si>
    <t>NORMANDIA OCCIDENTAL</t>
  </si>
  <si>
    <t>https://www.metrocuadrado.com/inmueble/venta-casa-bogota-normandia-occidental-5-habitaciones-5-banos-4-garajes/19954-M6006700</t>
  </si>
  <si>
    <t>MC6391880</t>
  </si>
  <si>
    <t>CENTENARIO</t>
  </si>
  <si>
    <t>https://www.metrocuadrado.com/inmueble/venta-casa-bogota-centenario-2-habitaciones-2-banos/MC6391880</t>
  </si>
  <si>
    <t>MC6570357</t>
  </si>
  <si>
    <t>https://www.metrocuadrado.com/inmueble/venta-casa-bogota-el-plan-3-habitaciones-2-banos-1-garajes/MC6570357</t>
  </si>
  <si>
    <t>MC6536537</t>
  </si>
  <si>
    <t>https://www.metrocuadrado.com/inmueble/venta-casa-bogota-san-miguel-4-habitaciones-5-banos-1-garajes/MC6536537</t>
  </si>
  <si>
    <t>MC4174439</t>
  </si>
  <si>
    <t>ESTRELLA DEL SUR</t>
  </si>
  <si>
    <t>https://www.metrocuadrado.com/inmueble/venta-casa-bogota-estrella-del-sur-5-habitaciones-5-banos/MC4174439</t>
  </si>
  <si>
    <t>Usme</t>
  </si>
  <si>
    <t>USM</t>
  </si>
  <si>
    <t>Carrera 11 # 65 D 50 Sur</t>
  </si>
  <si>
    <t>16399-M6541429</t>
  </si>
  <si>
    <t>SAN BERNARDINO DIECISIETE</t>
  </si>
  <si>
    <t>https://www.metrocuadrado.com/inmueble/venta-casa-bogota-san-bernardino-diecisiete-3-habitaciones-1-banos-1-garajes/16399-M6541429</t>
  </si>
  <si>
    <t>MC6568158</t>
  </si>
  <si>
    <t>VILLA DEL RIO</t>
  </si>
  <si>
    <t>https://www.metrocuadrado.com/inmueble/venta-casa-bogota-villa-del-rio-5-habitaciones-2-banos-1-garajes/MC6568158</t>
  </si>
  <si>
    <t>MC6577287</t>
  </si>
  <si>
    <t>CR  BOLIVIA ORIENTAL ET  II</t>
  </si>
  <si>
    <t>https://www.metrocuadrado.com/inmueble/venta-casa-bogota-cr.-bolivia-oriental-et.-ii-4-habitaciones-3-banos-1-garajes/MC6577287</t>
  </si>
  <si>
    <t>14271-M6068427</t>
  </si>
  <si>
    <t>https://www.metrocuadrado.com/inmueble/venta-casa-bogota-potosi-4-habitaciones-4-banos-2-garajes/14271-M6068427</t>
  </si>
  <si>
    <t>14271-M6318526</t>
  </si>
  <si>
    <t>https://www.metrocuadrado.com/inmueble/venta-casa-bogota-molinos-norte-5-habitaciones-5-banos-4-garajes/14271-M6318526</t>
  </si>
  <si>
    <t>22224-M6496845</t>
  </si>
  <si>
    <t>https://www.metrocuadrado.com/inmueble/venta-casa-bogota-maranta-iii-sector-4-habitaciones-3-banos-1-garajes/22224-M6496845</t>
  </si>
  <si>
    <t>10967-M3598478</t>
  </si>
  <si>
    <t>https://www.metrocuadrado.com/inmueble/venta-casa-bogota-san-jose-de-bavaria-5-habitaciones-5-banos-4-garajes/10967-M3598478</t>
  </si>
  <si>
    <t>2764-M6516822</t>
  </si>
  <si>
    <t>https://www.metrocuadrado.com/inmueble/venta-casa-bogota-iberia-4-habitaciones-4-banos-2-garajes/2764-M6516822</t>
  </si>
  <si>
    <t>10967-M5154914</t>
  </si>
  <si>
    <t>https://www.metrocuadrado.com/inmueble/venta-casa-bogota-san-jose-de-bavaria-4-habitaciones-5-banos-3-garajes/10967-M5154914</t>
  </si>
  <si>
    <t>10967-M5140178</t>
  </si>
  <si>
    <t>CJR ENTREPINOS</t>
  </si>
  <si>
    <t>https://www.metrocuadrado.com/inmueble/venta-casa-bogota-cjr-entrepinos-4-habitaciones-4-banos-3-garajes/10967-M5140178</t>
  </si>
  <si>
    <t>2671-M5793857</t>
  </si>
  <si>
    <t>https://www.metrocuadrado.com/inmueble/venta-casa-bogota-sotileza-3-habitaciones-5-banos-4-garajes/2671-M5793857</t>
  </si>
  <si>
    <t>21302-M6097855</t>
  </si>
  <si>
    <t>https://www.metrocuadrado.com/inmueble/venta-casa-bogota-monaco-5-habitaciones-5-banos-3-garajes/21302-M6097855</t>
  </si>
  <si>
    <t>21187-M6583432</t>
  </si>
  <si>
    <t>https://www.metrocuadrado.com/inmueble/venta-casa-bogota-san-patricio-3-habitaciones-3-banos-2-garajes/21187-M6583432</t>
  </si>
  <si>
    <t>2259-M5994755</t>
  </si>
  <si>
    <t>https://www.metrocuadrado.com/inmueble/venta-casa-bogota-san-jose-del-prado-3-habitaciones-4-banos-2-garajes/2259-M5994755</t>
  </si>
  <si>
    <t>10967-M4507376</t>
  </si>
  <si>
    <t>https://www.metrocuadrado.com/inmueble/venta-casa-bogota-san-jose-de-bavaria-4-habitaciones-5-banos-4-garajes/10967-M4507376</t>
  </si>
  <si>
    <t>20704-M6493375</t>
  </si>
  <si>
    <t>CR CIUDAD TINTAL 2 ET I</t>
  </si>
  <si>
    <t>https://www.metrocuadrado.com/inmueble/venta-casa-bogota-cr-ciudad-tintal-2-et-i-3-habitaciones-2-banos/20704-M6493375</t>
  </si>
  <si>
    <t>10967-M4213868</t>
  </si>
  <si>
    <t>https://www.metrocuadrado.com/inmueble/venta-casa-bogota-san-jose-de-bavaria-5-habitaciones-5-banos-4-garajes/10967-M4213868</t>
  </si>
  <si>
    <t>21414-M6484533</t>
  </si>
  <si>
    <t>SAN SIMON</t>
  </si>
  <si>
    <t>https://www.metrocuadrado.com/inmueble/venta-casa-bogota-san-simon-4-habitaciones-4-banos-4-garajes/21414-M6484533</t>
  </si>
  <si>
    <t>10307-M4900072</t>
  </si>
  <si>
    <t>https://www.metrocuadrado.com/inmueble/venta-casa-bogota-casa-blanca-3-habitaciones-4-banos-3-garajes/10307-M4900072</t>
  </si>
  <si>
    <t>10967-M5301184</t>
  </si>
  <si>
    <t>AVENIDA CUNDINAMARCA</t>
  </si>
  <si>
    <t>https://www.metrocuadrado.com/inmueble/venta-casa-bogota-avenida-cundinamarca-4-habitaciones-5-banos-2-garajes/10967-M5301184</t>
  </si>
  <si>
    <t>2671-M5835490</t>
  </si>
  <si>
    <t>https://www.metrocuadrado.com/inmueble/venta-casa-bogota-bosque-medina-3-habitaciones-5-banos-4-garajes/2671-M5835490</t>
  </si>
  <si>
    <t>10967-M3921257</t>
  </si>
  <si>
    <t>https://www.metrocuadrado.com/inmueble/venta-casa-bogota-san-jose-de-bavaria-3-habitaciones-3-banos-2-garajes/10967-M3921257</t>
  </si>
  <si>
    <t>11204-M6579290</t>
  </si>
  <si>
    <t>https://www.metrocuadrado.com/inmueble/venta-casa-bogota-san-jose-de-bavaria-4-habitaciones-5-banos-4-garajes/11204-M6579290</t>
  </si>
  <si>
    <t>368-M6309768</t>
  </si>
  <si>
    <t>https://www.metrocuadrado.com/inmueble/venta-casa-bogota-ciudad-salitre-suroriental-3-habitaciones-2-banos-2-garajes/368-M6309768</t>
  </si>
  <si>
    <t>11204-M6579312</t>
  </si>
  <si>
    <t>https://www.metrocuadrado.com/inmueble/venta-casa-bogota-san-jose-de-bavaria-3-habitaciones-4-banos-4-garajes/11204-M6579312</t>
  </si>
  <si>
    <t>2671-M5794526</t>
  </si>
  <si>
    <t>https://www.metrocuadrado.com/inmueble/venta-casa-bogota-sotileza-3-habitaciones-5-banos-4-garajes/2671-M5794526</t>
  </si>
  <si>
    <t>4830-M3133103</t>
  </si>
  <si>
    <t>https://www.metrocuadrado.com/inmueble/venta-casa-bogota-ciudad-jardin-norte-5-habitaciones-4-banos-4-garajes/4830-M3133103</t>
  </si>
  <si>
    <t>4830-M5032288</t>
  </si>
  <si>
    <t>CIUDAD GALAN</t>
  </si>
  <si>
    <t>https://www.metrocuadrado.com/inmueble/venta-casa-bogota-ciudad-galan-5-habitaciones-5-banos/4830-M5032288</t>
  </si>
  <si>
    <t>4830-M4618939</t>
  </si>
  <si>
    <t>https://www.metrocuadrado.com/inmueble/venta-casa-bogota-santander-sur-3-habitaciones-3-banos/4830-M4618939</t>
  </si>
  <si>
    <t>11589-M6577474</t>
  </si>
  <si>
    <t>https://www.metrocuadrado.com/inmueble/venta-casa-bogota-quinta-camacho-5-habitaciones-5-banos-4-garajes/11589-M6577474</t>
  </si>
  <si>
    <t>4887-M6157713</t>
  </si>
  <si>
    <t>https://www.metrocuadrado.com/inmueble/venta-casa-bogota-casa-blanca-3-habitaciones-4-banos-3-garajes/4887-M6157713</t>
  </si>
  <si>
    <t>17636-M5839122</t>
  </si>
  <si>
    <t>LA PATRIA</t>
  </si>
  <si>
    <t>https://www.metrocuadrado.com/inmueble/venta-casa-bogota-la-patria-5-habitaciones-5-banos-4-garajes/17636-M5839122</t>
  </si>
  <si>
    <t>16108-M6481205</t>
  </si>
  <si>
    <t>https://www.metrocuadrado.com/inmueble/venta-casa-bogota-santa-barbara-5-habitaciones-5-banos-3-garajes/16108-M6481205</t>
  </si>
  <si>
    <t>SUCRE</t>
  </si>
  <si>
    <t>3065-M4882988</t>
  </si>
  <si>
    <t>CJR EL CYPRESS</t>
  </si>
  <si>
    <t>https://www.metrocuadrado.com/inmueble/venta-casa-bogota-cjr-el-cypress-3-habitaciones-4-banos-2-garajes/3065-M4882988</t>
  </si>
  <si>
    <t>16634-M6497645</t>
  </si>
  <si>
    <t>https://www.metrocuadrado.com/inmueble/venta-casa-bogota-san-antonio-nor-occidental-3-habitaciones-3-banos-1-garajes/16634-M6497645</t>
  </si>
  <si>
    <t>16145-M5672956</t>
  </si>
  <si>
    <t>https://www.metrocuadrado.com/inmueble/venta-casa-bogota-las-villas-4-habitaciones-5-banos-2-garajes/16145-M5672956</t>
  </si>
  <si>
    <t>660-M4988595</t>
  </si>
  <si>
    <t>https://www.metrocuadrado.com/inmueble/venta-casa-bogota-cedro-bolivar-4-habitaciones-4-banos-2-garajes/660-M4988595</t>
  </si>
  <si>
    <t>4535-M5978639</t>
  </si>
  <si>
    <t>https://www.metrocuadrado.com/inmueble/venta-casa-bogota-casa-blanca-5-habitaciones-5-banos-4-garajes/4535-M5978639</t>
  </si>
  <si>
    <t>832-M6403561</t>
  </si>
  <si>
    <t>https://www.metrocuadrado.com/inmueble/venta-casa-bogota-santa-catalina-3-habitaciones-3-banos-2-garajes/832-M6403561</t>
  </si>
  <si>
    <t>14121-M4467946</t>
  </si>
  <si>
    <t>https://www.metrocuadrado.com/inmueble/venta-casa-bogota-casa-blanca-4-habitaciones-5-banos-2-garajes/14121-M4467946</t>
  </si>
  <si>
    <t>18378-M6496112</t>
  </si>
  <si>
    <t>GARCES NAVAS</t>
  </si>
  <si>
    <t>https://www.metrocuadrado.com/inmueble/venta-casa-bogota-garces-navas-4-habitaciones-3-banos-1-garajes/18378-M6496112</t>
  </si>
  <si>
    <t>14121-M5690358</t>
  </si>
  <si>
    <t>https://www.metrocuadrado.com/inmueble/venta-casa-bogota-normandia-4-habitaciones-5-banos-2-garajes/14121-M5690358</t>
  </si>
  <si>
    <t>MC6305420</t>
  </si>
  <si>
    <t>https://www.metrocuadrado.com/inmueble/venta-casa-bogota-barrancas-norte-5-habitaciones-4-banos/MC6305420</t>
  </si>
  <si>
    <t>MC6048474</t>
  </si>
  <si>
    <t>https://www.metrocuadrado.com/inmueble/venta-casa-bogota-cedro-bolivar-5-habitaciones-3-banos-2-garajes/MC6048474</t>
  </si>
  <si>
    <t>MC6587566</t>
  </si>
  <si>
    <t>https://www.metrocuadrado.com/inmueble/venta-casa-bogota-paris-5-habitaciones-5-banos-2-garajes/MC6587566</t>
  </si>
  <si>
    <t>MC6114176</t>
  </si>
  <si>
    <t>VILLA MAYOR</t>
  </si>
  <si>
    <t>https://www.metrocuadrado.com/inmueble/venta-casa-bogota-villa-mayor-4-habitaciones-4-banos-2-garajes/MC6114176</t>
  </si>
  <si>
    <t>2671-M5793376</t>
  </si>
  <si>
    <t>https://www.metrocuadrado.com/inmueble/venta-casa-bogota-cerros-de-suba-4-habitaciones-4-banos-2-garajes/2671-M5793376</t>
  </si>
  <si>
    <t>2671-M6114280</t>
  </si>
  <si>
    <t>https://www.metrocuadrado.com/inmueble/venta-casa-bogota-sotileza-3-habitaciones-4-banos-2-garajes/2671-M6114280</t>
  </si>
  <si>
    <t>2671-M6466604</t>
  </si>
  <si>
    <t>https://www.metrocuadrado.com/inmueble/venta-casa-bogota-cerros-de-suba-3-habitaciones-4-banos-2-garajes/2671-M6466604</t>
  </si>
  <si>
    <t>2671-M5793051</t>
  </si>
  <si>
    <t>LA ALHAMBRA</t>
  </si>
  <si>
    <t>https://www.metrocuadrado.com/inmueble/venta-casa-bogota-la-alhambra-3-habitaciones-5-banos-4-garajes/2671-M5793051</t>
  </si>
  <si>
    <t>2671-M5996863</t>
  </si>
  <si>
    <t>https://www.metrocuadrado.com/inmueble/venta-casa-bogota-pasadena-5-habitaciones-5-banos-4-garajes/2671-M5996863</t>
  </si>
  <si>
    <t>10307-M4532126</t>
  </si>
  <si>
    <t>https://www.metrocuadrado.com/inmueble/venta-casa-bogota-casa-blanca-4-habitaciones-5-banos-3-garajes/10307-M4532126</t>
  </si>
  <si>
    <t>21486-M6495170</t>
  </si>
  <si>
    <t>https://www.metrocuadrado.com/inmueble/venta-casa-bogota-jose-joaquin-vargas-5-habitaciones-4-banos-4-garajes/21486-M6495170</t>
  </si>
  <si>
    <t>14383-M6230775</t>
  </si>
  <si>
    <t>EL PALMAR</t>
  </si>
  <si>
    <t>https://www.metrocuadrado.com/inmueble/venta-casa-bogota-el-palmar-5-habitaciones-3-banos/14383-M6230775</t>
  </si>
  <si>
    <t>2671-M5794268</t>
  </si>
  <si>
    <t>https://www.metrocuadrado.com/inmueble/venta-casa-bogota-pasadena-4-habitaciones-5-banos-3-garajes/2671-M5794268</t>
  </si>
  <si>
    <t>2671-M5819849</t>
  </si>
  <si>
    <t>https://www.metrocuadrado.com/inmueble/venta-casa-bogota-pontevedra-5-habitaciones-5-banos-4-garajes/2671-M5819849</t>
  </si>
  <si>
    <t>21539-M6303834</t>
  </si>
  <si>
    <t>VILLA DEL MAR</t>
  </si>
  <si>
    <t>https://www.metrocuadrado.com/inmueble/venta-casa-bogota-villa-del-mar-4-habitaciones-4-banos-2-garajes/21539-M6303834</t>
  </si>
  <si>
    <t>2671-M6023854</t>
  </si>
  <si>
    <t>https://www.metrocuadrado.com/inmueble/venta-casa-bogota-cerros-de-niza-4-habitaciones-5-banos-3-garajes/2671-M6023854</t>
  </si>
  <si>
    <t>10967-M3681236</t>
  </si>
  <si>
    <t>https://www.metrocuadrado.com/inmueble/venta-casa-bogota-san-jose-de-bavaria-4-habitaciones-3-banos-2-garajes/10967-M3681236</t>
  </si>
  <si>
    <t>2671-M5999230</t>
  </si>
  <si>
    <t>https://www.metrocuadrado.com/inmueble/venta-casa-bogota-las-villas-4-habitaciones-3-banos-4-garajes/2671-M5999230</t>
  </si>
  <si>
    <t>2671-M6002345</t>
  </si>
  <si>
    <t>CALATRAVA</t>
  </si>
  <si>
    <t>https://www.metrocuadrado.com/inmueble/venta-casa-bogota-calatrava-3-habitaciones-3-banos-2-garajes/2671-M6002345</t>
  </si>
  <si>
    <t>836-M5826810</t>
  </si>
  <si>
    <t>LOS ANGELES</t>
  </si>
  <si>
    <t>https://www.metrocuadrado.com/inmueble/venta-casa-bogota-los-angeles-5-habitaciones-3-banos-1-garajes/836-M5826810</t>
  </si>
  <si>
    <t>10967-M5281783</t>
  </si>
  <si>
    <t>https://www.metrocuadrado.com/inmueble/venta-casa-bogota-san-jose-de-bavaria-4-habitaciones-5-banos-4-garajes/10967-M5281783</t>
  </si>
  <si>
    <t>2671-M5835634</t>
  </si>
  <si>
    <t>CONJUNTOS CERROS NORTE</t>
  </si>
  <si>
    <t>https://www.metrocuadrado.com/inmueble/venta-casa-bogota-conjuntos-cerros-norte-4-habitaciones-4-banos-4-garajes/2671-M5835634</t>
  </si>
  <si>
    <t>22562-M6579306</t>
  </si>
  <si>
    <t>https://www.metrocuadrado.com/inmueble/venta-casa-bogota-el-batan-4-habitaciones-4-banos-3-garajes/22562-M6579306</t>
  </si>
  <si>
    <t>2671-M6034750</t>
  </si>
  <si>
    <t>ILARCO</t>
  </si>
  <si>
    <t>https://www.metrocuadrado.com/inmueble/venta-casa-bogota-ilarco-3-habitaciones-4-banos-3-garajes/2671-M6034750</t>
  </si>
  <si>
    <t>19895-M5751586</t>
  </si>
  <si>
    <t>GUAYMARAL</t>
  </si>
  <si>
    <t>https://www.metrocuadrado.com/inmueble/venta-casa-bogota-guaymaral-3-habitaciones-3-banos-4-garajes/19895-M5751586</t>
  </si>
  <si>
    <t>290-M6312283</t>
  </si>
  <si>
    <t>AMERICAS OCCIDENTAL ET I</t>
  </si>
  <si>
    <t>https://www.metrocuadrado.com/inmueble/venta-casa-bogota-americas-occidental-et-i-3-habitaciones-2-banos-1-garajes/290-M6312283</t>
  </si>
  <si>
    <t>2671-M5992294</t>
  </si>
  <si>
    <t>https://www.metrocuadrado.com/inmueble/venta-casa-bogota-pontevedra-3-habitaciones-5-banos-2-garajes/2671-M5992294</t>
  </si>
  <si>
    <t>2671-M5840915</t>
  </si>
  <si>
    <t>https://www.metrocuadrado.com/inmueble/venta-casa-bogota-sotileza-4-habitaciones-5-banos-2-garajes/2671-M5840915</t>
  </si>
  <si>
    <t>15738-M5562564</t>
  </si>
  <si>
    <t>https://www.metrocuadrado.com/inmueble/venta-casa-bogota-bosque-izquierdo-5-habitaciones-4-banos-2-garajes/15738-M5562564</t>
  </si>
  <si>
    <t>14356-M5972702</t>
  </si>
  <si>
    <t>https://www.metrocuadrado.com/inmueble/venta-casa-bogota-pontevedra-4-habitaciones-3-banos-3-garajes/14356-M5972702</t>
  </si>
  <si>
    <t>15738-M4822662</t>
  </si>
  <si>
    <t>https://www.metrocuadrado.com/inmueble/venta-casa-bogota-cedritos-4-habitaciones-3-banos-3-garajes/15738-M4822662</t>
  </si>
  <si>
    <t>16996-M6554628</t>
  </si>
  <si>
    <t>LAS GUACAMAYAS</t>
  </si>
  <si>
    <t>https://www.metrocuadrado.com/inmueble/venta-casa-bogota-las-guacamayas-5-habitaciones-3-banos/16996-M6554628</t>
  </si>
  <si>
    <t>15738-M5562616</t>
  </si>
  <si>
    <t>https://www.metrocuadrado.com/inmueble/venta-casa-bogota-bosque-izquierdo-5-habitaciones-4-banos-2-garajes/15738-M5562616</t>
  </si>
  <si>
    <t>3065-M4886790</t>
  </si>
  <si>
    <t>https://www.metrocuadrado.com/inmueble/venta-casa-bogota-niza-suba-3-habitaciones-5-banos-2-garajes/3065-M4886790</t>
  </si>
  <si>
    <t>14356-M6002000</t>
  </si>
  <si>
    <t>CARIMAGUA</t>
  </si>
  <si>
    <t>https://www.metrocuadrado.com/inmueble/venta-casa-bogota-carimagua-5-habitaciones-5-banos/14356-M6002000</t>
  </si>
  <si>
    <t>19339-M5809609</t>
  </si>
  <si>
    <t>COUNTRY SUR</t>
  </si>
  <si>
    <t>https://www.metrocuadrado.com/inmueble/venta-casa-bogota-country-sur-4-habitaciones-2-banos-2-garajes/19339-M5809609</t>
  </si>
  <si>
    <t>16413-M5726246</t>
  </si>
  <si>
    <t>https://www.metrocuadrado.com/inmueble/venta-casa-bogota-san-jose-de-bavaria-5-habitaciones-5-banos-4-garajes/16413-M5726246</t>
  </si>
  <si>
    <t>15704-M5760684</t>
  </si>
  <si>
    <t>BARRANCAS</t>
  </si>
  <si>
    <t>https://www.metrocuadrado.com/inmueble/venta-casa-bogota-barrancas-4-habitaciones-5-banos/15704-M5760684</t>
  </si>
  <si>
    <t>660-M4694028</t>
  </si>
  <si>
    <t>TORREMOLINOS</t>
  </si>
  <si>
    <t>https://www.metrocuadrado.com/inmueble/venta-casa-bogota-torremolinos-4-habitaciones-2-banos-1-garajes/660-M4694028</t>
  </si>
  <si>
    <t>11203-M4849466</t>
  </si>
  <si>
    <t>TORCA</t>
  </si>
  <si>
    <t>https://www.metrocuadrado.com/inmueble/venta-casa-bogota-torca-3-habitaciones-5-banos-4-garajes/11203-M4849466</t>
  </si>
  <si>
    <t>156-M5074779</t>
  </si>
  <si>
    <t>LAS DOS AVENIDAS ET  II</t>
  </si>
  <si>
    <t>https://www.metrocuadrado.com/inmueble/venta-casa-bogota-las-dos-avenidas-et.-ii-3-habitaciones-3-banos-1-garajes/156-M5074779</t>
  </si>
  <si>
    <t>660-M4960947</t>
  </si>
  <si>
    <t>TABORA</t>
  </si>
  <si>
    <t>https://www.metrocuadrado.com/inmueble/venta-casa-bogota-tabora-5-habitaciones-4-banos-2-garajes/660-M4960947</t>
  </si>
  <si>
    <t>2564-M6228984</t>
  </si>
  <si>
    <t>https://www.metrocuadrado.com/inmueble/venta-casa-bogota-iberia-3-habitaciones-3-banos-2-garajes/2564-M6228984</t>
  </si>
  <si>
    <t>17268-M6498361</t>
  </si>
  <si>
    <t>CR BRISAS DE SOTAVENTO</t>
  </si>
  <si>
    <t>https://www.metrocuadrado.com/inmueble/venta-casa-bogota-cr-brisas-de-sotavento-3-habitaciones-2-banos-1-garajes/17268-M6498361</t>
  </si>
  <si>
    <t>14121-M3752017</t>
  </si>
  <si>
    <t>https://www.metrocuadrado.com/inmueble/venta-casa-bogota-niza-suba-4-habitaciones-5-banos-2-garajes/14121-M3752017</t>
  </si>
  <si>
    <t>14836-M6585146</t>
  </si>
  <si>
    <t>https://www.metrocuadrado.com/inmueble/venta-casa-bogota-los-cedritos-4-habitaciones-4-banos-2-garajes/14836-M6585146</t>
  </si>
  <si>
    <t>15942-M5256182</t>
  </si>
  <si>
    <t>https://www.metrocuadrado.com/inmueble/venta-casa-bogota-santa-barbara-central-3-habitaciones-4-banos-3-garajes/15942-M5256182</t>
  </si>
  <si>
    <t>14255-M6403149</t>
  </si>
  <si>
    <t>https://www.metrocuadrado.com/inmueble/venta-casa-bogota-lisboa-5-habitaciones-5-banos-1-garajes/14255-M6403149</t>
  </si>
  <si>
    <t>MC6285727</t>
  </si>
  <si>
    <t>MODELIA OCCIDENTAL</t>
  </si>
  <si>
    <t>https://www.metrocuadrado.com/inmueble/venta-casa-bogota-modelia-occidental-5-habitaciones-3-banos-2-garajes/MC6285727</t>
  </si>
  <si>
    <t>MC6352222</t>
  </si>
  <si>
    <t>https://www.metrocuadrado.com/inmueble/venta-casa-bogota-casa-blanca-suba-4-habitaciones-5-banos-2-garajes/MC6352222</t>
  </si>
  <si>
    <t>MC6413636</t>
  </si>
  <si>
    <t>https://www.metrocuadrado.com/inmueble/venta-casa-bogota-casa-blanca-4-habitaciones-5-banos-4-garajes/MC6413636</t>
  </si>
  <si>
    <t>MC6476576</t>
  </si>
  <si>
    <t>https://www.metrocuadrado.com/inmueble/venta-casa-bogota-santa-fe-5-habitaciones-5-banos/MC6476576</t>
  </si>
  <si>
    <t>20719-M6117182</t>
  </si>
  <si>
    <t>https://www.metrocuadrado.com/inmueble/venta-casa-bogota-viveros-3-habitaciones-3-banos-4-garajes/20719-M6117182</t>
  </si>
  <si>
    <t>2671-M6063701</t>
  </si>
  <si>
    <t>https://www.metrocuadrado.com/inmueble/venta-casa-bogota-las-villas-5-habitaciones-5-banos-4-garajes/2671-M6063701</t>
  </si>
  <si>
    <t>2266-M5649487</t>
  </si>
  <si>
    <t>https://www.metrocuadrado.com/inmueble/venta-casa-bogota-san-jose-de-bavaria-4-habitaciones-5-banos-4-garajes/2266-M5649487</t>
  </si>
  <si>
    <t>20706-M6371927</t>
  </si>
  <si>
    <t>EL PINO</t>
  </si>
  <si>
    <t>https://www.metrocuadrado.com/inmueble/venta-casa-bogota-el-pino-3-habitaciones-2-banos/20706-M6371927</t>
  </si>
  <si>
    <t>2671-M6046687</t>
  </si>
  <si>
    <t>https://www.metrocuadrado.com/inmueble/venta-casa-bogota-colina-campestre-5-habitaciones-4-banos-3-garajes/2671-M6046687</t>
  </si>
  <si>
    <t>5340-M3750664</t>
  </si>
  <si>
    <t>https://www.metrocuadrado.com/inmueble/venta-casa-bogota-santa-barbara-alta-3-habitaciones-3-banos-2-garajes/5340-M3750664</t>
  </si>
  <si>
    <t>TIERRA LINDA</t>
  </si>
  <si>
    <t>17565-M6309670</t>
  </si>
  <si>
    <t>LAS DELICIAS</t>
  </si>
  <si>
    <t>https://www.metrocuadrado.com/inmueble/venta-casa-bogota-las-delicias-4-habitaciones-4-banos-3-garajes/17565-M6309670</t>
  </si>
  <si>
    <t>20485-M6146912</t>
  </si>
  <si>
    <t>https://www.metrocuadrado.com/inmueble/venta-casa-bogota-casa-blanca-4-habitaciones-5-banos-4-garajes/20485-M6146912</t>
  </si>
  <si>
    <t>20728-M6489588</t>
  </si>
  <si>
    <t>https://www.metrocuadrado.com/inmueble/venta-casa-bogota-chico-navarra-3-habitaciones-5-banos-4-garajes/20728-M6489588</t>
  </si>
  <si>
    <t>836-M6013437</t>
  </si>
  <si>
    <t>VILLA CLAUDIA</t>
  </si>
  <si>
    <t>https://www.metrocuadrado.com/inmueble/venta-casa-bogota-villa-claudia-4-habitaciones-3-banos-1-garajes/836-M6013437</t>
  </si>
  <si>
    <t>2671-M6032711</t>
  </si>
  <si>
    <t>https://www.metrocuadrado.com/inmueble/venta-casa-bogota-rosales-4-habitaciones-5-banos-4-garajes/2671-M6032711</t>
  </si>
  <si>
    <t>2259-M6096427</t>
  </si>
  <si>
    <t>https://www.metrocuadrado.com/inmueble/venta-casa-bogota-britalia-3-habitaciones-3-banos-1-garajes/2259-M6096427</t>
  </si>
  <si>
    <t>2671-M5836946</t>
  </si>
  <si>
    <t>https://www.metrocuadrado.com/inmueble/venta-casa-bogota-puente-largo-4-habitaciones-3-banos-4-garajes/2671-M5836946</t>
  </si>
  <si>
    <t>22161-M6430960</t>
  </si>
  <si>
    <t>https://www.metrocuadrado.com/inmueble/venta-casa-bogota-santa-ana-occidental-3-habitaciones-5-banos-1-garajes/22161-M6430960</t>
  </si>
  <si>
    <t>2671-M5793029</t>
  </si>
  <si>
    <t>https://www.metrocuadrado.com/inmueble/venta-casa-bogota-niza-4-habitaciones-3-banos-4-garajes/2671-M5793029</t>
  </si>
  <si>
    <t>19678-M6046022</t>
  </si>
  <si>
    <t>CJR BOLIVIA RESERVADA MANZANA 3</t>
  </si>
  <si>
    <t>https://www.metrocuadrado.com/inmueble/venta-casa-bogota-cjr-bolivia-reservada-manzana-3-3-habitaciones-2-banos-1-garajes/19678-M6046022</t>
  </si>
  <si>
    <t>20706-M6111971</t>
  </si>
  <si>
    <t>HIPOTECHO ET  II</t>
  </si>
  <si>
    <t>https://www.metrocuadrado.com/inmueble/venta-casa-bogota-hipotecho-et.-ii-3-habitaciones-2-banos-1-garajes/20706-M6111971</t>
  </si>
  <si>
    <t>USME</t>
  </si>
  <si>
    <t>2671-M6308116</t>
  </si>
  <si>
    <t>https://www.metrocuadrado.com/inmueble/venta-casa-bogota-lisboa-3-habitaciones-4-banos-2-garajes/2671-M6308116</t>
  </si>
  <si>
    <t>3220-M4413082</t>
  </si>
  <si>
    <t>https://www.metrocuadrado.com/inmueble/venta-casa-bogota-santa-ana-oriental-5-habitaciones-4-banos-2-garajes/3220-M4413082</t>
  </si>
  <si>
    <t>2671-M6150841</t>
  </si>
  <si>
    <t>https://www.metrocuadrado.com/inmueble/venta-casa-bogota-colina-campestre-5-habitaciones-4-banos-2-garajes/2671-M6150841</t>
  </si>
  <si>
    <t>16577-M6316377</t>
  </si>
  <si>
    <t>https://www.metrocuadrado.com/inmueble/venta-casa-bogota-niza-norte-3-habitaciones-3-banos-3-garajes/16577-M6316377</t>
  </si>
  <si>
    <t>651-M6291671</t>
  </si>
  <si>
    <t>UB SANTA COLOMA</t>
  </si>
  <si>
    <t>https://www.metrocuadrado.com/inmueble/venta-casa-bogota-ub-santa-coloma-4-habitaciones-5-banos-2-garajes/651-M6291671</t>
  </si>
  <si>
    <t>16577-M6495567</t>
  </si>
  <si>
    <t>https://www.metrocuadrado.com/inmueble/venta-casa-bogota-la-calleja-3-habitaciones-4-banos-3-garajes/16577-M6495567</t>
  </si>
  <si>
    <t>17636-M6068770</t>
  </si>
  <si>
    <t>LA FRAGUITA</t>
  </si>
  <si>
    <t>https://www.metrocuadrado.com/inmueble/venta-casa-bogota-la-fraguita-5-habitaciones-5-banos-4-garajes/17636-M6068770</t>
  </si>
  <si>
    <t>16108-M6527314</t>
  </si>
  <si>
    <t>https://www.metrocuadrado.com/inmueble/venta-casa-bogota-cedritos-3-habitaciones-3-banos-1-garajes/16108-M6527314</t>
  </si>
  <si>
    <t>957-M6363884</t>
  </si>
  <si>
    <t>https://www.metrocuadrado.com/inmueble/venta-casa-bogota-cedritos-5-habitaciones-4-banos-2-garajes/957-M6363884</t>
  </si>
  <si>
    <t>15062-M6466789</t>
  </si>
  <si>
    <t>CASTILLA</t>
  </si>
  <si>
    <t>https://www.metrocuadrado.com/inmueble/venta-casa-bogota-castilla-4-habitaciones-2-banos-1-garajes/15062-M6466789</t>
  </si>
  <si>
    <t>4830-M5564768</t>
  </si>
  <si>
    <t>https://www.metrocuadrado.com/inmueble/venta-casa-bogota-florencia-5-habitaciones-5-banos-2-garajes/4830-M5564768</t>
  </si>
  <si>
    <t>15062-M6466863</t>
  </si>
  <si>
    <t>https://www.metrocuadrado.com/inmueble/venta-casa-bogota-castilla-4-habitaciones-3-banos-1-garajes/15062-M6466863</t>
  </si>
  <si>
    <t>12095-M6087149</t>
  </si>
  <si>
    <t>https://www.metrocuadrado.com/inmueble/venta-casa-bogota-casa-blanca-4-habitaciones-5-banos-3-garajes/12095-M6087149</t>
  </si>
  <si>
    <t>156-M5073076</t>
  </si>
  <si>
    <t>URD LAS NAVETAS II</t>
  </si>
  <si>
    <t>https://www.metrocuadrado.com/inmueble/venta-casa-bogota-urd-las-navetas-ii-4-habitaciones-3-banos-2-garajes/156-M5073076</t>
  </si>
  <si>
    <t>12633-M6116789</t>
  </si>
  <si>
    <t>VILLAS DE GRANADA</t>
  </si>
  <si>
    <t>https://www.metrocuadrado.com/inmueble/venta-casa-bogota-villas-de-granada-4-habitaciones-2-banos-1-garajes/12633-M6116789</t>
  </si>
  <si>
    <t>13845-M5802055</t>
  </si>
  <si>
    <t>RAFAEL URIBE</t>
  </si>
  <si>
    <t>https://www.metrocuadrado.com/inmueble/venta-casa-bogota-rafael-uribe-5-habitaciones-5-banos/13845-M5802055</t>
  </si>
  <si>
    <t>3858-M6481219</t>
  </si>
  <si>
    <t>https://www.metrocuadrado.com/inmueble/venta-casa-bogota-belmira-4-habitaciones-4-banos-2-garajes/3858-M6481219</t>
  </si>
  <si>
    <t>17000-M5042692</t>
  </si>
  <si>
    <t>https://www.metrocuadrado.com/inmueble/venta-casa-bogota-casa-blanca-4-habitaciones-5-banos-4-garajes/17000-M5042692</t>
  </si>
  <si>
    <t>17093-M5700858</t>
  </si>
  <si>
    <t>MANDALAY ET  II</t>
  </si>
  <si>
    <t>https://www.metrocuadrado.com/inmueble/venta-casa-bogota-mandalay-et.-ii-5-habitaciones-4-banos-4-garajes/17093-M5700858</t>
  </si>
  <si>
    <t>10145-M6580962</t>
  </si>
  <si>
    <t>CR BACATA RESERVADO</t>
  </si>
  <si>
    <t>https://www.metrocuadrado.com/inmueble/venta-casa-bogota-cr-bacata-reservado-3-habitaciones-3-banos-1-garajes/10145-M6580962</t>
  </si>
  <si>
    <t>17019-M5168112</t>
  </si>
  <si>
    <t>CAMPIN OCCIDENTAL</t>
  </si>
  <si>
    <t>https://www.metrocuadrado.com/inmueble/venta-casa-bogota-campin-occidental-5-habitaciones-5-banos-3-garajes/17019-M5168112</t>
  </si>
  <si>
    <t>MC5962449</t>
  </si>
  <si>
    <t>RESTREPO</t>
  </si>
  <si>
    <t>https://www.metrocuadrado.com/inmueble/venta-casa-bogota-restrepo-5-habitaciones-5-banos-1-garajes/MC5962449</t>
  </si>
  <si>
    <t>MC6569965</t>
  </si>
  <si>
    <t>https://www.metrocuadrado.com/inmueble/venta-casa-bogota-parque-popular-salitre-3-habitaciones-3-banos-2-garajes/MC6569965</t>
  </si>
  <si>
    <t>MC6399795</t>
  </si>
  <si>
    <t>https://www.metrocuadrado.com/inmueble/venta-casa-bogota-ciudad-jardin-norte-5-habitaciones-5-banos-1-garajes/MC6399795</t>
  </si>
  <si>
    <t>MC6256582</t>
  </si>
  <si>
    <t>https://www.metrocuadrado.com/inmueble/venta-casa-bogota-niza-suba-4-habitaciones-5-banos-4-garajes/MC6256582</t>
  </si>
  <si>
    <t>20706-M6331668</t>
  </si>
  <si>
    <t>https://www.metrocuadrado.com/inmueble/venta-casa-bogota-campo-alegre-3-habitaciones-1-banos/20706-M6331668</t>
  </si>
  <si>
    <t>3340-M4899217</t>
  </si>
  <si>
    <t>https://www.metrocuadrado.com/inmueble/venta-casa-bogota-niza-norte-3-habitaciones-4-banos-2-garajes/3340-M4899217</t>
  </si>
  <si>
    <t>17565-M5794682</t>
  </si>
  <si>
    <t>https://www.metrocuadrado.com/inmueble/venta-casa-bogota-cedritos-4-habitaciones-3-banos-2-garajes/17565-M5794682</t>
  </si>
  <si>
    <t>2266-M5377898</t>
  </si>
  <si>
    <t>https://www.metrocuadrado.com/inmueble/venta-casa-bogota-niza-4-habitaciones-5-banos-2-garajes/2266-M5377898</t>
  </si>
  <si>
    <t>3604-M3987224</t>
  </si>
  <si>
    <t>https://www.metrocuadrado.com/inmueble/venta-casa-bogota-casa-blanca-4-habitaciones-4-banos-3-garajes/3604-M3987224</t>
  </si>
  <si>
    <t>3604-M3987136</t>
  </si>
  <si>
    <t>https://www.metrocuadrado.com/inmueble/venta-casa-bogota-san-jose-de-bavaria-4-habitaciones-4-banos-3-garajes/3604-M3987136</t>
  </si>
  <si>
    <t>5044-3037970</t>
  </si>
  <si>
    <t>https://www.metrocuadrado.com/inmueble/venta-casa-bogota-usaquen-5-habitaciones-5-banos-4-garajes/5044-3037970</t>
  </si>
  <si>
    <t>5545-M5538444</t>
  </si>
  <si>
    <t>https://www.metrocuadrado.com/inmueble/venta-casa-bogota-estrella-del-norte-3-habitaciones-4-banos-2-garajes/5545-M5538444</t>
  </si>
  <si>
    <t>20728-M5977841</t>
  </si>
  <si>
    <t>https://www.metrocuadrado.com/inmueble/venta-casa-bogota-monaco-3-habitaciones-5-banos-4-garajes/20728-M5977841</t>
  </si>
  <si>
    <t>20839-M6031851</t>
  </si>
  <si>
    <t>https://www.metrocuadrado.com/inmueble/venta-casa-bogota-casa-blanca-3-habitaciones-5-banos-4-garajes/20839-M6031851</t>
  </si>
  <si>
    <t>20485-M6146991</t>
  </si>
  <si>
    <t>https://www.metrocuadrado.com/inmueble/venta-casa-bogota-casa-blanca-4-habitaciones-4-banos-4-garajes/20485-M6146991</t>
  </si>
  <si>
    <t>5031-M5974849</t>
  </si>
  <si>
    <t>https://www.metrocuadrado.com/inmueble/venta-casa-bogota-cedritos-5-habitaciones-3-banos-2-garajes/5031-M5974849</t>
  </si>
  <si>
    <t>17565-M5679600</t>
  </si>
  <si>
    <t>https://www.metrocuadrado.com/inmueble/venta-casa-bogota-cedritos-3-habitaciones-3-banos-1-garajes/17565-M5679600</t>
  </si>
  <si>
    <t>20234-M5792522</t>
  </si>
  <si>
    <t>GRATAMIRA</t>
  </si>
  <si>
    <t>https://www.metrocuadrado.com/inmueble/venta-casa-bogota-gratamira-4-habitaciones-4-banos-3-garajes/20234-M5792522</t>
  </si>
  <si>
    <t>21663-M6293431</t>
  </si>
  <si>
    <t>https://www.metrocuadrado.com/inmueble/venta-casa-bogota-chapinero-5-habitaciones-5-banos-2-garajes/21663-M6293431</t>
  </si>
  <si>
    <t>10967-M3278603</t>
  </si>
  <si>
    <t>https://www.metrocuadrado.com/inmueble/venta-casa-bogota-san-jose-de-bavaria-4-habitaciones-5-banos-4-garajes/10967-M3278603</t>
  </si>
  <si>
    <t>5031-M5596512</t>
  </si>
  <si>
    <t>https://www.metrocuadrado.com/inmueble/venta-casa-bogota-cedritos-4-habitaciones-3-banos-2-garajes/5031-M5596512</t>
  </si>
  <si>
    <t>290-M6016862</t>
  </si>
  <si>
    <t>https://www.metrocuadrado.com/inmueble/venta-casa-bogota-bosa-5-habitaciones-4-banos-1-garajes/290-M6016862</t>
  </si>
  <si>
    <t>2671-M5793054</t>
  </si>
  <si>
    <t>https://www.metrocuadrado.com/inmueble/venta-casa-bogota-cerros-de-suba-3-habitaciones-4-banos-3-garajes/2671-M5793054</t>
  </si>
  <si>
    <t>5044-M6162767</t>
  </si>
  <si>
    <t>https://www.metrocuadrado.com/inmueble/venta-casa-bogota-niza-suba-4-habitaciones-4-banos-4-garajes/5044-M6162767</t>
  </si>
  <si>
    <t>20847-M6584803</t>
  </si>
  <si>
    <t>https://www.metrocuadrado.com/inmueble/venta-casa-bogota-cr-bacata-reservado-3-habitaciones-3-banos-1-garajes/20847-M6584803</t>
  </si>
  <si>
    <t>3395-M5008848</t>
  </si>
  <si>
    <t>CJR LA ARBORADA DE SAN JOSE</t>
  </si>
  <si>
    <t>https://www.metrocuadrado.com/inmueble/venta-casa-bogota-cjr-la-arborada-de-san-jose-4-habitaciones-5-banos-4-garajes/3395-M5008848</t>
  </si>
  <si>
    <t>16819-M6577593</t>
  </si>
  <si>
    <t>https://www.metrocuadrado.com/inmueble/venta-casa-bogota-modelia-4-habitaciones-3-banos-2-garajes/16819-M6577593</t>
  </si>
  <si>
    <t>3395-M5304177</t>
  </si>
  <si>
    <t>https://www.metrocuadrado.com/inmueble/venta-casa-bogota-san-jose-de-bavaria-4-habitaciones-5-banos-4-garajes/3395-M5304177</t>
  </si>
  <si>
    <t>3065-M6472787</t>
  </si>
  <si>
    <t>https://www.metrocuadrado.com/inmueble/venta-casa-bogota-5-habitaciones-5-banos/3065-M6472787</t>
  </si>
  <si>
    <t>15062-M6583731</t>
  </si>
  <si>
    <t>https://www.metrocuadrado.com/inmueble/venta-casa-bogota-castilla-4-habitaciones-1-banos-1-garajes/15062-M6583731</t>
  </si>
  <si>
    <t>3395-M5957619</t>
  </si>
  <si>
    <t>https://www.metrocuadrado.com/inmueble/venta-casa-bogota-ciudad-jardin-norte-3-habitaciones-4-banos-4-garajes/3395-M5957619</t>
  </si>
  <si>
    <t>15062-M6583876</t>
  </si>
  <si>
    <t>BARRIO CUIDAD JARDIN NORTE</t>
  </si>
  <si>
    <t>https://www.metrocuadrado.com/inmueble/venta-casa-bogota-barrio-cuidad-jardin-norte-4-habitaciones-3-banos-2-garajes/15062-M6583876</t>
  </si>
  <si>
    <t>14984-M6311060</t>
  </si>
  <si>
    <t>https://www.metrocuadrado.com/inmueble/venta-casa-bogota-potosi-4-habitaciones-3-banos-2-garajes/14984-M6311060</t>
  </si>
  <si>
    <t>14033-M5570268</t>
  </si>
  <si>
    <t>https://www.metrocuadrado.com/inmueble/venta-casa-bogota-san-jose-de-bavaria-4-habitaciones-3-banos-4-garajes/14033-M5570268</t>
  </si>
  <si>
    <t>11589-M6382680</t>
  </si>
  <si>
    <t>EL ESPARTILLAL</t>
  </si>
  <si>
    <t>https://www.metrocuadrado.com/inmueble/venta-casa-bogota-el-espartillal-5-habitaciones-4-banos-2-garajes/11589-M6382680</t>
  </si>
  <si>
    <t>3858-M6397949</t>
  </si>
  <si>
    <t>https://www.metrocuadrado.com/inmueble/venta-casa-bogota-santa-barbara-oriental-5-habitaciones-5-banos-4-garajes/3858-M6397949</t>
  </si>
  <si>
    <t>3858-M6318952</t>
  </si>
  <si>
    <t>https://www.metrocuadrado.com/inmueble/venta-casa-bogota-santa-barbara-oriental-5-habitaciones-5-banos-4-garajes/3858-M6318952</t>
  </si>
  <si>
    <t>4535-M6013182</t>
  </si>
  <si>
    <t>https://www.metrocuadrado.com/inmueble/venta-casa-bogota-niza-suba-3-habitaciones-4-banos-2-garajes/4535-M6013182</t>
  </si>
  <si>
    <t>3858-M5755797</t>
  </si>
  <si>
    <t>NORTE LAGOS DE TORCA</t>
  </si>
  <si>
    <t>https://www.metrocuadrado.com/inmueble/venta-casa-bogota-norte-lagos-de-torca-4-habitaciones-5-banos-4-garajes/3858-M5755797</t>
  </si>
  <si>
    <t>16547-M6143749</t>
  </si>
  <si>
    <t>LOS CEREZOS</t>
  </si>
  <si>
    <t>https://www.metrocuadrado.com/inmueble/venta-casa-bogota-los-cerezos-5-habitaciones-4-banos/16547-M6143749</t>
  </si>
  <si>
    <t>14255-M6161003</t>
  </si>
  <si>
    <t>https://www.metrocuadrado.com/inmueble/venta-casa-bogota-niza-norte-4-habitaciones-4-banos-2-garajes/14255-M6161003</t>
  </si>
  <si>
    <t>17019-M5586152</t>
  </si>
  <si>
    <t>https://www.metrocuadrado.com/inmueble/venta-casa-bogota-san-jose-de-bavaria-5-habitaciones-5-banos-2-garajes/17019-M5586152</t>
  </si>
  <si>
    <t>2453-M4533395</t>
  </si>
  <si>
    <t>BOSQUES DE MARIANA</t>
  </si>
  <si>
    <t>https://www.metrocuadrado.com/inmueble/venta-casa-bogota-bosques-de-mariana-5-habitaciones-4-banos-2-garajes/2453-M4533395</t>
  </si>
  <si>
    <t>17245-M6011541</t>
  </si>
  <si>
    <t>https://www.metrocuadrado.com/inmueble/venta-casa-bogota-bosque-de-pinos-4-habitaciones-4-banos-3-garajes/17245-M6011541</t>
  </si>
  <si>
    <t>MC6538835</t>
  </si>
  <si>
    <t>https://www.metrocuadrado.com/inmueble/venta-casa-bogota-tibabuyes-5-habitaciones-4-banos-1-garajes/MC6538835</t>
  </si>
  <si>
    <t>MC6432914</t>
  </si>
  <si>
    <t>https://www.metrocuadrado.com/inmueble/venta-casa-bogota-campo-alegre-4-habitaciones-2-banos-1-garajes/MC6432914</t>
  </si>
  <si>
    <t>MC6495809</t>
  </si>
  <si>
    <t>POLO CLUB</t>
  </si>
  <si>
    <t>https://www.metrocuadrado.com/inmueble/venta-casa-bogota-polo-club-5-habitaciones-4-banos-2-garajes/MC6495809</t>
  </si>
  <si>
    <t>MC5379922</t>
  </si>
  <si>
    <t>CJR BACATA RESERVADO</t>
  </si>
  <si>
    <t>https://www.metrocuadrado.com/inmueble/venta-casa-bogota-cjr-bacata-reservado-3-habitaciones-3-banos-2-garajes/MC5379922</t>
  </si>
  <si>
    <t>10967-M3271873</t>
  </si>
  <si>
    <t>https://www.metrocuadrado.com/inmueble/venta-casa-bogota-san-jose-de-bavaria-5-habitaciones-5-banos-4-garajes/10967-M3271873</t>
  </si>
  <si>
    <t>5031-M6321082</t>
  </si>
  <si>
    <t>https://www.metrocuadrado.com/inmueble/venta-casa-bogota-cedritos-3-habitaciones-3-banos-2-garajes/5031-M6321082</t>
  </si>
  <si>
    <t>771-M5273293</t>
  </si>
  <si>
    <t>https://www.metrocuadrado.com/inmueble/venta-casa-bogota-casa-blanca-4-habitaciones-5-banos-4-garajes/771-M5273293</t>
  </si>
  <si>
    <t>20264-M6498832</t>
  </si>
  <si>
    <t>LA FLORESTA</t>
  </si>
  <si>
    <t>https://www.metrocuadrado.com/inmueble/venta-casa-bogota-la-floresta-4-habitaciones-3-banos-2-garajes/20264-M6498832</t>
  </si>
  <si>
    <t>21884-M6376662</t>
  </si>
  <si>
    <t>https://www.metrocuadrado.com/inmueble/venta-casa-bogota-monaco-4-habitaciones-3-banos-2-garajes/21884-M6376662</t>
  </si>
  <si>
    <t>771-M5273142</t>
  </si>
  <si>
    <t>GRATAMIRA ALTA</t>
  </si>
  <si>
    <t>https://www.metrocuadrado.com/inmueble/venta-casa-bogota-gratamira-alta-4-habitaciones-4-banos-3-garajes/771-M5273142</t>
  </si>
  <si>
    <t>17565-M5253717</t>
  </si>
  <si>
    <t>CR GRATAMIRA CAMPESTRE</t>
  </si>
  <si>
    <t>https://www.metrocuadrado.com/inmueble/venta-casa-bogota-cr-gratamira-campestre-4-habitaciones-4-banos-2-garajes/17565-M5253717</t>
  </si>
  <si>
    <t>11204-M6396367</t>
  </si>
  <si>
    <t>https://www.metrocuadrado.com/inmueble/venta-casa-bogota-san-jose-de-bavaria-4-habitaciones-4-banos-3-garajes/11204-M6396367</t>
  </si>
  <si>
    <t>771-M5273229</t>
  </si>
  <si>
    <t>https://www.metrocuadrado.com/inmueble/venta-casa-bogota-ub.-bosques-de-medina-4-habitaciones-3-banos-3-garajes/771-M5273229</t>
  </si>
  <si>
    <t>20197-M6495437</t>
  </si>
  <si>
    <t>https://www.metrocuadrado.com/inmueble/venta-casa-bogota-casa-blanca-3-habitaciones-4-banos-2-garajes/20197-M6495437</t>
  </si>
  <si>
    <t>17565-M5736145</t>
  </si>
  <si>
    <t>JARDIN BOTANICO</t>
  </si>
  <si>
    <t>https://www.metrocuadrado.com/inmueble/venta-casa-bogota-jardin-botanico-5-habitaciones-4-banos-2-garajes/17565-M5736145</t>
  </si>
  <si>
    <t>3774-M6403454</t>
  </si>
  <si>
    <t>https://www.metrocuadrado.com/inmueble/venta-casa-bogota-quinta-camacho-5-habitaciones-3-banos-2-garajes/3774-M6403454</t>
  </si>
  <si>
    <t>11079-M4558178</t>
  </si>
  <si>
    <t>https://www.metrocuadrado.com/inmueble/venta-casa-bogota-niza-suba-5-habitaciones-5-banos-4-garajes/11079-M4558178</t>
  </si>
  <si>
    <t>897-M6586074</t>
  </si>
  <si>
    <t>https://www.metrocuadrado.com/inmueble/venta-casa-bogota-guaymaral-4-habitaciones-5-banos-2-garajes/897-M6586074</t>
  </si>
  <si>
    <t>17285-M5944607</t>
  </si>
  <si>
    <t>https://www.metrocuadrado.com/inmueble/venta-casa-bogota-guaymaral-4-habitaciones-5-banos-4-garajes/17285-M5944607</t>
  </si>
  <si>
    <t>920-M6308727</t>
  </si>
  <si>
    <t>CIUDAD SALITRE NORORIENTAL</t>
  </si>
  <si>
    <t>https://www.metrocuadrado.com/inmueble/venta-casa-bogota-ciudad-salitre-nororiental-4-habitaciones-3-banos-1-garajes/920-M6308727</t>
  </si>
  <si>
    <t>10967-M3346967</t>
  </si>
  <si>
    <t>https://www.metrocuadrado.com/inmueble/venta-casa-bogota-san-jose-de-bavaria-5-habitaciones-5-banos-4-garajes/10967-M3346967</t>
  </si>
  <si>
    <t>3220-M4400642</t>
  </si>
  <si>
    <t>https://www.metrocuadrado.com/inmueble/venta-casa-bogota-santa-ana-oriental-4-habitaciones-5-banos-4-garajes/3220-M4400642</t>
  </si>
  <si>
    <t>12673-M6304386</t>
  </si>
  <si>
    <t>https://www.metrocuadrado.com/inmueble/venta-casa-bogota-casa-blanca-4-habitaciones-5-banos-4-garajes/12673-M6304386</t>
  </si>
  <si>
    <t>4830-M3278639</t>
  </si>
  <si>
    <t>https://www.metrocuadrado.com/inmueble/venta-casa-bogota-cedritos-5-habitaciones-3-banos-4-garajes/4830-M3278639</t>
  </si>
  <si>
    <t>11964-M4861817</t>
  </si>
  <si>
    <t>https://www.metrocuadrado.com/inmueble/venta-casa-bogota-cerros-de-suba-4-habitaciones-3-banos-4-garajes/11964-M4861817</t>
  </si>
  <si>
    <t>17144-M6573867</t>
  </si>
  <si>
    <t>https://www.metrocuadrado.com/inmueble/venta-casa-bogota-monaco-5-habitaciones-3-banos-4-garajes/17144-M6573867</t>
  </si>
  <si>
    <t>19476-M6584097</t>
  </si>
  <si>
    <t>AUTOPISTA MUZU</t>
  </si>
  <si>
    <t>https://www.metrocuadrado.com/inmueble/venta-casa-bogota-autopista-muzu-5-habitaciones-2-banos-1-garajes/19476-M6584097</t>
  </si>
  <si>
    <t>17166-M6404350</t>
  </si>
  <si>
    <t>LA ESMERALDA</t>
  </si>
  <si>
    <t>https://www.metrocuadrado.com/inmueble/venta-casa-bogota-la-esmeralda-3-habitaciones-3-banos-2-garajes/17166-M6404350</t>
  </si>
  <si>
    <t>2147-M6195997</t>
  </si>
  <si>
    <t>https://www.metrocuadrado.com/inmueble/venta-casa-bogota-guaymaral-3-habitaciones-5-banos-4-garajes/2147-M6195997</t>
  </si>
  <si>
    <t>3395-M3181063</t>
  </si>
  <si>
    <t>https://www.metrocuadrado.com/inmueble/venta-casa-bogota-san-jose-de-bavaria-3-habitaciones-3-banos-4-garajes/3395-M3181063</t>
  </si>
  <si>
    <t>13694-M4149884</t>
  </si>
  <si>
    <t>LA PRADERA</t>
  </si>
  <si>
    <t>https://www.metrocuadrado.com/inmueble/venta-casa-bogota-la-pradera-5-habitaciones-5-banos-2-garajes/13694-M4149884</t>
  </si>
  <si>
    <t>2571-M5019015</t>
  </si>
  <si>
    <t>https://www.metrocuadrado.com/inmueble/venta-casa-bogota-el-batan-5-habitaciones-3-banos-3-garajes/2571-M5019015</t>
  </si>
  <si>
    <t>18948-M5567647</t>
  </si>
  <si>
    <t>https://www.metrocuadrado.com/inmueble/venta-casa-bogota-a.s.d.-3-habitaciones-4-banos-3-garajes/18948-M5567647</t>
  </si>
  <si>
    <t>156-M6035314</t>
  </si>
  <si>
    <t>https://www.metrocuadrado.com/inmueble/venta-casa-bogota-santa-rosa-4-habitaciones-2-banos/156-M6035314</t>
  </si>
  <si>
    <t>156-M2087204</t>
  </si>
  <si>
    <t>https://www.metrocuadrado.com/inmueble/venta-casa-bogota-villa-elisa-5-habitaciones-5-banos-1-garajes/156-M2087204</t>
  </si>
  <si>
    <t>2571-M6403379</t>
  </si>
  <si>
    <t>LA ALMERIA</t>
  </si>
  <si>
    <t>https://www.metrocuadrado.com/inmueble/venta-casa-bogota-la-almeria-3-habitaciones-1-banos-1-garajes/2571-M6403379</t>
  </si>
  <si>
    <t>12033-M5264854</t>
  </si>
  <si>
    <t>https://www.metrocuadrado.com/inmueble/venta-casa-bogota-puente-largo-3-habitaciones-2-banos-2-garajes/12033-M5264854</t>
  </si>
  <si>
    <t>16933-M6309613</t>
  </si>
  <si>
    <t>https://www.metrocuadrado.com/inmueble/venta-casa-bogota-san-jose-de-bavaria-4-habitaciones-3-banos-2-garajes/16933-M6309613</t>
  </si>
  <si>
    <t>13757-M6089798</t>
  </si>
  <si>
    <t>https://www.metrocuadrado.com/inmueble/venta-casa-bogota-los-cerezos-5-habitaciones-3-banos-2-garajes/13757-M6089798</t>
  </si>
  <si>
    <t>MC5954419</t>
  </si>
  <si>
    <t>https://www.metrocuadrado.com/inmueble/venta-casa-bogota-monaco-4-habitaciones-3-banos-2-garajes/MC5954419</t>
  </si>
  <si>
    <t>MC6562003</t>
  </si>
  <si>
    <t>https://www.metrocuadrado.com/inmueble/venta-casa-bogota-polo-club-5-habitaciones-4-banos-2-garajes/MC6562003</t>
  </si>
  <si>
    <t>MC6582775</t>
  </si>
  <si>
    <t>https://www.metrocuadrado.com/inmueble/venta-casa-bogota-cedro-narvaez-4-habitaciones-4-banos-2-garajes/MC6582775</t>
  </si>
  <si>
    <t>MC6418827</t>
  </si>
  <si>
    <t>UB  CASTILLA</t>
  </si>
  <si>
    <t>https://www.metrocuadrado.com/inmueble/venta-casa-bogota-ub.-castilla-5-habitaciones-3-banos-3-garajes/MC6418827</t>
  </si>
  <si>
    <t>771-M5759481</t>
  </si>
  <si>
    <t>https://www.metrocuadrado.com/inmueble/venta-casa-bogota-la-calleja-3-habitaciones-3-banos-2-garajes/771-M5759481</t>
  </si>
  <si>
    <t>20234-M6114949</t>
  </si>
  <si>
    <t>https://www.metrocuadrado.com/inmueble/venta-casa-bogota-niza-suba-4-habitaciones-4-banos-2-garajes/20234-M6114949</t>
  </si>
  <si>
    <t>20026-M6003194</t>
  </si>
  <si>
    <t>https://www.metrocuadrado.com/inmueble/venta-casa-bogota-niza-4-habitaciones-3-banos-3-garajes/20026-M6003194</t>
  </si>
  <si>
    <t>20451-M6468477</t>
  </si>
  <si>
    <t>https://www.metrocuadrado.com/inmueble/venta-casa-bogota-cedritos-3-habitaciones-2-banos-2-garajes/20451-M6468477</t>
  </si>
  <si>
    <t>14-M3905345</t>
  </si>
  <si>
    <t>CENTRO</t>
  </si>
  <si>
    <t>https://www.metrocuadrado.com/inmueble/venta-casa-bogota-centro-5-habitaciones-4-banos-1-garajes/14-M3905345</t>
  </si>
  <si>
    <t>19895-M5751583</t>
  </si>
  <si>
    <t>https://www.metrocuadrado.com/inmueble/venta-casa-bogota-la-alhambra-4-habitaciones-5-banos-3-garajes/19895-M5751583</t>
  </si>
  <si>
    <t>5044-M5837095</t>
  </si>
  <si>
    <t>https://www.metrocuadrado.com/inmueble/venta-casa-bogota-cedro-narvaez-3-habitaciones-4-banos-2-garajes/5044-M5837095</t>
  </si>
  <si>
    <t>771-M5273146</t>
  </si>
  <si>
    <t>https://www.metrocuadrado.com/inmueble/venta-casa-bogota-niza-5-habitaciones-5-banos-4-garajes/771-M5273146</t>
  </si>
  <si>
    <t>21628-M6470793</t>
  </si>
  <si>
    <t>ROMA</t>
  </si>
  <si>
    <t>https://www.metrocuadrado.com/inmueble/venta-casa-bogota-roma-5-habitaciones-3-banos-1-garajes/21628-M6470793</t>
  </si>
  <si>
    <t>20451-M6348763</t>
  </si>
  <si>
    <t>https://www.metrocuadrado.com/inmueble/venta-casa-bogota-cedritos-4-habitaciones-3-banos-3-garajes/20451-M6348763</t>
  </si>
  <si>
    <t>10967-M5069322</t>
  </si>
  <si>
    <t>https://www.metrocuadrado.com/inmueble/venta-casa-bogota-avenida-cundinamarca-4-habitaciones-3-banos-2-garajes/10967-M5069322</t>
  </si>
  <si>
    <t>21432-M6525630</t>
  </si>
  <si>
    <t>https://www.metrocuadrado.com/inmueble/venta-casa-bogota-modelia-5-habitaciones-5-banos-3-garajes/21432-M6525630</t>
  </si>
  <si>
    <t>20205-M6026317</t>
  </si>
  <si>
    <t>BOSA CENTRO</t>
  </si>
  <si>
    <t>https://www.metrocuadrado.com/inmueble/venta-casa-bogota-bosa-centro-5-habitaciones-5-banos-1-garajes/20205-M6026317</t>
  </si>
  <si>
    <t>11079-M5774303</t>
  </si>
  <si>
    <t>https://www.metrocuadrado.com/inmueble/venta-casa-bogota-santa-barbara-alta-3-habitaciones-3-banos-3-garajes/11079-M5774303</t>
  </si>
  <si>
    <t>20690-M6018051</t>
  </si>
  <si>
    <t>https://www.metrocuadrado.com/inmueble/venta-casa-bogota-bosque-de-pinos-3-habitaciones-4-banos-3-garajes/20690-M6018051</t>
  </si>
  <si>
    <t>20205-M5807371</t>
  </si>
  <si>
    <t>https://www.metrocuadrado.com/inmueble/venta-casa-bogota-quinta-paredes-5-habitaciones-5-banos-2-garajes/20205-M5807371</t>
  </si>
  <si>
    <t>5031-M5474829</t>
  </si>
  <si>
    <t>https://www.metrocuadrado.com/inmueble/venta-casa-bogota-pasadena-5-habitaciones-3-banos-1-garajes/5031-M5474829</t>
  </si>
  <si>
    <t>17565-M5620636</t>
  </si>
  <si>
    <t>https://www.metrocuadrado.com/inmueble/venta-casa-bogota-san-luis-5-habitaciones-2-banos/17565-M5620636</t>
  </si>
  <si>
    <t>2832-M2032634</t>
  </si>
  <si>
    <t>https://www.metrocuadrado.com/inmueble/venta-casa-bogota-prado-veraniego-norte-4-habitaciones-5-banos-4-garajes/2832-M2032634</t>
  </si>
  <si>
    <t>17091-M5449154</t>
  </si>
  <si>
    <t>KASANDRA</t>
  </si>
  <si>
    <t>https://www.metrocuadrado.com/inmueble/venta-casa-bogota-kasandra-5-habitaciones-3-banos-1-garajes/17091-M5449154</t>
  </si>
  <si>
    <t>16437-M6102706</t>
  </si>
  <si>
    <t>https://www.metrocuadrado.com/inmueble/venta-casa-bogota-la-colina-campestre-5-habitaciones-5-banos-2-garajes/16437-M6102706</t>
  </si>
  <si>
    <t>2147-M4613324</t>
  </si>
  <si>
    <t>https://www.metrocuadrado.com/inmueble/venta-casa-bogota-guaymaral-5-habitaciones-5-banos-4-garajes/2147-M4613324</t>
  </si>
  <si>
    <t>3065-M6473464</t>
  </si>
  <si>
    <t>LA FLORIDA</t>
  </si>
  <si>
    <t>https://www.metrocuadrado.com/inmueble/venta-casa-bogota-la-florida-5-habitaciones-5-banos/3065-M6473464</t>
  </si>
  <si>
    <t>14896-M4185249</t>
  </si>
  <si>
    <t>https://www.metrocuadrado.com/inmueble/venta-casa-bogota-las-villas-5-habitaciones-5-banos-4-garajes/14896-M4185249</t>
  </si>
  <si>
    <t>4830-M5822577</t>
  </si>
  <si>
    <t>SUBA URBANO</t>
  </si>
  <si>
    <t>https://www.metrocuadrado.com/inmueble/venta-casa-bogota-suba-urbano-3-habitaciones-5-banos-3-garajes/4830-M5822577</t>
  </si>
  <si>
    <t>2147-M4081242</t>
  </si>
  <si>
    <t>https://www.metrocuadrado.com/inmueble/venta-casa-bogota-la-uribe-3-habitaciones-3-banos-1-garajes/2147-M4081242</t>
  </si>
  <si>
    <t>2147-M5047651</t>
  </si>
  <si>
    <t>https://www.metrocuadrado.com/inmueble/venta-casa-bogota-guaymaral-5-habitaciones-5-banos-4-garajes/2147-M5047651</t>
  </si>
  <si>
    <t>755-M6577301</t>
  </si>
  <si>
    <t>MALLORCA</t>
  </si>
  <si>
    <t>https://www.metrocuadrado.com/inmueble/venta-casa-bogota-mallorca-4-habitaciones-3-banos-2-garajes/755-M6577301</t>
  </si>
  <si>
    <t>18948-M5566146</t>
  </si>
  <si>
    <t>https://www.metrocuadrado.com/inmueble/venta-casa-bogota-casa-blanca-4-habitaciones-5-banos-4-garajes/18948-M5566146</t>
  </si>
  <si>
    <t>18948-M6015265</t>
  </si>
  <si>
    <t>https://www.metrocuadrado.com/inmueble/venta-casa-bogota-la-carolina-4-habitaciones-4-banos-2-garajes/18948-M6015265</t>
  </si>
  <si>
    <t>2162-M5561422</t>
  </si>
  <si>
    <t>https://www.metrocuadrado.com/inmueble/venta-casa-bogota-monaco-5-habitaciones-5-banos-4-garajes/2162-M5561422</t>
  </si>
  <si>
    <t>16145-M5026491</t>
  </si>
  <si>
    <t>https://www.metrocuadrado.com/inmueble/venta-casa-bogota-polo-club-4-habitaciones-2-banos-4-garajes/16145-M5026491</t>
  </si>
  <si>
    <t>15942-M4604229</t>
  </si>
  <si>
    <t>https://www.metrocuadrado.com/inmueble/venta-casa-bogota-suba-naranjos-4-habitaciones-5-banos-4-garajes/15942-M4604229</t>
  </si>
  <si>
    <t>12364-M5778577</t>
  </si>
  <si>
    <t>https://www.metrocuadrado.com/inmueble/venta-casa-bogota-sotileza-4-habitaciones-3-banos-3-garajes/12364-M5778577</t>
  </si>
  <si>
    <t>11369-M6492166</t>
  </si>
  <si>
    <t>https://www.metrocuadrado.com/inmueble/venta-casa-bogota-cedro-salazar-3-habitaciones-3-banos-1-garajes/11369-M6492166</t>
  </si>
  <si>
    <t>12364-M6301746</t>
  </si>
  <si>
    <t>https://www.metrocuadrado.com/inmueble/venta-casa-bogota-bosque-medina-3-habitaciones-3-banos-2-garajes/12364-M6301746</t>
  </si>
  <si>
    <t>3438-M3250823</t>
  </si>
  <si>
    <t>https://www.metrocuadrado.com/inmueble/venta-casa-bogota-quesada-5-habitaciones-3-banos-1-garajes/3438-M3250823</t>
  </si>
  <si>
    <t>MC6396972</t>
  </si>
  <si>
    <t>SANTA MARIA</t>
  </si>
  <si>
    <t>https://www.metrocuadrado.com/inmueble/venta-casa-bogota-santa-maria-5-habitaciones-5-banos/MC6396972</t>
  </si>
  <si>
    <t>MC6396973</t>
  </si>
  <si>
    <t>LAS FERIAS</t>
  </si>
  <si>
    <t>https://www.metrocuadrado.com/inmueble/venta-casa-bogota-las-ferias-5-habitaciones-4-banos/MC6396973</t>
  </si>
  <si>
    <t>MC6413092</t>
  </si>
  <si>
    <t>MARCO FIDEL SUAREZ NO  1</t>
  </si>
  <si>
    <t>https://www.metrocuadrado.com/inmueble/venta-casa-bogota-marco-fidel-suarez-no.-1-5-habitaciones-4-banos/MC6413092</t>
  </si>
  <si>
    <t>MC6425333</t>
  </si>
  <si>
    <t>https://www.metrocuadrado.com/inmueble/venta-casa-bogota-prados-de-la-calleja-4-habitaciones-3-banos-2-garajes/MC6425333</t>
  </si>
  <si>
    <t>5031-M5474844</t>
  </si>
  <si>
    <t>SAN CRISTOBAL SUR</t>
  </si>
  <si>
    <t>https://www.metrocuadrado.com/inmueble/venta-casa-bogota-san-cristobal-sur-5-habitaciones-4-banos-2-garajes/5031-M5474844</t>
  </si>
  <si>
    <t>478-M5815114</t>
  </si>
  <si>
    <t>https://www.metrocuadrado.com/inmueble/venta-casa-bogota-la-calleja-5-habitaciones-5-banos-2-garajes/478-M5815114</t>
  </si>
  <si>
    <t>17565-M5194748</t>
  </si>
  <si>
    <t>https://www.metrocuadrado.com/inmueble/venta-casa-bogota-casa-blanca-suba-4-habitaciones-4-banos-3-garajes/17565-M5194748</t>
  </si>
  <si>
    <t>17565-M6396428</t>
  </si>
  <si>
    <t>LAS MARGRITAS NORTE</t>
  </si>
  <si>
    <t>https://www.metrocuadrado.com/inmueble/venta-casa-bogota-las-margritas-norte-4-habitaciones-5-banos-4-garajes/17565-M6396428</t>
  </si>
  <si>
    <t>20447-M5844763</t>
  </si>
  <si>
    <t>https://www.metrocuadrado.com/inmueble/venta-casa-bogota-monaco-5-habitaciones-4-banos-2-garajes/20447-M5844763</t>
  </si>
  <si>
    <t>5031-M5475052</t>
  </si>
  <si>
    <t>BOSQUES DE PINO</t>
  </si>
  <si>
    <t>https://www.metrocuadrado.com/inmueble/venta-casa-bogota-bosques-de-pino-4-habitaciones-5-banos-4-garajes/5031-M5475052</t>
  </si>
  <si>
    <t>5545-M5569745</t>
  </si>
  <si>
    <t>https://www.metrocuadrado.com/inmueble/venta-casa-bogota-casa-blanca-4-habitaciones-5-banos-4-garajes/5545-M5569745</t>
  </si>
  <si>
    <t>17565-M5183821</t>
  </si>
  <si>
    <t>BALCARES</t>
  </si>
  <si>
    <t>https://www.metrocuadrado.com/inmueble/venta-casa-bogota-balcares-5-habitaciones-3-banos-3-garajes/17565-M5183821</t>
  </si>
  <si>
    <t>20859-M6024544</t>
  </si>
  <si>
    <t>GRANCOLOMBIANO</t>
  </si>
  <si>
    <t>https://www.metrocuadrado.com/inmueble/venta-casa-bogota-grancolombiano-5-habitaciones-5-banos/20859-M6024544</t>
  </si>
  <si>
    <t>920-M5847165</t>
  </si>
  <si>
    <t>https://www.metrocuadrado.com/inmueble/venta-casa-bogota-la-soledad-5-habitaciones-5-banos/920-M5847165</t>
  </si>
  <si>
    <t>2671-M5793745</t>
  </si>
  <si>
    <t>https://www.metrocuadrado.com/inmueble/venta-casa-bogota-cerros-de-suba-3-habitaciones-5-banos-4-garajes/2671-M5793745</t>
  </si>
  <si>
    <t>21638-M6290839</t>
  </si>
  <si>
    <t>https://www.metrocuadrado.com/inmueble/venta-casa-bogota-cedritos-3-habitaciones-3-banos-1-garajes/21638-M6290839</t>
  </si>
  <si>
    <t>20847-M6399831</t>
  </si>
  <si>
    <t>https://www.metrocuadrado.com/inmueble/venta-casa-bogota-portales-del-norte-4-habitaciones-3-banos-1-garajes/20847-M6399831</t>
  </si>
  <si>
    <t>2671-M5792450</t>
  </si>
  <si>
    <t>https://www.metrocuadrado.com/inmueble/venta-casa-bogota-la-alhambra-4-habitaciones-4-banos-3-garajes/2671-M5792450</t>
  </si>
  <si>
    <t>21884-M6362045</t>
  </si>
  <si>
    <t>https://www.metrocuadrado.com/inmueble/venta-casa-bogota-cedritos-4-habitaciones-4-banos-2-garajes/21884-M6362045</t>
  </si>
  <si>
    <t>21128-M6311100</t>
  </si>
  <si>
    <t>EL ENCANTO</t>
  </si>
  <si>
    <t>https://www.metrocuadrado.com/inmueble/venta-casa-bogota-el-encanto-4-habitaciones-4-banos-3-garajes/21128-M6311100</t>
  </si>
  <si>
    <t>478-M3684960</t>
  </si>
  <si>
    <t>https://www.metrocuadrado.com/inmueble/venta-casa-bogota-san-jose-del-prado-3-habitaciones-4-banos-2-garajes/478-M3684960</t>
  </si>
  <si>
    <t>478-M5827239</t>
  </si>
  <si>
    <t>https://www.metrocuadrado.com/inmueble/venta-casa-bogota-batan-5-habitaciones-4-banos-4-garajes/478-M5827239</t>
  </si>
  <si>
    <t>771-M5273128</t>
  </si>
  <si>
    <t>https://www.metrocuadrado.com/inmueble/venta-casa-bogota-autopista-muzu-5-habitaciones-4-banos-2-garajes/771-M5273128</t>
  </si>
  <si>
    <t>771-M6481451</t>
  </si>
  <si>
    <t>https://www.metrocuadrado.com/inmueble/venta-casa-bogota-gran-granada-3-habitaciones-1-banos/771-M6481451</t>
  </si>
  <si>
    <t>5031-M6050989</t>
  </si>
  <si>
    <t>RIONEGRO</t>
  </si>
  <si>
    <t>https://www.metrocuadrado.com/inmueble/venta-casa-bogota-rionegro-5-habitaciones-4-banos/5031-M6050989</t>
  </si>
  <si>
    <t>20026-M6003203</t>
  </si>
  <si>
    <t>https://www.metrocuadrado.com/inmueble/venta-casa-bogota-colina-campestre-4-habitaciones-3-banos-4-garajes/20026-M6003203</t>
  </si>
  <si>
    <t>10797-M6573409</t>
  </si>
  <si>
    <t>https://www.metrocuadrado.com/inmueble/venta-casa-bogota-santa-barbara-alta-4-habitaciones-5-banos-4-garajes/10797-M6573409</t>
  </si>
  <si>
    <t>2147-M4594645</t>
  </si>
  <si>
    <t>https://www.metrocuadrado.com/inmueble/venta-casa-bogota-normandia-4-habitaciones-4-banos-2-garajes/2147-M4594645</t>
  </si>
  <si>
    <t>16400-M5620298</t>
  </si>
  <si>
    <t>SAN CAYETANO</t>
  </si>
  <si>
    <t>https://www.metrocuadrado.com/inmueble/venta-casa-bogota-san-cayetano-5-habitaciones-3-banos-2-garajes/16400-M5620298</t>
  </si>
  <si>
    <t>16577-M5643501</t>
  </si>
  <si>
    <t>LA CALLEJA ALTA</t>
  </si>
  <si>
    <t>https://www.metrocuadrado.com/inmueble/venta-casa-bogota-la-calleja-alta-4-habitaciones-5-banos-4-garajes/16577-M5643501</t>
  </si>
  <si>
    <t>16274-M6457449</t>
  </si>
  <si>
    <t>https://www.metrocuadrado.com/inmueble/venta-casa-bogota-santa-teresa-4-habitaciones-3-banos-2-garajes/16274-M6457449</t>
  </si>
  <si>
    <t>2974-M5691351</t>
  </si>
  <si>
    <t>https://www.metrocuadrado.com/inmueble/venta-casa-bogota-polo-club-4-habitaciones-4-banos-3-garajes/2974-M5691351</t>
  </si>
  <si>
    <t>2974-M6136109</t>
  </si>
  <si>
    <t>https://www.metrocuadrado.com/inmueble/venta-casa-bogota-los-naranjos-4-habitaciones-5-banos-3-garajes/2974-M6136109</t>
  </si>
  <si>
    <t>2147-M5047588</t>
  </si>
  <si>
    <t>https://www.metrocuadrado.com/inmueble/venta-casa-bogota-el-nogal-5-habitaciones-5-banos-1-garajes/2147-M5047588</t>
  </si>
  <si>
    <t>482-M6010632</t>
  </si>
  <si>
    <t>https://www.metrocuadrado.com/inmueble/venta-casa-bogota-santa-catalina-3-habitaciones-3-banos-1-garajes/482-M6010632</t>
  </si>
  <si>
    <t>512-M4295645</t>
  </si>
  <si>
    <t>https://www.metrocuadrado.com/inmueble/venta-casa-bogota-monaco-5-habitaciones-5-banos-3-garajes/512-M4295645</t>
  </si>
  <si>
    <t>512-M4438134</t>
  </si>
  <si>
    <t>https://www.metrocuadrado.com/inmueble/venta-casa-bogota-bosque-de-pinos-usaquen-4-habitaciones-5-banos-4-garajes/512-M4438134</t>
  </si>
  <si>
    <t>18948-M5566157</t>
  </si>
  <si>
    <t>https://www.metrocuadrado.com/inmueble/venta-casa-bogota-san-jose-de-bavaria-4-habitaciones-5-banos-4-garajes/18948-M5566157</t>
  </si>
  <si>
    <t>2123-3336654</t>
  </si>
  <si>
    <t>https://www.metrocuadrado.com/inmueble/venta-casa-bogota-san-jose-de-bavaria-3-habitaciones-5-banos-4-garajes/2123-3336654</t>
  </si>
  <si>
    <t>14121-M6359387</t>
  </si>
  <si>
    <t>https://www.metrocuadrado.com/inmueble/venta-casa-bogota-niza-suba-4-habitaciones-5-banos-2-garajes/14121-M6359387</t>
  </si>
  <si>
    <t>3438-M6361101</t>
  </si>
  <si>
    <t>OSPINA PEREZ SUR</t>
  </si>
  <si>
    <t>https://www.metrocuadrado.com/inmueble/venta-casa-bogota-ospina-perez-sur-4-habitaciones-2-banos/3438-M6361101</t>
  </si>
  <si>
    <t>12364-M5778542</t>
  </si>
  <si>
    <t>https://www.metrocuadrado.com/inmueble/venta-casa-bogota-casa-blanca-4-habitaciones-5-banos-4-garajes/12364-M5778542</t>
  </si>
  <si>
    <t>13757-M5727731</t>
  </si>
  <si>
    <t>https://www.metrocuadrado.com/inmueble/venta-casa-bogota-villa-del-mar-4-habitaciones-3-banos-1-garajes/13757-M5727731</t>
  </si>
  <si>
    <t>393-M6114508</t>
  </si>
  <si>
    <t>https://www.metrocuadrado.com/inmueble/venta-casa-bogota-pontevedra-3-habitaciones-2-banos-2-garajes/393-M6114508</t>
  </si>
  <si>
    <t>MC6554657</t>
  </si>
  <si>
    <t>https://www.metrocuadrado.com/inmueble/venta-casa-bogota-santa-barbara-central-5-habitaciones-3-banos-2-garajes/MC6554657</t>
  </si>
  <si>
    <t>MC6439212</t>
  </si>
  <si>
    <t>RECREO DE LOS ANGELES ET  I</t>
  </si>
  <si>
    <t>https://www.metrocuadrado.com/inmueble/venta-casa-bogota-recreo-de-los-angeles-et.-i-4-habitaciones-2-banos/MC6439212</t>
  </si>
  <si>
    <t>MC4630007</t>
  </si>
  <si>
    <t>MARGARITAS I SECTOR</t>
  </si>
  <si>
    <t>https://www.metrocuadrado.com/inmueble/venta-casa-bogota-margaritas-i-sector-5-habitaciones-5-banos-2-garajes/MC4630007</t>
  </si>
  <si>
    <t>MC6331821</t>
  </si>
  <si>
    <t>PALERMO SUR</t>
  </si>
  <si>
    <t>https://www.metrocuadrado.com/inmueble/venta-casa-bogota-palermo-sur-5-habitaciones-4-banos/MC6331821</t>
  </si>
  <si>
    <t>2671-M5794270</t>
  </si>
  <si>
    <t>LOS ANDES</t>
  </si>
  <si>
    <t>https://www.metrocuadrado.com/inmueble/venta-casa-bogota-los-andes-4-habitaciones-4-banos-2-garajes/2671-M5794270</t>
  </si>
  <si>
    <t>2671-M5836174</t>
  </si>
  <si>
    <t>https://www.metrocuadrado.com/inmueble/venta-casa-bogota-bosque-de-pinos-4-habitaciones-5-banos-4-garajes/2671-M5836174</t>
  </si>
  <si>
    <t>5031-M6308788</t>
  </si>
  <si>
    <t>GUSTAVO RESTREPO</t>
  </si>
  <si>
    <t>https://www.metrocuadrado.com/inmueble/venta-casa-bogota-gustavo-restrepo-5-habitaciones-5-banos-1-garajes/5031-M6308788</t>
  </si>
  <si>
    <t>771-M5302207</t>
  </si>
  <si>
    <t>TUNDAMA</t>
  </si>
  <si>
    <t>https://www.metrocuadrado.com/inmueble/venta-casa-bogota-tundama-4-habitaciones-4-banos-4-garajes/771-M5302207</t>
  </si>
  <si>
    <t>2671-M5835908</t>
  </si>
  <si>
    <t>https://www.metrocuadrado.com/inmueble/venta-casa-bogota-la-carolina-4-habitaciones-5-banos-3-garajes/2671-M5835908</t>
  </si>
  <si>
    <t>10139-M3930291</t>
  </si>
  <si>
    <t>https://www.metrocuadrado.com/inmueble/venta-casa-bogota-chico-3-habitaciones-4-banos-3-garajes/10139-M3930291</t>
  </si>
  <si>
    <t>2671-M5836244</t>
  </si>
  <si>
    <t>https://www.metrocuadrado.com/inmueble/venta-casa-bogota-santa-paula-5-habitaciones-3-banos-4-garajes/2671-M5836244</t>
  </si>
  <si>
    <t>771-M5556756</t>
  </si>
  <si>
    <t>https://www.metrocuadrado.com/inmueble/venta-casa-bogota-monaco-4-habitaciones-3-banos-3-garajes/771-M5556756</t>
  </si>
  <si>
    <t>20026-M6126070</t>
  </si>
  <si>
    <t>DELMONTE</t>
  </si>
  <si>
    <t>https://www.metrocuadrado.com/inmueble/venta-casa-bogota-delmonte-3-habitaciones-4-banos-2-garajes/20026-M6126070</t>
  </si>
  <si>
    <t>771-M6377049</t>
  </si>
  <si>
    <t>https://www.metrocuadrado.com/inmueble/venta-casa-bogota-san-luis-5-habitaciones-5-banos-4-garajes/771-M6377049</t>
  </si>
  <si>
    <t>2671-M5793052</t>
  </si>
  <si>
    <t>https://www.metrocuadrado.com/inmueble/venta-casa-bogota-la-alhambra-3-habitaciones-3-banos-3-garajes/2671-M5793052</t>
  </si>
  <si>
    <t>17565-M6358380</t>
  </si>
  <si>
    <t>VENECIA</t>
  </si>
  <si>
    <t>https://www.metrocuadrado.com/inmueble/venta-casa-bogota-venecia-3-habitaciones-2-banos-1-garajes/17565-M6358380</t>
  </si>
  <si>
    <t>20451-M5954908</t>
  </si>
  <si>
    <t>12 DE OCTUBRE</t>
  </si>
  <si>
    <t>https://www.metrocuadrado.com/inmueble/venta-casa-bogota-12-de-octubre-5-habitaciones-3-banos-1-garajes/20451-M5954908</t>
  </si>
  <si>
    <t>20343-M5832841</t>
  </si>
  <si>
    <t>https://www.metrocuadrado.com/inmueble/venta-casa-bogota-iberia-4-habitaciones-5-banos-2-garajes/20343-M5832841</t>
  </si>
  <si>
    <t>17565-M5190485</t>
  </si>
  <si>
    <t>MODELO NORTE EL LABRADOR</t>
  </si>
  <si>
    <t>https://www.metrocuadrado.com/inmueble/venta-casa-bogota-modelo-norte-el-labrador-3-habitaciones-3-banos-2-garajes/17565-M5190485</t>
  </si>
  <si>
    <t>2671-M5835848</t>
  </si>
  <si>
    <t>https://www.metrocuadrado.com/inmueble/venta-casa-bogota-bosque-de-pinos-3-habitaciones-4-banos-3-garajes/2671-M5835848</t>
  </si>
  <si>
    <t>10139-M6535296</t>
  </si>
  <si>
    <t>https://www.metrocuadrado.com/inmueble/venta-casa-bogota-cerros-de-santa-barbara-2-habitaciones-3-banos-3-garajes/10139-M6535296</t>
  </si>
  <si>
    <t>20451-M6005477</t>
  </si>
  <si>
    <t>https://www.metrocuadrado.com/inmueble/venta-casa-bogota-prado-pinzon-5-habitaciones-4-banos/20451-M6005477</t>
  </si>
  <si>
    <t>21638-M6357024</t>
  </si>
  <si>
    <t>https://www.metrocuadrado.com/inmueble/venta-casa-bogota-batan-4-habitaciones-2-banos-4-garajes/21638-M6357024</t>
  </si>
  <si>
    <t>2147-M5253751</t>
  </si>
  <si>
    <t>https://www.metrocuadrado.com/inmueble/venta-casa-bogota-san-jose-del-prado-4-habitaciones-4-banos-2-garajes/2147-M5253751</t>
  </si>
  <si>
    <t>2147-M6016344</t>
  </si>
  <si>
    <t>https://www.metrocuadrado.com/inmueble/venta-casa-bogota-5-habitaciones-4-banos-3-garajes/2147-M6016344</t>
  </si>
  <si>
    <t>2147-M4190097</t>
  </si>
  <si>
    <t>https://www.metrocuadrado.com/inmueble/venta-casa-bogota-el-batan-5-habitaciones-5-banos-3-garajes/2147-M4190097</t>
  </si>
  <si>
    <t>2974-M6282373</t>
  </si>
  <si>
    <t>https://www.metrocuadrado.com/inmueble/venta-casa-bogota-tierra-linda-3-habitaciones-3-banos-3-garajes/2974-M6282373</t>
  </si>
  <si>
    <t>2974-M3692501</t>
  </si>
  <si>
    <t>https://www.metrocuadrado.com/inmueble/venta-casa-bogota-niza-suba-5-habitaciones-4-banos-4-garajes/2974-M3692501</t>
  </si>
  <si>
    <t>16400-M5620791</t>
  </si>
  <si>
    <t>https://www.metrocuadrado.com/inmueble/venta-casa-bogota-santa-cecilia-4-habitaciones-2-banos-2-garajes/16400-M5620791</t>
  </si>
  <si>
    <t>17166-M6395167</t>
  </si>
  <si>
    <t>https://www.metrocuadrado.com/inmueble/venta-casa-bogota-acacias-usaquen-3-habitaciones-2-banos-2-garajes/17166-M6395167</t>
  </si>
  <si>
    <t>2147-M5071414</t>
  </si>
  <si>
    <t>https://www.metrocuadrado.com/inmueble/venta-casa-bogota-teusaquillo-5-habitaciones-5-banos-3-garajes/2147-M5071414</t>
  </si>
  <si>
    <t>4830-M5715270</t>
  </si>
  <si>
    <t>https://www.metrocuadrado.com/inmueble/venta-casa-bogota-balcones-de-oriente-4-habitaciones-3-banos-1-garajes/4830-M5715270</t>
  </si>
  <si>
    <t>2974-M3692460</t>
  </si>
  <si>
    <t>https://www.metrocuadrado.com/inmueble/venta-casa-bogota-niza-suba-5-habitaciones-4-banos-4-garajes/2974-M3692460</t>
  </si>
  <si>
    <t>15060-M6017813</t>
  </si>
  <si>
    <t>https://www.metrocuadrado.com/inmueble/venta-casa-bogota-el-batan-3-habitaciones-3-banos-1-garajes/15060-M6017813</t>
  </si>
  <si>
    <t>13873-M6230223</t>
  </si>
  <si>
    <t>https://www.metrocuadrado.com/inmueble/venta-casa-bogota-prado-veraniego-norte-5-habitaciones-5-banos-2-garajes/13873-M6230223</t>
  </si>
  <si>
    <t>11203-M5639338</t>
  </si>
  <si>
    <t>https://www.metrocuadrado.com/inmueble/venta-casa-bogota-santa-teresita-3-habitaciones-3-banos-2-garajes/11203-M5639338</t>
  </si>
  <si>
    <t>14236-M5170289</t>
  </si>
  <si>
    <t>https://www.metrocuadrado.com/inmueble/venta-casa-bogota-cedro-bolivar-5-habitaciones-5-banos-4-garajes/14236-M5170289</t>
  </si>
  <si>
    <t>14236-M6478656</t>
  </si>
  <si>
    <t>https://www.metrocuadrado.com/inmueble/venta-casa-bogota-guaymaral-5-habitaciones-5-banos-4-garajes/14236-M6478656</t>
  </si>
  <si>
    <t>2648-M4291113</t>
  </si>
  <si>
    <t>LA ESTRELLA SECTOR LAGOS</t>
  </si>
  <si>
    <t>https://www.metrocuadrado.com/inmueble/venta-casa-bogota-la-estrella-sector-lagos-5-habitaciones-5-banos/2648-M4291113</t>
  </si>
  <si>
    <t>832-M5677270</t>
  </si>
  <si>
    <t>https://www.metrocuadrado.com/inmueble/venta-casa-bogota-maranta-iii-sector-3-habitaciones-3-banos-2-garajes/832-M5677270</t>
  </si>
  <si>
    <t>12364-M6377307</t>
  </si>
  <si>
    <t>https://www.metrocuadrado.com/inmueble/venta-casa-bogota-chico-navarra-3-habitaciones-3-banos-3-garajes/12364-M6377307</t>
  </si>
  <si>
    <t>393-M5671195</t>
  </si>
  <si>
    <t>PAULO VI NORTE</t>
  </si>
  <si>
    <t>https://www.metrocuadrado.com/inmueble/venta-casa-bogota-paulo-vi-norte-3-habitaciones-4-banos-2-garajes/393-M5671195</t>
  </si>
  <si>
    <t>MC6584987</t>
  </si>
  <si>
    <t>SAN ANTONIO NOR   OCCIDENTAL</t>
  </si>
  <si>
    <t>https://www.metrocuadrado.com/inmueble/venta-casa-bogota-san-antonio-nor-occidental-3-habitaciones-3-banos-2-garajes/MC6584987</t>
  </si>
  <si>
    <t>MC6558466</t>
  </si>
  <si>
    <t>https://www.metrocuadrado.com/inmueble/venta-casa-bogota-rincon-del-norte-3-habitaciones-3-banos-1-garajes/MC6558466</t>
  </si>
  <si>
    <t>MC6434404</t>
  </si>
  <si>
    <t>AMERICAS OCCIDENTAL ET  I</t>
  </si>
  <si>
    <t>https://www.metrocuadrado.com/inmueble/venta-casa-bogota-americas-occidental-et.-i-4-habitaciones-5-banos-2-garajes/MC6434404</t>
  </si>
  <si>
    <t>MC6333166</t>
  </si>
  <si>
    <t>https://www.metrocuadrado.com/inmueble/venta-casa-bogota-la-esperanza-5-habitaciones-5-banos/MC6333166</t>
  </si>
  <si>
    <t>2671-M6011500</t>
  </si>
  <si>
    <t>https://www.metrocuadrado.com/inmueble/venta-casa-bogota-santa-barbara-alta-3-habitaciones-4-banos-2-garajes/2671-M6011500</t>
  </si>
  <si>
    <t>2671-M5792463</t>
  </si>
  <si>
    <t>https://www.metrocuadrado.com/inmueble/venta-casa-bogota-niza-5-habitaciones-5-banos-3-garajes/2671-M5792463</t>
  </si>
  <si>
    <t>771-M5834184</t>
  </si>
  <si>
    <t>https://www.metrocuadrado.com/inmueble/venta-casa-bogota-polo-club-4-habitaciones-4-banos-1-garajes/771-M5834184</t>
  </si>
  <si>
    <t>603-M5730503</t>
  </si>
  <si>
    <t>https://www.metrocuadrado.com/inmueble/venta-casa-bogota-los-cedros-4-habitaciones-4-banos-1-garajes/603-M5730503</t>
  </si>
  <si>
    <t>464-M6014431</t>
  </si>
  <si>
    <t>https://www.metrocuadrado.com/inmueble/venta-casa-bogota-la-soledad-5-habitaciones-5-banos-2-garajes/464-M6014431</t>
  </si>
  <si>
    <t>175-M5345615</t>
  </si>
  <si>
    <t>https://www.metrocuadrado.com/inmueble/venta-casa-bogota-bosque-medina-4-habitaciones-5-banos-3-garajes/175-M5345615</t>
  </si>
  <si>
    <t>2671-M6332949</t>
  </si>
  <si>
    <t>https://www.metrocuadrado.com/inmueble/venta-casa-bogota-cerros-de-suba-4-habitaciones-5-banos-4-garajes/2671-M6332949</t>
  </si>
  <si>
    <t>2671-M5792438</t>
  </si>
  <si>
    <t>https://www.metrocuadrado.com/inmueble/venta-casa-bogota-la-alhambra-4-habitaciones-4-banos-3-garajes/2671-M5792438</t>
  </si>
  <si>
    <t>771-M5983998</t>
  </si>
  <si>
    <t>https://www.metrocuadrado.com/inmueble/venta-casa-bogota-las-orquideas-4-habitaciones-2-banos-1-garajes/771-M5983998</t>
  </si>
  <si>
    <t>771-M6132686</t>
  </si>
  <si>
    <t>https://www.metrocuadrado.com/inmueble/venta-casa-bogota-san-luis-5-habitaciones-5-banos-4-garajes/771-M6132686</t>
  </si>
  <si>
    <t>771-M5274006</t>
  </si>
  <si>
    <t>MARSELLA</t>
  </si>
  <si>
    <t>https://www.metrocuadrado.com/inmueble/venta-casa-bogota-marsella-5-habitaciones-3-banos-2-garajes/771-M5274006</t>
  </si>
  <si>
    <t>5044-M5032169</t>
  </si>
  <si>
    <t>https://www.metrocuadrado.com/inmueble/venta-casa-bogota-cedritos-5-habitaciones-4-banos-2-garajes/5044-M5032169</t>
  </si>
  <si>
    <t>2671-M5792443</t>
  </si>
  <si>
    <t>https://www.metrocuadrado.com/inmueble/venta-casa-bogota-niza-5-habitaciones-5-banos-3-garajes/2671-M5792443</t>
  </si>
  <si>
    <t>2671-M5792448</t>
  </si>
  <si>
    <t>https://www.metrocuadrado.com/inmueble/venta-casa-bogota-cerros-de-suba-4-habitaciones-5-banos-2-garajes/2671-M5792448</t>
  </si>
  <si>
    <t>661-M4575137</t>
  </si>
  <si>
    <t>EL CENTAURO</t>
  </si>
  <si>
    <t>https://www.metrocuadrado.com/inmueble/venta-casa-bogota-el-centauro-5-habitaciones-5-banos-2-garajes/661-M4575137</t>
  </si>
  <si>
    <t>17565-M6535114</t>
  </si>
  <si>
    <t>https://www.metrocuadrado.com/inmueble/venta-casa-bogota-nuevo-contry-5-habitaciones-5-banos-4-garajes/17565-M6535114</t>
  </si>
  <si>
    <t>19328-M6394436</t>
  </si>
  <si>
    <t>SAN ANTONIO SUR</t>
  </si>
  <si>
    <t>https://www.metrocuadrado.com/inmueble/venta-casa-bogota-san-antonio-sur-5-habitaciones-3-banos/19328-M6394436</t>
  </si>
  <si>
    <t>20258-M6397414</t>
  </si>
  <si>
    <t>SANTA ISABEL SUR</t>
  </si>
  <si>
    <t>https://www.metrocuadrado.com/inmueble/venta-casa-bogota-santa-isabel-sur-5-habitaciones-5-banos-2-garajes/20258-M6397414</t>
  </si>
  <si>
    <t>20026-M6003250</t>
  </si>
  <si>
    <t>NIZA CORDOBA</t>
  </si>
  <si>
    <t>https://www.metrocuadrado.com/inmueble/venta-casa-bogota-niza-cordoba-5-habitaciones-5-banos-3-garajes/20026-M6003250</t>
  </si>
  <si>
    <t>478-M6388032</t>
  </si>
  <si>
    <t>https://www.metrocuadrado.com/inmueble/venta-casa-bogota-santa-barbara-alta-3-habitaciones-3-banos-3-garajes/478-M6388032</t>
  </si>
  <si>
    <t>4830-M5467390</t>
  </si>
  <si>
    <t>https://www.metrocuadrado.com/inmueble/venta-casa-bogota-niza-5-habitaciones-5-banos-3-garajes/4830-M5467390</t>
  </si>
  <si>
    <t>2147-M5845494</t>
  </si>
  <si>
    <t>https://www.metrocuadrado.com/inmueble/venta-casa-bogota-bellavista-3-habitaciones-5-banos-2-garajes/2147-M5845494</t>
  </si>
  <si>
    <t>15062-M5468133</t>
  </si>
  <si>
    <t>BELLA VISTA</t>
  </si>
  <si>
    <t>https://www.metrocuadrado.com/inmueble/venta-casa-bogota-bella-vista-5-habitaciones-5-banos/15062-M5468133</t>
  </si>
  <si>
    <t>3307-M4822431</t>
  </si>
  <si>
    <t>SAN EUSEBIO</t>
  </si>
  <si>
    <t>https://www.metrocuadrado.com/inmueble/venta-casa-bogota-san-eusebio-5-habitaciones-5-banos-2-garajes/3307-M4822431</t>
  </si>
  <si>
    <t>2147-M6294777</t>
  </si>
  <si>
    <t>https://www.metrocuadrado.com/inmueble/venta-casa-bogota-casa-blanca-4-habitaciones-5-banos-3-garajes/2147-M6294777</t>
  </si>
  <si>
    <t>2974-M5784130</t>
  </si>
  <si>
    <t>https://www.metrocuadrado.com/inmueble/venta-casa-bogota-san-jose-del-prado-4-habitaciones-5-banos-4-garajes/2974-M5784130</t>
  </si>
  <si>
    <t>934-M6115742</t>
  </si>
  <si>
    <t>EL TRIUNFO DE LAS AMERICAS</t>
  </si>
  <si>
    <t>https://www.metrocuadrado.com/inmueble/venta-casa-bogota-el-triunfo-de-las-americas-3-habitaciones-4-banos-3-garajes/934-M6115742</t>
  </si>
  <si>
    <t>19339-M5632393</t>
  </si>
  <si>
    <t>https://www.metrocuadrado.com/inmueble/venta-casa-bogota-rionegro-4-habitaciones-2-banos-1-garajes/19339-M5632393</t>
  </si>
  <si>
    <t>2147-M6016373</t>
  </si>
  <si>
    <t>https://www.metrocuadrado.com/inmueble/venta-casa-bogota-estoril-5-habitaciones-4-banos-1-garajes/2147-M6016373</t>
  </si>
  <si>
    <t>4554-M2601202</t>
  </si>
  <si>
    <t>https://www.metrocuadrado.com/inmueble/venta-casa-bogota-monaco-4-habitaciones-4-banos-3-garajes/4554-M2601202</t>
  </si>
  <si>
    <t>512-M6017405</t>
  </si>
  <si>
    <t>https://www.metrocuadrado.com/inmueble/venta-casa-bogota-julio-florez-4-habitaciones-4-banos-2-garajes/512-M6017405</t>
  </si>
  <si>
    <t>512-M4356715</t>
  </si>
  <si>
    <t>SANTA MATILDE</t>
  </si>
  <si>
    <t>https://www.metrocuadrado.com/inmueble/venta-casa-bogota-santa-matilde-4-habitaciones-3-banos-1-garajes/512-M4356715</t>
  </si>
  <si>
    <t>16474-M6308251</t>
  </si>
  <si>
    <t>https://www.metrocuadrado.com/inmueble/venta-casa-bogota-guaymaral-4-habitaciones-5-banos-4-garajes/16474-M6308251</t>
  </si>
  <si>
    <t>13845-M3194332</t>
  </si>
  <si>
    <t>https://www.metrocuadrado.com/inmueble/venta-casa-bogota-la-camelia-5-habitaciones-5-banos-4-garajes/13845-M3194332</t>
  </si>
  <si>
    <t>17181-M5786328</t>
  </si>
  <si>
    <t>https://www.metrocuadrado.com/inmueble/venta-casa-bogota-casa-blanca-4-habitaciones-5-banos-4-garajes/17181-M5786328</t>
  </si>
  <si>
    <t>12364-M5778580</t>
  </si>
  <si>
    <t>https://www.metrocuadrado.com/inmueble/venta-casa-bogota-marly-4-habitaciones-3-banos-2-garajes/12364-M5778580</t>
  </si>
  <si>
    <t>393-M6207850</t>
  </si>
  <si>
    <t>https://www.metrocuadrado.com/inmueble/venta-casa-bogota-la-esmeralda-4-habitaciones-2-banos-1-garajes/393-M6207850</t>
  </si>
  <si>
    <t>393-M6013851</t>
  </si>
  <si>
    <t>VERAGUAS</t>
  </si>
  <si>
    <t>https://www.metrocuadrado.com/inmueble/venta-casa-bogota-veraguas-5-habitaciones-5-banos-1-garajes/393-M6013851</t>
  </si>
  <si>
    <t>2648-M5967887</t>
  </si>
  <si>
    <t>VILLA NOHORA BOSA CENTRAL</t>
  </si>
  <si>
    <t>https://www.metrocuadrado.com/inmueble/venta-casa-bogota-villa-nohora-bosa-central-5-habitaciones-4-banos/2648-M5967887</t>
  </si>
  <si>
    <t>MC3029289</t>
  </si>
  <si>
    <t>LA ESTRADA</t>
  </si>
  <si>
    <t>https://www.metrocuadrado.com/inmueble/venta-casa-bogota-la-estrada-5-habitaciones-5-banos-2-garajes/MC3029289</t>
  </si>
  <si>
    <t>MC6482152</t>
  </si>
  <si>
    <t>https://www.metrocuadrado.com/inmueble/venta-casa-bogota-el-tintal-a.s.d.-3-habitaciones-2-banos-1-garajes/MC6482152</t>
  </si>
  <si>
    <t>MC6422037</t>
  </si>
  <si>
    <t>https://www.metrocuadrado.com/inmueble/venta-casa-bogota-san-francisco-3-habitaciones-2-banos-1-garajes/MC6422037</t>
  </si>
  <si>
    <t>771-M5733025</t>
  </si>
  <si>
    <t>https://www.metrocuadrado.com/inmueble/venta-casa-bogota-los-cedros-4-habitaciones-3-banos-3-garajes/771-M5733025</t>
  </si>
  <si>
    <t>5031-M5581340</t>
  </si>
  <si>
    <t>https://www.metrocuadrado.com/inmueble/venta-casa-bogota-suba-3-habitaciones-2-banos/5031-M5581340</t>
  </si>
  <si>
    <t>603-M6013288</t>
  </si>
  <si>
    <t>https://www.metrocuadrado.com/inmueble/venta-casa-bogota-casa-blanca-3-habitaciones-3-banos-2-garajes/603-M6013288</t>
  </si>
  <si>
    <t>771-M5855781</t>
  </si>
  <si>
    <t>EL SALITRE</t>
  </si>
  <si>
    <t>https://www.metrocuadrado.com/inmueble/venta-casa-bogota-el-salitre-4-habitaciones-4-banos-2-garajes/771-M5855781</t>
  </si>
  <si>
    <t>603-M6014790</t>
  </si>
  <si>
    <t>https://www.metrocuadrado.com/inmueble/venta-casa-bogota-casa-blanca-3-habitaciones-3-banos-2-garajes/603-M6014790</t>
  </si>
  <si>
    <t>661-M3154942</t>
  </si>
  <si>
    <t>https://www.metrocuadrado.com/inmueble/venta-casa-bogota-santa-cecilia-5-habitaciones-5-banos/661-M3154942</t>
  </si>
  <si>
    <t>22173-M6496248</t>
  </si>
  <si>
    <t>https://www.metrocuadrado.com/inmueble/venta-casa-bogota-niza-norte-3-habitaciones-3-banos-2-garajes/22173-M6496248</t>
  </si>
  <si>
    <t>478-M4623905</t>
  </si>
  <si>
    <t>PALERMO</t>
  </si>
  <si>
    <t>https://www.metrocuadrado.com/inmueble/venta-casa-bogota-palermo-5-habitaciones-4-banos-1-garajes/478-M4623905</t>
  </si>
  <si>
    <t>603-M6004820</t>
  </si>
  <si>
    <t>RECREO DE LOS FRAILES</t>
  </si>
  <si>
    <t>https://www.metrocuadrado.com/inmueble/venta-casa-bogota-recreo-de-los-frailes-3-habitaciones-3-banos-4-garajes/603-M6004820</t>
  </si>
  <si>
    <t>3774-M6585210</t>
  </si>
  <si>
    <t>https://www.metrocuadrado.com/inmueble/venta-casa-bogota-viveros-4-habitaciones-5-banos-4-garajes/3774-M6585210</t>
  </si>
  <si>
    <t>21216-M6081104</t>
  </si>
  <si>
    <t>BONANZA</t>
  </si>
  <si>
    <t>https://www.metrocuadrado.com/inmueble/venta-casa-bogota-bonanza-5-habitaciones-2-banos-1-garajes/21216-M6081104</t>
  </si>
  <si>
    <t>290-M6308558</t>
  </si>
  <si>
    <t>AMERICAS OCCIDENTAL</t>
  </si>
  <si>
    <t>https://www.metrocuadrado.com/inmueble/venta-casa-bogota-americas-occidental-4-habitaciones-4-banos-1-garajes/290-M6308558</t>
  </si>
  <si>
    <t>3774-M6401213</t>
  </si>
  <si>
    <t>NUEVA COLINA</t>
  </si>
  <si>
    <t>https://www.metrocuadrado.com/inmueble/venta-casa-bogota-nueva-colina-4-habitaciones-4-banos-1-garajes/3774-M6401213</t>
  </si>
  <si>
    <t>603-M6013671</t>
  </si>
  <si>
    <t>https://www.metrocuadrado.com/inmueble/venta-casa-bogota-casa-blanca-3-habitaciones-3-banos-2-garajes/603-M6013671</t>
  </si>
  <si>
    <t>2671-M5836119</t>
  </si>
  <si>
    <t>https://www.metrocuadrado.com/inmueble/venta-casa-bogota-santa-barbara-alta-3-habitaciones-3-banos-4-garajes/2671-M5836119</t>
  </si>
  <si>
    <t>603-M6013137</t>
  </si>
  <si>
    <t>https://www.metrocuadrado.com/inmueble/venta-casa-bogota-casa-blanca-3-habitaciones-3-banos-2-garajes/603-M6013137</t>
  </si>
  <si>
    <t>5031-M5475060</t>
  </si>
  <si>
    <t>https://www.metrocuadrado.com/inmueble/venta-casa-bogota-candelaria-5-habitaciones-4-banos/5031-M5475060</t>
  </si>
  <si>
    <t>603-M6013779</t>
  </si>
  <si>
    <t>https://www.metrocuadrado.com/inmueble/venta-casa-bogota-casa-blanca-3-habitaciones-3-banos-2-garajes/603-M6013779</t>
  </si>
  <si>
    <t>771-M6237854</t>
  </si>
  <si>
    <t>https://www.metrocuadrado.com/inmueble/venta-casa-bogota-modelia-4-habitaciones-3-banos-2-garajes/771-M6237854</t>
  </si>
  <si>
    <t>5175-M5326564</t>
  </si>
  <si>
    <t>https://www.metrocuadrado.com/inmueble/venta-casa-bogota-niza-5-habitaciones-5-banos-3-garajes/5175-M5326564</t>
  </si>
  <si>
    <t>20039-M6146508</t>
  </si>
  <si>
    <t>SERRANIAS</t>
  </si>
  <si>
    <t>https://www.metrocuadrado.com/inmueble/venta-casa-bogota-serranias-5-habitaciones-4-banos-1-garajes/20039-M6146508</t>
  </si>
  <si>
    <t>2974-M5063783</t>
  </si>
  <si>
    <t>BOSTON</t>
  </si>
  <si>
    <t>https://www.metrocuadrado.com/inmueble/venta-casa-bogota-boston-3-habitaciones-3-banos-1-garajes/2974-M5063783</t>
  </si>
  <si>
    <t>2147-M5712785</t>
  </si>
  <si>
    <t>CJR RESERVA DE LA COLINA ETAPAS III Y IV</t>
  </si>
  <si>
    <t>https://www.metrocuadrado.com/inmueble/venta-casa-bogota-cjr-reserva-de-la-colina-etapas-iii-y-iv-5-habitaciones-5-banos-2-garajes/2147-M5712785</t>
  </si>
  <si>
    <t>2147-M3638499</t>
  </si>
  <si>
    <t>https://www.metrocuadrado.com/inmueble/venta-casa-bogota-niza-5-habitaciones-4-banos-2-garajes/2147-M3638499</t>
  </si>
  <si>
    <t>2147-M4647966</t>
  </si>
  <si>
    <t>PLAZUELAS DEL VIRREY</t>
  </si>
  <si>
    <t>https://www.metrocuadrado.com/inmueble/venta-casa-bogota-plazuelas-del-virrey-4-habitaciones-3-banos-1-garajes/2147-M4647966</t>
  </si>
  <si>
    <t>2147-M5745752</t>
  </si>
  <si>
    <t>BAQUERO</t>
  </si>
  <si>
    <t>https://www.metrocuadrado.com/inmueble/venta-casa-bogota-baquero-5-habitaciones-4-banos-2-garajes/2147-M5745752</t>
  </si>
  <si>
    <t>2147-M5949568</t>
  </si>
  <si>
    <t>https://www.metrocuadrado.com/inmueble/venta-casa-bogota-nuevo-contry-5-habitaciones-5-banos-4-garajes/2147-M5949568</t>
  </si>
  <si>
    <t>2147-M4588945</t>
  </si>
  <si>
    <t>https://www.metrocuadrado.com/inmueble/venta-casa-bogota-atenas-5-habitaciones-5-banos-2-garajes/2147-M4588945</t>
  </si>
  <si>
    <t>16108-M5713027</t>
  </si>
  <si>
    <t>https://www.metrocuadrado.com/inmueble/venta-casa-bogota-las-villas-5-habitaciones-5-banos/16108-M5713027</t>
  </si>
  <si>
    <t>668-M6400693</t>
  </si>
  <si>
    <t>https://www.metrocuadrado.com/inmueble/venta-casa-bogota-puente-largo-3-habitaciones-4-banos-3-garajes/668-M6400693</t>
  </si>
  <si>
    <t>14236-M6473104</t>
  </si>
  <si>
    <t>https://www.metrocuadrado.com/inmueble/venta-casa-bogota-cedritos-5-habitaciones-4-banos-3-garajes/14236-M6473104</t>
  </si>
  <si>
    <t>13845-M4499151</t>
  </si>
  <si>
    <t>EL CHILCAL</t>
  </si>
  <si>
    <t>https://www.metrocuadrado.com/inmueble/venta-casa-bogota-el-chilcal-5-habitaciones-2-banos/13845-M4499151</t>
  </si>
  <si>
    <t>5168-M6069702</t>
  </si>
  <si>
    <t>https://www.metrocuadrado.com/inmueble/venta-casa-bogota-san-jose-de-bavaria-3-habitaciones-2-banos-1-garajes/5168-M6069702</t>
  </si>
  <si>
    <t>11676-M5321591</t>
  </si>
  <si>
    <t>https://www.metrocuadrado.com/inmueble/venta-casa-bogota-casablanca-suba-5-habitaciones-4-banos-4-garajes/11676-M5321591</t>
  </si>
  <si>
    <t>17552-M5207848</t>
  </si>
  <si>
    <t>CJR SALAMANCA Y CALATAYUD I Y II</t>
  </si>
  <si>
    <t>https://www.metrocuadrado.com/inmueble/venta-casa-bogota-cjr-salamanca-y-calatayud-i-y-ii-3-habitaciones-3-banos-3-garajes/17552-M5207848</t>
  </si>
  <si>
    <t>4326-M6071231</t>
  </si>
  <si>
    <t>LA FRAGUA</t>
  </si>
  <si>
    <t>https://www.metrocuadrado.com/inmueble/venta-casa-bogota-la-fragua-5-habitaciones-5-banos-3-garajes/4326-M6071231</t>
  </si>
  <si>
    <t>5410-M5308077</t>
  </si>
  <si>
    <t>https://www.metrocuadrado.com/inmueble/venta-casa-bogota-casa-blanca-4-habitaciones-4-banos-4-garajes/5410-M5308077</t>
  </si>
  <si>
    <t>11369-M5707395</t>
  </si>
  <si>
    <t>https://www.metrocuadrado.com/inmueble/venta-casa-bogota-san-jose-de-bavaria-3-habitaciones-5-banos-3-garajes/11369-M5707395</t>
  </si>
  <si>
    <t>MC2545568</t>
  </si>
  <si>
    <t>https://www.metrocuadrado.com/inmueble/venta-casa-bogota-monaco-5-habitaciones-5-banos-4-garajes/MC2545568</t>
  </si>
  <si>
    <t>MC6305875</t>
  </si>
  <si>
    <t>https://www.metrocuadrado.com/inmueble/venta-casa-bogota-balcares-4-habitaciones-5-banos-2-garajes/MC6305875</t>
  </si>
  <si>
    <t>MC6505655</t>
  </si>
  <si>
    <t>https://www.metrocuadrado.com/inmueble/venta-casa-bogota-quiroga-5-habitaciones-3-banos-1-garajes/MC6505655</t>
  </si>
  <si>
    <t>MC5581884</t>
  </si>
  <si>
    <t>VERACRUZ</t>
  </si>
  <si>
    <t>https://www.metrocuadrado.com/inmueble/venta-casa-bogota-veracruz-5-habitaciones-5-banos-1-garajes/MC5581884</t>
  </si>
  <si>
    <t>175-M5270492</t>
  </si>
  <si>
    <t>https://www.metrocuadrado.com/inmueble/venta-casa-bogota-quinta-camacho-5-habitaciones-3-banos-4-garajes/175-M5270492</t>
  </si>
  <si>
    <t>5175-M6494868</t>
  </si>
  <si>
    <t>https://www.metrocuadrado.com/inmueble/venta-casa-bogota-normandia-5-habitaciones-4-banos-2-garajes/5175-M6494868</t>
  </si>
  <si>
    <t>17565-M6054797</t>
  </si>
  <si>
    <t>https://www.metrocuadrado.com/inmueble/venta-casa-bogota-cedritos-5-habitaciones-4-banos-3-garajes/17565-M6054797</t>
  </si>
  <si>
    <t>290-M6308835</t>
  </si>
  <si>
    <t>SAN ANDRES</t>
  </si>
  <si>
    <t>https://www.metrocuadrado.com/inmueble/venta-casa-bogota-san-andres-5-habitaciones-5-banos-1-garajes/290-M6308835</t>
  </si>
  <si>
    <t>20859-M6024226</t>
  </si>
  <si>
    <t>BOSA SAN PABLO</t>
  </si>
  <si>
    <t>https://www.metrocuadrado.com/inmueble/venta-casa-bogota-bosa-san-pablo-5-habitaciones-4-banos-1-garajes/20859-M6024226</t>
  </si>
  <si>
    <t>771-M5273195</t>
  </si>
  <si>
    <t>https://www.metrocuadrado.com/inmueble/venta-casa-bogota-san-jose-de-bavaria-4-habitaciones-5-banos-3-garajes/771-M5273195</t>
  </si>
  <si>
    <t>10307-M4671025</t>
  </si>
  <si>
    <t>https://www.metrocuadrado.com/inmueble/venta-casa-bogota-conejera-3-habitaciones-5-banos-2-garajes/10307-M4671025</t>
  </si>
  <si>
    <t>5031-M6448893</t>
  </si>
  <si>
    <t>LA PRADERA NORTE</t>
  </si>
  <si>
    <t>https://www.metrocuadrado.com/inmueble/venta-casa-bogota-la-pradera-norte-3-habitaciones-3-banos-1-garajes/5031-M6448893</t>
  </si>
  <si>
    <t>20859-M6163630</t>
  </si>
  <si>
    <t>REMANSO</t>
  </si>
  <si>
    <t>https://www.metrocuadrado.com/inmueble/venta-casa-bogota-remanso-5-habitaciones-3-banos-1-garajes/20859-M6163630</t>
  </si>
  <si>
    <t>17565-M6379827</t>
  </si>
  <si>
    <t>https://www.metrocuadrado.com/inmueble/venta-casa-bogota-villa-magdala-4-habitaciones-4-banos-2-garajes/17565-M6379827</t>
  </si>
  <si>
    <t>21638-M6291008</t>
  </si>
  <si>
    <t>LINDARAJA</t>
  </si>
  <si>
    <t>https://www.metrocuadrado.com/inmueble/venta-casa-bogota-lindaraja-4-habitaciones-5-banos-2-garajes/21638-M6291008</t>
  </si>
  <si>
    <t>603-M6110221</t>
  </si>
  <si>
    <t>https://www.metrocuadrado.com/inmueble/venta-casa-bogota-pontevedra-5-habitaciones-5-banos-2-garajes/603-M6110221</t>
  </si>
  <si>
    <t>603-M5643204</t>
  </si>
  <si>
    <t>https://www.metrocuadrado.com/inmueble/venta-casa-bogota-barrancas-norte-5-habitaciones-3-banos-1-garajes/603-M5643204</t>
  </si>
  <si>
    <t>771-M5273593</t>
  </si>
  <si>
    <t>https://www.metrocuadrado.com/inmueble/venta-casa-bogota-casa-blanca-3-habitaciones-4-banos-4-garajes/771-M5273593</t>
  </si>
  <si>
    <t>2671-M6498366</t>
  </si>
  <si>
    <t>https://www.metrocuadrado.com/inmueble/venta-casa-bogota-chico-4-habitaciones-4-banos-3-garajes/2671-M6498366</t>
  </si>
  <si>
    <t>9914-M4427523</t>
  </si>
  <si>
    <t>NUEVA MARSELLA</t>
  </si>
  <si>
    <t>https://www.metrocuadrado.com/inmueble/venta-casa-bogota-nueva-marsella-5-habitaciones-5-banos-2-garajes/9914-M4427523</t>
  </si>
  <si>
    <t>17565-M6534674</t>
  </si>
  <si>
    <t>https://www.metrocuadrado.com/inmueble/venta-casa-bogota-villa-magdala-3-habitaciones-5-banos-2-garajes/17565-M6534674</t>
  </si>
  <si>
    <t>5175-M6111602</t>
  </si>
  <si>
    <t>https://www.metrocuadrado.com/inmueble/venta-casa-bogota-la-castellana-5-habitaciones-3-banos-3-garajes/5175-M6111602</t>
  </si>
  <si>
    <t>771-M5276440</t>
  </si>
  <si>
    <t>https://www.metrocuadrado.com/inmueble/venta-casa-bogota-san-jose-de-bavaria-4-habitaciones-3-banos-4-garajes/771-M5276440</t>
  </si>
  <si>
    <t>603-M5722601</t>
  </si>
  <si>
    <t>https://www.metrocuadrado.com/inmueble/venta-casa-bogota-niza-cordoba-5-habitaciones-5-banos-2-garajes/603-M5722601</t>
  </si>
  <si>
    <t>5031-M5475139</t>
  </si>
  <si>
    <t>https://www.metrocuadrado.com/inmueble/venta-casa-bogota-techo-4-habitaciones-4-banos/5031-M5475139</t>
  </si>
  <si>
    <t>21641-M6579289</t>
  </si>
  <si>
    <t>https://www.metrocuadrado.com/inmueble/venta-casa-bogota-santa-cecilia-4-habitaciones-3-banos/21641-M6579289</t>
  </si>
  <si>
    <t>16274-M5748360</t>
  </si>
  <si>
    <t>https://www.metrocuadrado.com/inmueble/venta-casa-bogota-teusaquillo-5-habitaciones-5-banos/16274-M5748360</t>
  </si>
  <si>
    <t>16577-M5492376</t>
  </si>
  <si>
    <t>https://www.metrocuadrado.com/inmueble/venta-casa-bogota-niza-cordoba-2-habitaciones-2-banos-1-garajes/16577-M5492376</t>
  </si>
  <si>
    <t>3307-M4961533</t>
  </si>
  <si>
    <t>https://www.metrocuadrado.com/inmueble/venta-casa-bogota-ub.-castilla-4-habitaciones-3-banos-1-garajes/3307-M4961533</t>
  </si>
  <si>
    <t>15795-M5959839</t>
  </si>
  <si>
    <t>https://www.metrocuadrado.com/inmueble/venta-casa-bogota-los-cerezos-4-habitaciones-2-banos-2-garajes/15795-M5959839</t>
  </si>
  <si>
    <t>4830-M5679690</t>
  </si>
  <si>
    <t>https://www.metrocuadrado.com/inmueble/venta-casa-bogota-monaco-4-habitaciones-4-banos-4-garajes/4830-M5679690</t>
  </si>
  <si>
    <t>12073-M6172624</t>
  </si>
  <si>
    <t>https://www.metrocuadrado.com/inmueble/venta-casa-bogota-prado-veraniego-sur-5-habitaciones-4-banos-1-garajes/12073-M6172624</t>
  </si>
  <si>
    <t>17636-M5240297</t>
  </si>
  <si>
    <t>https://www.metrocuadrado.com/inmueble/venta-casa-bogota-normandia-5-habitaciones-5-banos-3-garajes/17636-M5240297</t>
  </si>
  <si>
    <t>14335-M6583984</t>
  </si>
  <si>
    <t>https://www.metrocuadrado.com/inmueble/venta-casa-bogota-el-verbenal-3-habitaciones-3-banos-3-garajes/14335-M6583984</t>
  </si>
  <si>
    <t>17592-M5346330</t>
  </si>
  <si>
    <t>SAN FELIPE</t>
  </si>
  <si>
    <t>https://www.metrocuadrado.com/inmueble/venta-casa-bogota-san-felipe-5-habitaciones-4-banos-1-garajes/17592-M5346330</t>
  </si>
  <si>
    <t>CASABLANCA SUBA URBANO</t>
  </si>
  <si>
    <t>18214-M6587831</t>
  </si>
  <si>
    <t>https://www.metrocuadrado.com/inmueble/venta-casa-bogota-belmira-3-habitaciones-3-banos-2-garajes/18214-M6587831</t>
  </si>
  <si>
    <t>847-M4687032</t>
  </si>
  <si>
    <t>https://www.metrocuadrado.com/inmueble/venta-casa-bogota-cerros-de-sotileza-3-habitaciones-5-banos-3-garajes/847-M4687032</t>
  </si>
  <si>
    <t>847-M5939695</t>
  </si>
  <si>
    <t>https://www.metrocuadrado.com/inmueble/venta-casa-bogota-casablanca-suba-urbano-5-habitaciones-5-banos-4-garajes/847-M5939695</t>
  </si>
  <si>
    <t>16739-M6546630</t>
  </si>
  <si>
    <t>https://www.metrocuadrado.com/inmueble/venta-casa-bogota-san-jose-de-bavaria-4-habitaciones-4-banos-4-garajes/16739-M6546630</t>
  </si>
  <si>
    <t>14774-M6491168</t>
  </si>
  <si>
    <t>NUEVO KENNEDY</t>
  </si>
  <si>
    <t>https://www.metrocuadrado.com/inmueble/venta-casa-bogota-nuevo-kennedy-5-habitaciones-2-banos/14774-M6491168</t>
  </si>
  <si>
    <t>11369-M6026993</t>
  </si>
  <si>
    <t>https://www.metrocuadrado.com/inmueble/venta-casa-bogota-san-simon-3-habitaciones-5-banos-4-garajes/11369-M6026993</t>
  </si>
  <si>
    <t>5410-M5559274</t>
  </si>
  <si>
    <t>https://www.metrocuadrado.com/inmueble/venta-casa-bogota-casa-blanca-4-habitaciones-4-banos-4-garajes/5410-M5559274</t>
  </si>
  <si>
    <t>3438-M6361713</t>
  </si>
  <si>
    <t>https://www.metrocuadrado.com/inmueble/venta-casa-bogota-maranta-iii-sector-4-habitaciones-4-banos-2-garajes/3438-M6361713</t>
  </si>
  <si>
    <t>12715-M6488901</t>
  </si>
  <si>
    <t>SANTA ISABEL</t>
  </si>
  <si>
    <t>https://www.metrocuadrado.com/inmueble/venta-casa-bogota-santa-isabel-5-habitaciones-5-banos-1-garajes/12715-M6488901</t>
  </si>
  <si>
    <t>MC5818838</t>
  </si>
  <si>
    <t>https://www.metrocuadrado.com/inmueble/venta-casa-bogota-la-soledad-5-habitaciones-4-banos/MC5818838</t>
  </si>
  <si>
    <t>MC6472554</t>
  </si>
  <si>
    <t>https://www.metrocuadrado.com/inmueble/venta-casa-bogota-prado-veraniego-norte-4-habitaciones-4-banos-2-garajes/MC6472554</t>
  </si>
  <si>
    <t>MC6509435</t>
  </si>
  <si>
    <t>https://www.metrocuadrado.com/inmueble/venta-casa-bogota-torca-3-habitaciones-5-banos-4-garajes/MC6509435</t>
  </si>
  <si>
    <t>MC2864070</t>
  </si>
  <si>
    <t>https://www.metrocuadrado.com/inmueble/venta-casa-bogota-caobos-salazar-3-habitaciones-3-banos-1-garajes/MC2864070</t>
  </si>
  <si>
    <t>20859-M6094807</t>
  </si>
  <si>
    <t>https://www.metrocuadrado.com/inmueble/venta-casa-bogota-olaya-5-habitaciones-5-banos/20859-M6094807</t>
  </si>
  <si>
    <t>20610-M6144867</t>
  </si>
  <si>
    <t>https://www.metrocuadrado.com/inmueble/venta-casa-bogota-florencia-5-habitaciones-5-banos-2-garajes/20610-M6144867</t>
  </si>
  <si>
    <t>897-M5017015</t>
  </si>
  <si>
    <t>https://www.metrocuadrado.com/inmueble/venta-casa-bogota-conejera-4-habitaciones-4-banos-2-garajes/897-M5017015</t>
  </si>
  <si>
    <t>20859-M6023933</t>
  </si>
  <si>
    <t>https://www.metrocuadrado.com/inmueble/venta-casa-bogota-castilla-5-habitaciones-2-banos-1-garajes/20859-M6023933</t>
  </si>
  <si>
    <t>20859-M6500425</t>
  </si>
  <si>
    <t>https://www.metrocuadrado.com/inmueble/venta-casa-bogota-quinta-camacho-5-habitaciones-4-banos-4-garajes/20859-M6500425</t>
  </si>
  <si>
    <t>20036-M5776254</t>
  </si>
  <si>
    <t>https://www.metrocuadrado.com/inmueble/venta-casa-bogota-la-carolina-4-habitaciones-5-banos-2-garajes/20036-M5776254</t>
  </si>
  <si>
    <t>20859-M6025062</t>
  </si>
  <si>
    <t>https://www.metrocuadrado.com/inmueble/venta-casa-bogota-restrepo-5-habitaciones-4-banos-1-garajes/20859-M6025062</t>
  </si>
  <si>
    <t>5175-M5326553</t>
  </si>
  <si>
    <t>https://www.metrocuadrado.com/inmueble/venta-casa-bogota-niza-5-habitaciones-5-banos-3-garajes/5175-M5326553</t>
  </si>
  <si>
    <t>20607-M6400245</t>
  </si>
  <si>
    <t>HIPOTECHO ET III</t>
  </si>
  <si>
    <t>https://www.metrocuadrado.com/inmueble/venta-casa-bogota-hipotecho-et-iii-3-habitaciones-2-banos-1-garajes/20607-M6400245</t>
  </si>
  <si>
    <t>2559-M6016081</t>
  </si>
  <si>
    <t>https://www.metrocuadrado.com/inmueble/venta-casa-bogota-casa-blanca-4-habitaciones-4-banos-3-garajes/2559-M6016081</t>
  </si>
  <si>
    <t>11256-3446070</t>
  </si>
  <si>
    <t>ARRAYANES</t>
  </si>
  <si>
    <t>https://www.metrocuadrado.com/inmueble/venta-casa-bogota-arrayanes-4-habitaciones-4-banos-3-garajes/11256-3446070</t>
  </si>
  <si>
    <t>3604-M4074213</t>
  </si>
  <si>
    <t>https://www.metrocuadrado.com/inmueble/venta-casa-bogota-san-jose-de-bavaria-4-habitaciones-4-banos-3-garajes/3604-M4074213</t>
  </si>
  <si>
    <t>20682-M6166779</t>
  </si>
  <si>
    <t>GRANADA NORTE</t>
  </si>
  <si>
    <t>https://www.metrocuadrado.com/inmueble/venta-casa-bogota-granada-norte-4-habitaciones-3-banos-1-garajes/20682-M6166779</t>
  </si>
  <si>
    <t>897-M5016682</t>
  </si>
  <si>
    <t>https://www.metrocuadrado.com/inmueble/venta-casa-bogota-guaymaral-4-habitaciones-5-banos-4-garajes/897-M5016682</t>
  </si>
  <si>
    <t>3553-M4746825</t>
  </si>
  <si>
    <t>GUADUAL FONTIBON</t>
  </si>
  <si>
    <t>https://www.metrocuadrado.com/inmueble/venta-casa-bogota-guadual-fontibon-5-habitaciones-5-banos-1-garajes/3553-M4746825</t>
  </si>
  <si>
    <t>19701-M5760120</t>
  </si>
  <si>
    <t>https://www.metrocuadrado.com/inmueble/venta-casa-bogota-san-jose-de-bavaria-4-habitaciones-5-banos-4-garajes/19701-M5760120</t>
  </si>
  <si>
    <t>20610-M6588895</t>
  </si>
  <si>
    <t>https://www.metrocuadrado.com/inmueble/venta-casa-bogota-arrayanes-4-habitaciones-4-banos-2-garajes/20610-M6588895</t>
  </si>
  <si>
    <t>20447-M5845092</t>
  </si>
  <si>
    <t>https://www.metrocuadrado.com/inmueble/venta-casa-bogota-guacani-4-habitaciones-3-banos-1-garajes/20447-M5845092</t>
  </si>
  <si>
    <t>3604-M3985279</t>
  </si>
  <si>
    <t>https://www.metrocuadrado.com/inmueble/venta-casa-bogota-casa-blanca-4-habitaciones-4-banos-2-garajes/3604-M3985279</t>
  </si>
  <si>
    <t>771-M5273996</t>
  </si>
  <si>
    <t>https://www.metrocuadrado.com/inmueble/venta-casa-bogota-multicentro-3-habitaciones-3-banos-2-garajes/771-M5273996</t>
  </si>
  <si>
    <t>20640-M6292747</t>
  </si>
  <si>
    <t>https://www.metrocuadrado.com/inmueble/venta-casa-bogota-victoria-norte-3-habitaciones-3-banos-2-garajes/20640-M6292747</t>
  </si>
  <si>
    <t>20859-M6025211</t>
  </si>
  <si>
    <t>LA PAZ</t>
  </si>
  <si>
    <t>https://www.metrocuadrado.com/inmueble/venta-casa-bogota-la-paz-5-habitaciones-4-banos/20859-M6025211</t>
  </si>
  <si>
    <t>10967-M4392608</t>
  </si>
  <si>
    <t>https://www.metrocuadrado.com/inmueble/venta-casa-bogota-san-jose-de-bavaria-3-habitaciones-5-banos-4-garajes/10967-M4392608</t>
  </si>
  <si>
    <t>2832-M6004433</t>
  </si>
  <si>
    <t>LOS MONJES</t>
  </si>
  <si>
    <t>https://www.metrocuadrado.com/inmueble/venta-casa-bogota-los-monjes-4-habitaciones-2-banos-2-garajes/2832-M6004433</t>
  </si>
  <si>
    <t>2832-M4485456</t>
  </si>
  <si>
    <t>https://www.metrocuadrado.com/inmueble/venta-casa-bogota-sucre-5-habitaciones-5-banos-4-garajes/2832-M4485456</t>
  </si>
  <si>
    <t>39-M6521170</t>
  </si>
  <si>
    <t>https://www.metrocuadrado.com/inmueble/venta-casa-bogota-santa-barbara-alta-4-habitaciones-4-banos-4-garajes/39-M6521170</t>
  </si>
  <si>
    <t>14241-M6470465</t>
  </si>
  <si>
    <t>https://www.metrocuadrado.com/inmueble/venta-casa-bogota-polo-club-4-habitaciones-4-banos-2-garajes/14241-M6470465</t>
  </si>
  <si>
    <t>15738-M6232124</t>
  </si>
  <si>
    <t>CANDELARIA LA NUEVA</t>
  </si>
  <si>
    <t>https://www.metrocuadrado.com/inmueble/venta-casa-bogota-candelaria-la-nueva-3-habitaciones-3-banos/15738-M6232124</t>
  </si>
  <si>
    <t>11233-M4581988</t>
  </si>
  <si>
    <t>https://www.metrocuadrado.com/inmueble/venta-casa-bogota-conejera-4-habitaciones-4-banos-2-garajes/11233-M4581988</t>
  </si>
  <si>
    <t>11233-M5210591</t>
  </si>
  <si>
    <t>CIUDAD MONTES</t>
  </si>
  <si>
    <t>https://www.metrocuadrado.com/inmueble/venta-casa-bogota-ciudad-montes-4-habitaciones-4-banos/11233-M5210591</t>
  </si>
  <si>
    <t>15062-M6203449</t>
  </si>
  <si>
    <t>PLAZA DE LAS AMERICAS</t>
  </si>
  <si>
    <t>https://www.metrocuadrado.com/inmueble/venta-casa-bogota-plaza-de-las-americas-4-habitaciones-3-banos-3-garajes/15062-M6203449</t>
  </si>
  <si>
    <t>11233-M5160148</t>
  </si>
  <si>
    <t>LOS ALCAZARES</t>
  </si>
  <si>
    <t>https://www.metrocuadrado.com/inmueble/venta-casa-bogota-los-alcazares-5-habitaciones-3-banos-1-garajes/11233-M5160148</t>
  </si>
  <si>
    <t>13845-M4221210</t>
  </si>
  <si>
    <t>https://www.metrocuadrado.com/inmueble/venta-casa-bogota-paris-5-habitaciones-5-banos/13845-M4221210</t>
  </si>
  <si>
    <t>16685-M6586179</t>
  </si>
  <si>
    <t>https://www.metrocuadrado.com/inmueble/venta-casa-bogota-belmira-3-habitaciones-3-banos-2-garajes/16685-M6586179</t>
  </si>
  <si>
    <t>14236-M5260799</t>
  </si>
  <si>
    <t>https://www.metrocuadrado.com/inmueble/venta-casa-bogota-san-jose-de-bavaria-3-habitaciones-4-banos-4-garajes/14236-M5260799</t>
  </si>
  <si>
    <t>17575-M6488159</t>
  </si>
  <si>
    <t>https://www.metrocuadrado.com/inmueble/venta-casa-bogota-ciudad-salitre-suroriental-3-habitaciones-2-banos-2-garajes/17575-M6488159</t>
  </si>
  <si>
    <t>4660-M6475862</t>
  </si>
  <si>
    <t>https://www.metrocuadrado.com/inmueble/venta-casa-bogota-guaymaral-4-habitaciones-5-banos-4-garajes/4660-M6475862</t>
  </si>
  <si>
    <t>2214-M5341562</t>
  </si>
  <si>
    <t>https://www.metrocuadrado.com/inmueble/venta-casa-bogota-pontevedra-4-habitaciones-3-banos-3-garajes/2214-M5341562</t>
  </si>
  <si>
    <t>16430-M6108399</t>
  </si>
  <si>
    <t>https://www.metrocuadrado.com/inmueble/venta-casa-bogota-3-habitaciones-5-banos-4-garajes/16430-M6108399</t>
  </si>
  <si>
    <t>12364-M5778568</t>
  </si>
  <si>
    <t>https://www.metrocuadrado.com/inmueble/venta-casa-bogota-cedritos-3-habitaciones-3-banos-2-garajes/12364-M5778568</t>
  </si>
  <si>
    <t>MC2640920</t>
  </si>
  <si>
    <t>https://www.metrocuadrado.com/inmueble/venta-casa-bogota-monaco-5-habitaciones-5-banos-2-garajes/MC2640920</t>
  </si>
  <si>
    <t>MC6328855</t>
  </si>
  <si>
    <t>https://www.metrocuadrado.com/inmueble/venta-casa-bogota-ciudad-galan-5-habitaciones-5-banos-1-garajes/MC6328855</t>
  </si>
  <si>
    <t>MC6386545</t>
  </si>
  <si>
    <t>https://www.metrocuadrado.com/inmueble/venta-casa-bogota-el-plan-4-habitaciones-3-banos-2-garajes/MC6386545</t>
  </si>
  <si>
    <t>MC6476574</t>
  </si>
  <si>
    <t>https://www.metrocuadrado.com/inmueble/venta-casa-bogota-santa-fe-5-habitaciones-4-banos/MC6476574</t>
  </si>
  <si>
    <t>21515-C0001-01</t>
  </si>
  <si>
    <t>apartaestudio</t>
  </si>
  <si>
    <t>https://www.metrocuadrado.com/proyecto/altus-124-apartaestudios-vis-precio-fijo/21515-C0001-01</t>
  </si>
  <si>
    <t>21962-C0005-01</t>
  </si>
  <si>
    <t>https://www.metrocuadrado.com/proyecto/urban-72/21962-C0005-01</t>
  </si>
  <si>
    <t>21962-C0005-02</t>
  </si>
  <si>
    <t>https://www.metrocuadrado.com/proyecto/urban-72/21962-C0005-02</t>
  </si>
  <si>
    <t>21962-C0005-03</t>
  </si>
  <si>
    <t>https://www.metrocuadrado.com/proyecto/urban-72/21962-C0005-03</t>
  </si>
  <si>
    <t>MC6572909</t>
  </si>
  <si>
    <t>https://www.metrocuadrado.com/inmueble/venta-apartaestudio-bogota-lisboa-1-habitaciones-1-banos/MC6572909</t>
  </si>
  <si>
    <t>21341-M6163625</t>
  </si>
  <si>
    <t>ZARZAMORA</t>
  </si>
  <si>
    <t>https://www.metrocuadrado.com/inmueble/venta-apartaestudio-bogota-zarzamora-1-habitaciones-1-banos/21341-M6163625</t>
  </si>
  <si>
    <t>MC6587600</t>
  </si>
  <si>
    <t>https://www.metrocuadrado.com/inmueble/venta-apartaestudio-bogota-chico-norte-et.-iii-1-habitaciones-1-banos-1-garajes/MC6587600</t>
  </si>
  <si>
    <t>MC6583950</t>
  </si>
  <si>
    <t>TERMINAL DE TRANSPORTES</t>
  </si>
  <si>
    <t>https://www.metrocuadrado.com/inmueble/venta-apartaestudio-bogota-terminal-de-transportes-1-habitaciones-1-banos/MC6583950</t>
  </si>
  <si>
    <t>16959-M6583697</t>
  </si>
  <si>
    <t>https://www.metrocuadrado.com/inmueble/venta-apartaestudio-bogota-puente-largo-1-habitaciones-2-banos-1-garajes/16959-M6583697</t>
  </si>
  <si>
    <t>MC6574674</t>
  </si>
  <si>
    <t>https://www.metrocuadrado.com/inmueble/venta-apartaestudio-bogota-ciudad-jardin-norte-1-habitaciones-1-banos/MC6574674</t>
  </si>
  <si>
    <t>MC6570184</t>
  </si>
  <si>
    <t>https://www.metrocuadrado.com/inmueble/venta-apartaestudio-bogota-las-nieves-1-habitaciones-1-banos/MC6570184</t>
  </si>
  <si>
    <t>18222-M6456860</t>
  </si>
  <si>
    <t>https://www.metrocuadrado.com/inmueble/venta-apartaestudio-bogota-jose-joaquin-vargas-1-habitaciones-1-banos-1-garajes/18222-M6456860</t>
  </si>
  <si>
    <t>MC6587628</t>
  </si>
  <si>
    <t>https://www.metrocuadrado.com/inmueble/venta-apartaestudio-bogota-nuevo-contry-1-habitaciones-1-banos-1-garajes/MC6587628</t>
  </si>
  <si>
    <t>19701-M6449928</t>
  </si>
  <si>
    <t>https://www.metrocuadrado.com/inmueble/venta-apartaestudio-bogota-chico-1-habitaciones-2-banos-1-garajes/19701-M6449928</t>
  </si>
  <si>
    <t>13016-M6075810</t>
  </si>
  <si>
    <t>https://www.metrocuadrado.com/inmueble/venta-apartaestudio-bogota-san-patricio-1-habitaciones-1-banos-1-garajes/13016-M6075810</t>
  </si>
  <si>
    <t>897-M5567611</t>
  </si>
  <si>
    <t>https://www.metrocuadrado.com/inmueble/venta-apartaestudio-bogota-polo-club-1-habitaciones-1-banos-1-garajes/897-M5567611</t>
  </si>
  <si>
    <t>21549-M6570378</t>
  </si>
  <si>
    <t>https://www.metrocuadrado.com/inmueble/venta-apartaestudio-bogota-mazuren-3-habitaciones-3-banos-2-garajes/21549-M6570378</t>
  </si>
  <si>
    <t>21503-M6573831</t>
  </si>
  <si>
    <t>https://www.metrocuadrado.com/inmueble/venta-apartaestudio-bogota-santa-bibiana-1-habitaciones-2-banos-2-garajes/21503-M6573831</t>
  </si>
  <si>
    <t>20859-M6150606</t>
  </si>
  <si>
    <t>SALITRE</t>
  </si>
  <si>
    <t>https://www.metrocuadrado.com/inmueble/venta-apartaestudio-bogota-salitre-1-habitaciones-1-banos/20859-M6150606</t>
  </si>
  <si>
    <t>897-M6404211</t>
  </si>
  <si>
    <t>https://www.metrocuadrado.com/inmueble/venta-apartaestudio-bogota-el-encanto-1-habitaciones-1-banos/897-M6404211</t>
  </si>
  <si>
    <t>2731-M6116848</t>
  </si>
  <si>
    <t>https://www.metrocuadrado.com/inmueble/venta-apartaestudio-bogota-la-castellana-1-habitaciones-1-banos/2731-M6116848</t>
  </si>
  <si>
    <t>464-M6036422</t>
  </si>
  <si>
    <t>https://www.metrocuadrado.com/inmueble/venta-apartaestudio-bogota-chapinero-norte-1-habitaciones-1-banos/464-M6036422</t>
  </si>
  <si>
    <t>897-M6064869</t>
  </si>
  <si>
    <t>https://www.metrocuadrado.com/inmueble/venta-apartaestudio-bogota-pasadena-1-habitaciones-1-banos/897-M6064869</t>
  </si>
  <si>
    <t>17285-M5861886</t>
  </si>
  <si>
    <t>https://www.metrocuadrado.com/inmueble/venta-apartaestudio-bogota-guaymaral-4-habitaciones-5-banos-4-garajes/17285-M5861886</t>
  </si>
  <si>
    <t>20451-M6460428</t>
  </si>
  <si>
    <t>https://www.metrocuadrado.com/inmueble/venta-apartaestudio-bogota-barrancas-1-habitaciones-1-banos/20451-M6460428</t>
  </si>
  <si>
    <t>17285-M6372762</t>
  </si>
  <si>
    <t>https://www.metrocuadrado.com/inmueble/venta-apartaestudio-bogota-chico-navarra-3-habitaciones-4-banos-2-garajes/17285-M6372762</t>
  </si>
  <si>
    <t>20451-M6051986</t>
  </si>
  <si>
    <t>https://www.metrocuadrado.com/inmueble/venta-apartaestudio-bogota-nueva-zelandia-1-habitaciones-1-banos/20451-M6051986</t>
  </si>
  <si>
    <t>21341-M6163670</t>
  </si>
  <si>
    <t>https://www.metrocuadrado.com/inmueble/venta-apartaestudio-bogota-los-olivos-1-habitaciones-1-banos/21341-M6163670</t>
  </si>
  <si>
    <t>14-M4807976</t>
  </si>
  <si>
    <t>https://www.metrocuadrado.com/inmueble/venta-apartaestudio-bogota-santa-barbara-1-habitaciones-2-banos-1-garajes/14-M4807976</t>
  </si>
  <si>
    <t>897-M5567605</t>
  </si>
  <si>
    <t>https://www.metrocuadrado.com/inmueble/venta-apartaestudio-bogota-polo-club-1-habitaciones-1-banos-1-garajes/897-M5567605</t>
  </si>
  <si>
    <t>20859-M6024012</t>
  </si>
  <si>
    <t>https://www.metrocuadrado.com/inmueble/venta-apartaestudio-bogota-las-nieves-1-habitaciones-1-banos/20859-M6024012</t>
  </si>
  <si>
    <t>20451-M6052059</t>
  </si>
  <si>
    <t>https://www.metrocuadrado.com/inmueble/venta-apartaestudio-bogota-nueva-zelandia-1-habitaciones-1-banos/20451-M6052059</t>
  </si>
  <si>
    <t>20859-M6139976</t>
  </si>
  <si>
    <t>https://www.metrocuadrado.com/inmueble/venta-apartaestudio-bogota-las-nieves-1-habitaciones-1-banos/20859-M6139976</t>
  </si>
  <si>
    <t>21242-M6490530</t>
  </si>
  <si>
    <t>https://www.metrocuadrado.com/inmueble/venta-apartaestudio-bogota-la-castellana-1-habitaciones-1-banos/21242-M6490530</t>
  </si>
  <si>
    <t>19701-M6449812</t>
  </si>
  <si>
    <t>https://www.metrocuadrado.com/inmueble/venta-apartaestudio-bogota-chico-1-habitaciones-2-banos-1-garajes/19701-M6449812</t>
  </si>
  <si>
    <t>17091-M6058757</t>
  </si>
  <si>
    <t>EDIFICIO DC 26</t>
  </si>
  <si>
    <t>https://www.metrocuadrado.com/inmueble/venta-apartaestudio-bogota-edificio-dc-26-1-habitaciones-1-banos/17091-M6058757</t>
  </si>
  <si>
    <t>2974-M5976390</t>
  </si>
  <si>
    <t>https://www.metrocuadrado.com/inmueble/venta-apartaestudio-bogota-samper-1-habitaciones-1-banos/2974-M5976390</t>
  </si>
  <si>
    <t>15704-M6371993</t>
  </si>
  <si>
    <t>https://www.metrocuadrado.com/inmueble/venta-apartaestudio-bogota-toberin-1-habitaciones-1-banos-1-garajes/15704-M6371993</t>
  </si>
  <si>
    <t>15738-M6396814</t>
  </si>
  <si>
    <t>https://www.metrocuadrado.com/inmueble/venta-apartaestudio-bogota-galerias-1-habitaciones-1-banos/15738-M6396814</t>
  </si>
  <si>
    <t>16437-M6492301</t>
  </si>
  <si>
    <t>https://www.metrocuadrado.com/inmueble/venta-apartaestudio-bogota-chico-norte-1-habitaciones-1-banos-1-garajes/16437-M6492301</t>
  </si>
  <si>
    <t>4830-M2877183</t>
  </si>
  <si>
    <t>https://www.metrocuadrado.com/inmueble/venta-apartaestudio-bogota-las-nieves-1-habitaciones-1-banos-1-garajes/4830-M2877183</t>
  </si>
  <si>
    <t>2974-M5976442</t>
  </si>
  <si>
    <t>https://www.metrocuadrado.com/inmueble/venta-apartaestudio-bogota-samper-1-habitaciones-1-banos/2974-M5976442</t>
  </si>
  <si>
    <t>15704-M6447529</t>
  </si>
  <si>
    <t>https://www.metrocuadrado.com/inmueble/venta-apartaestudio-bogota-chapinero-1-habitaciones-1-banos/15704-M6447529</t>
  </si>
  <si>
    <t>15738-M5636938</t>
  </si>
  <si>
    <t>SANTA TERESA NORTE</t>
  </si>
  <si>
    <t>https://www.metrocuadrado.com/inmueble/venta-apartaestudio-bogota-santa-teresa-norte-1-habitaciones-1-banos/15738-M5636938</t>
  </si>
  <si>
    <t>2147-M6081618</t>
  </si>
  <si>
    <t>https://www.metrocuadrado.com/inmueble/venta-apartaestudio-bogota-los-olivos-1-habitaciones-1-banos-1-garajes/2147-M6081618</t>
  </si>
  <si>
    <t>3858-M6470612</t>
  </si>
  <si>
    <t>https://www.metrocuadrado.com/inmueble/venta-apartaestudio-bogota-chico-norte-et.-iii-1-habitaciones-2-banos-2-garajes/3858-M6470612</t>
  </si>
  <si>
    <t>2162-M6162870</t>
  </si>
  <si>
    <t>https://www.metrocuadrado.com/inmueble/venta-apartaestudio-bogota-a.s.d.-1-habitaciones-1-banos/2162-M6162870</t>
  </si>
  <si>
    <t>3858-M6405048</t>
  </si>
  <si>
    <t>https://www.metrocuadrado.com/inmueble/venta-apartaestudio-bogota-chico-norte-et.-iii-1-habitaciones-2-banos-2-garajes/3858-M6405048</t>
  </si>
  <si>
    <t>2123-M6492759</t>
  </si>
  <si>
    <t>https://www.metrocuadrado.com/inmueble/venta-apartaestudio-bogota-cedritos-1-habitaciones-2-banos-1-garajes/2123-M6492759</t>
  </si>
  <si>
    <t>3858-M6212328</t>
  </si>
  <si>
    <t>https://www.metrocuadrado.com/inmueble/venta-apartaestudio-bogota-chico-norte-et.-iii-1-habitaciones-2-banos-2-garajes/3858-M6212328</t>
  </si>
  <si>
    <t>16933-M6309683</t>
  </si>
  <si>
    <t>https://www.metrocuadrado.com/inmueble/venta-apartaestudio-bogota-quesada-1-habitaciones-1-banos-1-garajes/16933-M6309683</t>
  </si>
  <si>
    <t>2377-M6068130</t>
  </si>
  <si>
    <t>ALAMEDA</t>
  </si>
  <si>
    <t>https://www.metrocuadrado.com/inmueble/venta-apartaestudio-bogota-alameda-1-habitaciones-1-banos/2377-M6068130</t>
  </si>
  <si>
    <t>12364-M5778574</t>
  </si>
  <si>
    <t>CLUB DE LOS LAGARTOS</t>
  </si>
  <si>
    <t>https://www.metrocuadrado.com/inmueble/venta-apartaestudio-bogota-club-de-los-lagartos-1-habitaciones-2-banos-1-garajes/12364-M5778574</t>
  </si>
  <si>
    <t>12473-M6117293</t>
  </si>
  <si>
    <t>https://www.metrocuadrado.com/inmueble/venta-apartaestudio-bogota-las-nieves-1-habitaciones-1-banos/12473-M6117293</t>
  </si>
  <si>
    <t>17176-M6151361</t>
  </si>
  <si>
    <t>LA SABANA</t>
  </si>
  <si>
    <t>https://www.metrocuadrado.com/inmueble/venta-apartaestudio-bogota-la-sabana-1-habitaciones-2-banos/17176-M6151361</t>
  </si>
  <si>
    <t>MC6574035</t>
  </si>
  <si>
    <t>https://www.metrocuadrado.com/inmueble/venta-apartaestudio-bogota-el-porvenir-1-habitaciones-1-banos/MC6574035</t>
  </si>
  <si>
    <t>MC6499449</t>
  </si>
  <si>
    <t>https://www.metrocuadrado.com/inmueble/venta-apartaestudio-bogota-santa-teresa-2-habitaciones-1-banos/MC6499449</t>
  </si>
  <si>
    <t>MC6529210</t>
  </si>
  <si>
    <t>https://www.metrocuadrado.com/inmueble/venta-apartaestudio-bogota-nuevo-contry-1-habitaciones-2-banos-1-garajes/MC6529210</t>
  </si>
  <si>
    <t>MC6441901</t>
  </si>
  <si>
    <t>https://www.metrocuadrado.com/inmueble/venta-apartaestudio-bogota-monaco-1-habitaciones-1-banos-1-garajes/MC6441901</t>
  </si>
  <si>
    <t>21515-C0001-03</t>
  </si>
  <si>
    <t>https://www.metrocuadrado.com/proyecto/altus-124-apartaestudios-vis-precio-fijo/21515-C0001-03</t>
  </si>
  <si>
    <t>21515-C0001-04</t>
  </si>
  <si>
    <t>https://www.metrocuadrado.com/proyecto/altus-124-apartaestudios-vis-precio-fijo/21515-C0001-04</t>
  </si>
  <si>
    <t>21515-C0001-02</t>
  </si>
  <si>
    <t>https://www.metrocuadrado.com/proyecto/altus-124-apartaestudios-vis-precio-fijo/21515-C0001-02</t>
  </si>
  <si>
    <t>9914-M6367063</t>
  </si>
  <si>
    <t>https://www.metrocuadrado.com/inmueble/venta-apartaestudio-bogota-chico-norte-1-habitaciones-1-banos/9914-M6367063</t>
  </si>
  <si>
    <t>14271-M5773790</t>
  </si>
  <si>
    <t>https://www.metrocuadrado.com/inmueble/venta-apartaestudio-bogota-las-nieves-1-habitaciones-1-banos/14271-M5773790</t>
  </si>
  <si>
    <t>CHICONAVARRA</t>
  </si>
  <si>
    <t>17285-M5861896</t>
  </si>
  <si>
    <t>https://www.metrocuadrado.com/inmueble/venta-apartaestudio-bogota-chapinero-1-habitaciones-1-banos/17285-M5861896</t>
  </si>
  <si>
    <t>20859-M6301502</t>
  </si>
  <si>
    <t>https://www.metrocuadrado.com/inmueble/venta-apartaestudio-bogota-chapinero-1-habitaciones-1-banos/20859-M6301502</t>
  </si>
  <si>
    <t>14271-M5773776</t>
  </si>
  <si>
    <t>https://www.metrocuadrado.com/inmueble/venta-apartaestudio-bogota-las-nieves-1-habitaciones-1-banos/14271-M5773776</t>
  </si>
  <si>
    <t>20859-M6023945</t>
  </si>
  <si>
    <t>https://www.metrocuadrado.com/inmueble/venta-apartaestudio-bogota-chapinero-alto-1-habitaciones-1-banos/20859-M6023945</t>
  </si>
  <si>
    <t>72-M6173757</t>
  </si>
  <si>
    <t>https://www.metrocuadrado.com/inmueble/venta-apartaestudio-bogota-chico-norte-1-habitaciones-2-banos-1-garajes/72-M6173757</t>
  </si>
  <si>
    <t>661-M6521920</t>
  </si>
  <si>
    <t>https://www.metrocuadrado.com/inmueble/venta-apartaestudio-bogota-las-aguas-1-habitaciones-1-banos/661-M6521920</t>
  </si>
  <si>
    <t>14271-M5493864</t>
  </si>
  <si>
    <t>CJR QUO 97</t>
  </si>
  <si>
    <t>https://www.metrocuadrado.com/inmueble/venta-apartaestudio-bogota-cjr-quo-97-2-habitaciones-2-banos/14271-M5493864</t>
  </si>
  <si>
    <t>20832-M6034329</t>
  </si>
  <si>
    <t>https://www.metrocuadrado.com/inmueble/venta-apartaestudio-bogota-chico-1-habitaciones-1-banos/20832-M6034329</t>
  </si>
  <si>
    <t>14271-M5493855</t>
  </si>
  <si>
    <t>https://www.metrocuadrado.com/inmueble/venta-apartaestudio-bogota-cjr-quo-97-1-habitaciones-1-banos/14271-M5493855</t>
  </si>
  <si>
    <t>20610-M6245077</t>
  </si>
  <si>
    <t>https://www.metrocuadrado.com/inmueble/venta-apartaestudio-bogota-rosales-1-habitaciones-1-banos-1-garajes/20610-M6245077</t>
  </si>
  <si>
    <t>22203-M6575952</t>
  </si>
  <si>
    <t>https://www.metrocuadrado.com/inmueble/venta-apartaestudio-bogota-chico-norte-1-habitaciones-1-banos/22203-M6575952</t>
  </si>
  <si>
    <t>661-M6079268</t>
  </si>
  <si>
    <t>https://www.metrocuadrado.com/inmueble/venta-apartaestudio-bogota-barrancas-1-habitaciones-1-banos/661-M6079268</t>
  </si>
  <si>
    <t>897-M6425906</t>
  </si>
  <si>
    <t>https://www.metrocuadrado.com/inmueble/venta-apartaestudio-bogota-chapinero-central-1-habitaciones-1-banos/897-M6425906</t>
  </si>
  <si>
    <t>21822-M6343408</t>
  </si>
  <si>
    <t>https://www.metrocuadrado.com/inmueble/venta-apartaestudio-bogota-santa-barbara-oriental-1-habitaciones-1-banos-1-garajes/21822-M6343408</t>
  </si>
  <si>
    <t>18335-M6090659</t>
  </si>
  <si>
    <t>https://www.metrocuadrado.com/inmueble/venta-apartaestudio-bogota-polo-club-1-habitaciones-1-banos/18335-M6090659</t>
  </si>
  <si>
    <t>771-M6053744</t>
  </si>
  <si>
    <t>https://www.metrocuadrado.com/inmueble/venta-apartaestudio-bogota-chiconavarra-1-habitaciones-1-banos-2-garajes/771-M6053744</t>
  </si>
  <si>
    <t>771-M6491001</t>
  </si>
  <si>
    <t>https://www.metrocuadrado.com/inmueble/venta-apartaestudio-bogota-cedritos-1-habitaciones-1-banos-1-garajes/771-M6491001</t>
  </si>
  <si>
    <t>20859-M6024375</t>
  </si>
  <si>
    <t>LA ESTANZUELA</t>
  </si>
  <si>
    <t>https://www.metrocuadrado.com/inmueble/venta-apartaestudio-bogota-la-estanzuela-1-habitaciones-1-banos/20859-M6024375</t>
  </si>
  <si>
    <t>20804-M6521244</t>
  </si>
  <si>
    <t>https://www.metrocuadrado.com/inmueble/venta-apartaestudio-bogota-asd-1-habitaciones-1-banos/20804-M6521244</t>
  </si>
  <si>
    <t>14271-M5773769</t>
  </si>
  <si>
    <t>https://www.metrocuadrado.com/inmueble/venta-apartaestudio-bogota-las-nieves-1-habitaciones-1-banos/14271-M5773769</t>
  </si>
  <si>
    <t>2974-M6192856</t>
  </si>
  <si>
    <t>https://www.metrocuadrado.com/inmueble/venta-apartaestudio-bogota-mazuren-1-habitaciones-1-banos-1-garajes/2974-M6192856</t>
  </si>
  <si>
    <t>2974-M5791486</t>
  </si>
  <si>
    <t>https://www.metrocuadrado.com/inmueble/venta-apartaestudio-bogota-teusaquillo-1-habitaciones-1-banos/2974-M5791486</t>
  </si>
  <si>
    <t>15738-M6340065</t>
  </si>
  <si>
    <t>https://www.metrocuadrado.com/inmueble/venta-apartaestudio-bogota-nueva-zelandia-1-habitaciones-1-banos-1-garajes/15738-M6340065</t>
  </si>
  <si>
    <t>2147-M6536099</t>
  </si>
  <si>
    <t>https://www.metrocuadrado.com/inmueble/venta-apartaestudio-bogota-chico-norte-et-iii-1-habitaciones-1-banos-1-garajes/2147-M6536099</t>
  </si>
  <si>
    <t>2974-M5967892</t>
  </si>
  <si>
    <t>https://www.metrocuadrado.com/inmueble/venta-apartaestudio-bogota-samper-1-habitaciones-1-banos/2974-M5967892</t>
  </si>
  <si>
    <t>325-M6395411</t>
  </si>
  <si>
    <t>https://www.metrocuadrado.com/inmueble/venta-apartaestudio-bogota-primavera-occidental-1-habitaciones-1-banos-1-garajes/325-M6395411</t>
  </si>
  <si>
    <t>18516-M6071252</t>
  </si>
  <si>
    <t>EL RECUERDO</t>
  </si>
  <si>
    <t>https://www.metrocuadrado.com/inmueble/venta-apartaestudio-bogota-el-recuerdo-1-habitaciones-1-banos/18516-M6071252</t>
  </si>
  <si>
    <t>2974-M6214695</t>
  </si>
  <si>
    <t>https://www.metrocuadrado.com/inmueble/venta-apartaestudio-bogota-mazuren-1-habitaciones-1-banos-1-garajes/2974-M6214695</t>
  </si>
  <si>
    <t>15062-M5555614</t>
  </si>
  <si>
    <t>https://www.metrocuadrado.com/inmueble/venta-apartaestudio-bogota-teusaquillo-1-habitaciones-1-banos/15062-M5555614</t>
  </si>
  <si>
    <t>2974-M5976464</t>
  </si>
  <si>
    <t>https://www.metrocuadrado.com/inmueble/venta-apartaestudio-bogota-samper-1-habitaciones-1-banos/2974-M5976464</t>
  </si>
  <si>
    <t>18214-M6073854</t>
  </si>
  <si>
    <t>https://www.metrocuadrado.com/inmueble/venta-apartaestudio-bogota-chico-1-habitaciones-1-banos-2-garajes/18214-M6073854</t>
  </si>
  <si>
    <t>3535-M5462655</t>
  </si>
  <si>
    <t>https://www.metrocuadrado.com/inmueble/venta-apartaestudio-bogota-san-martin-1-habitaciones-2-banos-1-garajes/3535-M5462655</t>
  </si>
  <si>
    <t>2162-M6405263</t>
  </si>
  <si>
    <t>https://www.metrocuadrado.com/inmueble/venta-apartaestudio-bogota-san-patricio-1-habitaciones-2-banos-1-garajes/2162-M6405263</t>
  </si>
  <si>
    <t>14236-M6473088</t>
  </si>
  <si>
    <t>https://www.metrocuadrado.com/inmueble/venta-apartaestudio-bogota-chapinero-1-habitaciones-1-banos/14236-M6473088</t>
  </si>
  <si>
    <t>16124-M5703864</t>
  </si>
  <si>
    <t>EL POLO</t>
  </si>
  <si>
    <t>https://www.metrocuadrado.com/inmueble/venta-apartaestudio-bogota-el-polo-1-habitaciones-1-banos/16124-M5703864</t>
  </si>
  <si>
    <t>11369-M5761162</t>
  </si>
  <si>
    <t>https://www.metrocuadrado.com/inmueble/venta-apartaestudio-bogota-la-castellana-1-habitaciones-1-banos/11369-M5761162</t>
  </si>
  <si>
    <t>12033-M6505767</t>
  </si>
  <si>
    <t>LAS AGUAS UNIVERSIDAD DE LOS ANDES</t>
  </si>
  <si>
    <t>https://www.metrocuadrado.com/inmueble/venta-apartaestudio-bogota-las-aguas-universidad-de-los-andes-1-habitaciones-1-banos/12033-M6505767</t>
  </si>
  <si>
    <t>11369-M6353573</t>
  </si>
  <si>
    <t>https://www.metrocuadrado.com/inmueble/venta-apartaestudio-bogota-refugio-1-habitaciones-1-banos/11369-M6353573</t>
  </si>
  <si>
    <t>12364-M6390146</t>
  </si>
  <si>
    <t>https://www.metrocuadrado.com/inmueble/venta-apartaestudio-bogota-chico-norte-iii-1-habitaciones-1-banos/12364-M6390146</t>
  </si>
  <si>
    <t>3032-M6579622</t>
  </si>
  <si>
    <t>https://www.metrocuadrado.com/inmueble/venta-apartaestudio-bogota-la-castellana-1-habitaciones-1-banos/3032-M6579622</t>
  </si>
  <si>
    <t>MC6564161</t>
  </si>
  <si>
    <t>https://www.metrocuadrado.com/inmueble/venta-apartaestudio-bogota-el-contador-1-habitaciones-1-banos/MC6564161</t>
  </si>
  <si>
    <t>MC6547377</t>
  </si>
  <si>
    <t>https://www.metrocuadrado.com/inmueble/venta-apartaestudio-bogota-el-recuerdo-1-habitaciones-1-banos/MC6547377</t>
  </si>
  <si>
    <t>MC5796895</t>
  </si>
  <si>
    <t>https://www.metrocuadrado.com/inmueble/venta-apartaestudio-bogota-cjr.-pratum-1-habitaciones-1-banos-1-garajes/MC5796895</t>
  </si>
  <si>
    <t>MC6099719</t>
  </si>
  <si>
    <t>LAS FERIAS OCCIDENTAL</t>
  </si>
  <si>
    <t>https://www.metrocuadrado.com/inmueble/venta-apartaestudio-bogota-las-ferias-occidental-1-habitaciones-1-banos/MC6099719</t>
  </si>
  <si>
    <t>19578-M6080895</t>
  </si>
  <si>
    <t>CIUDAD SALITRE OCCIDENTE</t>
  </si>
  <si>
    <t>https://www.metrocuadrado.com/inmueble/venta-apartaestudio-bogota-ciudad-salitre-occidente-1-habitaciones-1-banos/19578-M6080895</t>
  </si>
  <si>
    <t>5031-M6070072</t>
  </si>
  <si>
    <t>URBANIZACION CASTILLA REAL</t>
  </si>
  <si>
    <t>https://www.metrocuadrado.com/inmueble/venta-apartaestudio-bogota-urbanizacion-castilla-real-1-habitaciones-1-banos/5031-M6070072</t>
  </si>
  <si>
    <t>20859-M6140153</t>
  </si>
  <si>
    <t>SAN VICTORINO</t>
  </si>
  <si>
    <t>https://www.metrocuadrado.com/inmueble/venta-apartaestudio-bogota-san-victorino-1-habitaciones-2-banos/20859-M6140153</t>
  </si>
  <si>
    <t>20434-M5854179</t>
  </si>
  <si>
    <t>https://www.metrocuadrado.com/inmueble/venta-apartaestudio-bogota-los-rosales-1-habitaciones-1-banos-1-garajes/20434-M5854179</t>
  </si>
  <si>
    <t>20859-M6139956</t>
  </si>
  <si>
    <t>https://www.metrocuadrado.com/inmueble/venta-apartaestudio-bogota-chapinero-1-habitaciones-1-banos/20859-M6139956</t>
  </si>
  <si>
    <t>72-M5762796</t>
  </si>
  <si>
    <t>https://www.metrocuadrado.com/inmueble/venta-apartaestudio-bogota-chico-1-habitaciones-2-banos-1-garajes/72-M5762796</t>
  </si>
  <si>
    <t>20610-M5958570</t>
  </si>
  <si>
    <t>https://www.metrocuadrado.com/inmueble/venta-apartaestudio-bogota-san-martin-1-habitaciones-2-banos-1-garajes/20610-M5958570</t>
  </si>
  <si>
    <t>20982-M6037283</t>
  </si>
  <si>
    <t>https://www.metrocuadrado.com/inmueble/venta-apartaestudio-bogota-cedritos-1-habitaciones-2-banos-1-garajes/20982-M6037283</t>
  </si>
  <si>
    <t>661-M6511589</t>
  </si>
  <si>
    <t>LOS CEDROS ORIENTAL</t>
  </si>
  <si>
    <t>https://www.metrocuadrado.com/inmueble/venta-apartaestudio-bogota-los-cedros-oriental-1-habitaciones-1-banos-1-garajes/661-M6511589</t>
  </si>
  <si>
    <t>5031-M6050381</t>
  </si>
  <si>
    <t>PRIMAVERA</t>
  </si>
  <si>
    <t>https://www.metrocuadrado.com/inmueble/venta-apartaestudio-bogota-primavera-1-habitaciones-1-banos/5031-M6050381</t>
  </si>
  <si>
    <t>20842-M6076720</t>
  </si>
  <si>
    <t>https://www.metrocuadrado.com/inmueble/venta-apartaestudio-bogota-san-martin-1-habitaciones-1-banos/20842-M6076720</t>
  </si>
  <si>
    <t>368-M6241921</t>
  </si>
  <si>
    <t>https://www.metrocuadrado.com/inmueble/venta-apartaestudio-bogota-chico-norte-1-habitaciones-1-banos-1-garajes/368-M6241921</t>
  </si>
  <si>
    <t>22366-M6571630</t>
  </si>
  <si>
    <t>https://www.metrocuadrado.com/inmueble/venta-apartaestudio-bogota-maria-cristina-1-habitaciones-2-banos-1-garajes/22366-M6571630</t>
  </si>
  <si>
    <t>21982-M6395928</t>
  </si>
  <si>
    <t>https://www.metrocuadrado.com/inmueble/venta-apartaestudio-bogota-santa-paula-1-habitaciones-2-banos-1-garajes/21982-M6395928</t>
  </si>
  <si>
    <t>72-M5762697</t>
  </si>
  <si>
    <t>CENTRO INTERNACIONAL</t>
  </si>
  <si>
    <t>https://www.metrocuadrado.com/inmueble/venta-apartaestudio-bogota-centro-internacional-1-habitaciones-2-banos-1-garajes/72-M5762697</t>
  </si>
  <si>
    <t>11256-M6579101</t>
  </si>
  <si>
    <t>https://www.metrocuadrado.com/inmueble/venta-apartaestudio-bogota-chapinero-central-1-habitaciones-1-banos-1-garajes/11256-M6579101</t>
  </si>
  <si>
    <t>20859-M6343327</t>
  </si>
  <si>
    <t>https://www.metrocuadrado.com/inmueble/venta-apartaestudio-bogota-marly-1-habitaciones-1-banos/20859-M6343327</t>
  </si>
  <si>
    <t>20859-M6023734</t>
  </si>
  <si>
    <t>PARQUE CENTRAL BAVARIA</t>
  </si>
  <si>
    <t>https://www.metrocuadrado.com/inmueble/venta-apartaestudio-bogota-parque-central-bavaria-1-habitaciones-1-banos/20859-M6023734</t>
  </si>
  <si>
    <t>771-M6124056</t>
  </si>
  <si>
    <t>https://www.metrocuadrado.com/inmueble/venta-apartaestudio-bogota-cedritos-1-habitaciones-2-banos-1-garajes/771-M6124056</t>
  </si>
  <si>
    <t>20859-M6024036</t>
  </si>
  <si>
    <t>https://www.metrocuadrado.com/inmueble/venta-apartaestudio-bogota-chapinero-central-1-habitaciones-1-banos/20859-M6024036</t>
  </si>
  <si>
    <t>4186-M6328096</t>
  </si>
  <si>
    <t>LA CANDELARIA</t>
  </si>
  <si>
    <t>https://www.metrocuadrado.com/inmueble/venta-apartaestudio-bogota-la-candelaria-1-habitaciones-1-banos/4186-M6328096</t>
  </si>
  <si>
    <t>5044-M5412205</t>
  </si>
  <si>
    <t>ALTOS DE SOTILEZA</t>
  </si>
  <si>
    <t>https://www.metrocuadrado.com/inmueble/venta-apartaestudio-bogota-altos-de-sotileza-4-habitaciones-5-banos-3-garajes/5044-M5412205</t>
  </si>
  <si>
    <t>21362-M6125133</t>
  </si>
  <si>
    <t>https://www.metrocuadrado.com/inmueble/venta-apartaestudio-bogota-chico-norte-1-habitaciones-1-banos/21362-M6125133</t>
  </si>
  <si>
    <t>5044-M5951319</t>
  </si>
  <si>
    <t>https://www.metrocuadrado.com/inmueble/venta-apartaestudio-bogota-bella-suiza-1-habitaciones-2-banos-1-garajes/5044-M5951319</t>
  </si>
  <si>
    <t>21373-M6481216</t>
  </si>
  <si>
    <t>https://www.metrocuadrado.com/inmueble/venta-apartaestudio-bogota-rincon-del-chico-1-habitaciones-1-banos-1-garajes/21373-M6481216</t>
  </si>
  <si>
    <t>16437-M6492302</t>
  </si>
  <si>
    <t>https://www.metrocuadrado.com/inmueble/venta-apartaestudio-bogota-santa-barbara-1-habitaciones-1-banos/16437-M6492302</t>
  </si>
  <si>
    <t>9894-M6554526</t>
  </si>
  <si>
    <t>https://www.metrocuadrado.com/inmueble/venta-apartaestudio-bogota-santa-barbara-occidental-1-habitaciones-1-banos-1-garajes/9894-M6554526</t>
  </si>
  <si>
    <t>16108-M5556989</t>
  </si>
  <si>
    <t>https://www.metrocuadrado.com/inmueble/venta-apartaestudio-bogota-samper-1-habitaciones-1-banos/16108-M5556989</t>
  </si>
  <si>
    <t>2974-M6513935</t>
  </si>
  <si>
    <t>https://www.metrocuadrado.com/inmueble/venta-apartaestudio-bogota-los-olivos-1-habitaciones-1-banos/2974-M6513935</t>
  </si>
  <si>
    <t>VALPARAISO</t>
  </si>
  <si>
    <t>16959-M6574265</t>
  </si>
  <si>
    <t>https://www.metrocuadrado.com/inmueble/venta-apartaestudio-bogota-victoria-norte-1-habitaciones-1-banos/16959-M6574265</t>
  </si>
  <si>
    <t>2147-M5992392</t>
  </si>
  <si>
    <t>https://www.metrocuadrado.com/inmueble/venta-apartaestudio-bogota-santa-bibiana-1-habitaciones-1-banos-2-garajes/2147-M5992392</t>
  </si>
  <si>
    <t>12073-M6521798</t>
  </si>
  <si>
    <t>https://www.metrocuadrado.com/inmueble/venta-apartaestudio-bogota-la-castellana-1-habitaciones-1-banos/12073-M6521798</t>
  </si>
  <si>
    <t>5143-M6505224</t>
  </si>
  <si>
    <t>https://www.metrocuadrado.com/inmueble/venta-apartaestudio-bogota-chapinero-1-habitaciones-1-banos/5143-M6505224</t>
  </si>
  <si>
    <t>15515-M6251596</t>
  </si>
  <si>
    <t>https://www.metrocuadrado.com/inmueble/venta-apartaestudio-bogota-el-recuerdo-1-habitaciones-1-banos/15515-M6251596</t>
  </si>
  <si>
    <t>17178-M6500148</t>
  </si>
  <si>
    <t>https://www.metrocuadrado.com/inmueble/venta-apartaestudio-bogota-barrancas-1-habitaciones-1-banos/17178-M6500148</t>
  </si>
  <si>
    <t>14236-M6312753</t>
  </si>
  <si>
    <t>https://www.metrocuadrado.com/inmueble/venta-apartaestudio-bogota-chico-1-habitaciones-1-banos-2-garajes/14236-M6312753</t>
  </si>
  <si>
    <t>2444-M5956868</t>
  </si>
  <si>
    <t>https://www.metrocuadrado.com/inmueble/venta-apartaestudio-bogota-santa-ana-1-habitaciones-2-banos-1-garajes/2444-M5956868</t>
  </si>
  <si>
    <t>703-M5756582</t>
  </si>
  <si>
    <t>https://www.metrocuadrado.com/inmueble/venta-apartaestudio-bogota-chapinero-norte-1-habitaciones-1-banos/703-M5756582</t>
  </si>
  <si>
    <t>703-M5756589</t>
  </si>
  <si>
    <t>https://www.metrocuadrado.com/inmueble/venta-apartaestudio-bogota-chapinero-norte-1-habitaciones-1-banos/703-M5756589</t>
  </si>
  <si>
    <t>614-M6224810</t>
  </si>
  <si>
    <t>https://www.metrocuadrado.com/inmueble/venta-apartaestudio-bogota-bonanza-1-habitaciones-1-banos/614-M6224810</t>
  </si>
  <si>
    <t>5440-M5774391</t>
  </si>
  <si>
    <t>https://www.metrocuadrado.com/inmueble/venta-apartaestudio-bogota-los-olivos-1-habitaciones-1-banos/5440-M5774391</t>
  </si>
  <si>
    <t>17290-M6400111</t>
  </si>
  <si>
    <t>https://www.metrocuadrado.com/inmueble/venta-apartaestudio-bogota-asd-1-habitaciones-1-banos/17290-M6400111</t>
  </si>
  <si>
    <t>2648-M6584265</t>
  </si>
  <si>
    <t>SAN PABLO JERICO</t>
  </si>
  <si>
    <t>https://www.metrocuadrado.com/inmueble/venta-apartaestudio-bogota-san-pablo-jerico-1-habitaciones-1-banos/2648-M6584265</t>
  </si>
  <si>
    <t>12364-M6358838</t>
  </si>
  <si>
    <t>https://www.metrocuadrado.com/inmueble/venta-apartaestudio-bogota-chapinero-central-1-habitaciones-1-banos/12364-M6358838</t>
  </si>
  <si>
    <t>MC6560577</t>
  </si>
  <si>
    <t>INGLES</t>
  </si>
  <si>
    <t>https://www.metrocuadrado.com/inmueble/venta-apartaestudio-bogota-ingles-1-habitaciones-1-banos/MC6560577</t>
  </si>
  <si>
    <t>MC6516290</t>
  </si>
  <si>
    <t>ALCAZARES</t>
  </si>
  <si>
    <t>https://www.metrocuadrado.com/inmueble/venta-apartaestudio-bogota-alcazares-1-habitaciones-1-banos-1-garajes/MC6516290</t>
  </si>
  <si>
    <t>MC6552712</t>
  </si>
  <si>
    <t>https://www.metrocuadrado.com/inmueble/venta-apartaestudio-bogota-santa-isabel-sur-1-habitaciones-1-banos-1-garajes/MC6552712</t>
  </si>
  <si>
    <t>MC6441903</t>
  </si>
  <si>
    <t>https://www.metrocuadrado.com/inmueble/venta-apartaestudio-bogota-los-olivos-1-habitaciones-1-banos/MC6441903</t>
  </si>
  <si>
    <t>20859-M6024003</t>
  </si>
  <si>
    <t>https://www.metrocuadrado.com/inmueble/venta-apartaestudio-bogota-cedritos-1-habitaciones-1-banos-1-garajes/20859-M6024003</t>
  </si>
  <si>
    <t>5545-M5462900</t>
  </si>
  <si>
    <t>https://www.metrocuadrado.com/inmueble/venta-apartaestudio-bogota-chico-1-habitaciones-2-banos-1-garajes/5545-M5462900</t>
  </si>
  <si>
    <t>21486-M6574953</t>
  </si>
  <si>
    <t>https://www.metrocuadrado.com/inmueble/venta-apartaestudio-bogota-la-porciuncula-1-habitaciones-2-banos-1-garajes/21486-M6574953</t>
  </si>
  <si>
    <t>20859-M6150599</t>
  </si>
  <si>
    <t>https://www.metrocuadrado.com/inmueble/venta-apartaestudio-bogota-chapinero-1-habitaciones-1-banos/20859-M6150599</t>
  </si>
  <si>
    <t>20859-M6421762</t>
  </si>
  <si>
    <t>https://www.metrocuadrado.com/inmueble/venta-apartaestudio-bogota-marly-1-habitaciones-1-banos/20859-M6421762</t>
  </si>
  <si>
    <t>14271-M5963676</t>
  </si>
  <si>
    <t>https://www.metrocuadrado.com/inmueble/venta-apartaestudio-bogota-las-nieves-2-habitaciones-2-banos/14271-M5963676</t>
  </si>
  <si>
    <t>304-M5790699</t>
  </si>
  <si>
    <t>https://www.metrocuadrado.com/inmueble/venta-apartaestudio-bogota-polo-club-1-habitaciones-1-banos/304-M5790699</t>
  </si>
  <si>
    <t>72-M5801667</t>
  </si>
  <si>
    <t>EL CHICO</t>
  </si>
  <si>
    <t>https://www.metrocuadrado.com/inmueble/venta-apartaestudio-bogota-el-chico-1-habitaciones-2-banos-1-garajes/72-M5801667</t>
  </si>
  <si>
    <t>3496-M6579778</t>
  </si>
  <si>
    <t>LA MACARENA</t>
  </si>
  <si>
    <t>https://www.metrocuadrado.com/inmueble/venta-apartaestudio-bogota-la-macarena-1-habitaciones-1-banos-1-garajes/3496-M6579778</t>
  </si>
  <si>
    <t>72-M5829573</t>
  </si>
  <si>
    <t>https://www.metrocuadrado.com/inmueble/venta-apartaestudio-bogota-chico-norte-ii-1-habitaciones-2-banos-1-garajes/72-M5829573</t>
  </si>
  <si>
    <t>72-M6384131</t>
  </si>
  <si>
    <t>https://www.metrocuadrado.com/inmueble/venta-apartaestudio-bogota-chico-norte-1-habitaciones-2-banos-1-garajes/72-M6384131</t>
  </si>
  <si>
    <t>20859-M6024297</t>
  </si>
  <si>
    <t>https://www.metrocuadrado.com/inmueble/venta-apartaestudio-bogota-la-estanzuela-1-habitaciones-1-banos/20859-M6024297</t>
  </si>
  <si>
    <t>20447-M5861243</t>
  </si>
  <si>
    <t>ALFONSO LOPEZ</t>
  </si>
  <si>
    <t>https://www.metrocuadrado.com/inmueble/venta-apartaestudio-bogota-alfonso-lopez-1-habitaciones-2-banos-1-garajes/20447-M5861243</t>
  </si>
  <si>
    <t>21373-M6401106</t>
  </si>
  <si>
    <t>https://www.metrocuadrado.com/inmueble/venta-apartaestudio-bogota-chico-1-habitaciones-1-banos-1-garajes/21373-M6401106</t>
  </si>
  <si>
    <t>19578-M6574046</t>
  </si>
  <si>
    <t>https://www.metrocuadrado.com/inmueble/venta-apartaestudio-bogota-teusaquillo-1-habitaciones-1-banos/19578-M6574046</t>
  </si>
  <si>
    <t>21638-M6290889</t>
  </si>
  <si>
    <t>https://www.metrocuadrado.com/inmueble/venta-apartaestudio-bogota-santa-teresita-1-habitaciones-1-banos-1-garajes/21638-M6290889</t>
  </si>
  <si>
    <t>72-M5852658</t>
  </si>
  <si>
    <t>https://www.metrocuadrado.com/inmueble/venta-apartaestudio-bogota-centro-internacional-1-habitaciones-2-banos/72-M5852658</t>
  </si>
  <si>
    <t>20804-M6481082</t>
  </si>
  <si>
    <t>https://www.metrocuadrado.com/inmueble/venta-apartaestudio-bogota-rincon-del-chico-1-habitaciones-1-banos-1-garajes/20804-M6481082</t>
  </si>
  <si>
    <t>13436-M6588617</t>
  </si>
  <si>
    <t>https://www.metrocuadrado.com/inmueble/venta-apartaestudio-bogota-asd-1-habitaciones-1-banos-1-garajes/13436-M6588617</t>
  </si>
  <si>
    <t>20704-M6297958</t>
  </si>
  <si>
    <t>https://www.metrocuadrado.com/inmueble/venta-apartaestudio-bogota-los-andes-norte-1-habitaciones-2-banos-1-garajes/20704-M6297958</t>
  </si>
  <si>
    <t>5545-M6173824</t>
  </si>
  <si>
    <t>https://www.metrocuadrado.com/inmueble/venta-apartaestudio-bogota-chico-1-habitaciones-2-banos-1-garajes/5545-M6173824</t>
  </si>
  <si>
    <t>14953-M6494960</t>
  </si>
  <si>
    <t>https://www.metrocuadrado.com/inmueble/venta-apartaestudio-bogota-chico-norte-1-habitaciones-1-banos/14953-M6494960</t>
  </si>
  <si>
    <t>20859-M6023711</t>
  </si>
  <si>
    <t>https://www.metrocuadrado.com/inmueble/venta-apartaestudio-bogota-la-castellana-1-habitaciones-1-banos/20859-M6023711</t>
  </si>
  <si>
    <t>2996-M5676283</t>
  </si>
  <si>
    <t>https://www.metrocuadrado.com/inmueble/venta-apartaestudio-bogota-los-andes-norte-1-habitaciones-2-banos-1-garajes/2996-M5676283</t>
  </si>
  <si>
    <t>16959-M6366524</t>
  </si>
  <si>
    <t>https://www.metrocuadrado.com/inmueble/venta-apartaestudio-bogota-las-nieves-1-habitaciones-1-banos/16959-M6366524</t>
  </si>
  <si>
    <t>14033-M6434780</t>
  </si>
  <si>
    <t>https://www.metrocuadrado.com/inmueble/venta-apartaestudio-bogota-santa-cecilia-1-habitaciones-1-banos/14033-M6434780</t>
  </si>
  <si>
    <t>14984-M6372333</t>
  </si>
  <si>
    <t>https://www.metrocuadrado.com/inmueble/venta-apartaestudio-bogota-el-plan-1-habitaciones-1-banos/14984-M6372333</t>
  </si>
  <si>
    <t>4887-M6290312</t>
  </si>
  <si>
    <t>MULTIFAMILIAR LAS BRISAS</t>
  </si>
  <si>
    <t>https://www.metrocuadrado.com/inmueble/venta-apartaestudio-bogota-multifamiliar-las-brisas-1-habitaciones-1-banos/4887-M6290312</t>
  </si>
  <si>
    <t>11295-M6454218</t>
  </si>
  <si>
    <t>https://www.metrocuadrado.com/inmueble/venta-apartaestudio-bogota-las-nieves-1-habitaciones-2-banos/11295-M6454218</t>
  </si>
  <si>
    <t>159-M6587218</t>
  </si>
  <si>
    <t>https://www.metrocuadrado.com/inmueble/venta-apartaestudio-bogota-chapinero-norte-1-habitaciones-1-banos/159-M6587218</t>
  </si>
  <si>
    <t>18343-M5773699</t>
  </si>
  <si>
    <t>https://www.metrocuadrado.com/inmueble/venta-apartaestudio-bogota-la-veracruz-1-habitaciones-1-banos/18343-M5773699</t>
  </si>
  <si>
    <t>15704-M5760540</t>
  </si>
  <si>
    <t>SAN FERNANDO</t>
  </si>
  <si>
    <t>https://www.metrocuadrado.com/inmueble/venta-apartaestudio-bogota-san-fernando-1-habitaciones-1-banos/15704-M5760540</t>
  </si>
  <si>
    <t>17091-M5958493</t>
  </si>
  <si>
    <t>CONJUNTO RESIDENCIAL CENTENARI</t>
  </si>
  <si>
    <t>https://www.metrocuadrado.com/inmueble/venta-apartaestudio-bogota-conjunto-residencial-centenari-1-habitaciones-1-banos/17091-M5958493</t>
  </si>
  <si>
    <t>11295-M6319065</t>
  </si>
  <si>
    <t>https://www.metrocuadrado.com/inmueble/venta-apartaestudio-bogota-santa-barbara-occidental-1-habitaciones-2-banos-2-garajes/11295-M6319065</t>
  </si>
  <si>
    <t>73-M6441862</t>
  </si>
  <si>
    <t>https://www.metrocuadrado.com/inmueble/venta-apartaestudio-bogota-los-monjes-1-habitaciones-1-banos/73-M6441862</t>
  </si>
  <si>
    <t>11013-M5634511</t>
  </si>
  <si>
    <t>https://www.metrocuadrado.com/inmueble/venta-apartaestudio-bogota-chico-norte-1-habitaciones-2-banos-1-garajes/11013-M5634511</t>
  </si>
  <si>
    <t>2751-M5592643</t>
  </si>
  <si>
    <t>https://www.metrocuadrado.com/inmueble/venta-apartaestudio-bogota-marly-1-habitaciones-1-banos/2751-M5592643</t>
  </si>
  <si>
    <t>258-M5045267</t>
  </si>
  <si>
    <t>https://www.metrocuadrado.com/inmueble/venta-apartaestudio-bogota-santa-paula-3-habitaciones-4-banos-2-garajes/258-M5045267</t>
  </si>
  <si>
    <t>11013-M5619689</t>
  </si>
  <si>
    <t>https://www.metrocuadrado.com/inmueble/venta-apartaestudio-bogota-santa-barbara-1-habitaciones-2-banos-1-garajes/11013-M5619689</t>
  </si>
  <si>
    <t>2377-M6142654</t>
  </si>
  <si>
    <t>https://www.metrocuadrado.com/inmueble/venta-apartaestudio-bogota-montevideo-1-habitaciones-1-banos/2377-M6142654</t>
  </si>
  <si>
    <t>12364-M6111526</t>
  </si>
  <si>
    <t>https://www.metrocuadrado.com/inmueble/venta-apartaestudio-bogota-centro-internacional-1-habitaciones-2-banos-1-garajes/12364-M6111526</t>
  </si>
  <si>
    <t>2398-M6335094</t>
  </si>
  <si>
    <t>https://www.metrocuadrado.com/inmueble/venta-apartaestudio-bogota-el-chico-1-habitaciones-1-banos/2398-M6335094</t>
  </si>
  <si>
    <t>2368-M5703737</t>
  </si>
  <si>
    <t>https://www.metrocuadrado.com/inmueble/venta-apartaestudio-bogota-san-diego-1-habitaciones-1-banos-1-garajes/2368-M5703737</t>
  </si>
  <si>
    <t>347-M5459612</t>
  </si>
  <si>
    <t>CJR SAN REMO II</t>
  </si>
  <si>
    <t>https://www.metrocuadrado.com/inmueble/venta-apartaestudio-bogota-cjr-san-remo-ii-1-habitaciones-1-banos-2-garajes/347-M5459612</t>
  </si>
  <si>
    <t>MC6560967</t>
  </si>
  <si>
    <t>https://www.metrocuadrado.com/inmueble/venta-apartaestudio-bogota-las-nieves-1-habitaciones-1-banos-1-garajes/MC6560967</t>
  </si>
  <si>
    <t>MC6399041</t>
  </si>
  <si>
    <t>CENTRO FONTIBON</t>
  </si>
  <si>
    <t>https://www.metrocuadrado.com/inmueble/venta-apartaestudio-bogota-centro-fontibon-1-habitaciones-1-banos/MC6399041</t>
  </si>
  <si>
    <t>MC6259177</t>
  </si>
  <si>
    <t>https://www.metrocuadrado.com/inmueble/venta-apartaestudio-bogota-a.s.d.-1-habitaciones-1-banos/MC6259177</t>
  </si>
  <si>
    <t>MC6441902</t>
  </si>
  <si>
    <t>https://www.metrocuadrado.com/inmueble/venta-apartaestudio-bogota-el-retiro-1-habitaciones-1-banos-1-garajes/MC6441902</t>
  </si>
  <si>
    <t>19579-M6301076</t>
  </si>
  <si>
    <t>https://www.metrocuadrado.com/inmueble/venta-apartaestudio-bogota-niza-suba-3-habitaciones-4-banos-4-garajes/19579-M6301076</t>
  </si>
  <si>
    <t>21216-M6567425</t>
  </si>
  <si>
    <t>https://www.metrocuadrado.com/inmueble/venta-apartaestudio-bogota-pasadena-1-habitaciones-1-banos/21216-M6567425</t>
  </si>
  <si>
    <t>20859-M6024693</t>
  </si>
  <si>
    <t>https://www.metrocuadrado.com/inmueble/venta-apartaestudio-bogota-chapinero-alto-1-habitaciones-1-banos/20859-M6024693</t>
  </si>
  <si>
    <t>734-M6135036</t>
  </si>
  <si>
    <t>https://www.metrocuadrado.com/inmueble/venta-apartaestudio-bogota-los-andes-1-habitaciones-1-banos/734-M6135036</t>
  </si>
  <si>
    <t>20859-M6140037</t>
  </si>
  <si>
    <t>https://www.metrocuadrado.com/inmueble/venta-apartaestudio-bogota-veraguas-1-habitaciones-1-banos/20859-M6140037</t>
  </si>
  <si>
    <t>17565-M6186646</t>
  </si>
  <si>
    <t>FONTIBON SAN PABLO</t>
  </si>
  <si>
    <t>https://www.metrocuadrado.com/inmueble/venta-apartaestudio-bogota-fontibon-san-pablo-2-habitaciones-1-banos/17565-M6186646</t>
  </si>
  <si>
    <t>19579-M6523407</t>
  </si>
  <si>
    <t>https://www.metrocuadrado.com/inmueble/venta-apartaestudio-bogota-santa-ana-oriental-1-habitaciones-2-banos-1-garajes/19579-M6523407</t>
  </si>
  <si>
    <t>20031-M6113407</t>
  </si>
  <si>
    <t>https://www.metrocuadrado.com/inmueble/venta-apartaestudio-bogota-teusaquillo-1-habitaciones-1-banos/20031-M6113407</t>
  </si>
  <si>
    <t>4186-M6025607</t>
  </si>
  <si>
    <t>https://www.metrocuadrado.com/inmueble/venta-apartaestudio-bogota-chico-norte-1-habitaciones-1-banos/4186-M6025607</t>
  </si>
  <si>
    <t>21438-M6132426</t>
  </si>
  <si>
    <t>https://www.metrocuadrado.com/inmueble/venta-apartaestudio-bogota-las-nieves-1-habitaciones-1-banos/21438-M6132426</t>
  </si>
  <si>
    <t>897-M6354718</t>
  </si>
  <si>
    <t>https://www.metrocuadrado.com/inmueble/venta-apartaestudio-bogota-el-chico-1-habitaciones-1-banos/897-M6354718</t>
  </si>
  <si>
    <t>5545-M5585402</t>
  </si>
  <si>
    <t>https://www.metrocuadrado.com/inmueble/venta-apartaestudio-bogota-samper-1-habitaciones-1-banos/5545-M5585402</t>
  </si>
  <si>
    <t>20682-M6451648</t>
  </si>
  <si>
    <t>https://www.metrocuadrado.com/inmueble/venta-apartaestudio-bogota-el-dorado-2-habitaciones-1-banos/20682-M6451648</t>
  </si>
  <si>
    <t>21532-M6406219</t>
  </si>
  <si>
    <t>https://www.metrocuadrado.com/inmueble/venta-apartaestudio-bogota-prado-pinzon-1-habitaciones-1-banos/21532-M6406219</t>
  </si>
  <si>
    <t>5044-M4886902</t>
  </si>
  <si>
    <t>https://www.metrocuadrado.com/inmueble/venta-apartaestudio-bogota-santa-ana-occidental-1-habitaciones-1-banos/5044-M4886902</t>
  </si>
  <si>
    <t>11104-M6083694</t>
  </si>
  <si>
    <t>https://www.metrocuadrado.com/inmueble/venta-apartaestudio-bogota-la-estanzuela-1-habitaciones-1-banos/11104-M6083694</t>
  </si>
  <si>
    <t>304-M5657914</t>
  </si>
  <si>
    <t>https://www.metrocuadrado.com/inmueble/venta-apartaestudio-bogota-santa-paula-1-habitaciones-1-banos/304-M5657914</t>
  </si>
  <si>
    <t>2748-M5396977</t>
  </si>
  <si>
    <t>https://www.metrocuadrado.com/inmueble/venta-apartaestudio-bogota-chico-norte-et.-iii-1-habitaciones-1-banos/2748-M5396977</t>
  </si>
  <si>
    <t>21414-M6220055</t>
  </si>
  <si>
    <t>ARMENIA</t>
  </si>
  <si>
    <t>https://www.metrocuadrado.com/inmueble/venta-apartaestudio-bogota-armenia-1-habitaciones-1-banos-1-garajes/21414-M6220055</t>
  </si>
  <si>
    <t>72-M5762803</t>
  </si>
  <si>
    <t>https://www.metrocuadrado.com/inmueble/venta-apartaestudio-bogota-chico-1-habitaciones-2-banos-1-garajes/72-M5762803</t>
  </si>
  <si>
    <t>17285-M6227681</t>
  </si>
  <si>
    <t>https://www.metrocuadrado.com/inmueble/venta-apartaestudio-bogota-chico-navarra-3-habitaciones-3-banos-2-garajes/17285-M6227681</t>
  </si>
  <si>
    <t>18599-M6388697</t>
  </si>
  <si>
    <t>SAN JORGE SUR</t>
  </si>
  <si>
    <t>https://www.metrocuadrado.com/inmueble/venta-apartaestudio-bogota-san-jorge-sur-1-habitaciones-2-banos-1-garajes/18599-M6388697</t>
  </si>
  <si>
    <t>5545-M6572146</t>
  </si>
  <si>
    <t>https://www.metrocuadrado.com/inmueble/venta-apartaestudio-bogota-santa-barbara-1-habitaciones-1-banos-1-garajes/5545-M6572146</t>
  </si>
  <si>
    <t>20859-M6140143</t>
  </si>
  <si>
    <t>https://www.metrocuadrado.com/inmueble/venta-apartaestudio-bogota-centro-internacional-1-habitaciones-1-banos-1-garajes/20859-M6140143</t>
  </si>
  <si>
    <t>17565-M6397616</t>
  </si>
  <si>
    <t>https://www.metrocuadrado.com/inmueble/venta-apartaestudio-bogota-san-luis-1-habitaciones-1-banos/17565-M6397616</t>
  </si>
  <si>
    <t>20859-M6025050</t>
  </si>
  <si>
    <t>VILLA DEL PRADO</t>
  </si>
  <si>
    <t>https://www.metrocuadrado.com/inmueble/venta-apartaestudio-bogota-villa-del-prado-1-habitaciones-1-banos/20859-M6025050</t>
  </si>
  <si>
    <t>2147-M5642233</t>
  </si>
  <si>
    <t>CJR C 118</t>
  </si>
  <si>
    <t>https://www.metrocuadrado.com/inmueble/venta-apartaestudio-bogota-cjr-c-118-1-habitaciones-1-banos-1-garajes/2147-M5642233</t>
  </si>
  <si>
    <t>11057-M5821147</t>
  </si>
  <si>
    <t>BELALCAZAR</t>
  </si>
  <si>
    <t>https://www.metrocuadrado.com/inmueble/venta-apartaestudio-bogota-belalcazar-1-habitaciones-1-banos/11057-M5821147</t>
  </si>
  <si>
    <t>2147-M5245519</t>
  </si>
  <si>
    <t>SAN PATRICIO   EDIF SANT AGUA</t>
  </si>
  <si>
    <t>https://www.metrocuadrado.com/inmueble/venta-apartaestudio-bogota-san-patricio-edif-sant-agua-1-habitaciones-1-banos-1-garajes/2147-M5245519</t>
  </si>
  <si>
    <t>11295-M6585542</t>
  </si>
  <si>
    <t>https://www.metrocuadrado.com/inmueble/venta-apartaestudio-bogota-estoril-1-habitaciones-1-banos-1-garajes/11295-M6585542</t>
  </si>
  <si>
    <t>17271-M6064072</t>
  </si>
  <si>
    <t>https://www.metrocuadrado.com/inmueble/venta-apartaestudio-bogota-chapinero-central-1-habitaciones-1-banos/17271-M6064072</t>
  </si>
  <si>
    <t>2147-M6524795</t>
  </si>
  <si>
    <t>https://www.metrocuadrado.com/inmueble/venta-apartaestudio-bogota-santa-bibiana-1-habitaciones-1-banos-1-garajes/2147-M6524795</t>
  </si>
  <si>
    <t>11295-M6585600</t>
  </si>
  <si>
    <t>https://www.metrocuadrado.com/inmueble/venta-apartaestudio-bogota-santa-barbara-oriental-1-habitaciones-1-banos-1-garajes/11295-M6585600</t>
  </si>
  <si>
    <t>2147-M6465804</t>
  </si>
  <si>
    <t>https://www.metrocuadrado.com/inmueble/venta-apartaestudio-bogota-los-cedritos-1-habitaciones-1-banos-1-garajes/2147-M6465804</t>
  </si>
  <si>
    <t>16385-M4597432</t>
  </si>
  <si>
    <t>https://www.metrocuadrado.com/inmueble/venta-apartaestudio-bogota-santa-barbara-occidental-1-habitaciones-2-banos-1-garajes/16385-M4597432</t>
  </si>
  <si>
    <t>2147-M6473831</t>
  </si>
  <si>
    <t>EL REAL</t>
  </si>
  <si>
    <t>https://www.metrocuadrado.com/inmueble/venta-apartaestudio-bogota-el-real-1-habitaciones-1-banos-1-garajes/2147-M6473831</t>
  </si>
  <si>
    <t>384-M4909802</t>
  </si>
  <si>
    <t>BARRANCAS USAQUEN</t>
  </si>
  <si>
    <t>https://www.metrocuadrado.com/inmueble/venta-apartaestudio-bogota-barrancas-usaquen-1-habitaciones-1-banos/384-M4909802</t>
  </si>
  <si>
    <t>73-M6328427</t>
  </si>
  <si>
    <t>https://www.metrocuadrado.com/inmueble/venta-apartaestudio-bogota-la-colina-campestre-2-habitaciones-1-banos/73-M6328427</t>
  </si>
  <si>
    <t>10119-M6368979</t>
  </si>
  <si>
    <t>https://www.metrocuadrado.com/inmueble/venta-apartaestudio-bogota-nicolas-de-federman-1-habitaciones-1-banos-1-garajes/10119-M6368979</t>
  </si>
  <si>
    <t>73-M6441988</t>
  </si>
  <si>
    <t>https://www.metrocuadrado.com/inmueble/venta-apartaestudio-bogota-los-monjes-1-habitaciones-1-banos/73-M6441988</t>
  </si>
  <si>
    <t>312-M6149303</t>
  </si>
  <si>
    <t>https://www.metrocuadrado.com/inmueble/venta-apartaestudio-bogota-santa-barbara-1-habitaciones-1-banos/312-M6149303</t>
  </si>
  <si>
    <t>14255-M6489701</t>
  </si>
  <si>
    <t>https://www.metrocuadrado.com/inmueble/venta-apartaestudio-bogota-santa-bibiana-1-habitaciones-2-banos-2-garajes/14255-M6489701</t>
  </si>
  <si>
    <t>14255-M6553855</t>
  </si>
  <si>
    <t>https://www.metrocuadrado.com/inmueble/venta-apartaestudio-bogota-bella-suiza-1-habitaciones-2-banos-1-garajes/14255-M6553855</t>
  </si>
  <si>
    <t>432-M6322396</t>
  </si>
  <si>
    <t>https://www.metrocuadrado.com/inmueble/venta-apartaestudio-bogota-san-diego-1-habitaciones-1-banos/432-M6322396</t>
  </si>
  <si>
    <t>19337-M6151338</t>
  </si>
  <si>
    <t>https://www.metrocuadrado.com/inmueble/venta-apartaestudio-bogota-la-calleja-1-habitaciones-2-banos-1-garajes/19337-M6151338</t>
  </si>
  <si>
    <t>5035-M6470584</t>
  </si>
  <si>
    <t>https://www.metrocuadrado.com/inmueble/venta-apartaestudio-bogota-san-martin-1-habitaciones-2-banos-1-garajes/5035-M6470584</t>
  </si>
  <si>
    <t>MC6553198</t>
  </si>
  <si>
    <t>https://www.metrocuadrado.com/inmueble/venta-apartaestudio-bogota-los-cedritos-1-habitaciones-1-banos/MC6553198</t>
  </si>
  <si>
    <t>MC6434521</t>
  </si>
  <si>
    <t>https://www.metrocuadrado.com/inmueble/venta-apartaestudio-bogota-la-veracruz-1-habitaciones-1-banos-1-garajes/MC6434521</t>
  </si>
  <si>
    <t>MC6510251</t>
  </si>
  <si>
    <t>https://www.metrocuadrado.com/inmueble/venta-apartaestudio-bogota-la-castellana-1-habitaciones-1-banos/MC6510251</t>
  </si>
  <si>
    <t>72-M5762608</t>
  </si>
  <si>
    <t>https://www.metrocuadrado.com/inmueble/venta-apartaestudio-bogota-el-refugio-1-habitaciones-1-banos-1-garajes/72-M5762608</t>
  </si>
  <si>
    <t>20451-M6028205</t>
  </si>
  <si>
    <t>https://www.metrocuadrado.com/inmueble/venta-apartaestudio-bogota-prado-pinzon-1-habitaciones-1-banos/20451-M6028205</t>
  </si>
  <si>
    <t>20837-M6467998</t>
  </si>
  <si>
    <t>https://www.metrocuadrado.com/inmueble/venta-apartaestudio-bogota-santa-teresa-1-habitaciones-1-banos/20837-M6467998</t>
  </si>
  <si>
    <t>20610-M5961901</t>
  </si>
  <si>
    <t>https://www.metrocuadrado.com/inmueble/venta-apartaestudio-bogota-quiroga-1-habitaciones-1-banos-1-garajes/20610-M5961901</t>
  </si>
  <si>
    <t>3774-M5796205</t>
  </si>
  <si>
    <t>https://www.metrocuadrado.com/inmueble/venta-apartaestudio-bogota-pasadena-1-habitaciones-1-banos/3774-M5796205</t>
  </si>
  <si>
    <t>20859-M6047468</t>
  </si>
  <si>
    <t>https://www.metrocuadrado.com/inmueble/venta-apartaestudio-bogota-la-estanzuela-1-habitaciones-1-banos/20859-M6047468</t>
  </si>
  <si>
    <t>19701-M6416010</t>
  </si>
  <si>
    <t>https://www.metrocuadrado.com/inmueble/venta-apartaestudio-bogota-santa-barbara-1-habitaciones-1-banos-1-garajes/19701-M6416010</t>
  </si>
  <si>
    <t>20859-M6469572</t>
  </si>
  <si>
    <t>BOCHICA</t>
  </si>
  <si>
    <t>https://www.metrocuadrado.com/inmueble/venta-apartaestudio-bogota-bochica-1-habitaciones-1-banos/20859-M6469572</t>
  </si>
  <si>
    <t>10139-M4987934</t>
  </si>
  <si>
    <t>https://www.metrocuadrado.com/inmueble/venta-apartaestudio-bogota-chico-3-habitaciones-4-banos-3-garajes/10139-M4987934</t>
  </si>
  <si>
    <t>2412-M6499864</t>
  </si>
  <si>
    <t>https://www.metrocuadrado.com/inmueble/venta-apartaestudio-bogota-chico-reservado-1-habitaciones-1-banos-2-garajes/2412-M6499864</t>
  </si>
  <si>
    <t>13436-M6315047</t>
  </si>
  <si>
    <t>https://www.metrocuadrado.com/inmueble/venta-apartaestudio-bogota-antiguo-country-1-habitaciones-1-banos-1-garajes/13436-M6315047</t>
  </si>
  <si>
    <t>72-M5762571</t>
  </si>
  <si>
    <t>https://www.metrocuadrado.com/inmueble/venta-apartaestudio-bogota-chico-1-habitaciones-2-banos-1-garajes/72-M5762571</t>
  </si>
  <si>
    <t>20451-M6028235</t>
  </si>
  <si>
    <t>https://www.metrocuadrado.com/inmueble/venta-apartaestudio-bogota-santa-bibiana-1-habitaciones-1-banos/20451-M6028235</t>
  </si>
  <si>
    <t>17565-M6296949</t>
  </si>
  <si>
    <t>https://www.metrocuadrado.com/inmueble/venta-apartaestudio-bogota-santa-barbara-central-1-habitaciones-2-banos-2-garajes/17565-M6296949</t>
  </si>
  <si>
    <t>72-M6163327</t>
  </si>
  <si>
    <t>https://www.metrocuadrado.com/inmueble/venta-apartaestudio-bogota-bosque-calderon-1-habitaciones-2-banos-1-garajes/72-M6163327</t>
  </si>
  <si>
    <t>22173-M6440903</t>
  </si>
  <si>
    <t>https://www.metrocuadrado.com/inmueble/venta-apartaestudio-bogota-la-estanzuela-1-habitaciones-1-banos/22173-M6440903</t>
  </si>
  <si>
    <t>21503-M6268759</t>
  </si>
  <si>
    <t>https://www.metrocuadrado.com/inmueble/venta-apartaestudio-bogota-cedritos-1-habitaciones-2-banos-1-garajes/21503-M6268759</t>
  </si>
  <si>
    <t>20804-M6496972</t>
  </si>
  <si>
    <t>https://www.metrocuadrado.com/inmueble/venta-apartaestudio-bogota-1-habitaciones-1-banos-1-garajes/20804-M6496972</t>
  </si>
  <si>
    <t>20859-M6024252</t>
  </si>
  <si>
    <t>https://www.metrocuadrado.com/inmueble/venta-apartaestudio-bogota-ricaurte-1-habitaciones-1-banos/20859-M6024252</t>
  </si>
  <si>
    <t>17565-M6508366</t>
  </si>
  <si>
    <t>https://www.metrocuadrado.com/inmueble/venta-apartaestudio-bogota-chico-1-habitaciones-1-banos/17565-M6508366</t>
  </si>
  <si>
    <t>17565-M5791187</t>
  </si>
  <si>
    <t>https://www.metrocuadrado.com/inmueble/venta-apartaestudio-bogota-chapinero-1-habitaciones-1-banos-1-garajes/17565-M5791187</t>
  </si>
  <si>
    <t>2120-M2292473</t>
  </si>
  <si>
    <t>https://www.metrocuadrado.com/inmueble/venta-apartaestudio-bogota-rincon-del-chico-1-habitaciones-2-banos-2-garajes/2120-M2292473</t>
  </si>
  <si>
    <t>897-M6375259</t>
  </si>
  <si>
    <t>https://www.metrocuadrado.com/inmueble/venta-apartaestudio-bogota-el-chico-1-habitaciones-1-banos-1-garajes/897-M6375259</t>
  </si>
  <si>
    <t>20837-M6456809</t>
  </si>
  <si>
    <t>https://www.metrocuadrado.com/inmueble/venta-apartaestudio-bogota-san-martin-1-habitaciones-1-banos/20837-M6456809</t>
  </si>
  <si>
    <t>897-M6375256</t>
  </si>
  <si>
    <t>https://www.metrocuadrado.com/inmueble/venta-apartaestudio-bogota-el-chico-1-habitaciones-1-banos-1-garajes/897-M6375256</t>
  </si>
  <si>
    <t>897-M6375253</t>
  </si>
  <si>
    <t>https://www.metrocuadrado.com/inmueble/venta-apartaestudio-bogota-el-chico-1-habitaciones-1-banos-1-garajes/897-M6375253</t>
  </si>
  <si>
    <t>14390-M6351204</t>
  </si>
  <si>
    <t>https://www.metrocuadrado.com/inmueble/venta-apartaestudio-bogota-los-cedritos-1-habitaciones-1-banos-1-garajes/14390-M6351204</t>
  </si>
  <si>
    <t>18942-M6420992</t>
  </si>
  <si>
    <t>https://www.metrocuadrado.com/inmueble/venta-apartaestudio-bogota-chico-norte-et.-iii-1-habitaciones-1-banos/18942-M6420992</t>
  </si>
  <si>
    <t>16108-M5020420</t>
  </si>
  <si>
    <t>https://www.metrocuadrado.com/inmueble/venta-apartaestudio-bogota-chapinero-1-habitaciones-2-banos-1-garajes/16108-M5020420</t>
  </si>
  <si>
    <t>11295-M6292126</t>
  </si>
  <si>
    <t>https://www.metrocuadrado.com/inmueble/venta-apartaestudio-bogota-la-salle-1-habitaciones-1-banos-1-garajes/11295-M6292126</t>
  </si>
  <si>
    <t>374-M6145285</t>
  </si>
  <si>
    <t>https://www.metrocuadrado.com/inmueble/venta-apartaestudio-bogota-molinos-norte-1-habitaciones-1-banos-1-garajes/374-M6145285</t>
  </si>
  <si>
    <t>17779-M6559542</t>
  </si>
  <si>
    <t>SAN ANTONIO DE PADUA</t>
  </si>
  <si>
    <t>https://www.metrocuadrado.com/inmueble/venta-apartaestudio-bogota-san-antonio-de-padua-1-habitaciones-1-banos-1-garajes/17779-M6559542</t>
  </si>
  <si>
    <t>16767-M6089989</t>
  </si>
  <si>
    <t>https://www.metrocuadrado.com/inmueble/venta-apartaestudio-bogota-samper-1-habitaciones-1-banos/16767-M6089989</t>
  </si>
  <si>
    <t>15062-M6466198</t>
  </si>
  <si>
    <t>https://www.metrocuadrado.com/inmueble/venta-apartaestudio-bogota-ciudad-salitre-occidente-1-habitaciones-1-banos/15062-M6466198</t>
  </si>
  <si>
    <t>17305-M6408453</t>
  </si>
  <si>
    <t>https://www.metrocuadrado.com/inmueble/venta-apartaestudio-bogota-la-veracruz-1-habitaciones-1-banos/17305-M6408453</t>
  </si>
  <si>
    <t>4973-M6521931</t>
  </si>
  <si>
    <t>SEARS</t>
  </si>
  <si>
    <t>https://www.metrocuadrado.com/inmueble/venta-apartaestudio-bogota-sears-1-habitaciones-1-banos/4973-M6521931</t>
  </si>
  <si>
    <t>73-M5125735</t>
  </si>
  <si>
    <t>https://www.metrocuadrado.com/inmueble/venta-apartaestudio-bogota-chapinero-central-1-habitaciones-1-banos/73-M5125735</t>
  </si>
  <si>
    <t>646-M5605922</t>
  </si>
  <si>
    <t>EL LISTON</t>
  </si>
  <si>
    <t>https://www.metrocuadrado.com/inmueble/venta-apartaestudio-bogota-el-liston-1-habitaciones-1-banos/646-M5605922</t>
  </si>
  <si>
    <t>703-M5941768</t>
  </si>
  <si>
    <t>https://www.metrocuadrado.com/inmueble/venta-apartaestudio-bogota-chico-norte-1-habitaciones-1-banos-1-garajes/703-M5941768</t>
  </si>
  <si>
    <t>646-M6575927</t>
  </si>
  <si>
    <t>https://www.metrocuadrado.com/inmueble/venta-apartaestudio-bogota-chapinero-central-1-habitaciones-1-banos/646-M6575927</t>
  </si>
  <si>
    <t>703-M5941771</t>
  </si>
  <si>
    <t>https://www.metrocuadrado.com/inmueble/venta-apartaestudio-bogota-chico-norte-iii-1-habitaciones-1-banos-1-garajes/703-M5941771</t>
  </si>
  <si>
    <t>2821-M2436072</t>
  </si>
  <si>
    <t>https://www.metrocuadrado.com/inmueble/venta-apartaestudio-bogota-chapinero-central-1-habitaciones-2-banos-1-garajes/2821-M2436072</t>
  </si>
  <si>
    <t>709-M6588344</t>
  </si>
  <si>
    <t>https://www.metrocuadrado.com/inmueble/venta-apartaestudio-bogota-bella-suiza-1-habitaciones-1-banos-1-garajes/709-M6588344</t>
  </si>
  <si>
    <t>12364-M6474507</t>
  </si>
  <si>
    <t>https://www.metrocuadrado.com/inmueble/venta-apartaestudio-bogota-santa-barbara-1-habitaciones-2-banos-1-garajes/12364-M6474507</t>
  </si>
  <si>
    <t>17369-M6498967</t>
  </si>
  <si>
    <t>https://www.metrocuadrado.com/inmueble/venta-apartaestudio-bogota-chico-norte-et-iii-1-habitaciones-1-banos/17369-M6498967</t>
  </si>
  <si>
    <t>17245-M6584427</t>
  </si>
  <si>
    <t>https://www.metrocuadrado.com/inmueble/venta-apartaestudio-bogota-galerias-1-habitaciones-2-banos-1-garajes/17245-M6584427</t>
  </si>
  <si>
    <t>MC6194344</t>
  </si>
  <si>
    <t>CJR TORRES DE PENUEL II</t>
  </si>
  <si>
    <t>https://www.metrocuadrado.com/inmueble/venta-apartaestudio-bogota-cjr-torres-de-penuel-ii-1-habitaciones-1-banos/MC6194344</t>
  </si>
  <si>
    <t>MC6348127</t>
  </si>
  <si>
    <t>https://www.metrocuadrado.com/inmueble/venta-apartaestudio-bogota-cedritos-1-habitaciones-2-banos-1-garajes/MC6348127</t>
  </si>
  <si>
    <t>MC6391368</t>
  </si>
  <si>
    <t>https://www.metrocuadrado.com/inmueble/venta-apartaestudio-bogota-santa-barbara-oriental-1-habitaciones-2-banos-1-garajes/MC6391368</t>
  </si>
  <si>
    <t>MC6042232</t>
  </si>
  <si>
    <t>https://www.metrocuadrado.com/inmueble/venta-apartaestudio-bogota-a.s.d.-1-habitaciones-1-banos/MC6042232</t>
  </si>
  <si>
    <t>20859-M6024622</t>
  </si>
  <si>
    <t>https://www.metrocuadrado.com/inmueble/venta-apartaestudio-bogota-chico-norte-1-habitaciones-1-banos/20859-M6024622</t>
  </si>
  <si>
    <t>19578-M6574726</t>
  </si>
  <si>
    <t>https://www.metrocuadrado.com/inmueble/venta-apartaestudio-bogota-los-andes-1-habitaciones-1-banos/19578-M6574726</t>
  </si>
  <si>
    <t>17754-M6373316</t>
  </si>
  <si>
    <t>https://www.metrocuadrado.com/inmueble/venta-apartaestudio-bogota-chico-1-habitaciones-1-banos-1-garajes/17754-M6373316</t>
  </si>
  <si>
    <t>897-M6553014</t>
  </si>
  <si>
    <t>https://www.metrocuadrado.com/inmueble/venta-apartaestudio-bogota-polo-club-1-habitaciones-1-banos-1-garajes/897-M6553014</t>
  </si>
  <si>
    <t>3774-M5561169</t>
  </si>
  <si>
    <t>https://www.metrocuadrado.com/inmueble/venta-apartaestudio-bogota-samper-1-habitaciones-1-banos/3774-M5561169</t>
  </si>
  <si>
    <t>20426-M6058095</t>
  </si>
  <si>
    <t>https://www.metrocuadrado.com/inmueble/venta-apartaestudio-bogota-chico-norte-et-ii-1-habitaciones-1-banos/20426-M6058095</t>
  </si>
  <si>
    <t>2996-M6485710</t>
  </si>
  <si>
    <t>https://www.metrocuadrado.com/inmueble/venta-apartaestudio-bogota-santa-barbara-occidental-1-habitaciones-2-banos-1-garajes/2996-M6485710</t>
  </si>
  <si>
    <t>771-M5273718</t>
  </si>
  <si>
    <t>https://www.metrocuadrado.com/inmueble/venta-apartaestudio-bogota-santa-barbara-central-1-habitaciones-2-banos-1-garajes/771-M5273718</t>
  </si>
  <si>
    <t>10139-M6489614</t>
  </si>
  <si>
    <t>https://www.metrocuadrado.com/inmueble/venta-apartaestudio-bogota-chico-norte-1-habitaciones-1-banos/10139-M6489614</t>
  </si>
  <si>
    <t>20859-M6047470</t>
  </si>
  <si>
    <t>https://www.metrocuadrado.com/inmueble/venta-apartaestudio-bogota-la-estanzuela-1-habitaciones-1-banos/20859-M6047470</t>
  </si>
  <si>
    <t>20859-M6421774</t>
  </si>
  <si>
    <t>https://www.metrocuadrado.com/inmueble/venta-apartaestudio-bogota-marly-1-habitaciones-1-banos/20859-M6421774</t>
  </si>
  <si>
    <t>20859-M6024308</t>
  </si>
  <si>
    <t>https://www.metrocuadrado.com/inmueble/venta-apartaestudio-bogota-las-nieves-1-habitaciones-1-banos/20859-M6024308</t>
  </si>
  <si>
    <t>20842-M6172330</t>
  </si>
  <si>
    <t>https://www.metrocuadrado.com/inmueble/venta-apartaestudio-bogota-polo-club-1-habitaciones-1-banos/20842-M6172330</t>
  </si>
  <si>
    <t>20686-M6454877</t>
  </si>
  <si>
    <t>EL PROGRESO</t>
  </si>
  <si>
    <t>https://www.metrocuadrado.com/inmueble/venta-apartaestudio-bogota-el-progreso-1-habitaciones-1-banos-1-garajes/20686-M6454877</t>
  </si>
  <si>
    <t>21216-M6478058</t>
  </si>
  <si>
    <t>NICOLAS FEDERMAN</t>
  </si>
  <si>
    <t>https://www.metrocuadrado.com/inmueble/venta-apartaestudio-bogota-nicolas-federman-1-habitaciones-1-banos/21216-M6478058</t>
  </si>
  <si>
    <t>2328-M6456226</t>
  </si>
  <si>
    <t>https://www.metrocuadrado.com/inmueble/venta-apartaestudio-bogota-chico-norte-et-iii-1-habitaciones-1-banos-1-garajes/2328-M6456226</t>
  </si>
  <si>
    <t>897-M6553248</t>
  </si>
  <si>
    <t>https://www.metrocuadrado.com/inmueble/venta-apartaestudio-bogota-polo-club-1-habitaciones-1-banos-1-garajes/897-M6553248</t>
  </si>
  <si>
    <t>21922-M6376294</t>
  </si>
  <si>
    <t>https://www.metrocuadrado.com/inmueble/venta-apartaestudio-bogota-chico-norte-et-iii-1-habitaciones-1-banos-1-garajes/21922-M6376294</t>
  </si>
  <si>
    <t>20363-M6066640</t>
  </si>
  <si>
    <t>https://www.metrocuadrado.com/inmueble/venta-apartaestudio-bogota-chapinero-sur-occidental-1-habitaciones-1-banos/20363-M6066640</t>
  </si>
  <si>
    <t>21438-M6132403</t>
  </si>
  <si>
    <t>https://www.metrocuadrado.com/inmueble/venta-apartaestudio-bogota-quinta-paredes-1-habitaciones-2-banos-1-garajes/21438-M6132403</t>
  </si>
  <si>
    <t>3774-M5565515</t>
  </si>
  <si>
    <t>https://www.metrocuadrado.com/inmueble/venta-apartaestudio-bogota-polo-club-1-habitaciones-1-banos/3774-M5565515</t>
  </si>
  <si>
    <t>20744-M6491201</t>
  </si>
  <si>
    <t>https://www.metrocuadrado.com/inmueble/venta-apartaestudio-bogota-la-veracruz-1-habitaciones-1-banos-1-garajes/20744-M6491201</t>
  </si>
  <si>
    <t>5255-M6446561</t>
  </si>
  <si>
    <t>https://www.metrocuadrado.com/inmueble/venta-apartaestudio-bogota-rincon-del-chico-1-habitaciones-1-banos/5255-M6446561</t>
  </si>
  <si>
    <t>72-M5762659</t>
  </si>
  <si>
    <t>https://www.metrocuadrado.com/inmueble/venta-apartaestudio-bogota-virrey-1-habitaciones-2-banos-2-garajes/72-M5762659</t>
  </si>
  <si>
    <t>17565-M5337143</t>
  </si>
  <si>
    <t>https://www.metrocuadrado.com/inmueble/venta-apartaestudio-bogota-san-cristobal-norte-1-habitaciones-1-banos/17565-M5337143</t>
  </si>
  <si>
    <t>790-M4438353</t>
  </si>
  <si>
    <t>PRADO</t>
  </si>
  <si>
    <t>https://www.metrocuadrado.com/inmueble/venta-apartaestudio-bogota-prado-1-habitaciones-1-banos/790-M4438353</t>
  </si>
  <si>
    <t>16172-M6171656</t>
  </si>
  <si>
    <t>https://www.metrocuadrado.com/inmueble/venta-apartaestudio-bogota-la-castellana-1-habitaciones-1-banos/16172-M6171656</t>
  </si>
  <si>
    <t>18015-M5745170</t>
  </si>
  <si>
    <t>https://www.metrocuadrado.com/inmueble/venta-apartaestudio-bogota-samper-1-habitaciones-1-banos/18015-M5745170</t>
  </si>
  <si>
    <t>4973-M6520334</t>
  </si>
  <si>
    <t>https://www.metrocuadrado.com/inmueble/venta-apartaestudio-bogota-sears-1-habitaciones-1-banos/4973-M6520334</t>
  </si>
  <si>
    <t>19414-M6523288</t>
  </si>
  <si>
    <t>https://www.metrocuadrado.com/inmueble/venta-apartaestudio-bogota-santa-barbara-central-1-habitaciones-1-banos-1-garajes/19414-M6523288</t>
  </si>
  <si>
    <t>11233-3723209</t>
  </si>
  <si>
    <t>https://www.metrocuadrado.com/inmueble/venta-apartaestudio-bogota-centro-internacional-1-habitaciones-1-banos/11233-3723209</t>
  </si>
  <si>
    <t>17586-M6501113</t>
  </si>
  <si>
    <t>https://www.metrocuadrado.com/inmueble/venta-apartaestudio-bogota-asd-1-habitaciones-1-banos/17586-M6501113</t>
  </si>
  <si>
    <t>17586-M6501097</t>
  </si>
  <si>
    <t>https://www.metrocuadrado.com/inmueble/venta-apartaestudio-bogota-el-liston-1-habitaciones-1-banos/17586-M6501097</t>
  </si>
  <si>
    <t>15062-M6531931</t>
  </si>
  <si>
    <t>https://www.metrocuadrado.com/inmueble/venta-apartaestudio-bogota-galerias-1-habitaciones-1-banos/15062-M6531931</t>
  </si>
  <si>
    <t>4973-M6521976</t>
  </si>
  <si>
    <t>https://www.metrocuadrado.com/inmueble/venta-apartaestudio-bogota-sears-1-habitaciones-1-banos/4973-M6521976</t>
  </si>
  <si>
    <t>384-M5951448</t>
  </si>
  <si>
    <t>https://www.metrocuadrado.com/inmueble/venta-apartaestudio-bogota-cantalejo-1-habitaciones-1-banos-1-garajes/384-M5951448</t>
  </si>
  <si>
    <t>12095-M6583610</t>
  </si>
  <si>
    <t>https://www.metrocuadrado.com/inmueble/venta-apartaestudio-bogota-chico-1-habitaciones-1-banos/12095-M6583610</t>
  </si>
  <si>
    <t>16474-M6139395</t>
  </si>
  <si>
    <t>https://www.metrocuadrado.com/inmueble/venta-apartaestudio-bogota-santa-barbara-1-habitaciones-2-banos-2-garajes/16474-M6139395</t>
  </si>
  <si>
    <t>703-M5854661</t>
  </si>
  <si>
    <t>https://www.metrocuadrado.com/inmueble/venta-apartaestudio-bogota-chapinero-alto-1-habitaciones-1-banos/703-M5854661</t>
  </si>
  <si>
    <t>258-M5769820</t>
  </si>
  <si>
    <t>https://www.metrocuadrado.com/inmueble/venta-apartaestudio-bogota-santa-ana-occidental-1-habitaciones-2-banos-1-garajes/258-M5769820</t>
  </si>
  <si>
    <t>19534-M6209044</t>
  </si>
  <si>
    <t>https://www.metrocuadrado.com/inmueble/venta-apartaestudio-bogota-la-macarena-1-habitaciones-1-banos/19534-M6209044</t>
  </si>
  <si>
    <t>12364-M6525113</t>
  </si>
  <si>
    <t>https://www.metrocuadrado.com/inmueble/venta-apartaestudio-bogota-chapinero-alto-1-habitaciones-2-banos-1-garajes/12364-M6525113</t>
  </si>
  <si>
    <t>2648-M6224364</t>
  </si>
  <si>
    <t>https://www.metrocuadrado.com/inmueble/venta-apartaestudio-bogota-el-contador-1-habitaciones-1-banos-2-garajes/2648-M6224364</t>
  </si>
  <si>
    <t>19534-M6057050</t>
  </si>
  <si>
    <t>https://www.metrocuadrado.com/inmueble/venta-apartaestudio-bogota-galerias-1-habitaciones-1-banos-1-garajes/19534-M6057050</t>
  </si>
  <si>
    <t>17742-M6388989</t>
  </si>
  <si>
    <t>https://www.metrocuadrado.com/inmueble/venta-apartaestudio-bogota-la-candelaria-1-habitaciones-1-banos/17742-M6388989</t>
  </si>
  <si>
    <t>MC6567234</t>
  </si>
  <si>
    <t>LA ALAMEDA</t>
  </si>
  <si>
    <t>https://www.metrocuadrado.com/inmueble/venta-apartaestudio-bogota-la-alameda-1-habitaciones-1-banos/MC6567234</t>
  </si>
  <si>
    <t>MC6181150</t>
  </si>
  <si>
    <t>CJR LOS JAZMINES</t>
  </si>
  <si>
    <t>https://www.metrocuadrado.com/inmueble/venta-apartaestudio-bogota-cjr-los-jazmines-2-habitaciones-1-banos-2-garajes/MC6181150</t>
  </si>
  <si>
    <t>MC6510471</t>
  </si>
  <si>
    <t>https://www.metrocuadrado.com/inmueble/venta-apartaestudio-bogota-belalcazar-1-habitaciones-2-banos-1-garajes/MC6510471</t>
  </si>
  <si>
    <t>MC6406927</t>
  </si>
  <si>
    <t>https://www.metrocuadrado.com/inmueble/venta-apartaestudio-bogota-armenia-1-habitaciones-1-banos/MC6406927</t>
  </si>
  <si>
    <t>21503-M6453883</t>
  </si>
  <si>
    <t>https://www.metrocuadrado.com/inmueble/venta-apartaestudio-bogota-bosque-calderon-1-habitaciones-2-banos-1-garajes/21503-M6453883</t>
  </si>
  <si>
    <t>21414-M6483716</t>
  </si>
  <si>
    <t>https://www.metrocuadrado.com/inmueble/venta-apartaestudio-bogota-chico-navarra-1-habitaciones-1-banos-1-garajes/21414-M6483716</t>
  </si>
  <si>
    <t>368-M6489220</t>
  </si>
  <si>
    <t>https://www.metrocuadrado.com/inmueble/venta-apartaestudio-bogota-1-habitaciones-1-banos-1-garajes/368-M6489220</t>
  </si>
  <si>
    <t>11104-M6488812</t>
  </si>
  <si>
    <t>https://www.metrocuadrado.com/inmueble/venta-apartaestudio-bogota-el-tintal-1-habitaciones-1-banos/11104-M6488812</t>
  </si>
  <si>
    <t>3437-M6454665</t>
  </si>
  <si>
    <t>https://www.metrocuadrado.com/inmueble/venta-apartaestudio-bogota-chico-norte-et-ii-1-habitaciones-1-banos-2-garajes/3437-M6454665</t>
  </si>
  <si>
    <t>684-M6280854</t>
  </si>
  <si>
    <t>https://www.metrocuadrado.com/inmueble/venta-apartaestudio-bogota-chapinero-central-1-habitaciones-1-banos/684-M6280854</t>
  </si>
  <si>
    <t>20179-M6208108</t>
  </si>
  <si>
    <t>GRANJA NORTE</t>
  </si>
  <si>
    <t>https://www.metrocuadrado.com/inmueble/venta-apartaestudio-bogota-granja-norte-1-habitaciones-1-banos/20179-M6208108</t>
  </si>
  <si>
    <t>22563-M6577719</t>
  </si>
  <si>
    <t>https://www.metrocuadrado.com/inmueble/venta-apartaestudio-bogota-santa-barbara-central-1-habitaciones-2-banos-2-garajes/22563-M6577719</t>
  </si>
  <si>
    <t>196-M5812675</t>
  </si>
  <si>
    <t>https://www.metrocuadrado.com/inmueble/venta-apartaestudio-bogota-molinos-norte-1-habitaciones-1-banos/196-M5812675</t>
  </si>
  <si>
    <t>20610-M6452340</t>
  </si>
  <si>
    <t>https://www.metrocuadrado.com/inmueble/venta-apartaestudio-bogota-chapinero-alto-1-habitaciones-1-banos/20610-M6452340</t>
  </si>
  <si>
    <t>21549-M6377796</t>
  </si>
  <si>
    <t>https://www.metrocuadrado.com/inmueble/venta-apartaestudio-bogota-santa-barbara-oriental-1-habitaciones-1-banos/21549-M6377796</t>
  </si>
  <si>
    <t>21503-M6564442</t>
  </si>
  <si>
    <t>https://www.metrocuadrado.com/inmueble/venta-apartaestudio-bogota-santa-barbara-occidental-1-habitaciones-2-banos-2-garajes/21503-M6564442</t>
  </si>
  <si>
    <t>2412-M6559994</t>
  </si>
  <si>
    <t>NOGAL</t>
  </si>
  <si>
    <t>https://www.metrocuadrado.com/inmueble/venta-apartaestudio-bogota-nogal-1-habitaciones-1-banos/2412-M6559994</t>
  </si>
  <si>
    <t>13436-M6071942</t>
  </si>
  <si>
    <t>https://www.metrocuadrado.com/inmueble/venta-apartaestudio-bogota-cedritos-1-habitaciones-1-banos-1-garajes/13436-M6071942</t>
  </si>
  <si>
    <t>19709-M6365373</t>
  </si>
  <si>
    <t>https://www.metrocuadrado.com/inmueble/venta-apartaestudio-bogota-caobos-salazar-1-habitaciones-2-banos-1-garajes/19709-M6365373</t>
  </si>
  <si>
    <t>21345-M6443162</t>
  </si>
  <si>
    <t>https://www.metrocuadrado.com/inmueble/venta-apartaestudio-bogota-las-nieves-1-habitaciones-1-banos-1-garajes/21345-M6443162</t>
  </si>
  <si>
    <t>21945-M6450461</t>
  </si>
  <si>
    <t>https://www.metrocuadrado.com/inmueble/venta-apartaestudio-bogota-centro-internacional-1-habitaciones-1-banos/21945-M6450461</t>
  </si>
  <si>
    <t>21982-M6395854</t>
  </si>
  <si>
    <t>https://www.metrocuadrado.com/inmueble/venta-apartaestudio-bogota-chico-norte-1-habitaciones-1-banos/21982-M6395854</t>
  </si>
  <si>
    <t>17285-M6429176</t>
  </si>
  <si>
    <t>https://www.metrocuadrado.com/inmueble/venta-apartaestudio-bogota-chico-2-habitaciones-2-banos-2-garajes/17285-M6429176</t>
  </si>
  <si>
    <t>897-M5412275</t>
  </si>
  <si>
    <t>https://www.metrocuadrado.com/inmueble/venta-apartaestudio-bogota-los-alcazares-1-habitaciones-1-banos-1-garajes/897-M5412275</t>
  </si>
  <si>
    <t>836-M5751430</t>
  </si>
  <si>
    <t>https://www.metrocuadrado.com/inmueble/venta-apartaestudio-bogota-el-redil-1-habitaciones-1-banos-1-garajes/836-M5751430</t>
  </si>
  <si>
    <t>72-M6492076</t>
  </si>
  <si>
    <t>https://www.metrocuadrado.com/inmueble/venta-apartaestudio-bogota-el-chico-1-habitaciones-2-banos-1-garajes/72-M6492076</t>
  </si>
  <si>
    <t>10139-M6489630</t>
  </si>
  <si>
    <t>https://www.metrocuadrado.com/inmueble/venta-apartaestudio-bogota-chico-norte-1-habitaciones-1-banos/10139-M6489630</t>
  </si>
  <si>
    <t>5255-M6464640</t>
  </si>
  <si>
    <t>https://www.metrocuadrado.com/inmueble/venta-apartaestudio-bogota-santa-cecilia-1-habitaciones-1-banos/5255-M6464640</t>
  </si>
  <si>
    <t>13436-M6072873</t>
  </si>
  <si>
    <t>https://www.metrocuadrado.com/inmueble/venta-apartaestudio-bogota-cedritos-1-habitaciones-1-banos-1-garajes/13436-M6072873</t>
  </si>
  <si>
    <t>21438-M6132590</t>
  </si>
  <si>
    <t>https://www.metrocuadrado.com/inmueble/venta-apartaestudio-bogota-san-martin-1-habitaciones-2-banos-1-garajes/21438-M6132590</t>
  </si>
  <si>
    <t>21945-M6365225</t>
  </si>
  <si>
    <t>LA CLARITA</t>
  </si>
  <si>
    <t>https://www.metrocuadrado.com/inmueble/venta-apartaestudio-bogota-la-clarita-1-habitaciones-1-banos-1-garajes/21945-M6365225</t>
  </si>
  <si>
    <t>3774-M5542036</t>
  </si>
  <si>
    <t>https://www.metrocuadrado.com/inmueble/venta-apartaestudio-bogota-antiguo-country-1-habitaciones-1-banos/3774-M5542036</t>
  </si>
  <si>
    <t>11104-M6574824</t>
  </si>
  <si>
    <t>https://www.metrocuadrado.com/inmueble/venta-apartaestudio-bogota-la-estanzuela-1-habitaciones-1-banos/11104-M6574824</t>
  </si>
  <si>
    <t>21373-M6116360</t>
  </si>
  <si>
    <t>https://www.metrocuadrado.com/inmueble/venta-apartaestudio-bogota-chico-1-habitaciones-1-banos/21373-M6116360</t>
  </si>
  <si>
    <t>18015-M6257509</t>
  </si>
  <si>
    <t>https://www.metrocuadrado.com/inmueble/venta-apartaestudio-bogota-samper-1-habitaciones-1-banos/18015-M6257509</t>
  </si>
  <si>
    <t>15062-M6507968</t>
  </si>
  <si>
    <t>https://www.metrocuadrado.com/inmueble/venta-apartaestudio-bogota-centro-internacional-1-habitaciones-1-banos/15062-M6507968</t>
  </si>
  <si>
    <t>18015-M6139581</t>
  </si>
  <si>
    <t>https://www.metrocuadrado.com/inmueble/venta-apartaestudio-bogota-samper-1-habitaciones-1-banos/18015-M6139581</t>
  </si>
  <si>
    <t>14390-M5833771</t>
  </si>
  <si>
    <t>https://www.metrocuadrado.com/inmueble/venta-apartaestudio-bogota-las-nieves-1-habitaciones-1-banos/14390-M5833771</t>
  </si>
  <si>
    <t>703-M5756575</t>
  </si>
  <si>
    <t>https://www.metrocuadrado.com/inmueble/venta-apartaestudio-bogota-chapinero-alto-1-habitaciones-1-banos/703-M5756575</t>
  </si>
  <si>
    <t>703-M5756572</t>
  </si>
  <si>
    <t>https://www.metrocuadrado.com/inmueble/venta-apartaestudio-bogota-chapinero-alto-1-habitaciones-1-banos/703-M5756572</t>
  </si>
  <si>
    <t>14236-M5954114</t>
  </si>
  <si>
    <t>https://www.metrocuadrado.com/inmueble/venta-apartaestudio-bogota-nicolas-de-federman-1-habitaciones-1-banos-1-garajes/14236-M5954114</t>
  </si>
  <si>
    <t>10119-M6365607</t>
  </si>
  <si>
    <t>https://www.metrocuadrado.com/inmueble/venta-apartaestudio-bogota-marly-1-habitaciones-1-banos-1-garajes/10119-M6365607</t>
  </si>
  <si>
    <t>703-M5756588</t>
  </si>
  <si>
    <t>https://www.metrocuadrado.com/inmueble/venta-apartaestudio-bogota-chapinero-alto-1-habitaciones-1-banos/703-M5756588</t>
  </si>
  <si>
    <t>17587-M6485408</t>
  </si>
  <si>
    <t>https://www.metrocuadrado.com/inmueble/venta-apartaestudio-bogota-la-candelaria-1-habitaciones-1-banos/17587-M6485408</t>
  </si>
  <si>
    <t>17575-M6491177</t>
  </si>
  <si>
    <t>https://www.metrocuadrado.com/inmueble/venta-apartaestudio-bogota-santa-cecilia-1-habitaciones-1-banos/17575-M6491177</t>
  </si>
  <si>
    <t>11698-M5600934</t>
  </si>
  <si>
    <t>CJR AVANTI TOWER</t>
  </si>
  <si>
    <t>https://www.metrocuadrado.com/inmueble/venta-apartaestudio-bogota-cjr-avanti-tower-1-habitaciones-1-banos/11698-M5600934</t>
  </si>
  <si>
    <t>614-M6224815</t>
  </si>
  <si>
    <t>https://www.metrocuadrado.com/inmueble/venta-apartaestudio-bogota-bonanza-1-habitaciones-1-banos/614-M6224815</t>
  </si>
  <si>
    <t>14836-M5787086</t>
  </si>
  <si>
    <t>https://www.metrocuadrado.com/inmueble/venta-apartaestudio-bogota-el-redil-1-habitaciones-1-banos-1-garajes/14836-M5787086</t>
  </si>
  <si>
    <t>MC6558240</t>
  </si>
  <si>
    <t>https://www.metrocuadrado.com/inmueble/venta-apartaestudio-bogota-la-castellana-1-habitaciones-1-banos/MC6558240</t>
  </si>
  <si>
    <t>MC6442740</t>
  </si>
  <si>
    <t>https://www.metrocuadrado.com/inmueble/venta-apartaestudio-bogota-chapinero-central-1-habitaciones-1-banos-1-garajes/MC6442740</t>
  </si>
  <si>
    <t>MC6549629</t>
  </si>
  <si>
    <t>https://www.metrocuadrado.com/inmueble/venta-apartaestudio-bogota-el-recuerdo-1-habitaciones-1-banos/MC6549629</t>
  </si>
  <si>
    <t>MC6489534</t>
  </si>
  <si>
    <t>https://www.metrocuadrado.com/inmueble/venta-apartaestudio-bogota-la-esperanza-1-habitaciones-1-banos/MC6489534</t>
  </si>
  <si>
    <t>12041-M6583306</t>
  </si>
  <si>
    <t>https://www.metrocuadrado.com/inmueble/venta-apartaestudio-bogota-santa-paula-1-habitaciones-1-banos/12041-M6583306</t>
  </si>
  <si>
    <t>3636-M5579155</t>
  </si>
  <si>
    <t>https://www.metrocuadrado.com/inmueble/venta-apartaestudio-bogota-quinta-paredes-1-habitaciones-2-banos/3636-M5579155</t>
  </si>
  <si>
    <t>20343-M5824814</t>
  </si>
  <si>
    <t>GRAN AMERICA</t>
  </si>
  <si>
    <t>https://www.metrocuadrado.com/inmueble/venta-apartaestudio-bogota-gran-america-1-habitaciones-1-banos/20343-M5824814</t>
  </si>
  <si>
    <t>17565-M6453661</t>
  </si>
  <si>
    <t>https://www.metrocuadrado.com/inmueble/venta-apartaestudio-bogota-pasadena-1-habitaciones-1-banos-1-garajes/17565-M6453661</t>
  </si>
  <si>
    <t>11256-M5822273</t>
  </si>
  <si>
    <t>https://www.metrocuadrado.com/inmueble/venta-apartaestudio-bogota-emaus-3-habitaciones-3-banos-2-garajes/11256-M5822273</t>
  </si>
  <si>
    <t>5031-M5996854</t>
  </si>
  <si>
    <t>CEDRO GOLF</t>
  </si>
  <si>
    <t>https://www.metrocuadrado.com/inmueble/venta-apartaestudio-bogota-cedro-golf-1-habitaciones-2-banos-1-garajes/5031-M5996854</t>
  </si>
  <si>
    <t>19936-M6537890</t>
  </si>
  <si>
    <t>https://www.metrocuadrado.com/inmueble/venta-apartaestudio-bogota-mazuren-3-habitaciones-2-banos-1-garajes/19936-M6537890</t>
  </si>
  <si>
    <t>20179-M6347915</t>
  </si>
  <si>
    <t>https://www.metrocuadrado.com/inmueble/venta-apartaestudio-bogota-nueva-zelandia-1-habitaciones-1-banos/20179-M6347915</t>
  </si>
  <si>
    <t>5031-M6141545</t>
  </si>
  <si>
    <t>https://www.metrocuadrado.com/inmueble/venta-apartaestudio-bogota-galerias-1-habitaciones-1-banos/5031-M6141545</t>
  </si>
  <si>
    <t>2996-M6146626</t>
  </si>
  <si>
    <t>https://www.metrocuadrado.com/inmueble/venta-apartaestudio-bogota-polo-club-1-habitaciones-2-banos-1-garajes/2996-M6146626</t>
  </si>
  <si>
    <t>771-M6124028</t>
  </si>
  <si>
    <t>https://www.metrocuadrado.com/inmueble/venta-apartaestudio-bogota-cedritos-1-habitaciones-2-banos-1-garajes/771-M6124028</t>
  </si>
  <si>
    <t>21480-M6425111</t>
  </si>
  <si>
    <t>https://www.metrocuadrado.com/inmueble/venta-apartaestudio-bogota-los-cedros-1-habitaciones-2-banos-1-garajes/21480-M6425111</t>
  </si>
  <si>
    <t>19709-M6348828</t>
  </si>
  <si>
    <t>https://www.metrocuadrado.com/inmueble/venta-apartaestudio-bogota-belmira-1-habitaciones-2-banos-1-garajes/19709-M6348828</t>
  </si>
  <si>
    <t>20134-M6449309</t>
  </si>
  <si>
    <t>https://www.metrocuadrado.com/inmueble/venta-apartaestudio-bogota-primavera-occidental-1-habitaciones-1-banos-1-garajes/20134-M6449309</t>
  </si>
  <si>
    <t>603-M5827028</t>
  </si>
  <si>
    <t>https://www.metrocuadrado.com/inmueble/venta-apartaestudio-bogota-polo-club-1-habitaciones-1-banos/603-M5827028</t>
  </si>
  <si>
    <t>21539-M6404322</t>
  </si>
  <si>
    <t>https://www.metrocuadrado.com/inmueble/venta-apartaestudio-bogota-las-nieves-1-habitaciones-1-banos/21539-M6404322</t>
  </si>
  <si>
    <t>34-M5824259</t>
  </si>
  <si>
    <t>https://www.metrocuadrado.com/inmueble/venta-apartaestudio-bogota-las-nieves-1-habitaciones-1-banos/34-M5824259</t>
  </si>
  <si>
    <t>21486-M6479984</t>
  </si>
  <si>
    <t>SAGRADO CORAZON</t>
  </si>
  <si>
    <t>https://www.metrocuadrado.com/inmueble/venta-apartaestudio-bogota-sagrado-corazon-1-habitaciones-1-banos/21486-M6479984</t>
  </si>
  <si>
    <t>21365-M6516128</t>
  </si>
  <si>
    <t>https://www.metrocuadrado.com/inmueble/venta-apartaestudio-bogota-club-los-lagartos-1-habitaciones-2-banos-1-garajes/21365-M6516128</t>
  </si>
  <si>
    <t>771-M6239016</t>
  </si>
  <si>
    <t>https://www.metrocuadrado.com/inmueble/venta-apartaestudio-bogota-chapinero-alto-1-habitaciones-1-banos-1-garajes/771-M6239016</t>
  </si>
  <si>
    <t>368-M6489034</t>
  </si>
  <si>
    <t>https://www.metrocuadrado.com/inmueble/venta-apartaestudio-bogota-1-habitaciones-1-banos-1-garajes/368-M6489034</t>
  </si>
  <si>
    <t>20859-M6572795</t>
  </si>
  <si>
    <t>https://www.metrocuadrado.com/inmueble/venta-apartaestudio-bogota-cedritos-1-habitaciones-2-banos-1-garajes/20859-M6572795</t>
  </si>
  <si>
    <t>21216-M6353859</t>
  </si>
  <si>
    <t>https://www.metrocuadrado.com/inmueble/venta-apartaestudio-bogota-chapinero-1-habitaciones-1-banos/21216-M6353859</t>
  </si>
  <si>
    <t>21187-M6078344</t>
  </si>
  <si>
    <t>https://www.metrocuadrado.com/inmueble/venta-apartaestudio-bogota-gratamira-3-habitaciones-3-banos-2-garajes/21187-M6078344</t>
  </si>
  <si>
    <t>20255-M6377522</t>
  </si>
  <si>
    <t>https://www.metrocuadrado.com/inmueble/venta-apartaestudio-bogota-chico-norte-et.-ii-1-habitaciones-1-banos-1-garajes/20255-M6377522</t>
  </si>
  <si>
    <t>22204-M6563899</t>
  </si>
  <si>
    <t>https://www.metrocuadrado.com/inmueble/venta-apartaestudio-bogota-colina-campestre-1-habitaciones-1-banos/22204-M6563899</t>
  </si>
  <si>
    <t>3636-M5570004</t>
  </si>
  <si>
    <t>https://www.metrocuadrado.com/inmueble/venta-apartaestudio-bogota-quinta-paredes-1-habitaciones-2-banos/3636-M5570004</t>
  </si>
  <si>
    <t>19578-M6577755</t>
  </si>
  <si>
    <t>https://www.metrocuadrado.com/inmueble/venta-apartaestudio-bogota-nueva-zelandia-2-habitaciones-1-banos/19578-M6577755</t>
  </si>
  <si>
    <t>11104-M6577316</t>
  </si>
  <si>
    <t>https://www.metrocuadrado.com/inmueble/venta-apartaestudio-bogota-el-recuerdo-1-habitaciones-1-banos/11104-M6577316</t>
  </si>
  <si>
    <t>21945-M6450344</t>
  </si>
  <si>
    <t>https://www.metrocuadrado.com/inmueble/venta-apartaestudio-bogota-chapinero-1-habitaciones-1-banos/21945-M6450344</t>
  </si>
  <si>
    <t>771-M6152444</t>
  </si>
  <si>
    <t>https://www.metrocuadrado.com/inmueble/venta-apartaestudio-bogota-usaquen-1-habitaciones-2-banos-1-garajes/771-M6152444</t>
  </si>
  <si>
    <t>2996-M6380239</t>
  </si>
  <si>
    <t>https://www.metrocuadrado.com/inmueble/venta-apartaestudio-bogota-san-martin-1-habitaciones-1-banos-1-garajes/2996-M6380239</t>
  </si>
  <si>
    <t>5563-M6309509</t>
  </si>
  <si>
    <t>https://www.metrocuadrado.com/inmueble/venta-apartaestudio-bogota-barrancas-norte-2-habitaciones-1-banos/5563-M6309509</t>
  </si>
  <si>
    <t>19077-M6303847</t>
  </si>
  <si>
    <t>https://www.metrocuadrado.com/inmueble/venta-apartaestudio-bogota-teusaquillo-1-habitaciones-1-banos/19077-M6303847</t>
  </si>
  <si>
    <t>20258-M6357239</t>
  </si>
  <si>
    <t>INDUSTRIAL CENTENARIO</t>
  </si>
  <si>
    <t>https://www.metrocuadrado.com/inmueble/venta-apartaestudio-bogota-industrial-centenario-1-habitaciones-1-banos/20258-M6357239</t>
  </si>
  <si>
    <t>2266-M6442908</t>
  </si>
  <si>
    <t>https://www.metrocuadrado.com/inmueble/venta-apartaestudio-bogota-chico-1-habitaciones-1-banos-1-garajes/2266-M6442908</t>
  </si>
  <si>
    <t>16124-M6352078</t>
  </si>
  <si>
    <t>https://www.metrocuadrado.com/inmueble/venta-apartaestudio-bogota-santa-bibiana-4-habitaciones-4-banos-4-garajes/16124-M6352078</t>
  </si>
  <si>
    <t>73-M6189095</t>
  </si>
  <si>
    <t>https://www.metrocuadrado.com/inmueble/venta-apartaestudio-bogota-modelia-1-habitaciones-1-banos/73-M6189095</t>
  </si>
  <si>
    <t>12095-M6291186</t>
  </si>
  <si>
    <t>NORTE  NUEVO COUNTRY</t>
  </si>
  <si>
    <t>https://www.metrocuadrado.com/inmueble/venta-apartaestudio-bogota-norte-nuevo-country-1-habitaciones-1-banos/12095-M6291186</t>
  </si>
  <si>
    <t>11013-M6554493</t>
  </si>
  <si>
    <t>https://www.metrocuadrado.com/inmueble/venta-apartaestudio-bogota-salitre-1-habitaciones-1-banos/11013-M6554493</t>
  </si>
  <si>
    <t>675-M6404106</t>
  </si>
  <si>
    <t>https://www.metrocuadrado.com/inmueble/venta-apartaestudio-bogota-cedritos-1-habitaciones-2-banos-1-garajes/675-M6404106</t>
  </si>
  <si>
    <t>93-M6118581</t>
  </si>
  <si>
    <t>https://www.metrocuadrado.com/inmueble/venta-apartaestudio-bogota-la-candelaria-1-habitaciones-1-banos/93-M6118581</t>
  </si>
  <si>
    <t>4428-M5549498</t>
  </si>
  <si>
    <t>https://www.metrocuadrado.com/inmueble/venta-apartaestudio-bogota-chapinero-norte-1-habitaciones-2-banos-1-garajes/4428-M5549498</t>
  </si>
  <si>
    <t>17245-M6481071</t>
  </si>
  <si>
    <t>https://www.metrocuadrado.com/inmueble/venta-apartaestudio-bogota-la-candelaria-1-habitaciones-1-banos/17245-M6481071</t>
  </si>
  <si>
    <t>16703-M6498991</t>
  </si>
  <si>
    <t>https://www.metrocuadrado.com/inmueble/venta-apartaestudio-bogota-lisboa-1-habitaciones-1-banos-1-garajes/16703-M6498991</t>
  </si>
  <si>
    <t>12473-M6523540</t>
  </si>
  <si>
    <t>https://www.metrocuadrado.com/inmueble/venta-apartaestudio-bogota-las-nieves-1-habitaciones-1-banos/12473-M6523540</t>
  </si>
  <si>
    <t>MC6380915</t>
  </si>
  <si>
    <t>https://www.metrocuadrado.com/inmueble/venta-apartaestudio-bogota-teusaquillo-1-habitaciones-1-banos/MC6380915</t>
  </si>
  <si>
    <t>MC6489183</t>
  </si>
  <si>
    <t>https://www.metrocuadrado.com/inmueble/venta-apartaestudio-bogota-industrial-centenario-1-habitaciones-1-banos/MC6489183</t>
  </si>
  <si>
    <t>MC6439083</t>
  </si>
  <si>
    <t>https://www.metrocuadrado.com/inmueble/venta-apartaestudio-bogota-san-antonio-nor-occidental-1-habitaciones-1-banos/MC6439083</t>
  </si>
  <si>
    <t>MC6049404</t>
  </si>
  <si>
    <t>https://www.metrocuadrado.com/inmueble/venta-apartaestudio-bogota-la-felicidad-1-habitaciones-1-banos/MC6049404</t>
  </si>
  <si>
    <t>5545-M6584969</t>
  </si>
  <si>
    <t>https://www.metrocuadrado.com/inmueble/venta-apartaestudio-bogota-marly-1-habitaciones-1-banos-1-garajes/5545-M6584969</t>
  </si>
  <si>
    <t>10780-M6034751</t>
  </si>
  <si>
    <t>https://www.metrocuadrado.com/inmueble/venta-apartaestudio-bogota-marly-1-habitaciones-1-banos/10780-M6034751</t>
  </si>
  <si>
    <t>11104-M6501549</t>
  </si>
  <si>
    <t>https://www.metrocuadrado.com/inmueble/venta-apartaestudio-bogota-chico-norte-et-iii-1-habitaciones-1-banos/11104-M6501549</t>
  </si>
  <si>
    <t>2412-M6170985</t>
  </si>
  <si>
    <t>https://www.metrocuadrado.com/inmueble/venta-apartaestudio-bogota-centro-internacional-1-habitaciones-1-banos/2412-M6170985</t>
  </si>
  <si>
    <t>11301-M6066652</t>
  </si>
  <si>
    <t>https://www.metrocuadrado.com/inmueble/venta-apartaestudio-bogota-el-chico-1-habitaciones-1-banos-1-garajes/11301-M6066652</t>
  </si>
  <si>
    <t>21438-M6164167</t>
  </si>
  <si>
    <t>https://www.metrocuadrado.com/inmueble/venta-apartaestudio-bogota-la-candelaria-1-habitaciones-1-banos-1-garajes/21438-M6164167</t>
  </si>
  <si>
    <t>2266-M6388907</t>
  </si>
  <si>
    <t>NORTH POINT  BOSQUE DE PINOS</t>
  </si>
  <si>
    <t>https://www.metrocuadrado.com/inmueble/venta-apartaestudio-bogota-north-point-bosque-de-pinos-1-habitaciones-1-banos/2266-M6388907</t>
  </si>
  <si>
    <t>20859-M6025092</t>
  </si>
  <si>
    <t>https://www.metrocuadrado.com/inmueble/venta-apartaestudio-bogota-chapinero-central-1-habitaciones-1-banos-1-garajes/20859-M6025092</t>
  </si>
  <si>
    <t>19709-M6347672</t>
  </si>
  <si>
    <t>https://www.metrocuadrado.com/inmueble/venta-apartaestudio-bogota-belmira-1-habitaciones-2-banos-1-garajes/19709-M6347672</t>
  </si>
  <si>
    <t>21638-M6290952</t>
  </si>
  <si>
    <t>https://www.metrocuadrado.com/inmueble/venta-apartaestudio-bogota-chico-norte-1-habitaciones-1-banos/21638-M6290952</t>
  </si>
  <si>
    <t>20690-M6049650</t>
  </si>
  <si>
    <t>https://www.metrocuadrado.com/inmueble/venta-apartaestudio-bogota-santa-barbara-central-1-habitaciones-2-banos-1-garajes/20690-M6049650</t>
  </si>
  <si>
    <t>11301-M6395139</t>
  </si>
  <si>
    <t>https://www.metrocuadrado.com/inmueble/venta-apartaestudio-bogota-la-candelaria-1-habitaciones-1-banos-1-garajes/11301-M6395139</t>
  </si>
  <si>
    <t>21762-M6350859</t>
  </si>
  <si>
    <t>https://www.metrocuadrado.com/inmueble/venta-apartaestudio-bogota-la-sabana-1-habitaciones-2-banos/21762-M6350859</t>
  </si>
  <si>
    <t>21446-M6355710</t>
  </si>
  <si>
    <t>https://www.metrocuadrado.com/inmueble/venta-apartaestudio-bogota-valparaiso-1-habitaciones-1-banos/21446-M6355710</t>
  </si>
  <si>
    <t>21391-M6499262</t>
  </si>
  <si>
    <t>https://www.metrocuadrado.com/inmueble/venta-apartaestudio-bogota-chico-norte-et-iii-1-habitaciones-1-banos-1-garajes/21391-M6499262</t>
  </si>
  <si>
    <t>2412-M6170993</t>
  </si>
  <si>
    <t>https://www.metrocuadrado.com/inmueble/venta-apartaestudio-bogota-centro-internacional-1-habitaciones-1-banos/2412-M6170993</t>
  </si>
  <si>
    <t>21408-M6410313</t>
  </si>
  <si>
    <t>https://www.metrocuadrado.com/inmueble/venta-apartaestudio-bogota-los-cedros-1-habitaciones-1-banos/21408-M6410313</t>
  </si>
  <si>
    <t>21503-M6569341</t>
  </si>
  <si>
    <t>https://www.metrocuadrado.com/inmueble/venta-apartaestudio-bogota-chico-norte-1-habitaciones-2-banos-1-garajes/21503-M6569341</t>
  </si>
  <si>
    <t>21438-M6132580</t>
  </si>
  <si>
    <t>https://www.metrocuadrado.com/inmueble/venta-apartaestudio-bogota-san-diego-1-habitaciones-1-banos/21438-M6132580</t>
  </si>
  <si>
    <t>5340-M4551520</t>
  </si>
  <si>
    <t>https://www.metrocuadrado.com/inmueble/venta-apartaestudio-bogota-el-retiro-2-habitaciones-2-banos-1-garajes/5340-M4551520</t>
  </si>
  <si>
    <t>20447-M5940502</t>
  </si>
  <si>
    <t>https://www.metrocuadrado.com/inmueble/venta-apartaestudio-bogota-los-andes-norte-1-habitaciones-2-banos-1-garajes/20447-M5940502</t>
  </si>
  <si>
    <t>2412-M6297771</t>
  </si>
  <si>
    <t>https://www.metrocuadrado.com/inmueble/venta-apartaestudio-bogota-san-patricio-1-habitaciones-1-banos-2-garajes/2412-M6297771</t>
  </si>
  <si>
    <t>20804-M6521038</t>
  </si>
  <si>
    <t>https://www.metrocuadrado.com/inmueble/venta-apartaestudio-bogota-san-victorino-1-habitaciones-2-banos/20804-M6521038</t>
  </si>
  <si>
    <t>2996-M6448629</t>
  </si>
  <si>
    <t>https://www.metrocuadrado.com/inmueble/venta-apartaestudio-bogota-la-carolina-1-habitaciones-1-banos-1-garajes/2996-M6448629</t>
  </si>
  <si>
    <t>304-M3987589</t>
  </si>
  <si>
    <t>ALHAMBRA</t>
  </si>
  <si>
    <t>https://www.metrocuadrado.com/inmueble/venta-apartaestudio-bogota-alhambra-1-habitaciones-1-banos-1-garajes/304-M3987589</t>
  </si>
  <si>
    <t>20179-M6354995</t>
  </si>
  <si>
    <t>https://www.metrocuadrado.com/inmueble/venta-apartaestudio-bogota-los-naranjos-2-habitaciones-1-banos/20179-M6354995</t>
  </si>
  <si>
    <t>22189-M6578447</t>
  </si>
  <si>
    <t>https://www.metrocuadrado.com/inmueble/venta-apartaestudio-bogota-niza-norte-1-habitaciones-2-banos-2-garajes/22189-M6578447</t>
  </si>
  <si>
    <t>2412-M5716400</t>
  </si>
  <si>
    <t>https://www.metrocuadrado.com/inmueble/venta-apartaestudio-bogota-santa-barbara-1-habitaciones-2-banos-2-garajes/2412-M5716400</t>
  </si>
  <si>
    <t>20426-M6495045</t>
  </si>
  <si>
    <t>https://www.metrocuadrado.com/inmueble/venta-apartaestudio-bogota-chico-norte-et-ii-1-habitaciones-1-banos/20426-M6495045</t>
  </si>
  <si>
    <t>20610-M5956824</t>
  </si>
  <si>
    <t>https://www.metrocuadrado.com/inmueble/venta-apartaestudio-bogota-el-contador-1-habitaciones-1-banos/20610-M5956824</t>
  </si>
  <si>
    <t>72-M6315118</t>
  </si>
  <si>
    <t>https://www.metrocuadrado.com/inmueble/venta-apartaestudio-bogota-santa-paula-1-habitaciones-1-banos/72-M6315118</t>
  </si>
  <si>
    <t>2630-M5629637</t>
  </si>
  <si>
    <t>https://www.metrocuadrado.com/inmueble/venta-apartaestudio-bogota-bosque-calderon-1-habitaciones-2-banos-1-garajes/2630-M5629637</t>
  </si>
  <si>
    <t>20610-M5957518</t>
  </si>
  <si>
    <t>https://www.metrocuadrado.com/inmueble/venta-apartaestudio-bogota-prado-pinzon-1-habitaciones-1-banos/20610-M5957518</t>
  </si>
  <si>
    <t>13436-M6116062</t>
  </si>
  <si>
    <t>https://www.metrocuadrado.com/inmueble/venta-apartaestudio-bogota-el-tintal-1-habitaciones-1-banos-1-garajes/13436-M6116062</t>
  </si>
  <si>
    <t>11104-M5770845</t>
  </si>
  <si>
    <t>https://www.metrocuadrado.com/inmueble/venta-apartaestudio-bogota-antiguo-country-1-habitaciones-1-banos-1-garajes/11104-M5770845</t>
  </si>
  <si>
    <t>16630-M6576641</t>
  </si>
  <si>
    <t>https://www.metrocuadrado.com/inmueble/venta-apartaestudio-bogota-nueva-zelandia-1-habitaciones-1-banos/16630-M6576641</t>
  </si>
  <si>
    <t>2162-M6061922</t>
  </si>
  <si>
    <t>https://www.metrocuadrado.com/inmueble/venta-apartaestudio-bogota-chico-norte-et.-iii-1-habitaciones-1-banos-2-garajes/2162-M6061922</t>
  </si>
  <si>
    <t>2123-M5133854</t>
  </si>
  <si>
    <t>https://www.metrocuadrado.com/inmueble/venta-apartaestudio-bogota-santa-barbara-oriental-1-habitaciones-1-banos/2123-M5133854</t>
  </si>
  <si>
    <t>703-M5551727</t>
  </si>
  <si>
    <t>https://www.metrocuadrado.com/inmueble/venta-apartaestudio-bogota-chapinero-alto-1-habitaciones-1-banos/703-M5551727</t>
  </si>
  <si>
    <t>2123-M4776290</t>
  </si>
  <si>
    <t>https://www.metrocuadrado.com/inmueble/venta-apartaestudio-bogota-caobos-salazar-1-habitaciones-2-banos-1-garajes/2123-M4776290</t>
  </si>
  <si>
    <t>10046-M4856158</t>
  </si>
  <si>
    <t>https://www.metrocuadrado.com/inmueble/venta-apartaestudio-bogota-chico-norte-et.-iii-1-habitaciones-1-banos/10046-M4856158</t>
  </si>
  <si>
    <t>2821-M6550388</t>
  </si>
  <si>
    <t>https://www.metrocuadrado.com/inmueble/venta-apartaestudio-bogota-julio-florez-1-habitaciones-1-banos/2821-M6550388</t>
  </si>
  <si>
    <t>3576-M6487452</t>
  </si>
  <si>
    <t>https://www.metrocuadrado.com/inmueble/venta-apartaestudio-bogota-sagrado-corazon-1-habitaciones-1-banos-1-garajes/3576-M6487452</t>
  </si>
  <si>
    <t>3576-M6487425</t>
  </si>
  <si>
    <t>https://www.metrocuadrado.com/inmueble/venta-apartaestudio-bogota-sagrado-corazon-1-habitaciones-1-banos-1-garajes/3576-M6487425</t>
  </si>
  <si>
    <t>17723-M5262570</t>
  </si>
  <si>
    <t>RINCON DEL CHICO   EDIF ROUND POINT CALLE 100</t>
  </si>
  <si>
    <t>https://www.metrocuadrado.com/inmueble/venta-apartaestudio-bogota-rincon-del-chico-edif-round-point-calle-100-1-habitaciones-1-banos/17723-M5262570</t>
  </si>
  <si>
    <t>MC6512001</t>
  </si>
  <si>
    <t>https://www.metrocuadrado.com/inmueble/venta-apartaestudio-bogota-los-monjes-1-habitaciones-1-banos/MC6512001</t>
  </si>
  <si>
    <t>MC6427686</t>
  </si>
  <si>
    <t>https://www.metrocuadrado.com/inmueble/venta-apartaestudio-bogota-la-esperanza-norte-1-habitaciones-1-banos/MC6427686</t>
  </si>
  <si>
    <t>MC6426295</t>
  </si>
  <si>
    <t>https://www.metrocuadrado.com/inmueble/venta-apartaestudio-bogota-samper-1-habitaciones-1-banos/MC6426295</t>
  </si>
  <si>
    <t>MC6564797</t>
  </si>
  <si>
    <t>SANTA ANA SUR</t>
  </si>
  <si>
    <t>https://www.metrocuadrado.com/inmueble/venta-apartaestudio-bogota-santa-ana-sur-1-habitaciones-1-banos-1-garajes/MC6564797</t>
  </si>
  <si>
    <t>20610-M5961899</t>
  </si>
  <si>
    <t>https://www.metrocuadrado.com/inmueble/venta-apartaestudio-bogota-galerias-1-habitaciones-1-banos/20610-M5961899</t>
  </si>
  <si>
    <t>34-M5758258</t>
  </si>
  <si>
    <t>https://www.metrocuadrado.com/inmueble/venta-apartaestudio-bogota-san-martin-1-habitaciones-2-banos-1-garajes/34-M5758258</t>
  </si>
  <si>
    <t>20847-M6514759</t>
  </si>
  <si>
    <t>https://www.metrocuadrado.com/inmueble/venta-apartaestudio-bogota-1-habitaciones-1-banos-1-garajes/20847-M6514759</t>
  </si>
  <si>
    <t>5031-M6063589</t>
  </si>
  <si>
    <t>ALAMEDA 170</t>
  </si>
  <si>
    <t>https://www.metrocuadrado.com/inmueble/venta-apartaestudio-bogota-alameda-170-1-habitaciones-1-banos/5031-M6063589</t>
  </si>
  <si>
    <t>17285-M6409377</t>
  </si>
  <si>
    <t>https://www.metrocuadrado.com/inmueble/venta-apartaestudio-bogota-chico-navarra-4-habitaciones-5-banos-4-garajes/17285-M6409377</t>
  </si>
  <si>
    <t>771-M6053750</t>
  </si>
  <si>
    <t>https://www.metrocuadrado.com/inmueble/venta-apartaestudio-bogota-san-patricio-1-habitaciones-1-banos-1-garajes/771-M6053750</t>
  </si>
  <si>
    <t>734-M5945575</t>
  </si>
  <si>
    <t>https://www.metrocuadrado.com/inmueble/venta-apartaestudio-bogota-suba-1-habitaciones-1-banos/734-M5945575</t>
  </si>
  <si>
    <t>22190-M6579249</t>
  </si>
  <si>
    <t>SAN FERNANDO OCCIDENTAL</t>
  </si>
  <si>
    <t>https://www.metrocuadrado.com/inmueble/venta-apartaestudio-bogota-san-fernando-occidental-1-habitaciones-1-banos/22190-M6579249</t>
  </si>
  <si>
    <t>2748-M5591109</t>
  </si>
  <si>
    <t>https://www.metrocuadrado.com/inmueble/venta-apartaestudio-bogota-lisboa-1-habitaciones-2-banos-1-garajes/2748-M5591109</t>
  </si>
  <si>
    <t>21187-M6445296</t>
  </si>
  <si>
    <t>https://www.metrocuadrado.com/inmueble/venta-apartaestudio-bogota-bella-suiza-1-habitaciones-1-banos-1-garajes/21187-M6445296</t>
  </si>
  <si>
    <t>20031-M5765598</t>
  </si>
  <si>
    <t>https://www.metrocuadrado.com/inmueble/venta-apartaestudio-bogota-centro-internacional-1-habitaciones-1-banos/20031-M5765598</t>
  </si>
  <si>
    <t>20686-M6328501</t>
  </si>
  <si>
    <t>https://www.metrocuadrado.com/inmueble/venta-apartaestudio-bogota-eduardo-santos-1-habitaciones-1-banos/20686-M6328501</t>
  </si>
  <si>
    <t>2996-M6448361</t>
  </si>
  <si>
    <t>https://www.metrocuadrado.com/inmueble/venta-apartaestudio-bogota-santa-barbara-central-1-habitaciones-1-banos-1-garajes/2996-M6448361</t>
  </si>
  <si>
    <t>20861-M6434017</t>
  </si>
  <si>
    <t>https://www.metrocuadrado.com/inmueble/venta-apartaestudio-bogota-marly-1-habitaciones-1-banos/20861-M6434017</t>
  </si>
  <si>
    <t>19578-M6176258</t>
  </si>
  <si>
    <t>https://www.metrocuadrado.com/inmueble/venta-apartaestudio-bogota-gilmar-1-habitaciones-1-banos/19578-M6176258</t>
  </si>
  <si>
    <t>22189-M6472348</t>
  </si>
  <si>
    <t>https://www.metrocuadrado.com/inmueble/venta-apartaestudio-bogota-santa-barbara-occidental-1-habitaciones-1-banos-1-garajes/22189-M6472348</t>
  </si>
  <si>
    <t>72-M5762582</t>
  </si>
  <si>
    <t>https://www.metrocuadrado.com/inmueble/venta-apartaestudio-bogota-santa-ana-occidental-1-habitaciones-1-banos/72-M5762582</t>
  </si>
  <si>
    <t>5044-M6519820</t>
  </si>
  <si>
    <t>https://www.metrocuadrado.com/inmueble/venta-apartaestudio-bogota-los-cedros-oriental-1-habitaciones-1-banos-1-garajes/5044-M6519820</t>
  </si>
  <si>
    <t>2412-M6499799</t>
  </si>
  <si>
    <t>https://www.metrocuadrado.com/inmueble/venta-apartaestudio-bogota-chico-norte-1-habitaciones-1-banos-2-garajes/2412-M6499799</t>
  </si>
  <si>
    <t>20139-M6376518</t>
  </si>
  <si>
    <t>https://www.metrocuadrado.com/inmueble/venta-apartaestudio-bogota-1-habitaciones-2-banos-1-garajes/20139-M6376518</t>
  </si>
  <si>
    <t>20610-M5957528</t>
  </si>
  <si>
    <t>PRADO VERANIEGO</t>
  </si>
  <si>
    <t>https://www.metrocuadrado.com/inmueble/venta-apartaestudio-bogota-prado-veraniego-1-habitaciones-1-banos/20610-M5957528</t>
  </si>
  <si>
    <t>19578-M6239714</t>
  </si>
  <si>
    <t>https://www.metrocuadrado.com/inmueble/venta-apartaestudio-bogota-chapinero-1-habitaciones-1-banos/19578-M6239714</t>
  </si>
  <si>
    <t>290-M6102678</t>
  </si>
  <si>
    <t>https://www.metrocuadrado.com/inmueble/venta-apartaestudio-bogota-quesada-1-habitaciones-1-banos/290-M6102678</t>
  </si>
  <si>
    <t>5545-M5525622</t>
  </si>
  <si>
    <t>https://www.metrocuadrado.com/inmueble/venta-apartaestudio-bogota-chico-norte-et.-iii-1-habitaciones-2-banos-1-garajes/5545-M5525622</t>
  </si>
  <si>
    <t>2412-M5307617</t>
  </si>
  <si>
    <t>https://www.metrocuadrado.com/inmueble/venta-apartaestudio-bogota-sierras-del-moral-3-habitaciones-4-banos-3-garajes/2412-M5307617</t>
  </si>
  <si>
    <t>20845-M6102477</t>
  </si>
  <si>
    <t>RESTREPO OCCIDENTAL</t>
  </si>
  <si>
    <t>https://www.metrocuadrado.com/inmueble/venta-apartaestudio-bogota-restrepo-occidental-1-habitaciones-1-banos/20845-M6102477</t>
  </si>
  <si>
    <t>20031-M5808776</t>
  </si>
  <si>
    <t>https://www.metrocuadrado.com/inmueble/venta-apartaestudio-bogota-centro-internacional-1-habitaciones-1-banos/20031-M5808776</t>
  </si>
  <si>
    <t>11104-M6336893</t>
  </si>
  <si>
    <t>https://www.metrocuadrado.com/inmueble/venta-apartaestudio-bogota-restrepo-1-habitaciones-1-banos/11104-M6336893</t>
  </si>
  <si>
    <t>19077-M6290694</t>
  </si>
  <si>
    <t>https://www.metrocuadrado.com/inmueble/venta-apartaestudio-bogota-pasadena-2-habitaciones-1-banos-1-garajes/19077-M6290694</t>
  </si>
  <si>
    <t>20139-M6471026</t>
  </si>
  <si>
    <t>https://www.metrocuadrado.com/inmueble/venta-apartaestudio-bogota-marly-1-habitaciones-1-banos-1-garajes/20139-M6471026</t>
  </si>
  <si>
    <t>22147-M6451397</t>
  </si>
  <si>
    <t>https://www.metrocuadrado.com/inmueble/venta-apartaestudio-bogota-polo-club-1-habitaciones-1-banos/22147-M6451397</t>
  </si>
  <si>
    <t>20837-M6401849</t>
  </si>
  <si>
    <t>https://www.metrocuadrado.com/inmueble/venta-apartaestudio-bogota-chico-1-habitaciones-1-banos/20837-M6401849</t>
  </si>
  <si>
    <t>21945-M6365228</t>
  </si>
  <si>
    <t>CENTRO HISTORICO</t>
  </si>
  <si>
    <t>https://www.metrocuadrado.com/inmueble/venta-apartaestudio-bogota-centro-historico-1-habitaciones-1-banos/21945-M6365228</t>
  </si>
  <si>
    <t>20686-M6496884</t>
  </si>
  <si>
    <t>https://www.metrocuadrado.com/inmueble/venta-apartaestudio-bogota-eduardo-santos-1-habitaciones-1-banos/20686-M6496884</t>
  </si>
  <si>
    <t>17565-M6179381</t>
  </si>
  <si>
    <t>https://www.metrocuadrado.com/inmueble/venta-apartaestudio-bogota-chico-1-habitaciones-1-banos/17565-M6179381</t>
  </si>
  <si>
    <t>21438-M6132425</t>
  </si>
  <si>
    <t>https://www.metrocuadrado.com/inmueble/venta-apartaestudio-bogota-santa-barbara-oriental-1-habitaciones-1-banos-1-garajes/21438-M6132425</t>
  </si>
  <si>
    <t>3240-M6115967</t>
  </si>
  <si>
    <t>https://www.metrocuadrado.com/inmueble/venta-apartaestudio-bogota-1-habitaciones-2-banos-2-garajes/3240-M6115967</t>
  </si>
  <si>
    <t>3422-M6588549</t>
  </si>
  <si>
    <t>https://www.metrocuadrado.com/inmueble/venta-apartaestudio-bogota-el-contador-1-habitaciones-2-banos-1-garajes/3422-M6588549</t>
  </si>
  <si>
    <t>703-M5756586</t>
  </si>
  <si>
    <t>https://www.metrocuadrado.com/inmueble/venta-apartaestudio-bogota-chapinero-alto-1-habitaciones-1-banos/703-M5756586</t>
  </si>
  <si>
    <t>755-M6508193</t>
  </si>
  <si>
    <t>https://www.metrocuadrado.com/inmueble/venta-apartaestudio-bogota-cedritos-1-habitaciones-2-banos-1-garajes/755-M6508193</t>
  </si>
  <si>
    <t>703-M6163746</t>
  </si>
  <si>
    <t>https://www.metrocuadrado.com/inmueble/venta-apartaestudio-bogota-chapinero-alto-1-habitaciones-1-banos/703-M6163746</t>
  </si>
  <si>
    <t>2377-M6049872</t>
  </si>
  <si>
    <t>https://www.metrocuadrado.com/inmueble/venta-apartaestudio-bogota-el-recuerdo-1-habitaciones-1-banos-1-garajes/2377-M6049872</t>
  </si>
  <si>
    <t>2361-M5280797</t>
  </si>
  <si>
    <t>https://www.metrocuadrado.com/inmueble/venta-apartaestudio-bogota-el-contador-1-habitaciones-2-banos-1-garajes/2361-M5280797</t>
  </si>
  <si>
    <t>2941-M6492194</t>
  </si>
  <si>
    <t>https://www.metrocuadrado.com/inmueble/venta-apartaestudio-bogota-chapinero-1-habitaciones-1-banos-1-garajes/2941-M6492194</t>
  </si>
  <si>
    <t>12364-M6503920</t>
  </si>
  <si>
    <t>https://www.metrocuadrado.com/inmueble/venta-apartaestudio-bogota-el-chico-1-habitaciones-1-banos/12364-M6503920</t>
  </si>
  <si>
    <t>14836-M6427717</t>
  </si>
  <si>
    <t>https://www.metrocuadrado.com/inmueble/venta-apartaestudio-bogota-chico-norte-et-iii-1-habitaciones-2-banos-1-garajes/14836-M6427717</t>
  </si>
  <si>
    <t>MC6485363</t>
  </si>
  <si>
    <t>LAGO GAITAN</t>
  </si>
  <si>
    <t>https://www.metrocuadrado.com/inmueble/venta-apartaestudio-bogota-lago-gaitan-1-habitaciones-1-banos-4-garajes/MC6485363</t>
  </si>
  <si>
    <t>MC6449641</t>
  </si>
  <si>
    <t>https://www.metrocuadrado.com/inmueble/venta-apartaestudio-bogota-chico-norte-et.-iii-1-habitaciones-1-banos-1-garajes/MC6449641</t>
  </si>
  <si>
    <t>MC6321087</t>
  </si>
  <si>
    <t>https://www.metrocuadrado.com/inmueble/venta-apartaestudio-bogota-chico-norte-et.-iii-1-habitaciones-1-banos-1-garajes/MC6321087</t>
  </si>
  <si>
    <t>MC6564798</t>
  </si>
  <si>
    <t>https://www.metrocuadrado.com/inmueble/venta-apartaestudio-bogota-santa-ana-sur-1-habitaciones-1-banos/MC6564798</t>
  </si>
  <si>
    <t>11104-M6056265</t>
  </si>
  <si>
    <t>https://www.metrocuadrado.com/inmueble/venta-apartaestudio-bogota-chapinero-sur-occidental-1-habitaciones-1-banos/11104-M6056265</t>
  </si>
  <si>
    <t>2709-M5996823</t>
  </si>
  <si>
    <t>https://www.metrocuadrado.com/inmueble/venta-apartaestudio-bogota-chico-norte-1-habitaciones-1-banos/2709-M5996823</t>
  </si>
  <si>
    <t>3774-M6118253</t>
  </si>
  <si>
    <t>https://www.metrocuadrado.com/inmueble/venta-apartaestudio-bogota-san-patricio-1-habitaciones-1-banos-1-garajes/3774-M6118253</t>
  </si>
  <si>
    <t>5606-M6146701</t>
  </si>
  <si>
    <t>https://www.metrocuadrado.com/inmueble/venta-apartaestudio-bogota-la-alameda-1-habitaciones-1-banos/5606-M6146701</t>
  </si>
  <si>
    <t>2412-M5603035</t>
  </si>
  <si>
    <t>ROSALES BAJO</t>
  </si>
  <si>
    <t>https://www.metrocuadrado.com/inmueble/venta-apartaestudio-bogota-rosales-bajo-2-habitaciones-4-banos/2412-M5603035</t>
  </si>
  <si>
    <t>13436-M6320799</t>
  </si>
  <si>
    <t>https://www.metrocuadrado.com/inmueble/venta-apartaestudio-bogota-antiguo-country-1-habitaciones-1-banos/13436-M6320799</t>
  </si>
  <si>
    <t>2412-M6495004</t>
  </si>
  <si>
    <t>https://www.metrocuadrado.com/inmueble/venta-apartaestudio-bogota-cabrera-1-habitaciones-1-banos-2-garajes/2412-M6495004</t>
  </si>
  <si>
    <t>20263-M5802020</t>
  </si>
  <si>
    <t>https://www.metrocuadrado.com/inmueble/venta-apartaestudio-bogota-rosales-1-habitaciones-1-banos-1-garajes/20263-M5802020</t>
  </si>
  <si>
    <t>4186-M6354776</t>
  </si>
  <si>
    <t>https://www.metrocuadrado.com/inmueble/venta-apartaestudio-bogota-la-candelaria-1-habitaciones-1-banos/4186-M6354776</t>
  </si>
  <si>
    <t>20255-M6233088</t>
  </si>
  <si>
    <t>https://www.metrocuadrado.com/inmueble/venta-apartaestudio-bogota-san-patricio-1-habitaciones-2-banos-1-garajes/20255-M6233088</t>
  </si>
  <si>
    <t>20610-M6026996</t>
  </si>
  <si>
    <t>https://www.metrocuadrado.com/inmueble/venta-apartaestudio-bogota-la-sabana-1-habitaciones-2-banos/20610-M6026996</t>
  </si>
  <si>
    <t>21407-M6549161</t>
  </si>
  <si>
    <t>https://www.metrocuadrado.com/inmueble/venta-apartaestudio-bogota-belalcazar-1-habitaciones-1-banos/21407-M6549161</t>
  </si>
  <si>
    <t>72-M6555728</t>
  </si>
  <si>
    <t>https://www.metrocuadrado.com/inmueble/venta-apartaestudio-bogota-centro-internacional-1-habitaciones-2-banos-1-garajes/72-M6555728</t>
  </si>
  <si>
    <t>20686-M6496932</t>
  </si>
  <si>
    <t>https://www.metrocuadrado.com/inmueble/venta-apartaestudio-bogota-eduardo-santos-1-habitaciones-1-banos/20686-M6496932</t>
  </si>
  <si>
    <t>18758-M6560923</t>
  </si>
  <si>
    <t>https://www.metrocuadrado.com/inmueble/venta-apartaestudio-bogota-pardo-rubio-1-habitaciones-1-banos-1-garajes/18758-M6560923</t>
  </si>
  <si>
    <t>15613-M5399187</t>
  </si>
  <si>
    <t>https://www.metrocuadrado.com/inmueble/venta-apartaestudio-bogota-chico-1-habitaciones-1-banos/15613-M5399187</t>
  </si>
  <si>
    <t>21362-M6131152</t>
  </si>
  <si>
    <t>https://www.metrocuadrado.com/inmueble/venta-apartaestudio-bogota-chico-norte-1-habitaciones-2-banos/21362-M6131152</t>
  </si>
  <si>
    <t>20832-M6187871</t>
  </si>
  <si>
    <t>https://www.metrocuadrado.com/inmueble/venta-apartaestudio-bogota-paloquemao-1-habitaciones-1-banos/20832-M6187871</t>
  </si>
  <si>
    <t>21362-M6125215</t>
  </si>
  <si>
    <t>https://www.metrocuadrado.com/inmueble/venta-apartaestudio-bogota-chico-norte-1-habitaciones-1-banos/21362-M6125215</t>
  </si>
  <si>
    <t>13436-M6329597</t>
  </si>
  <si>
    <t>https://www.metrocuadrado.com/inmueble/venta-apartaestudio-bogota-el-recuerdo-1-habitaciones-1-banos/13436-M6329597</t>
  </si>
  <si>
    <t>2412-M4935728</t>
  </si>
  <si>
    <t>https://www.metrocuadrado.com/inmueble/venta-apartaestudio-bogota-el-refugio-1-habitaciones-3-banos-2-garajes/2412-M4935728</t>
  </si>
  <si>
    <t>16288-M6324740</t>
  </si>
  <si>
    <t>https://www.metrocuadrado.com/inmueble/venta-apartaestudio-bogota-paloquemao-1-habitaciones-1-banos-1-garajes/16288-M6324740</t>
  </si>
  <si>
    <t>20690-M6481793</t>
  </si>
  <si>
    <t>https://www.metrocuadrado.com/inmueble/venta-apartaestudio-bogota-santa-barbara-central-1-habitaciones-2-banos-1-garajes/20690-M6481793</t>
  </si>
  <si>
    <t>22185-M6488041</t>
  </si>
  <si>
    <t>https://www.metrocuadrado.com/inmueble/venta-apartaestudio-bogota-bonanza-1-habitaciones-1-banos/22185-M6488041</t>
  </si>
  <si>
    <t>22145-M6549889</t>
  </si>
  <si>
    <t>https://www.metrocuadrado.com/inmueble/venta-apartaestudio-bogota-ciudad-jardin-norte-1-habitaciones-1-banos-1-garajes/22145-M6549889</t>
  </si>
  <si>
    <t>22189-M6451448</t>
  </si>
  <si>
    <t>https://www.metrocuadrado.com/inmueble/venta-apartaestudio-bogota-chico-norte-et.-iii-1-habitaciones-1-banos/22189-M6451448</t>
  </si>
  <si>
    <t>13436-M6473873</t>
  </si>
  <si>
    <t>https://www.metrocuadrado.com/inmueble/venta-apartaestudio-bogota-samper-1-habitaciones-1-banos/13436-M6473873</t>
  </si>
  <si>
    <t>2266-M5818494</t>
  </si>
  <si>
    <t>https://www.metrocuadrado.com/inmueble/venta-apartaestudio-bogota-la-sabana-1-habitaciones-1-banos-1-garajes/2266-M5818494</t>
  </si>
  <si>
    <t>20690-M6447962</t>
  </si>
  <si>
    <t>https://www.metrocuadrado.com/inmueble/venta-apartaestudio-bogota-asd-1-habitaciones-1-banos/20690-M6447962</t>
  </si>
  <si>
    <t>5044-M6054421</t>
  </si>
  <si>
    <t>https://www.metrocuadrado.com/inmueble/venta-apartaestudio-bogota-cedro-narvaez-1-habitaciones-1-banos-1-garajes/5044-M6054421</t>
  </si>
  <si>
    <t>2501-M6140031</t>
  </si>
  <si>
    <t>https://www.metrocuadrado.com/inmueble/venta-apartaestudio-bogota-chico-1-habitaciones-1-banos-1-garajes/2501-M6140031</t>
  </si>
  <si>
    <t>2328-M6449046</t>
  </si>
  <si>
    <t>https://www.metrocuadrado.com/inmueble/venta-apartaestudio-bogota-san-patricio-1-habitaciones-1-banos-1-garajes/2328-M6449046</t>
  </si>
  <si>
    <t>2266-M6321880</t>
  </si>
  <si>
    <t>https://www.metrocuadrado.com/inmueble/venta-apartaestudio-bogota-chico-1-habitaciones-1-banos/2266-M6321880</t>
  </si>
  <si>
    <t>2412-M6557436</t>
  </si>
  <si>
    <t>https://www.metrocuadrado.com/inmueble/venta-apartaestudio-bogota-chico-norte-1-habitaciones-1-banos-2-garajes/2412-M6557436</t>
  </si>
  <si>
    <t>19711-M6268239</t>
  </si>
  <si>
    <t>https://www.metrocuadrado.com/inmueble/venta-apartaestudio-bogota-cedritos-1-habitaciones-2-banos-1-garajes/19711-M6268239</t>
  </si>
  <si>
    <t>18758-M6432852</t>
  </si>
  <si>
    <t>https://www.metrocuadrado.com/inmueble/venta-apartaestudio-bogota-chico-1-habitaciones-1-banos-1-garajes/18758-M6432852</t>
  </si>
  <si>
    <t>164-M6395337</t>
  </si>
  <si>
    <t>https://www.metrocuadrado.com/inmueble/venta-apartaestudio-bogota-colina-campestre-1-habitaciones-1-banos/164-M6395337</t>
  </si>
  <si>
    <t>164-M5955662</t>
  </si>
  <si>
    <t>https://www.metrocuadrado.com/inmueble/venta-apartaestudio-bogota-san-martin-1-habitaciones-1-banos-1-garajes/164-M5955662</t>
  </si>
  <si>
    <t>164-M5955655</t>
  </si>
  <si>
    <t>https://www.metrocuadrado.com/inmueble/venta-apartaestudio-bogota-chico-1-habitaciones-1-banos/164-M5955655</t>
  </si>
  <si>
    <t>2469-M6562476</t>
  </si>
  <si>
    <t>https://www.metrocuadrado.com/inmueble/venta-apartaestudio-bogota-molinos-norte-1-habitaciones-1-banos-1-garajes/2469-M6562476</t>
  </si>
  <si>
    <t>183-M6112391</t>
  </si>
  <si>
    <t>https://www.metrocuadrado.com/inmueble/venta-apartaestudio-bogota-chapinero-central-1-habitaciones-1-banos-1-garajes/183-M6112391</t>
  </si>
  <si>
    <t>709-M6432589</t>
  </si>
  <si>
    <t>https://www.metrocuadrado.com/inmueble/venta-apartaestudio-bogota-puente-aranda-1-habitaciones-1-banos/709-M6432589</t>
  </si>
  <si>
    <t>2398-M6371525</t>
  </si>
  <si>
    <t>https://www.metrocuadrado.com/inmueble/venta-apartaestudio-bogota-centro-internacional-1-habitaciones-1-banos/2398-M6371525</t>
  </si>
  <si>
    <t>14836-M5814585</t>
  </si>
  <si>
    <t>https://www.metrocuadrado.com/inmueble/venta-apartaestudio-bogota-san-luis-1-habitaciones-1-banos/14836-M5814585</t>
  </si>
  <si>
    <t>2627-M6381088</t>
  </si>
  <si>
    <t>BELLAVISTA OCCIDENTAL</t>
  </si>
  <si>
    <t>https://www.metrocuadrado.com/inmueble/venta-apartaestudio-bogota-bellavista-occidental-1-habitaciones-1-banos/2627-M6381088</t>
  </si>
  <si>
    <t>17742-M6399054</t>
  </si>
  <si>
    <t>https://www.metrocuadrado.com/inmueble/venta-apartaestudio-bogota-chapinero-alto-1-habitaciones-1-banos/17742-M6399054</t>
  </si>
  <si>
    <t>MC6539292</t>
  </si>
  <si>
    <t>AEROPUERTO EL DORADO</t>
  </si>
  <si>
    <t>https://www.metrocuadrado.com/inmueble/venta-apartaestudio-bogota-aeropuerto-el-dorado-1-habitaciones-1-banos/MC6539292</t>
  </si>
  <si>
    <t>MC6373767</t>
  </si>
  <si>
    <t>https://www.metrocuadrado.com/inmueble/venta-apartaestudio-bogota-acacias-usaquen-1-habitaciones-1-banos-1-garajes/MC6373767</t>
  </si>
  <si>
    <t>MC6449363</t>
  </si>
  <si>
    <t>https://www.metrocuadrado.com/inmueble/venta-apartaestudio-bogota-los-olivos-1-habitaciones-1-banos/MC6449363</t>
  </si>
  <si>
    <t>MC6505375</t>
  </si>
  <si>
    <t>https://www.metrocuadrado.com/inmueble/venta-apartaestudio-bogota-alfonso-lopez-1-habitaciones-1-banos-1-garajes/MC6505375</t>
  </si>
  <si>
    <t>19983-M6158861</t>
  </si>
  <si>
    <t>https://www.metrocuadrado.com/inmueble/venta-apartaestudio-bogota-barrancas-1-habitaciones-1-banos-1-garajes/19983-M6158861</t>
  </si>
  <si>
    <t>21503-M6382361</t>
  </si>
  <si>
    <t>https://www.metrocuadrado.com/inmueble/venta-apartaestudio-bogota-chico-norte-et.-iii-1-habitaciones-1-banos-1-garajes/21503-M6382361</t>
  </si>
  <si>
    <t>22147-M6452383</t>
  </si>
  <si>
    <t>https://www.metrocuadrado.com/inmueble/venta-apartaestudio-bogota-bella-suiza-1-habitaciones-2-banos-1-garajes/22147-M6452383</t>
  </si>
  <si>
    <t>19077-M6359388</t>
  </si>
  <si>
    <t>https://www.metrocuadrado.com/inmueble/venta-apartaestudio-bogota-la-veracruz-1-habitaciones-1-banos/19077-M6359388</t>
  </si>
  <si>
    <t>19578-M6137832</t>
  </si>
  <si>
    <t>https://www.metrocuadrado.com/inmueble/venta-apartaestudio-bogota-teusaquillo-1-habitaciones-1-banos/19578-M6137832</t>
  </si>
  <si>
    <t>21242-M6544762</t>
  </si>
  <si>
    <t>https://www.metrocuadrado.com/inmueble/venta-apartaestudio-bogota-sears-1-habitaciones-1-banos/21242-M6544762</t>
  </si>
  <si>
    <t>11104-M6326597</t>
  </si>
  <si>
    <t>https://www.metrocuadrado.com/inmueble/venta-apartaestudio-bogota-chapinero-sur-occidental-1-habitaciones-1-banos/11104-M6326597</t>
  </si>
  <si>
    <t>19578-M6140478</t>
  </si>
  <si>
    <t>LA GRANJA NORTE</t>
  </si>
  <si>
    <t>https://www.metrocuadrado.com/inmueble/venta-apartaestudio-bogota-la-granja-norte-1-habitaciones-1-banos/19578-M6140478</t>
  </si>
  <si>
    <t>11104-M6554480</t>
  </si>
  <si>
    <t>https://www.metrocuadrado.com/inmueble/venta-apartaestudio-bogota-el-tintal-1-habitaciones-1-banos/11104-M6554480</t>
  </si>
  <si>
    <t>19578-M6232975</t>
  </si>
  <si>
    <t>https://www.metrocuadrado.com/inmueble/venta-apartaestudio-bogota-chapinero-central-1-habitaciones-1-banos-1-garajes/19578-M6232975</t>
  </si>
  <si>
    <t>21438-M6132439</t>
  </si>
  <si>
    <t>https://www.metrocuadrado.com/inmueble/venta-apartaestudio-bogota-las-nieves-1-habitaciones-1-banos-1-garajes/21438-M6132439</t>
  </si>
  <si>
    <t>3774-M6042605</t>
  </si>
  <si>
    <t>https://www.metrocuadrado.com/inmueble/venta-apartaestudio-bogota-las-nieves-1-habitaciones-2-banos/3774-M6042605</t>
  </si>
  <si>
    <t>11104-M6553766</t>
  </si>
  <si>
    <t>https://www.metrocuadrado.com/inmueble/venta-apartaestudio-bogota-los-andes-norte-1-habitaciones-1-banos/11104-M6553766</t>
  </si>
  <si>
    <t>603-M6101201</t>
  </si>
  <si>
    <t>CAMPIN</t>
  </si>
  <si>
    <t>https://www.metrocuadrado.com/inmueble/venta-apartaestudio-bogota-campin-1-habitaciones-1-banos/603-M6101201</t>
  </si>
  <si>
    <t>20426-M6075484</t>
  </si>
  <si>
    <t>COLOMBIA</t>
  </si>
  <si>
    <t>https://www.metrocuadrado.com/inmueble/venta-apartaestudio-bogota-colombia-1-habitaciones-1-banos/20426-M6075484</t>
  </si>
  <si>
    <t>19678-M6098684</t>
  </si>
  <si>
    <t>https://www.metrocuadrado.com/inmueble/venta-apartaestudio-bogota-santa-teresa-1-habitaciones-2-banos-1-garajes/19678-M6098684</t>
  </si>
  <si>
    <t>19696-M6252962</t>
  </si>
  <si>
    <t>https://www.metrocuadrado.com/inmueble/venta-apartaestudio-bogota-san-diego-1-habitaciones-1-banos/19696-M6252962</t>
  </si>
  <si>
    <t>11104-M6455667</t>
  </si>
  <si>
    <t>VALLADOLID</t>
  </si>
  <si>
    <t>https://www.metrocuadrado.com/inmueble/venta-apartaestudio-bogota-valladolid-1-habitaciones-1-banos/11104-M6455667</t>
  </si>
  <si>
    <t>20690-M6281821</t>
  </si>
  <si>
    <t>https://www.metrocuadrado.com/inmueble/venta-apartaestudio-bogota-santa-barbara-oriental-1-habitaciones-2-banos-1-garajes/20690-M6281821</t>
  </si>
  <si>
    <t>20742-M5985127</t>
  </si>
  <si>
    <t>https://www.metrocuadrado.com/inmueble/venta-apartaestudio-bogota-asd-1-habitaciones-1-banos-1-garajes/20742-M5985127</t>
  </si>
  <si>
    <t>20859-M6023882</t>
  </si>
  <si>
    <t>FONTIBON CENTRO</t>
  </si>
  <si>
    <t>https://www.metrocuadrado.com/inmueble/venta-apartaestudio-bogota-fontibon-centro-1-habitaciones-2-banos/20859-M6023882</t>
  </si>
  <si>
    <t>10307-M6186600</t>
  </si>
  <si>
    <t>https://www.metrocuadrado.com/inmueble/venta-apartaestudio-bogota-santa-bibiana-1-habitaciones-2-banos-2-garajes/10307-M6186600</t>
  </si>
  <si>
    <t>21416-M6377272</t>
  </si>
  <si>
    <t>https://www.metrocuadrado.com/inmueble/venta-apartaestudio-bogota-chapinero-central-1-habitaciones-1-banos/21416-M6377272</t>
  </si>
  <si>
    <t>20610-M5954327</t>
  </si>
  <si>
    <t>https://www.metrocuadrado.com/inmueble/venta-apartaestudio-bogota-el-redil-1-habitaciones-1-banos/20610-M5954327</t>
  </si>
  <si>
    <t>851-M3235307</t>
  </si>
  <si>
    <t>https://www.metrocuadrado.com/inmueble/venta-apartaestudio-bogota-bosque-calderon-2-habitaciones-2-banos-1-garajes/851-M3235307</t>
  </si>
  <si>
    <t>3553-M6566945</t>
  </si>
  <si>
    <t>https://www.metrocuadrado.com/inmueble/venta-apartaestudio-bogota-la-alameda-1-habitaciones-1-banos/3553-M6566945</t>
  </si>
  <si>
    <t>11104-M6523598</t>
  </si>
  <si>
    <t>https://www.metrocuadrado.com/inmueble/venta-apartaestudio-bogota-gran-america-1-habitaciones-1-banos/11104-M6523598</t>
  </si>
  <si>
    <t>2412-M5243834</t>
  </si>
  <si>
    <t>https://www.metrocuadrado.com/inmueble/venta-apartaestudio-bogota-cabrera-1-habitaciones-2-banos-1-garajes/2412-M5243834</t>
  </si>
  <si>
    <t>5255-M6520618</t>
  </si>
  <si>
    <t>https://www.metrocuadrado.com/inmueble/venta-apartaestudio-bogota-aeropuerto-el-dorado-1-habitaciones-1-banos/5255-M6520618</t>
  </si>
  <si>
    <t>5255-M6520086</t>
  </si>
  <si>
    <t>https://www.metrocuadrado.com/inmueble/venta-apartaestudio-bogota-aeropuerto-el-dorado-1-habitaciones-1-banos/5255-M6520086</t>
  </si>
  <si>
    <t>20690-M5972191</t>
  </si>
  <si>
    <t>https://www.metrocuadrado.com/inmueble/venta-apartaestudio-bogota-san-patricio-1-habitaciones-2-banos-1-garajes/20690-M5972191</t>
  </si>
  <si>
    <t>2266-M6409417</t>
  </si>
  <si>
    <t>https://www.metrocuadrado.com/inmueble/venta-apartaestudio-bogota-santa-bibiana-1-habitaciones-2-banos-1-garajes/2266-M6409417</t>
  </si>
  <si>
    <t>21242-M6099453</t>
  </si>
  <si>
    <t>https://www.metrocuadrado.com/inmueble/venta-apartaestudio-bogota-chico-norte-et-iii-1-habitaciones-1-banos-1-garajes/21242-M6099453</t>
  </si>
  <si>
    <t>20258-M6502335</t>
  </si>
  <si>
    <t>LOS EJIDOS</t>
  </si>
  <si>
    <t>https://www.metrocuadrado.com/inmueble/venta-apartaestudio-bogota-los-ejidos-1-habitaciones-1-banos/20258-M6502335</t>
  </si>
  <si>
    <t>20136-M5850133</t>
  </si>
  <si>
    <t>https://www.metrocuadrado.com/inmueble/venta-apartaestudio-bogota-colina-campestre-1-habitaciones-1-banos-1-garajes/20136-M5850133</t>
  </si>
  <si>
    <t>11104-M6270661</t>
  </si>
  <si>
    <t>https://www.metrocuadrado.com/inmueble/venta-apartaestudio-bogota-valladolid-1-habitaciones-1-banos/11104-M6270661</t>
  </si>
  <si>
    <t>164-M5956096</t>
  </si>
  <si>
    <t>https://www.metrocuadrado.com/inmueble/venta-apartaestudio-bogota-las-aguas-1-habitaciones-1-banos/164-M5956096</t>
  </si>
  <si>
    <t>164-M5954090</t>
  </si>
  <si>
    <t>https://www.metrocuadrado.com/inmueble/venta-apartaestudio-bogota-nicolas-de-federman-1-habitaciones-1-banos/164-M5954090</t>
  </si>
  <si>
    <t>164-M6361907</t>
  </si>
  <si>
    <t>https://www.metrocuadrado.com/inmueble/venta-apartaestudio-bogota-chapinero-alto-1-habitaciones-1-banos/164-M6361907</t>
  </si>
  <si>
    <t>164-M5956084</t>
  </si>
  <si>
    <t>https://www.metrocuadrado.com/inmueble/venta-apartaestudio-bogota-las-aguas-1-habitaciones-1-banos/164-M5956084</t>
  </si>
  <si>
    <t>164-M5956104</t>
  </si>
  <si>
    <t>https://www.metrocuadrado.com/inmueble/venta-apartaestudio-bogota-rincon-del-chico-1-habitaciones-1-banos/164-M5956104</t>
  </si>
  <si>
    <t>16766-M6410349</t>
  </si>
  <si>
    <t>https://www.metrocuadrado.com/inmueble/venta-apartaestudio-bogota-usaquen-1-habitaciones-1-banos/16766-M6410349</t>
  </si>
  <si>
    <t>3032-M6373529</t>
  </si>
  <si>
    <t>https://www.metrocuadrado.com/inmueble/venta-apartaestudio-bogota-barrancas-1-habitaciones-1-banos/3032-M6373529</t>
  </si>
  <si>
    <t>3155-M6433479</t>
  </si>
  <si>
    <t>https://www.metrocuadrado.com/inmueble/venta-apartaestudio-bogota-chico-norte-et-iii-1-habitaciones-1-banos/3155-M6433479</t>
  </si>
  <si>
    <t>2398-M6511251</t>
  </si>
  <si>
    <t>https://www.metrocuadrado.com/inmueble/venta-apartaestudio-bogota-centro-internacional-1-habitaciones-1-banos-1-garajes/2398-M6511251</t>
  </si>
  <si>
    <t>16957-M6491183</t>
  </si>
  <si>
    <t>https://www.metrocuadrado.com/inmueble/venta-apartaestudio-bogota-cedritos-1-habitaciones-1-banos-1-garajes/16957-M6491183</t>
  </si>
  <si>
    <t>MC6536204</t>
  </si>
  <si>
    <t>https://www.metrocuadrado.com/inmueble/venta-apartaestudio-bogota-quinta-paredes-2-habitaciones-1-banos-1-garajes/MC6536204</t>
  </si>
  <si>
    <t>MC6374362</t>
  </si>
  <si>
    <t>https://www.metrocuadrado.com/inmueble/venta-apartaestudio-bogota-molinos-norte-1-habitaciones-1-banos-1-garajes/MC6374362</t>
  </si>
  <si>
    <t>MC6461022</t>
  </si>
  <si>
    <t>https://www.metrocuadrado.com/inmueble/venta-apartaestudio-bogota-el-recuerdo-1-habitaciones-1-banos/MC6461022</t>
  </si>
  <si>
    <t>MC6511614</t>
  </si>
  <si>
    <t>https://www.metrocuadrado.com/inmueble/venta-apartaestudio-bogota-el-porvenir-1-habitaciones-1-banos/MC6511614</t>
  </si>
  <si>
    <t>pm2_5_exp</t>
  </si>
  <si>
    <t>pm10_exp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</si>
</sst>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" x14ac:knownFonts="1"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329BF-2F32-B14D-98D4-576379FB1069}">
  <sheetPr filterMode="1"/>
  <dimension ref="A1:BQ1973"/>
  <sheetViews>
    <sheetView tabSelected="1" zoomScale="140" zoomScaleNormal="140" workbookViewId="0">
      <selection activeCell="Q556" sqref="Q556"/>
    </sheetView>
  </sheetViews>
  <sheetFormatPr baseColWidth="10" defaultRowHeight="15" x14ac:dyDescent="0.2"/>
  <cols>
    <col min="13" max="13" width="17.6640625" bestFit="1" customWidth="1"/>
    <col min="25" max="25" width="22.6640625" customWidth="1"/>
    <col min="26" max="51" width="10.83203125" hidden="1" customWidth="1"/>
    <col min="52" max="53" width="10.83203125" customWidth="1"/>
    <col min="54" max="67" width="10.83203125" hidden="1" customWidth="1"/>
    <col min="68" max="69" width="10.83203125" customWidth="1"/>
  </cols>
  <sheetData>
    <row r="1" spans="1:6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4675</v>
      </c>
      <c r="BQ1" s="3" t="s">
        <v>4676</v>
      </c>
    </row>
    <row r="2" spans="1:69" hidden="1" x14ac:dyDescent="0.2">
      <c r="A2" t="s">
        <v>2260</v>
      </c>
      <c r="B2" t="s">
        <v>68</v>
      </c>
      <c r="C2" t="s">
        <v>1956</v>
      </c>
      <c r="D2" t="s">
        <v>70</v>
      </c>
      <c r="E2" t="s">
        <v>2261</v>
      </c>
      <c r="F2">
        <v>6</v>
      </c>
      <c r="G2">
        <v>2011</v>
      </c>
      <c r="H2">
        <v>3</v>
      </c>
      <c r="I2">
        <v>3</v>
      </c>
      <c r="J2">
        <v>4</v>
      </c>
      <c r="K2" t="s">
        <v>110</v>
      </c>
      <c r="L2" t="s">
        <v>162</v>
      </c>
      <c r="M2" s="4">
        <v>2100000000</v>
      </c>
      <c r="N2">
        <v>0</v>
      </c>
      <c r="O2">
        <v>4.8139590999999999</v>
      </c>
      <c r="P2">
        <v>-74.051210600000005</v>
      </c>
      <c r="Q2" t="s">
        <v>2262</v>
      </c>
      <c r="R2">
        <v>1044256.589</v>
      </c>
      <c r="S2">
        <v>0</v>
      </c>
      <c r="T2" t="s">
        <v>151</v>
      </c>
      <c r="U2" t="s">
        <v>152</v>
      </c>
      <c r="V2" t="s">
        <v>77</v>
      </c>
      <c r="W2" t="s">
        <v>119</v>
      </c>
      <c r="X2" t="s">
        <v>153</v>
      </c>
      <c r="Y2">
        <v>3.4531457190061401</v>
      </c>
      <c r="Z2">
        <v>3453.1457190061401</v>
      </c>
      <c r="AA2">
        <v>4.7837500000000004</v>
      </c>
      <c r="AB2">
        <v>-74.044138888888895</v>
      </c>
      <c r="AC2">
        <v>2580</v>
      </c>
      <c r="AD2">
        <v>0</v>
      </c>
      <c r="AE2" t="s">
        <v>154</v>
      </c>
      <c r="AF2" t="s">
        <v>107</v>
      </c>
      <c r="AG2" t="s">
        <v>82</v>
      </c>
      <c r="AH2" t="s">
        <v>83</v>
      </c>
      <c r="AI2" t="s">
        <v>121</v>
      </c>
      <c r="AJ2">
        <v>5.0599066891528199</v>
      </c>
      <c r="AK2">
        <v>1.41372080563708</v>
      </c>
      <c r="AL2">
        <v>1.6042099739951601</v>
      </c>
      <c r="AM2">
        <v>3.92468405345869</v>
      </c>
      <c r="AN2">
        <v>8.4510317365032108</v>
      </c>
      <c r="AO2">
        <v>0.91341736462263701</v>
      </c>
      <c r="AP2">
        <v>0.91341736462263701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15.3</v>
      </c>
      <c r="AZ2">
        <v>9.8000000000000007</v>
      </c>
      <c r="BA2">
        <v>29.7</v>
      </c>
      <c r="BB2">
        <v>564</v>
      </c>
      <c r="BC2">
        <v>68</v>
      </c>
      <c r="BD2">
        <v>1.8</v>
      </c>
      <c r="BE2">
        <v>43</v>
      </c>
      <c r="BF2">
        <v>25.4</v>
      </c>
      <c r="BG2">
        <v>162</v>
      </c>
      <c r="BH2">
        <v>9.1</v>
      </c>
      <c r="BI2">
        <v>9.1999999999999993</v>
      </c>
      <c r="BJ2">
        <v>18.3</v>
      </c>
      <c r="BK2">
        <v>0.34</v>
      </c>
      <c r="BL2">
        <v>7.3</v>
      </c>
      <c r="BM2">
        <v>0.9</v>
      </c>
      <c r="BN2">
        <v>7.5</v>
      </c>
      <c r="BO2">
        <v>2.9</v>
      </c>
      <c r="BP2">
        <f t="shared" ref="BP2:BP65" si="0">+AZ2*EXP(-0.0495*Y2)</f>
        <v>8.2602237255662185</v>
      </c>
      <c r="BQ2">
        <f t="shared" ref="BQ2:BQ65" si="1">+BA2*EXP(-0.024*Y2)</f>
        <v>27.337832495722239</v>
      </c>
    </row>
    <row r="3" spans="1:69" hidden="1" x14ac:dyDescent="0.2">
      <c r="A3" t="s">
        <v>2581</v>
      </c>
      <c r="B3" t="s">
        <v>68</v>
      </c>
      <c r="C3" t="s">
        <v>1956</v>
      </c>
      <c r="D3" t="s">
        <v>70</v>
      </c>
      <c r="E3" t="s">
        <v>2261</v>
      </c>
      <c r="F3">
        <v>6</v>
      </c>
      <c r="G3">
        <v>1890</v>
      </c>
      <c r="H3">
        <v>3</v>
      </c>
      <c r="I3">
        <v>5</v>
      </c>
      <c r="J3">
        <v>4</v>
      </c>
      <c r="K3" t="s">
        <v>110</v>
      </c>
      <c r="L3" t="s">
        <v>162</v>
      </c>
      <c r="M3" s="4">
        <v>2290000000</v>
      </c>
      <c r="N3">
        <v>0</v>
      </c>
      <c r="O3">
        <v>4.8204387000000004</v>
      </c>
      <c r="P3">
        <v>-74.046757999999997</v>
      </c>
      <c r="Q3" t="s">
        <v>2582</v>
      </c>
      <c r="R3">
        <v>1211640.2120000001</v>
      </c>
      <c r="S3">
        <v>0</v>
      </c>
      <c r="T3" t="s">
        <v>151</v>
      </c>
      <c r="U3" t="s">
        <v>152</v>
      </c>
      <c r="V3" t="s">
        <v>77</v>
      </c>
      <c r="W3" t="s">
        <v>119</v>
      </c>
      <c r="X3" t="s">
        <v>153</v>
      </c>
      <c r="Y3">
        <v>4.09448821812909</v>
      </c>
      <c r="Z3">
        <v>4094.48821812909</v>
      </c>
      <c r="AA3">
        <v>4.7837500000000004</v>
      </c>
      <c r="AB3">
        <v>-74.044138888888895</v>
      </c>
      <c r="AC3">
        <v>2580</v>
      </c>
      <c r="AD3">
        <v>0</v>
      </c>
      <c r="AE3" t="s">
        <v>154</v>
      </c>
      <c r="AF3" t="s">
        <v>107</v>
      </c>
      <c r="AG3" t="s">
        <v>82</v>
      </c>
      <c r="AH3" t="s">
        <v>83</v>
      </c>
      <c r="AI3" t="s">
        <v>121</v>
      </c>
      <c r="AJ3">
        <v>5.7155399927692496</v>
      </c>
      <c r="AK3">
        <v>0.77160018431333499</v>
      </c>
      <c r="AL3">
        <v>2.2530691605895798</v>
      </c>
      <c r="AM3">
        <v>4.7599114586370703</v>
      </c>
      <c r="AN3">
        <v>8.9977239712458097</v>
      </c>
      <c r="AO3">
        <v>4.3729363254590099E-2</v>
      </c>
      <c r="AP3">
        <v>4.3729363254590099E-2</v>
      </c>
      <c r="AQ3">
        <v>0</v>
      </c>
      <c r="AR3">
        <v>0</v>
      </c>
      <c r="AS3">
        <v>0</v>
      </c>
      <c r="AT3">
        <v>1</v>
      </c>
      <c r="AU3">
        <v>0</v>
      </c>
      <c r="AV3">
        <v>0</v>
      </c>
      <c r="AW3">
        <v>0</v>
      </c>
      <c r="AX3">
        <v>0</v>
      </c>
      <c r="AY3">
        <v>15.3</v>
      </c>
      <c r="AZ3">
        <v>9.8000000000000007</v>
      </c>
      <c r="BA3">
        <v>29.7</v>
      </c>
      <c r="BB3">
        <v>564</v>
      </c>
      <c r="BC3">
        <v>68</v>
      </c>
      <c r="BD3">
        <v>1.8</v>
      </c>
      <c r="BE3">
        <v>43</v>
      </c>
      <c r="BF3">
        <v>25.4</v>
      </c>
      <c r="BG3">
        <v>162</v>
      </c>
      <c r="BH3">
        <v>9.1</v>
      </c>
      <c r="BI3">
        <v>9.1999999999999993</v>
      </c>
      <c r="BJ3">
        <v>18.3</v>
      </c>
      <c r="BK3">
        <v>0.34</v>
      </c>
      <c r="BL3">
        <v>7.3</v>
      </c>
      <c r="BM3">
        <v>0.9</v>
      </c>
      <c r="BN3">
        <v>7.5</v>
      </c>
      <c r="BO3">
        <v>2.9</v>
      </c>
      <c r="BP3">
        <f t="shared" si="0"/>
        <v>8.0021096957215097</v>
      </c>
      <c r="BQ3">
        <f t="shared" si="1"/>
        <v>26.920264457915</v>
      </c>
    </row>
    <row r="4" spans="1:69" hidden="1" x14ac:dyDescent="0.2">
      <c r="A4" t="s">
        <v>2660</v>
      </c>
      <c r="B4" t="s">
        <v>68</v>
      </c>
      <c r="C4" t="s">
        <v>1956</v>
      </c>
      <c r="D4" t="s">
        <v>70</v>
      </c>
      <c r="E4" t="s">
        <v>2261</v>
      </c>
      <c r="F4">
        <v>6</v>
      </c>
      <c r="G4">
        <v>1868</v>
      </c>
      <c r="H4">
        <v>5</v>
      </c>
      <c r="I4">
        <v>5</v>
      </c>
      <c r="J4">
        <v>4</v>
      </c>
      <c r="K4" t="s">
        <v>110</v>
      </c>
      <c r="L4" t="s">
        <v>124</v>
      </c>
      <c r="M4" s="4">
        <v>3500000000</v>
      </c>
      <c r="N4">
        <v>0</v>
      </c>
      <c r="O4">
        <v>4.8180820630000003</v>
      </c>
      <c r="P4">
        <v>-74.05574799</v>
      </c>
      <c r="Q4" t="s">
        <v>2661</v>
      </c>
      <c r="R4">
        <v>1873661.67</v>
      </c>
      <c r="S4">
        <v>0</v>
      </c>
      <c r="T4" t="s">
        <v>151</v>
      </c>
      <c r="U4" t="s">
        <v>152</v>
      </c>
      <c r="V4" t="s">
        <v>77</v>
      </c>
      <c r="W4" t="s">
        <v>119</v>
      </c>
      <c r="X4" t="s">
        <v>153</v>
      </c>
      <c r="Y4">
        <v>4.0329589698894504</v>
      </c>
      <c r="Z4">
        <v>4032.9589698894501</v>
      </c>
      <c r="AA4">
        <v>4.7837500000000004</v>
      </c>
      <c r="AB4">
        <v>-74.044138888888895</v>
      </c>
      <c r="AC4">
        <v>2580</v>
      </c>
      <c r="AD4">
        <v>0</v>
      </c>
      <c r="AE4" t="s">
        <v>154</v>
      </c>
      <c r="AF4" t="s">
        <v>107</v>
      </c>
      <c r="AG4" t="s">
        <v>82</v>
      </c>
      <c r="AH4" t="s">
        <v>83</v>
      </c>
      <c r="AI4" t="s">
        <v>121</v>
      </c>
      <c r="AJ4">
        <v>5.6090262105301703</v>
      </c>
      <c r="AK4">
        <v>0.83612551821131298</v>
      </c>
      <c r="AL4">
        <v>2.2130557817765699</v>
      </c>
      <c r="AM4">
        <v>3.86283686422466</v>
      </c>
      <c r="AN4">
        <v>9.0500968605892602</v>
      </c>
      <c r="AO4">
        <v>0.80468241848390498</v>
      </c>
      <c r="AP4">
        <v>0.80468241848390498</v>
      </c>
      <c r="AQ4">
        <v>0</v>
      </c>
      <c r="AR4">
        <v>0</v>
      </c>
      <c r="AS4">
        <v>0</v>
      </c>
      <c r="AT4">
        <v>1</v>
      </c>
      <c r="AU4">
        <v>0</v>
      </c>
      <c r="AV4">
        <v>0</v>
      </c>
      <c r="AW4">
        <v>0</v>
      </c>
      <c r="AX4">
        <v>0</v>
      </c>
      <c r="AY4">
        <v>15.3</v>
      </c>
      <c r="AZ4">
        <v>9.8000000000000007</v>
      </c>
      <c r="BA4">
        <v>29.7</v>
      </c>
      <c r="BB4">
        <v>564</v>
      </c>
      <c r="BC4">
        <v>68</v>
      </c>
      <c r="BD4">
        <v>1.8</v>
      </c>
      <c r="BE4">
        <v>43</v>
      </c>
      <c r="BF4">
        <v>25.4</v>
      </c>
      <c r="BG4">
        <v>162</v>
      </c>
      <c r="BH4">
        <v>9.1</v>
      </c>
      <c r="BI4">
        <v>9.1999999999999993</v>
      </c>
      <c r="BJ4">
        <v>18.3</v>
      </c>
      <c r="BK4">
        <v>0.34</v>
      </c>
      <c r="BL4">
        <v>7.3</v>
      </c>
      <c r="BM4">
        <v>0.9</v>
      </c>
      <c r="BN4">
        <v>7.5</v>
      </c>
      <c r="BO4">
        <v>2.9</v>
      </c>
      <c r="BP4">
        <f t="shared" si="0"/>
        <v>8.0265188561140679</v>
      </c>
      <c r="BQ4">
        <f t="shared" si="1"/>
        <v>26.960047031415957</v>
      </c>
    </row>
    <row r="5" spans="1:69" hidden="1" x14ac:dyDescent="0.2">
      <c r="A5" t="s">
        <v>2672</v>
      </c>
      <c r="B5" t="s">
        <v>68</v>
      </c>
      <c r="C5" t="s">
        <v>1956</v>
      </c>
      <c r="D5" t="s">
        <v>70</v>
      </c>
      <c r="E5" t="s">
        <v>2261</v>
      </c>
      <c r="F5">
        <v>6</v>
      </c>
      <c r="G5">
        <v>1868</v>
      </c>
      <c r="H5">
        <v>5</v>
      </c>
      <c r="I5">
        <v>5</v>
      </c>
      <c r="J5">
        <v>4</v>
      </c>
      <c r="K5" t="s">
        <v>110</v>
      </c>
      <c r="L5" t="s">
        <v>124</v>
      </c>
      <c r="M5" s="4">
        <v>2900000000</v>
      </c>
      <c r="N5">
        <v>0</v>
      </c>
      <c r="O5">
        <v>4.8180820630000003</v>
      </c>
      <c r="P5">
        <v>-74.05574799</v>
      </c>
      <c r="Q5" t="s">
        <v>2673</v>
      </c>
      <c r="R5">
        <v>1552462.527</v>
      </c>
      <c r="S5">
        <v>0</v>
      </c>
      <c r="T5" t="s">
        <v>151</v>
      </c>
      <c r="U5" t="s">
        <v>152</v>
      </c>
      <c r="V5" t="s">
        <v>77</v>
      </c>
      <c r="W5" t="s">
        <v>119</v>
      </c>
      <c r="X5" t="s">
        <v>153</v>
      </c>
      <c r="Y5">
        <v>4.0329589698894504</v>
      </c>
      <c r="Z5">
        <v>4032.9589698894501</v>
      </c>
      <c r="AA5">
        <v>4.7837500000000004</v>
      </c>
      <c r="AB5">
        <v>-74.044138888888895</v>
      </c>
      <c r="AC5">
        <v>2580</v>
      </c>
      <c r="AD5">
        <v>0</v>
      </c>
      <c r="AE5" t="s">
        <v>154</v>
      </c>
      <c r="AF5" t="s">
        <v>107</v>
      </c>
      <c r="AG5" t="s">
        <v>82</v>
      </c>
      <c r="AH5" t="s">
        <v>83</v>
      </c>
      <c r="AI5" t="s">
        <v>121</v>
      </c>
      <c r="AJ5">
        <v>5.6090262105301703</v>
      </c>
      <c r="AK5">
        <v>0.83612551821131298</v>
      </c>
      <c r="AL5">
        <v>2.2130557817765699</v>
      </c>
      <c r="AM5">
        <v>3.86283686422466</v>
      </c>
      <c r="AN5">
        <v>9.0500968605892602</v>
      </c>
      <c r="AO5">
        <v>0.80468241848390498</v>
      </c>
      <c r="AP5">
        <v>0.80468241848390498</v>
      </c>
      <c r="AQ5">
        <v>0</v>
      </c>
      <c r="AR5">
        <v>0</v>
      </c>
      <c r="AS5">
        <v>0</v>
      </c>
      <c r="AT5">
        <v>1</v>
      </c>
      <c r="AU5">
        <v>0</v>
      </c>
      <c r="AV5">
        <v>0</v>
      </c>
      <c r="AW5">
        <v>0</v>
      </c>
      <c r="AX5">
        <v>0</v>
      </c>
      <c r="AY5">
        <v>15.3</v>
      </c>
      <c r="AZ5">
        <v>9.8000000000000007</v>
      </c>
      <c r="BA5">
        <v>29.7</v>
      </c>
      <c r="BB5">
        <v>564</v>
      </c>
      <c r="BC5">
        <v>68</v>
      </c>
      <c r="BD5">
        <v>1.8</v>
      </c>
      <c r="BE5">
        <v>43</v>
      </c>
      <c r="BF5">
        <v>25.4</v>
      </c>
      <c r="BG5">
        <v>162</v>
      </c>
      <c r="BH5">
        <v>9.1</v>
      </c>
      <c r="BI5">
        <v>9.1999999999999993</v>
      </c>
      <c r="BJ5">
        <v>18.3</v>
      </c>
      <c r="BK5">
        <v>0.34</v>
      </c>
      <c r="BL5">
        <v>7.3</v>
      </c>
      <c r="BM5">
        <v>0.9</v>
      </c>
      <c r="BN5">
        <v>7.5</v>
      </c>
      <c r="BO5">
        <v>2.9</v>
      </c>
      <c r="BP5">
        <f t="shared" si="0"/>
        <v>8.0265188561140679</v>
      </c>
      <c r="BQ5">
        <f t="shared" si="1"/>
        <v>26.960047031415957</v>
      </c>
    </row>
    <row r="6" spans="1:69" hidden="1" x14ac:dyDescent="0.2">
      <c r="A6" t="s">
        <v>3178</v>
      </c>
      <c r="B6" t="s">
        <v>68</v>
      </c>
      <c r="C6" t="s">
        <v>1956</v>
      </c>
      <c r="D6" t="s">
        <v>70</v>
      </c>
      <c r="E6" t="s">
        <v>2148</v>
      </c>
      <c r="F6">
        <v>6</v>
      </c>
      <c r="G6">
        <v>1801</v>
      </c>
      <c r="H6">
        <v>3</v>
      </c>
      <c r="I6">
        <v>5</v>
      </c>
      <c r="J6">
        <v>4</v>
      </c>
      <c r="K6" t="s">
        <v>110</v>
      </c>
      <c r="L6" t="s">
        <v>162</v>
      </c>
      <c r="M6" s="4">
        <v>2500000000</v>
      </c>
      <c r="N6">
        <v>0</v>
      </c>
      <c r="O6">
        <v>4.8126021000000003</v>
      </c>
      <c r="P6">
        <v>-74.053333300000006</v>
      </c>
      <c r="Q6" t="s">
        <v>3179</v>
      </c>
      <c r="R6">
        <v>1388117.7120000001</v>
      </c>
      <c r="S6">
        <v>0</v>
      </c>
      <c r="T6" t="s">
        <v>151</v>
      </c>
      <c r="U6" t="s">
        <v>152</v>
      </c>
      <c r="V6" t="s">
        <v>77</v>
      </c>
      <c r="W6" t="s">
        <v>119</v>
      </c>
      <c r="X6" t="s">
        <v>153</v>
      </c>
      <c r="Y6">
        <v>3.3698551768797702</v>
      </c>
      <c r="Z6">
        <v>3369.8551768797702</v>
      </c>
      <c r="AA6">
        <v>4.7837500000000004</v>
      </c>
      <c r="AB6">
        <v>-74.044138888888895</v>
      </c>
      <c r="AC6">
        <v>2580</v>
      </c>
      <c r="AD6">
        <v>0</v>
      </c>
      <c r="AE6" t="s">
        <v>154</v>
      </c>
      <c r="AF6" t="s">
        <v>107</v>
      </c>
      <c r="AG6" t="s">
        <v>82</v>
      </c>
      <c r="AH6" t="s">
        <v>83</v>
      </c>
      <c r="AI6" t="s">
        <v>121</v>
      </c>
      <c r="AJ6">
        <v>4.9581115541896299</v>
      </c>
      <c r="AK6">
        <v>1.4979391259994099</v>
      </c>
      <c r="AL6">
        <v>1.5514788581727801</v>
      </c>
      <c r="AM6">
        <v>3.6468441533585398</v>
      </c>
      <c r="AN6">
        <v>8.3889631346720694</v>
      </c>
      <c r="AO6">
        <v>1.16905227064911</v>
      </c>
      <c r="AP6">
        <v>1.16905227064911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15.3</v>
      </c>
      <c r="AZ6">
        <v>9.8000000000000007</v>
      </c>
      <c r="BA6">
        <v>29.7</v>
      </c>
      <c r="BB6">
        <v>564</v>
      </c>
      <c r="BC6">
        <v>68</v>
      </c>
      <c r="BD6">
        <v>1.8</v>
      </c>
      <c r="BE6">
        <v>43</v>
      </c>
      <c r="BF6">
        <v>25.4</v>
      </c>
      <c r="BG6">
        <v>162</v>
      </c>
      <c r="BH6">
        <v>9.1</v>
      </c>
      <c r="BI6">
        <v>9.1999999999999993</v>
      </c>
      <c r="BJ6">
        <v>18.3</v>
      </c>
      <c r="BK6">
        <v>0.34</v>
      </c>
      <c r="BL6">
        <v>7.3</v>
      </c>
      <c r="BM6">
        <v>0.9</v>
      </c>
      <c r="BN6">
        <v>7.5</v>
      </c>
      <c r="BO6">
        <v>2.9</v>
      </c>
      <c r="BP6">
        <f t="shared" si="0"/>
        <v>8.2943499527804168</v>
      </c>
      <c r="BQ6">
        <f t="shared" si="1"/>
        <v>27.392534741001946</v>
      </c>
    </row>
    <row r="7" spans="1:69" hidden="1" x14ac:dyDescent="0.2">
      <c r="A7" t="s">
        <v>3191</v>
      </c>
      <c r="B7" t="s">
        <v>68</v>
      </c>
      <c r="C7" t="s">
        <v>1956</v>
      </c>
      <c r="D7" t="s">
        <v>70</v>
      </c>
      <c r="E7" t="s">
        <v>2298</v>
      </c>
      <c r="F7">
        <v>6</v>
      </c>
      <c r="G7">
        <v>1800</v>
      </c>
      <c r="H7">
        <v>3</v>
      </c>
      <c r="I7">
        <v>5</v>
      </c>
      <c r="J7">
        <v>4</v>
      </c>
      <c r="K7" t="s">
        <v>110</v>
      </c>
      <c r="L7" t="s">
        <v>124</v>
      </c>
      <c r="M7" s="4">
        <v>2750000000</v>
      </c>
      <c r="N7">
        <v>0</v>
      </c>
      <c r="O7">
        <v>4.8213590000000002</v>
      </c>
      <c r="P7">
        <v>-74.031360000000006</v>
      </c>
      <c r="Q7" t="s">
        <v>3192</v>
      </c>
      <c r="R7">
        <v>1527777.7779999999</v>
      </c>
      <c r="S7">
        <v>0</v>
      </c>
      <c r="T7" t="s">
        <v>151</v>
      </c>
      <c r="U7" t="s">
        <v>152</v>
      </c>
      <c r="V7" t="s">
        <v>77</v>
      </c>
      <c r="W7" t="s">
        <v>119</v>
      </c>
      <c r="X7" t="s">
        <v>153</v>
      </c>
      <c r="Y7">
        <v>4.42008787073084</v>
      </c>
      <c r="Z7">
        <v>4420.0878707308402</v>
      </c>
      <c r="AA7">
        <v>4.7837500000000004</v>
      </c>
      <c r="AB7">
        <v>-74.044138888888895</v>
      </c>
      <c r="AC7">
        <v>2580</v>
      </c>
      <c r="AD7">
        <v>0</v>
      </c>
      <c r="AE7" t="s">
        <v>154</v>
      </c>
      <c r="AF7" t="s">
        <v>107</v>
      </c>
      <c r="AG7" t="s">
        <v>82</v>
      </c>
      <c r="AH7" t="s">
        <v>83</v>
      </c>
      <c r="AI7" t="s">
        <v>108</v>
      </c>
      <c r="AJ7">
        <v>5.9620712892185903</v>
      </c>
      <c r="AK7">
        <v>1.77319389152036</v>
      </c>
      <c r="AL7">
        <v>2.9278784134123401</v>
      </c>
      <c r="AM7">
        <v>5.0486084694380402</v>
      </c>
      <c r="AN7">
        <v>8.8361048103702</v>
      </c>
      <c r="AO7">
        <v>0.46653324857612399</v>
      </c>
      <c r="AP7">
        <v>0.46653324857612399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15.3</v>
      </c>
      <c r="AZ7">
        <v>9.8000000000000007</v>
      </c>
      <c r="BA7">
        <v>29.7</v>
      </c>
      <c r="BB7">
        <v>564</v>
      </c>
      <c r="BC7">
        <v>68</v>
      </c>
      <c r="BD7">
        <v>1.8</v>
      </c>
      <c r="BE7">
        <v>43</v>
      </c>
      <c r="BF7">
        <v>25.4</v>
      </c>
      <c r="BG7">
        <v>162</v>
      </c>
      <c r="BH7">
        <v>9.1</v>
      </c>
      <c r="BI7">
        <v>9.1999999999999993</v>
      </c>
      <c r="BJ7">
        <v>18.3</v>
      </c>
      <c r="BK7">
        <v>0.34</v>
      </c>
      <c r="BL7">
        <v>7.3</v>
      </c>
      <c r="BM7">
        <v>0.9</v>
      </c>
      <c r="BN7">
        <v>7.5</v>
      </c>
      <c r="BO7">
        <v>2.9</v>
      </c>
      <c r="BP7">
        <f t="shared" si="0"/>
        <v>7.8741719980211693</v>
      </c>
      <c r="BQ7">
        <f t="shared" si="1"/>
        <v>26.710718770141646</v>
      </c>
    </row>
    <row r="8" spans="1:69" hidden="1" x14ac:dyDescent="0.2">
      <c r="A8" t="s">
        <v>2011</v>
      </c>
      <c r="B8" t="s">
        <v>68</v>
      </c>
      <c r="C8" t="s">
        <v>1956</v>
      </c>
      <c r="D8" t="s">
        <v>70</v>
      </c>
      <c r="E8" t="s">
        <v>267</v>
      </c>
      <c r="F8">
        <v>6</v>
      </c>
      <c r="G8">
        <v>1750</v>
      </c>
      <c r="H8">
        <v>4</v>
      </c>
      <c r="I8">
        <v>5</v>
      </c>
      <c r="J8">
        <v>4</v>
      </c>
      <c r="K8" t="s">
        <v>110</v>
      </c>
      <c r="L8" t="s">
        <v>133</v>
      </c>
      <c r="M8" s="4">
        <v>2200000000</v>
      </c>
      <c r="N8">
        <v>0</v>
      </c>
      <c r="O8">
        <v>4.8176140790000002</v>
      </c>
      <c r="P8">
        <v>-74.037132260000007</v>
      </c>
      <c r="Q8" t="s">
        <v>2012</v>
      </c>
      <c r="R8">
        <v>1257142.8570000001</v>
      </c>
      <c r="S8">
        <v>0</v>
      </c>
      <c r="T8" t="s">
        <v>151</v>
      </c>
      <c r="U8" t="s">
        <v>152</v>
      </c>
      <c r="V8" t="s">
        <v>77</v>
      </c>
      <c r="W8" t="s">
        <v>119</v>
      </c>
      <c r="X8" t="s">
        <v>153</v>
      </c>
      <c r="Y8">
        <v>3.84902307510293</v>
      </c>
      <c r="Z8">
        <v>3849.0230751029299</v>
      </c>
      <c r="AA8">
        <v>4.7837500000000004</v>
      </c>
      <c r="AB8">
        <v>-74.044138888888895</v>
      </c>
      <c r="AC8">
        <v>2580</v>
      </c>
      <c r="AD8">
        <v>0</v>
      </c>
      <c r="AE8" t="s">
        <v>154</v>
      </c>
      <c r="AF8" t="s">
        <v>107</v>
      </c>
      <c r="AG8" t="s">
        <v>82</v>
      </c>
      <c r="AH8" t="s">
        <v>83</v>
      </c>
      <c r="AI8" t="s">
        <v>121</v>
      </c>
      <c r="AJ8">
        <v>5.43951883025162</v>
      </c>
      <c r="AK8">
        <v>1.4802123942452401</v>
      </c>
      <c r="AL8">
        <v>2.23093825414192</v>
      </c>
      <c r="AM8">
        <v>4.5017480447021097</v>
      </c>
      <c r="AN8">
        <v>8.4860429620587094</v>
      </c>
      <c r="AO8">
        <v>0.34209670346134502</v>
      </c>
      <c r="AP8">
        <v>0.34209670346134502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15.3</v>
      </c>
      <c r="AZ8">
        <v>9.8000000000000007</v>
      </c>
      <c r="BA8">
        <v>29.7</v>
      </c>
      <c r="BB8">
        <v>564</v>
      </c>
      <c r="BC8">
        <v>68</v>
      </c>
      <c r="BD8">
        <v>1.8</v>
      </c>
      <c r="BE8">
        <v>43</v>
      </c>
      <c r="BF8">
        <v>25.4</v>
      </c>
      <c r="BG8">
        <v>162</v>
      </c>
      <c r="BH8">
        <v>9.1</v>
      </c>
      <c r="BI8">
        <v>9.1999999999999993</v>
      </c>
      <c r="BJ8">
        <v>18.3</v>
      </c>
      <c r="BK8">
        <v>0.34</v>
      </c>
      <c r="BL8">
        <v>7.3</v>
      </c>
      <c r="BM8">
        <v>0.9</v>
      </c>
      <c r="BN8">
        <v>7.5</v>
      </c>
      <c r="BO8">
        <v>2.9</v>
      </c>
      <c r="BP8">
        <f t="shared" si="0"/>
        <v>8.099932622702589</v>
      </c>
      <c r="BQ8">
        <f t="shared" si="1"/>
        <v>27.079324198926614</v>
      </c>
    </row>
    <row r="9" spans="1:69" hidden="1" x14ac:dyDescent="0.2">
      <c r="A9" t="s">
        <v>2005</v>
      </c>
      <c r="B9" t="s">
        <v>68</v>
      </c>
      <c r="C9" t="s">
        <v>1956</v>
      </c>
      <c r="D9" t="s">
        <v>70</v>
      </c>
      <c r="E9" t="s">
        <v>267</v>
      </c>
      <c r="F9">
        <v>6</v>
      </c>
      <c r="G9">
        <v>1600</v>
      </c>
      <c r="H9">
        <v>4</v>
      </c>
      <c r="I9">
        <v>5</v>
      </c>
      <c r="J9">
        <v>3</v>
      </c>
      <c r="K9" t="s">
        <v>110</v>
      </c>
      <c r="L9" t="s">
        <v>111</v>
      </c>
      <c r="M9" s="4">
        <v>3300000000</v>
      </c>
      <c r="N9">
        <v>0</v>
      </c>
      <c r="O9">
        <v>4.8160290720000001</v>
      </c>
      <c r="P9">
        <v>-74.040786740000001</v>
      </c>
      <c r="Q9" t="s">
        <v>2006</v>
      </c>
      <c r="R9">
        <v>2062500</v>
      </c>
      <c r="S9">
        <v>0</v>
      </c>
      <c r="T9" t="s">
        <v>151</v>
      </c>
      <c r="U9" t="s">
        <v>152</v>
      </c>
      <c r="V9" t="s">
        <v>77</v>
      </c>
      <c r="W9" t="s">
        <v>119</v>
      </c>
      <c r="X9" t="s">
        <v>153</v>
      </c>
      <c r="Y9">
        <v>3.6124790729967402</v>
      </c>
      <c r="Z9">
        <v>3612.4790729967399</v>
      </c>
      <c r="AA9">
        <v>4.7837500000000004</v>
      </c>
      <c r="AB9">
        <v>-74.044138888888895</v>
      </c>
      <c r="AC9">
        <v>2580</v>
      </c>
      <c r="AD9">
        <v>0</v>
      </c>
      <c r="AE9" t="s">
        <v>154</v>
      </c>
      <c r="AF9" t="s">
        <v>107</v>
      </c>
      <c r="AG9" t="s">
        <v>82</v>
      </c>
      <c r="AH9" t="s">
        <v>83</v>
      </c>
      <c r="AI9" t="s">
        <v>121</v>
      </c>
      <c r="AJ9">
        <v>5.2264308223498004</v>
      </c>
      <c r="AK9">
        <v>1.3955567495507299</v>
      </c>
      <c r="AL9">
        <v>1.89747592109792</v>
      </c>
      <c r="AM9">
        <v>4.27697971317287</v>
      </c>
      <c r="AN9">
        <v>8.3783554766829802</v>
      </c>
      <c r="AO9">
        <v>4.4986339534027397E-3</v>
      </c>
      <c r="AP9">
        <v>4.4986339534027397E-3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15.3</v>
      </c>
      <c r="AZ9">
        <v>9.8000000000000007</v>
      </c>
      <c r="BA9">
        <v>29.7</v>
      </c>
      <c r="BB9">
        <v>564</v>
      </c>
      <c r="BC9">
        <v>68</v>
      </c>
      <c r="BD9">
        <v>1.8</v>
      </c>
      <c r="BE9">
        <v>43</v>
      </c>
      <c r="BF9">
        <v>25.4</v>
      </c>
      <c r="BG9">
        <v>162</v>
      </c>
      <c r="BH9">
        <v>9.1</v>
      </c>
      <c r="BI9">
        <v>9.1999999999999993</v>
      </c>
      <c r="BJ9">
        <v>18.3</v>
      </c>
      <c r="BK9">
        <v>0.34</v>
      </c>
      <c r="BL9">
        <v>7.3</v>
      </c>
      <c r="BM9">
        <v>0.9</v>
      </c>
      <c r="BN9">
        <v>7.5</v>
      </c>
      <c r="BO9">
        <v>2.9</v>
      </c>
      <c r="BP9">
        <f t="shared" si="0"/>
        <v>8.1953315712233348</v>
      </c>
      <c r="BQ9">
        <f t="shared" si="1"/>
        <v>27.233492236453881</v>
      </c>
    </row>
    <row r="10" spans="1:69" hidden="1" x14ac:dyDescent="0.2">
      <c r="A10" t="s">
        <v>2147</v>
      </c>
      <c r="B10" t="s">
        <v>68</v>
      </c>
      <c r="C10" t="s">
        <v>1956</v>
      </c>
      <c r="D10" t="s">
        <v>70</v>
      </c>
      <c r="E10" t="s">
        <v>2148</v>
      </c>
      <c r="F10">
        <v>6</v>
      </c>
      <c r="G10">
        <v>1600</v>
      </c>
      <c r="H10">
        <v>4</v>
      </c>
      <c r="I10">
        <v>4</v>
      </c>
      <c r="J10">
        <v>4</v>
      </c>
      <c r="K10" t="s">
        <v>110</v>
      </c>
      <c r="L10" t="s">
        <v>124</v>
      </c>
      <c r="M10" s="4">
        <v>2500000000</v>
      </c>
      <c r="N10">
        <v>0</v>
      </c>
      <c r="O10">
        <v>4.8180963180000003</v>
      </c>
      <c r="P10">
        <v>-74.050788870000005</v>
      </c>
      <c r="Q10" t="s">
        <v>2149</v>
      </c>
      <c r="R10">
        <v>1562500</v>
      </c>
      <c r="S10">
        <v>0</v>
      </c>
      <c r="T10" t="s">
        <v>151</v>
      </c>
      <c r="U10" t="s">
        <v>152</v>
      </c>
      <c r="V10" t="s">
        <v>77</v>
      </c>
      <c r="W10" t="s">
        <v>119</v>
      </c>
      <c r="X10" t="s">
        <v>153</v>
      </c>
      <c r="Y10">
        <v>3.8939265822086102</v>
      </c>
      <c r="Z10">
        <v>3893.9265822086099</v>
      </c>
      <c r="AA10">
        <v>4.7837500000000004</v>
      </c>
      <c r="AB10">
        <v>-74.044138888888895</v>
      </c>
      <c r="AC10">
        <v>2580</v>
      </c>
      <c r="AD10">
        <v>0</v>
      </c>
      <c r="AE10" t="s">
        <v>154</v>
      </c>
      <c r="AF10" t="s">
        <v>107</v>
      </c>
      <c r="AG10" t="s">
        <v>82</v>
      </c>
      <c r="AH10" t="s">
        <v>83</v>
      </c>
      <c r="AI10" t="s">
        <v>121</v>
      </c>
      <c r="AJ10">
        <v>5.5042122123604997</v>
      </c>
      <c r="AK10">
        <v>1.0065346488681499</v>
      </c>
      <c r="AL10">
        <v>2.0363985577223001</v>
      </c>
      <c r="AM10">
        <v>4.2540235854742701</v>
      </c>
      <c r="AN10">
        <v>8.8710697858277392</v>
      </c>
      <c r="AO10">
        <v>0.50813346522247405</v>
      </c>
      <c r="AP10">
        <v>0.50813346522247405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15.3</v>
      </c>
      <c r="AZ10">
        <v>9.8000000000000007</v>
      </c>
      <c r="BA10">
        <v>29.7</v>
      </c>
      <c r="BB10">
        <v>564</v>
      </c>
      <c r="BC10">
        <v>68</v>
      </c>
      <c r="BD10">
        <v>1.8</v>
      </c>
      <c r="BE10">
        <v>43</v>
      </c>
      <c r="BF10">
        <v>25.4</v>
      </c>
      <c r="BG10">
        <v>162</v>
      </c>
      <c r="BH10">
        <v>9.1</v>
      </c>
      <c r="BI10">
        <v>9.1999999999999993</v>
      </c>
      <c r="BJ10">
        <v>18.3</v>
      </c>
      <c r="BK10">
        <v>0.34</v>
      </c>
      <c r="BL10">
        <v>7.3</v>
      </c>
      <c r="BM10">
        <v>0.9</v>
      </c>
      <c r="BN10">
        <v>7.5</v>
      </c>
      <c r="BO10">
        <v>2.9</v>
      </c>
      <c r="BP10">
        <f t="shared" si="0"/>
        <v>8.0819487053325982</v>
      </c>
      <c r="BQ10">
        <f t="shared" si="1"/>
        <v>27.050156959247772</v>
      </c>
    </row>
    <row r="11" spans="1:69" hidden="1" x14ac:dyDescent="0.2">
      <c r="A11" t="s">
        <v>2328</v>
      </c>
      <c r="B11" t="s">
        <v>68</v>
      </c>
      <c r="C11" t="s">
        <v>1956</v>
      </c>
      <c r="D11" t="s">
        <v>70</v>
      </c>
      <c r="E11" t="s">
        <v>2063</v>
      </c>
      <c r="F11">
        <v>6</v>
      </c>
      <c r="G11">
        <v>1600</v>
      </c>
      <c r="H11">
        <v>3</v>
      </c>
      <c r="I11">
        <v>3</v>
      </c>
      <c r="J11">
        <v>4</v>
      </c>
      <c r="K11" t="s">
        <v>110</v>
      </c>
      <c r="L11" t="s">
        <v>162</v>
      </c>
      <c r="M11" s="4">
        <v>1600000000</v>
      </c>
      <c r="N11">
        <v>0</v>
      </c>
      <c r="O11">
        <v>4.812307358</v>
      </c>
      <c r="P11">
        <v>-74.061531070000001</v>
      </c>
      <c r="Q11" t="s">
        <v>2329</v>
      </c>
      <c r="R11">
        <v>1000000</v>
      </c>
      <c r="S11">
        <v>0</v>
      </c>
      <c r="T11" t="s">
        <v>151</v>
      </c>
      <c r="U11" t="s">
        <v>152</v>
      </c>
      <c r="V11" t="s">
        <v>77</v>
      </c>
      <c r="W11" t="s">
        <v>119</v>
      </c>
      <c r="X11" t="s">
        <v>153</v>
      </c>
      <c r="Y11">
        <v>3.7186281706879498</v>
      </c>
      <c r="Z11">
        <v>3718.6281706879499</v>
      </c>
      <c r="AA11">
        <v>4.7837500000000004</v>
      </c>
      <c r="AB11">
        <v>-74.044138888888895</v>
      </c>
      <c r="AC11">
        <v>2580</v>
      </c>
      <c r="AD11">
        <v>0</v>
      </c>
      <c r="AE11" t="s">
        <v>154</v>
      </c>
      <c r="AF11" t="s">
        <v>107</v>
      </c>
      <c r="AG11" t="s">
        <v>82</v>
      </c>
      <c r="AH11" t="s">
        <v>83</v>
      </c>
      <c r="AI11" t="s">
        <v>121</v>
      </c>
      <c r="AJ11">
        <v>5.2020826052911104</v>
      </c>
      <c r="AK11">
        <v>1.37348578665653</v>
      </c>
      <c r="AL11">
        <v>2.09956105718789</v>
      </c>
      <c r="AM11">
        <v>2.95958428063962</v>
      </c>
      <c r="AN11">
        <v>8.2663423577380701</v>
      </c>
      <c r="AO11">
        <v>1.6727417783598499</v>
      </c>
      <c r="AP11">
        <v>1.6727417783598499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15.3</v>
      </c>
      <c r="AZ11">
        <v>9.8000000000000007</v>
      </c>
      <c r="BA11">
        <v>29.7</v>
      </c>
      <c r="BB11">
        <v>564</v>
      </c>
      <c r="BC11">
        <v>68</v>
      </c>
      <c r="BD11">
        <v>1.8</v>
      </c>
      <c r="BE11">
        <v>43</v>
      </c>
      <c r="BF11">
        <v>25.4</v>
      </c>
      <c r="BG11">
        <v>162</v>
      </c>
      <c r="BH11">
        <v>9.1</v>
      </c>
      <c r="BI11">
        <v>9.1999999999999993</v>
      </c>
      <c r="BJ11">
        <v>18.3</v>
      </c>
      <c r="BK11">
        <v>0.34</v>
      </c>
      <c r="BL11">
        <v>7.3</v>
      </c>
      <c r="BM11">
        <v>0.9</v>
      </c>
      <c r="BN11">
        <v>7.5</v>
      </c>
      <c r="BO11">
        <v>2.9</v>
      </c>
      <c r="BP11">
        <f t="shared" si="0"/>
        <v>8.152383114745291</v>
      </c>
      <c r="BQ11">
        <f t="shared" si="1"/>
        <v>27.164201081183933</v>
      </c>
    </row>
    <row r="12" spans="1:69" hidden="1" x14ac:dyDescent="0.2">
      <c r="A12" t="s">
        <v>2677</v>
      </c>
      <c r="B12" t="s">
        <v>68</v>
      </c>
      <c r="C12" t="s">
        <v>1956</v>
      </c>
      <c r="D12" t="s">
        <v>70</v>
      </c>
      <c r="E12" t="s">
        <v>267</v>
      </c>
      <c r="F12">
        <v>6</v>
      </c>
      <c r="G12">
        <v>1504</v>
      </c>
      <c r="H12">
        <v>4</v>
      </c>
      <c r="I12">
        <v>5</v>
      </c>
      <c r="J12">
        <v>4</v>
      </c>
      <c r="K12" t="s">
        <v>110</v>
      </c>
      <c r="L12" t="s">
        <v>124</v>
      </c>
      <c r="M12" s="4">
        <v>2900000000</v>
      </c>
      <c r="N12">
        <v>0</v>
      </c>
      <c r="O12">
        <v>4.817742</v>
      </c>
      <c r="P12">
        <v>-74.052370600000003</v>
      </c>
      <c r="Q12" t="s">
        <v>2678</v>
      </c>
      <c r="R12">
        <v>1928191.4890000001</v>
      </c>
      <c r="S12">
        <v>0</v>
      </c>
      <c r="T12" t="s">
        <v>151</v>
      </c>
      <c r="U12" t="s">
        <v>152</v>
      </c>
      <c r="V12" t="s">
        <v>77</v>
      </c>
      <c r="W12" t="s">
        <v>119</v>
      </c>
      <c r="X12" t="s">
        <v>153</v>
      </c>
      <c r="Y12">
        <v>3.8925905019637201</v>
      </c>
      <c r="Z12">
        <v>3892.5905019637198</v>
      </c>
      <c r="AA12">
        <v>4.7837500000000004</v>
      </c>
      <c r="AB12">
        <v>-74.044138888888895</v>
      </c>
      <c r="AC12">
        <v>2580</v>
      </c>
      <c r="AD12">
        <v>0</v>
      </c>
      <c r="AE12" t="s">
        <v>154</v>
      </c>
      <c r="AF12" t="s">
        <v>107</v>
      </c>
      <c r="AG12" t="s">
        <v>82</v>
      </c>
      <c r="AH12" t="s">
        <v>83</v>
      </c>
      <c r="AI12" t="s">
        <v>121</v>
      </c>
      <c r="AJ12">
        <v>5.4938830719955201</v>
      </c>
      <c r="AK12">
        <v>0.97679083418824897</v>
      </c>
      <c r="AL12">
        <v>2.0415889236104401</v>
      </c>
      <c r="AM12">
        <v>4.0986835140405704</v>
      </c>
      <c r="AN12">
        <v>8.8882508666084004</v>
      </c>
      <c r="AO12">
        <v>0.63833532391733305</v>
      </c>
      <c r="AP12">
        <v>0.63833532391733305</v>
      </c>
      <c r="AQ12">
        <v>0</v>
      </c>
      <c r="AR12">
        <v>0</v>
      </c>
      <c r="AS12">
        <v>0</v>
      </c>
      <c r="AT12">
        <v>1</v>
      </c>
      <c r="AU12">
        <v>0</v>
      </c>
      <c r="AV12">
        <v>0</v>
      </c>
      <c r="AW12">
        <v>0</v>
      </c>
      <c r="AX12">
        <v>0</v>
      </c>
      <c r="AY12">
        <v>15.3</v>
      </c>
      <c r="AZ12">
        <v>9.8000000000000007</v>
      </c>
      <c r="BA12">
        <v>29.7</v>
      </c>
      <c r="BB12">
        <v>564</v>
      </c>
      <c r="BC12">
        <v>68</v>
      </c>
      <c r="BD12">
        <v>1.8</v>
      </c>
      <c r="BE12">
        <v>43</v>
      </c>
      <c r="BF12">
        <v>25.4</v>
      </c>
      <c r="BG12">
        <v>162</v>
      </c>
      <c r="BH12">
        <v>9.1</v>
      </c>
      <c r="BI12">
        <v>9.1999999999999993</v>
      </c>
      <c r="BJ12">
        <v>18.3</v>
      </c>
      <c r="BK12">
        <v>0.34</v>
      </c>
      <c r="BL12">
        <v>7.3</v>
      </c>
      <c r="BM12">
        <v>0.9</v>
      </c>
      <c r="BN12">
        <v>7.5</v>
      </c>
      <c r="BO12">
        <v>2.9</v>
      </c>
      <c r="BP12">
        <f t="shared" si="0"/>
        <v>8.0824832305423442</v>
      </c>
      <c r="BQ12">
        <f t="shared" si="1"/>
        <v>27.051024361482753</v>
      </c>
    </row>
    <row r="13" spans="1:69" hidden="1" x14ac:dyDescent="0.2">
      <c r="A13" t="s">
        <v>2409</v>
      </c>
      <c r="B13" t="s">
        <v>68</v>
      </c>
      <c r="C13" t="s">
        <v>1956</v>
      </c>
      <c r="D13" t="s">
        <v>70</v>
      </c>
      <c r="E13" t="s">
        <v>267</v>
      </c>
      <c r="F13">
        <v>6</v>
      </c>
      <c r="G13">
        <v>1385</v>
      </c>
      <c r="H13">
        <v>4</v>
      </c>
      <c r="I13">
        <v>5</v>
      </c>
      <c r="J13">
        <v>4</v>
      </c>
      <c r="K13" t="s">
        <v>110</v>
      </c>
      <c r="L13" t="s">
        <v>124</v>
      </c>
      <c r="M13" s="4">
        <v>3300000000</v>
      </c>
      <c r="N13">
        <v>0</v>
      </c>
      <c r="O13">
        <v>4.8190587999999996</v>
      </c>
      <c r="P13">
        <v>-74.046670199999994</v>
      </c>
      <c r="Q13" t="s">
        <v>2410</v>
      </c>
      <c r="R13">
        <v>2382671.48</v>
      </c>
      <c r="S13">
        <v>0</v>
      </c>
      <c r="T13" t="s">
        <v>151</v>
      </c>
      <c r="U13" t="s">
        <v>152</v>
      </c>
      <c r="V13" t="s">
        <v>77</v>
      </c>
      <c r="W13" t="s">
        <v>119</v>
      </c>
      <c r="X13" t="s">
        <v>153</v>
      </c>
      <c r="Y13">
        <v>3.9405747555796902</v>
      </c>
      <c r="Z13">
        <v>3940.5747555796902</v>
      </c>
      <c r="AA13">
        <v>4.7837500000000004</v>
      </c>
      <c r="AB13">
        <v>-74.044138888888895</v>
      </c>
      <c r="AC13">
        <v>2580</v>
      </c>
      <c r="AD13">
        <v>0</v>
      </c>
      <c r="AE13" t="s">
        <v>154</v>
      </c>
      <c r="AF13" t="s">
        <v>107</v>
      </c>
      <c r="AG13" t="s">
        <v>82</v>
      </c>
      <c r="AH13" t="s">
        <v>83</v>
      </c>
      <c r="AI13" t="s">
        <v>121</v>
      </c>
      <c r="AJ13">
        <v>5.5627343450081002</v>
      </c>
      <c r="AK13">
        <v>0.92392011095528503</v>
      </c>
      <c r="AL13">
        <v>2.10076822737927</v>
      </c>
      <c r="AM13">
        <v>4.60710569471697</v>
      </c>
      <c r="AN13">
        <v>8.8475875436133808</v>
      </c>
      <c r="AO13">
        <v>0.16535047044561901</v>
      </c>
      <c r="AP13">
        <v>0.16535047044561901</v>
      </c>
      <c r="AQ13">
        <v>0</v>
      </c>
      <c r="AR13">
        <v>0</v>
      </c>
      <c r="AS13">
        <v>0</v>
      </c>
      <c r="AT13">
        <v>1</v>
      </c>
      <c r="AU13">
        <v>0</v>
      </c>
      <c r="AV13">
        <v>0</v>
      </c>
      <c r="AW13">
        <v>0</v>
      </c>
      <c r="AX13">
        <v>0</v>
      </c>
      <c r="AY13">
        <v>15.3</v>
      </c>
      <c r="AZ13">
        <v>9.8000000000000007</v>
      </c>
      <c r="BA13">
        <v>29.7</v>
      </c>
      <c r="BB13">
        <v>564</v>
      </c>
      <c r="BC13">
        <v>68</v>
      </c>
      <c r="BD13">
        <v>1.8</v>
      </c>
      <c r="BE13">
        <v>43</v>
      </c>
      <c r="BF13">
        <v>25.4</v>
      </c>
      <c r="BG13">
        <v>162</v>
      </c>
      <c r="BH13">
        <v>9.1</v>
      </c>
      <c r="BI13">
        <v>9.1999999999999993</v>
      </c>
      <c r="BJ13">
        <v>18.3</v>
      </c>
      <c r="BK13">
        <v>0.34</v>
      </c>
      <c r="BL13">
        <v>7.3</v>
      </c>
      <c r="BM13">
        <v>0.9</v>
      </c>
      <c r="BN13">
        <v>7.5</v>
      </c>
      <c r="BO13">
        <v>2.9</v>
      </c>
      <c r="BP13">
        <f t="shared" si="0"/>
        <v>8.0633083315678338</v>
      </c>
      <c r="BQ13">
        <f t="shared" si="1"/>
        <v>27.019889735460431</v>
      </c>
    </row>
    <row r="14" spans="1:69" hidden="1" x14ac:dyDescent="0.2">
      <c r="A14" t="s">
        <v>2324</v>
      </c>
      <c r="B14" t="s">
        <v>68</v>
      </c>
      <c r="C14" t="s">
        <v>1956</v>
      </c>
      <c r="D14" t="s">
        <v>70</v>
      </c>
      <c r="E14" t="s">
        <v>267</v>
      </c>
      <c r="F14">
        <v>6</v>
      </c>
      <c r="G14">
        <v>1363</v>
      </c>
      <c r="H14">
        <v>4</v>
      </c>
      <c r="I14">
        <v>5</v>
      </c>
      <c r="J14">
        <v>4</v>
      </c>
      <c r="K14" t="s">
        <v>110</v>
      </c>
      <c r="L14" t="s">
        <v>124</v>
      </c>
      <c r="M14" s="4">
        <v>2950000000</v>
      </c>
      <c r="N14">
        <v>0</v>
      </c>
      <c r="O14">
        <v>4.8108782999999997</v>
      </c>
      <c r="P14">
        <v>-74.050259999999994</v>
      </c>
      <c r="Q14" t="s">
        <v>2325</v>
      </c>
      <c r="R14">
        <v>2164343.36</v>
      </c>
      <c r="S14">
        <v>0</v>
      </c>
      <c r="T14" t="s">
        <v>151</v>
      </c>
      <c r="U14" t="s">
        <v>152</v>
      </c>
      <c r="V14" t="s">
        <v>77</v>
      </c>
      <c r="W14" t="s">
        <v>119</v>
      </c>
      <c r="X14" t="s">
        <v>153</v>
      </c>
      <c r="Y14">
        <v>3.0953036570931198</v>
      </c>
      <c r="Z14">
        <v>3095.3036570931199</v>
      </c>
      <c r="AA14">
        <v>4.7837500000000004</v>
      </c>
      <c r="AB14">
        <v>-74.044138888888895</v>
      </c>
      <c r="AC14">
        <v>2580</v>
      </c>
      <c r="AD14">
        <v>0</v>
      </c>
      <c r="AE14" t="s">
        <v>154</v>
      </c>
      <c r="AF14" t="s">
        <v>107</v>
      </c>
      <c r="AG14" t="s">
        <v>82</v>
      </c>
      <c r="AH14" t="s">
        <v>83</v>
      </c>
      <c r="AI14" t="s">
        <v>121</v>
      </c>
      <c r="AJ14">
        <v>4.7068395194380503</v>
      </c>
      <c r="AK14">
        <v>1.76993575580106</v>
      </c>
      <c r="AL14">
        <v>1.2478266777634499</v>
      </c>
      <c r="AM14">
        <v>3.7587048093939699</v>
      </c>
      <c r="AN14">
        <v>8.0947626193541993</v>
      </c>
      <c r="AO14">
        <v>1.0929221851525199</v>
      </c>
      <c r="AP14">
        <v>1.0929221851525199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15.3</v>
      </c>
      <c r="AZ14">
        <v>9.8000000000000007</v>
      </c>
      <c r="BA14">
        <v>29.7</v>
      </c>
      <c r="BB14">
        <v>564</v>
      </c>
      <c r="BC14">
        <v>68</v>
      </c>
      <c r="BD14">
        <v>1.8</v>
      </c>
      <c r="BE14">
        <v>43</v>
      </c>
      <c r="BF14">
        <v>25.4</v>
      </c>
      <c r="BG14">
        <v>162</v>
      </c>
      <c r="BH14">
        <v>9.1</v>
      </c>
      <c r="BI14">
        <v>9.1999999999999993</v>
      </c>
      <c r="BJ14">
        <v>18.3</v>
      </c>
      <c r="BK14">
        <v>0.34</v>
      </c>
      <c r="BL14">
        <v>7.3</v>
      </c>
      <c r="BM14">
        <v>0.9</v>
      </c>
      <c r="BN14">
        <v>7.5</v>
      </c>
      <c r="BO14">
        <v>2.9</v>
      </c>
      <c r="BP14">
        <f t="shared" si="0"/>
        <v>8.4078421082875696</v>
      </c>
      <c r="BQ14">
        <f t="shared" si="1"/>
        <v>27.573626603388604</v>
      </c>
    </row>
    <row r="15" spans="1:69" hidden="1" x14ac:dyDescent="0.2">
      <c r="A15" t="s">
        <v>1999</v>
      </c>
      <c r="B15" t="s">
        <v>68</v>
      </c>
      <c r="C15" t="s">
        <v>1956</v>
      </c>
      <c r="D15" t="s">
        <v>70</v>
      </c>
      <c r="E15" t="s">
        <v>1724</v>
      </c>
      <c r="F15">
        <v>5</v>
      </c>
      <c r="G15">
        <v>900</v>
      </c>
      <c r="H15">
        <v>4</v>
      </c>
      <c r="I15">
        <v>5</v>
      </c>
      <c r="J15">
        <v>4</v>
      </c>
      <c r="K15" t="s">
        <v>110</v>
      </c>
      <c r="L15" t="s">
        <v>133</v>
      </c>
      <c r="M15" s="4">
        <v>3100000000</v>
      </c>
      <c r="N15">
        <v>0</v>
      </c>
      <c r="O15">
        <v>4.7701683040000002</v>
      </c>
      <c r="P15">
        <v>-74.065078740000004</v>
      </c>
      <c r="Q15" t="s">
        <v>2000</v>
      </c>
      <c r="R15">
        <v>3444444.4440000001</v>
      </c>
      <c r="S15">
        <v>0</v>
      </c>
      <c r="T15" t="s">
        <v>151</v>
      </c>
      <c r="U15" t="s">
        <v>152</v>
      </c>
      <c r="V15" t="s">
        <v>77</v>
      </c>
      <c r="W15" t="s">
        <v>119</v>
      </c>
      <c r="X15" t="s">
        <v>153</v>
      </c>
      <c r="Y15">
        <v>2.77160708616266</v>
      </c>
      <c r="Z15">
        <v>2771.6070861626599</v>
      </c>
      <c r="AA15">
        <v>4.7837500000000004</v>
      </c>
      <c r="AB15">
        <v>-74.044138888888895</v>
      </c>
      <c r="AC15">
        <v>2580</v>
      </c>
      <c r="AD15">
        <v>0</v>
      </c>
      <c r="AE15" t="s">
        <v>154</v>
      </c>
      <c r="AF15" t="s">
        <v>107</v>
      </c>
      <c r="AG15" t="s">
        <v>82</v>
      </c>
      <c r="AH15" t="s">
        <v>83</v>
      </c>
      <c r="AI15" t="s">
        <v>121</v>
      </c>
      <c r="AJ15">
        <v>2.38897832696111</v>
      </c>
      <c r="AK15">
        <v>3.44234673634671</v>
      </c>
      <c r="AL15">
        <v>2.25631198441797</v>
      </c>
      <c r="AM15">
        <v>0.72747322017037397</v>
      </c>
      <c r="AN15">
        <v>3.8897107110703302</v>
      </c>
      <c r="AO15">
        <v>0.122244389232121</v>
      </c>
      <c r="AP15">
        <v>0.122244389232121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2</v>
      </c>
      <c r="AW15">
        <v>0</v>
      </c>
      <c r="AX15">
        <v>0</v>
      </c>
      <c r="AY15">
        <v>15.3</v>
      </c>
      <c r="AZ15">
        <v>9.8000000000000007</v>
      </c>
      <c r="BA15">
        <v>29.7</v>
      </c>
      <c r="BB15">
        <v>564</v>
      </c>
      <c r="BC15">
        <v>68</v>
      </c>
      <c r="BD15">
        <v>1.8</v>
      </c>
      <c r="BE15">
        <v>43</v>
      </c>
      <c r="BF15">
        <v>25.4</v>
      </c>
      <c r="BG15">
        <v>162</v>
      </c>
      <c r="BH15">
        <v>9.1</v>
      </c>
      <c r="BI15">
        <v>9.1999999999999993</v>
      </c>
      <c r="BJ15">
        <v>18.3</v>
      </c>
      <c r="BK15">
        <v>0.34</v>
      </c>
      <c r="BL15">
        <v>7.3</v>
      </c>
      <c r="BM15">
        <v>0.9</v>
      </c>
      <c r="BN15">
        <v>7.5</v>
      </c>
      <c r="BO15">
        <v>2.9</v>
      </c>
      <c r="BP15">
        <f t="shared" si="0"/>
        <v>8.5436458815531005</v>
      </c>
      <c r="BQ15">
        <f t="shared" si="1"/>
        <v>27.788672558605196</v>
      </c>
    </row>
    <row r="16" spans="1:69" hidden="1" x14ac:dyDescent="0.2">
      <c r="A16" t="s">
        <v>2563</v>
      </c>
      <c r="B16" t="s">
        <v>68</v>
      </c>
      <c r="C16" t="s">
        <v>1956</v>
      </c>
      <c r="D16" t="s">
        <v>70</v>
      </c>
      <c r="E16" t="s">
        <v>1724</v>
      </c>
      <c r="F16">
        <v>5</v>
      </c>
      <c r="G16">
        <v>830</v>
      </c>
      <c r="H16">
        <v>5</v>
      </c>
      <c r="I16">
        <v>5</v>
      </c>
      <c r="J16">
        <v>4</v>
      </c>
      <c r="K16" t="s">
        <v>110</v>
      </c>
      <c r="L16" t="s">
        <v>124</v>
      </c>
      <c r="M16" s="4">
        <v>2300000000</v>
      </c>
      <c r="N16">
        <v>0</v>
      </c>
      <c r="O16">
        <v>4.7652292249999997</v>
      </c>
      <c r="P16">
        <v>-74.065948489999997</v>
      </c>
      <c r="Q16" t="s">
        <v>2564</v>
      </c>
      <c r="R16">
        <v>2771084.3369999998</v>
      </c>
      <c r="S16">
        <v>0</v>
      </c>
      <c r="T16" t="s">
        <v>119</v>
      </c>
      <c r="U16" t="s">
        <v>787</v>
      </c>
      <c r="V16" t="s">
        <v>77</v>
      </c>
      <c r="W16" t="s">
        <v>119</v>
      </c>
      <c r="X16" t="s">
        <v>788</v>
      </c>
      <c r="Y16">
        <v>3.0841350558093898</v>
      </c>
      <c r="Z16">
        <v>3084.13505580939</v>
      </c>
      <c r="AA16">
        <v>4.7612472222222202</v>
      </c>
      <c r="AB16">
        <v>-74.093461111111097</v>
      </c>
      <c r="AC16">
        <v>2571</v>
      </c>
      <c r="AD16">
        <v>6</v>
      </c>
      <c r="AE16" t="s">
        <v>154</v>
      </c>
      <c r="AF16" t="s">
        <v>107</v>
      </c>
      <c r="AG16" t="s">
        <v>82</v>
      </c>
      <c r="AH16" t="s">
        <v>83</v>
      </c>
      <c r="AI16" t="s">
        <v>121</v>
      </c>
      <c r="AJ16">
        <v>2.39333870812664</v>
      </c>
      <c r="AK16">
        <v>3.7700076337885302</v>
      </c>
      <c r="AL16">
        <v>1.90263122738712</v>
      </c>
      <c r="AM16">
        <v>0.37954664115924203</v>
      </c>
      <c r="AN16">
        <v>3.3963922241258402</v>
      </c>
      <c r="AO16">
        <v>0.11079426441282</v>
      </c>
      <c r="AP16">
        <v>0.11079426441282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5</v>
      </c>
      <c r="AW16">
        <v>0</v>
      </c>
      <c r="AX16">
        <v>1</v>
      </c>
      <c r="AY16">
        <v>15.3</v>
      </c>
      <c r="AZ16">
        <v>9.8000000000000007</v>
      </c>
      <c r="BA16">
        <v>29.7</v>
      </c>
      <c r="BB16">
        <v>564</v>
      </c>
      <c r="BC16">
        <v>68</v>
      </c>
      <c r="BD16">
        <v>1.8</v>
      </c>
      <c r="BE16">
        <v>43</v>
      </c>
      <c r="BF16">
        <v>25.4</v>
      </c>
      <c r="BG16">
        <v>162</v>
      </c>
      <c r="BH16">
        <v>9.1</v>
      </c>
      <c r="BI16">
        <v>9.1999999999999993</v>
      </c>
      <c r="BJ16">
        <v>18.3</v>
      </c>
      <c r="BK16">
        <v>0.34</v>
      </c>
      <c r="BL16">
        <v>7.3</v>
      </c>
      <c r="BM16">
        <v>0.9</v>
      </c>
      <c r="BN16">
        <v>7.5</v>
      </c>
      <c r="BO16">
        <v>2.9</v>
      </c>
      <c r="BP16">
        <f t="shared" si="0"/>
        <v>8.4124916332943691</v>
      </c>
      <c r="BQ16">
        <f t="shared" si="1"/>
        <v>27.581018606239848</v>
      </c>
    </row>
    <row r="17" spans="1:69" hidden="1" x14ac:dyDescent="0.2">
      <c r="A17" t="s">
        <v>2526</v>
      </c>
      <c r="B17" t="s">
        <v>68</v>
      </c>
      <c r="C17" t="s">
        <v>1956</v>
      </c>
      <c r="D17" t="s">
        <v>70</v>
      </c>
      <c r="E17" t="s">
        <v>1724</v>
      </c>
      <c r="F17">
        <v>5</v>
      </c>
      <c r="G17">
        <v>830</v>
      </c>
      <c r="H17">
        <v>5</v>
      </c>
      <c r="I17">
        <v>5</v>
      </c>
      <c r="J17">
        <v>4</v>
      </c>
      <c r="K17" t="s">
        <v>110</v>
      </c>
      <c r="L17" t="s">
        <v>124</v>
      </c>
      <c r="M17" s="4">
        <v>2300000000</v>
      </c>
      <c r="N17">
        <v>0</v>
      </c>
      <c r="O17">
        <v>4.7669339180000003</v>
      </c>
      <c r="P17">
        <v>-74.064353940000004</v>
      </c>
      <c r="Q17" t="s">
        <v>2527</v>
      </c>
      <c r="R17">
        <v>2771084.3369999998</v>
      </c>
      <c r="S17">
        <v>0</v>
      </c>
      <c r="T17" t="s">
        <v>151</v>
      </c>
      <c r="U17" t="s">
        <v>152</v>
      </c>
      <c r="V17" t="s">
        <v>77</v>
      </c>
      <c r="W17" t="s">
        <v>119</v>
      </c>
      <c r="X17" t="s">
        <v>153</v>
      </c>
      <c r="Y17">
        <v>2.9211490287600199</v>
      </c>
      <c r="Z17">
        <v>2921.14902876002</v>
      </c>
      <c r="AA17">
        <v>4.7837500000000004</v>
      </c>
      <c r="AB17">
        <v>-74.044138888888895</v>
      </c>
      <c r="AC17">
        <v>2580</v>
      </c>
      <c r="AD17">
        <v>0</v>
      </c>
      <c r="AE17" t="s">
        <v>154</v>
      </c>
      <c r="AF17" t="s">
        <v>107</v>
      </c>
      <c r="AG17" t="s">
        <v>82</v>
      </c>
      <c r="AH17" t="s">
        <v>83</v>
      </c>
      <c r="AI17" t="s">
        <v>121</v>
      </c>
      <c r="AJ17">
        <v>2.2429084280702698</v>
      </c>
      <c r="AK17">
        <v>3.7498935979611998</v>
      </c>
      <c r="AL17">
        <v>1.9215422897321801</v>
      </c>
      <c r="AM17">
        <v>0.58874580187233805</v>
      </c>
      <c r="AN17">
        <v>3.65416159275664</v>
      </c>
      <c r="AO17">
        <v>0.13631840953580601</v>
      </c>
      <c r="AP17">
        <v>0.13631840953580601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5</v>
      </c>
      <c r="AW17">
        <v>0</v>
      </c>
      <c r="AX17">
        <v>0</v>
      </c>
      <c r="AY17">
        <v>15.3</v>
      </c>
      <c r="AZ17">
        <v>9.8000000000000007</v>
      </c>
      <c r="BA17">
        <v>29.7</v>
      </c>
      <c r="BB17">
        <v>564</v>
      </c>
      <c r="BC17">
        <v>68</v>
      </c>
      <c r="BD17">
        <v>1.8</v>
      </c>
      <c r="BE17">
        <v>43</v>
      </c>
      <c r="BF17">
        <v>25.4</v>
      </c>
      <c r="BG17">
        <v>162</v>
      </c>
      <c r="BH17">
        <v>9.1</v>
      </c>
      <c r="BI17">
        <v>9.1999999999999993</v>
      </c>
      <c r="BJ17">
        <v>18.3</v>
      </c>
      <c r="BK17">
        <v>0.34</v>
      </c>
      <c r="BL17">
        <v>7.3</v>
      </c>
      <c r="BM17">
        <v>0.9</v>
      </c>
      <c r="BN17">
        <v>7.5</v>
      </c>
      <c r="BO17">
        <v>2.9</v>
      </c>
      <c r="BP17">
        <f t="shared" si="0"/>
        <v>8.4806365237764183</v>
      </c>
      <c r="BQ17">
        <f t="shared" si="1"/>
        <v>27.689117587355653</v>
      </c>
    </row>
    <row r="18" spans="1:69" hidden="1" x14ac:dyDescent="0.2">
      <c r="A18" t="s">
        <v>2123</v>
      </c>
      <c r="B18" t="s">
        <v>68</v>
      </c>
      <c r="C18" t="s">
        <v>1956</v>
      </c>
      <c r="D18" t="s">
        <v>70</v>
      </c>
      <c r="E18" t="s">
        <v>1724</v>
      </c>
      <c r="F18">
        <v>5</v>
      </c>
      <c r="G18">
        <v>800</v>
      </c>
      <c r="H18">
        <v>5</v>
      </c>
      <c r="I18">
        <v>5</v>
      </c>
      <c r="J18">
        <v>4</v>
      </c>
      <c r="K18" t="s">
        <v>110</v>
      </c>
      <c r="L18" t="s">
        <v>124</v>
      </c>
      <c r="M18" s="4">
        <v>3500000000</v>
      </c>
      <c r="N18">
        <v>0</v>
      </c>
      <c r="O18">
        <v>4.7674665449999996</v>
      </c>
      <c r="P18">
        <v>-74.061889649999998</v>
      </c>
      <c r="Q18" t="s">
        <v>2124</v>
      </c>
      <c r="R18">
        <v>4375000</v>
      </c>
      <c r="S18">
        <v>0</v>
      </c>
      <c r="T18" t="s">
        <v>151</v>
      </c>
      <c r="U18" t="s">
        <v>152</v>
      </c>
      <c r="V18" t="s">
        <v>77</v>
      </c>
      <c r="W18" t="s">
        <v>119</v>
      </c>
      <c r="X18" t="s">
        <v>153</v>
      </c>
      <c r="Y18">
        <v>2.6764328449627701</v>
      </c>
      <c r="Z18">
        <v>2676.4328449627701</v>
      </c>
      <c r="AA18">
        <v>4.7837500000000004</v>
      </c>
      <c r="AB18">
        <v>-74.044138888888895</v>
      </c>
      <c r="AC18">
        <v>2580</v>
      </c>
      <c r="AD18">
        <v>0</v>
      </c>
      <c r="AE18" t="s">
        <v>154</v>
      </c>
      <c r="AF18" t="s">
        <v>107</v>
      </c>
      <c r="AG18" t="s">
        <v>82</v>
      </c>
      <c r="AH18" t="s">
        <v>83</v>
      </c>
      <c r="AI18" t="s">
        <v>121</v>
      </c>
      <c r="AJ18">
        <v>1.9873048824605899</v>
      </c>
      <c r="AK18">
        <v>3.9044561436077201</v>
      </c>
      <c r="AL18">
        <v>1.8136536994154799</v>
      </c>
      <c r="AM18">
        <v>0.86683010614943301</v>
      </c>
      <c r="AN18">
        <v>3.8771974759123702</v>
      </c>
      <c r="AO18">
        <v>0.339757954763236</v>
      </c>
      <c r="AP18">
        <v>0.339757954763236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4</v>
      </c>
      <c r="AW18">
        <v>0</v>
      </c>
      <c r="AX18">
        <v>0</v>
      </c>
      <c r="AY18">
        <v>15.3</v>
      </c>
      <c r="AZ18">
        <v>9.8000000000000007</v>
      </c>
      <c r="BA18">
        <v>29.7</v>
      </c>
      <c r="BB18">
        <v>564</v>
      </c>
      <c r="BC18">
        <v>68</v>
      </c>
      <c r="BD18">
        <v>1.8</v>
      </c>
      <c r="BE18">
        <v>43</v>
      </c>
      <c r="BF18">
        <v>25.4</v>
      </c>
      <c r="BG18">
        <v>162</v>
      </c>
      <c r="BH18">
        <v>9.1</v>
      </c>
      <c r="BI18">
        <v>9.1999999999999993</v>
      </c>
      <c r="BJ18">
        <v>18.3</v>
      </c>
      <c r="BK18">
        <v>0.34</v>
      </c>
      <c r="BL18">
        <v>7.3</v>
      </c>
      <c r="BM18">
        <v>0.9</v>
      </c>
      <c r="BN18">
        <v>7.5</v>
      </c>
      <c r="BO18">
        <v>2.9</v>
      </c>
      <c r="BP18">
        <f t="shared" si="0"/>
        <v>8.5839910256255898</v>
      </c>
      <c r="BQ18">
        <f t="shared" si="1"/>
        <v>27.852219487137258</v>
      </c>
    </row>
    <row r="19" spans="1:69" hidden="1" x14ac:dyDescent="0.2">
      <c r="A19" t="s">
        <v>2029</v>
      </c>
      <c r="B19" t="s">
        <v>68</v>
      </c>
      <c r="C19" t="s">
        <v>1956</v>
      </c>
      <c r="D19" t="s">
        <v>70</v>
      </c>
      <c r="E19" t="s">
        <v>1724</v>
      </c>
      <c r="F19">
        <v>5</v>
      </c>
      <c r="G19">
        <v>800</v>
      </c>
      <c r="H19">
        <v>5</v>
      </c>
      <c r="I19">
        <v>5</v>
      </c>
      <c r="J19">
        <v>4</v>
      </c>
      <c r="K19" t="s">
        <v>110</v>
      </c>
      <c r="L19" t="s">
        <v>124</v>
      </c>
      <c r="M19" s="4">
        <v>3500000000</v>
      </c>
      <c r="N19">
        <v>0</v>
      </c>
      <c r="O19">
        <v>4.7683391569999998</v>
      </c>
      <c r="P19">
        <v>-74.062576289999996</v>
      </c>
      <c r="Q19" t="s">
        <v>2030</v>
      </c>
      <c r="R19">
        <v>4375000</v>
      </c>
      <c r="S19">
        <v>0</v>
      </c>
      <c r="T19" t="s">
        <v>151</v>
      </c>
      <c r="U19" t="s">
        <v>152</v>
      </c>
      <c r="V19" t="s">
        <v>77</v>
      </c>
      <c r="W19" t="s">
        <v>119</v>
      </c>
      <c r="X19" t="s">
        <v>153</v>
      </c>
      <c r="Y19">
        <v>2.6695222679614798</v>
      </c>
      <c r="Z19">
        <v>2669.5222679614799</v>
      </c>
      <c r="AA19">
        <v>4.7837500000000004</v>
      </c>
      <c r="AB19">
        <v>-74.044138888888895</v>
      </c>
      <c r="AC19">
        <v>2580</v>
      </c>
      <c r="AD19">
        <v>0</v>
      </c>
      <c r="AE19" t="s">
        <v>154</v>
      </c>
      <c r="AF19" t="s">
        <v>107</v>
      </c>
      <c r="AG19" t="s">
        <v>82</v>
      </c>
      <c r="AH19" t="s">
        <v>83</v>
      </c>
      <c r="AI19" t="s">
        <v>121</v>
      </c>
      <c r="AJ19">
        <v>2.0849417460296298</v>
      </c>
      <c r="AK19">
        <v>3.7830395755413799</v>
      </c>
      <c r="AL19">
        <v>1.9355459168537099</v>
      </c>
      <c r="AM19">
        <v>0.82989055733511496</v>
      </c>
      <c r="AN19">
        <v>3.8997031409737399</v>
      </c>
      <c r="AO19">
        <v>0.221016411394934</v>
      </c>
      <c r="AP19">
        <v>0.221016411394934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2</v>
      </c>
      <c r="AW19">
        <v>0</v>
      </c>
      <c r="AX19">
        <v>0</v>
      </c>
      <c r="AY19">
        <v>15.3</v>
      </c>
      <c r="AZ19">
        <v>9.8000000000000007</v>
      </c>
      <c r="BA19">
        <v>29.7</v>
      </c>
      <c r="BB19">
        <v>564</v>
      </c>
      <c r="BC19">
        <v>68</v>
      </c>
      <c r="BD19">
        <v>1.8</v>
      </c>
      <c r="BE19">
        <v>43</v>
      </c>
      <c r="BF19">
        <v>25.4</v>
      </c>
      <c r="BG19">
        <v>162</v>
      </c>
      <c r="BH19">
        <v>9.1</v>
      </c>
      <c r="BI19">
        <v>9.1999999999999993</v>
      </c>
      <c r="BJ19">
        <v>18.3</v>
      </c>
      <c r="BK19">
        <v>0.34</v>
      </c>
      <c r="BL19">
        <v>7.3</v>
      </c>
      <c r="BM19">
        <v>0.9</v>
      </c>
      <c r="BN19">
        <v>7.5</v>
      </c>
      <c r="BO19">
        <v>2.9</v>
      </c>
      <c r="BP19">
        <f t="shared" si="0"/>
        <v>8.5869278842903718</v>
      </c>
      <c r="BQ19">
        <f t="shared" si="1"/>
        <v>27.856839268009029</v>
      </c>
    </row>
    <row r="20" spans="1:69" hidden="1" x14ac:dyDescent="0.2">
      <c r="A20" t="s">
        <v>2159</v>
      </c>
      <c r="B20" t="s">
        <v>68</v>
      </c>
      <c r="C20" t="s">
        <v>1956</v>
      </c>
      <c r="D20" t="s">
        <v>70</v>
      </c>
      <c r="E20" t="s">
        <v>1724</v>
      </c>
      <c r="F20">
        <v>5</v>
      </c>
      <c r="G20">
        <v>800</v>
      </c>
      <c r="H20">
        <v>4</v>
      </c>
      <c r="I20">
        <v>5</v>
      </c>
      <c r="J20">
        <v>4</v>
      </c>
      <c r="K20" t="s">
        <v>110</v>
      </c>
      <c r="L20" t="s">
        <v>124</v>
      </c>
      <c r="M20" s="4">
        <v>2950000000</v>
      </c>
      <c r="N20">
        <v>0</v>
      </c>
      <c r="O20">
        <v>4.7675499920000002</v>
      </c>
      <c r="P20">
        <v>-74.063789369999995</v>
      </c>
      <c r="Q20" t="s">
        <v>2160</v>
      </c>
      <c r="R20">
        <v>3687500</v>
      </c>
      <c r="S20">
        <v>0</v>
      </c>
      <c r="T20" t="s">
        <v>151</v>
      </c>
      <c r="U20" t="s">
        <v>152</v>
      </c>
      <c r="V20" t="s">
        <v>77</v>
      </c>
      <c r="W20" t="s">
        <v>119</v>
      </c>
      <c r="X20" t="s">
        <v>153</v>
      </c>
      <c r="Y20">
        <v>2.8291475912250301</v>
      </c>
      <c r="Z20">
        <v>2829.1475912250298</v>
      </c>
      <c r="AA20">
        <v>4.7837500000000004</v>
      </c>
      <c r="AB20">
        <v>-74.044138888888895</v>
      </c>
      <c r="AC20">
        <v>2580</v>
      </c>
      <c r="AD20">
        <v>0</v>
      </c>
      <c r="AE20" t="s">
        <v>154</v>
      </c>
      <c r="AF20" t="s">
        <v>107</v>
      </c>
      <c r="AG20" t="s">
        <v>82</v>
      </c>
      <c r="AH20" t="s">
        <v>83</v>
      </c>
      <c r="AI20" t="s">
        <v>121</v>
      </c>
      <c r="AJ20">
        <v>2.19476381079421</v>
      </c>
      <c r="AK20">
        <v>3.7460532833308302</v>
      </c>
      <c r="AL20">
        <v>1.9375904629949301</v>
      </c>
      <c r="AM20">
        <v>0.67160974276534802</v>
      </c>
      <c r="AN20">
        <v>3.7465124411539601</v>
      </c>
      <c r="AO20">
        <v>0.16541016492492799</v>
      </c>
      <c r="AP20">
        <v>0.16541016492492799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3</v>
      </c>
      <c r="AW20">
        <v>0</v>
      </c>
      <c r="AX20">
        <v>0</v>
      </c>
      <c r="AY20">
        <v>15.3</v>
      </c>
      <c r="AZ20">
        <v>9.8000000000000007</v>
      </c>
      <c r="BA20">
        <v>29.7</v>
      </c>
      <c r="BB20">
        <v>564</v>
      </c>
      <c r="BC20">
        <v>68</v>
      </c>
      <c r="BD20">
        <v>1.8</v>
      </c>
      <c r="BE20">
        <v>43</v>
      </c>
      <c r="BF20">
        <v>25.4</v>
      </c>
      <c r="BG20">
        <v>162</v>
      </c>
      <c r="BH20">
        <v>9.1</v>
      </c>
      <c r="BI20">
        <v>9.1999999999999993</v>
      </c>
      <c r="BJ20">
        <v>18.3</v>
      </c>
      <c r="BK20">
        <v>0.34</v>
      </c>
      <c r="BL20">
        <v>7.3</v>
      </c>
      <c r="BM20">
        <v>0.9</v>
      </c>
      <c r="BN20">
        <v>7.5</v>
      </c>
      <c r="BO20">
        <v>2.9</v>
      </c>
      <c r="BP20">
        <f t="shared" si="0"/>
        <v>8.5193460219738313</v>
      </c>
      <c r="BQ20">
        <f t="shared" si="1"/>
        <v>27.750323661981469</v>
      </c>
    </row>
    <row r="21" spans="1:69" hidden="1" x14ac:dyDescent="0.2">
      <c r="A21" t="s">
        <v>2250</v>
      </c>
      <c r="B21" t="s">
        <v>68</v>
      </c>
      <c r="C21" t="s">
        <v>1956</v>
      </c>
      <c r="D21" t="s">
        <v>70</v>
      </c>
      <c r="E21" t="s">
        <v>1724</v>
      </c>
      <c r="F21">
        <v>5</v>
      </c>
      <c r="G21">
        <v>800</v>
      </c>
      <c r="H21">
        <v>4</v>
      </c>
      <c r="I21">
        <v>5</v>
      </c>
      <c r="J21">
        <v>4</v>
      </c>
      <c r="K21" t="s">
        <v>110</v>
      </c>
      <c r="L21" t="s">
        <v>133</v>
      </c>
      <c r="M21" s="4">
        <v>2700000000</v>
      </c>
      <c r="N21">
        <v>0</v>
      </c>
      <c r="O21">
        <v>4.7626752850000003</v>
      </c>
      <c r="P21">
        <v>-74.057853699999995</v>
      </c>
      <c r="Q21" t="s">
        <v>2251</v>
      </c>
      <c r="R21">
        <v>3375000</v>
      </c>
      <c r="S21">
        <v>0</v>
      </c>
      <c r="T21" t="s">
        <v>151</v>
      </c>
      <c r="U21" t="s">
        <v>152</v>
      </c>
      <c r="V21" t="s">
        <v>77</v>
      </c>
      <c r="W21" t="s">
        <v>119</v>
      </c>
      <c r="X21" t="s">
        <v>153</v>
      </c>
      <c r="Y21">
        <v>2.79617462281908</v>
      </c>
      <c r="Z21">
        <v>2796.17462281908</v>
      </c>
      <c r="AA21">
        <v>4.7837500000000004</v>
      </c>
      <c r="AB21">
        <v>-74.044138888888895</v>
      </c>
      <c r="AC21">
        <v>2580</v>
      </c>
      <c r="AD21">
        <v>0</v>
      </c>
      <c r="AE21" t="s">
        <v>154</v>
      </c>
      <c r="AF21" t="s">
        <v>107</v>
      </c>
      <c r="AG21" t="s">
        <v>82</v>
      </c>
      <c r="AH21" t="s">
        <v>83</v>
      </c>
      <c r="AI21" t="s">
        <v>121</v>
      </c>
      <c r="AJ21">
        <v>1.4885281563397399</v>
      </c>
      <c r="AK21">
        <v>3.90424789596663</v>
      </c>
      <c r="AL21">
        <v>1.1352276355469599</v>
      </c>
      <c r="AM21">
        <v>0.47921039253122999</v>
      </c>
      <c r="AN21">
        <v>3.8455426442801199</v>
      </c>
      <c r="AO21">
        <v>0.18692662152303099</v>
      </c>
      <c r="AP21">
        <v>0.18692662152303099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6</v>
      </c>
      <c r="AW21">
        <v>0</v>
      </c>
      <c r="AX21">
        <v>1</v>
      </c>
      <c r="AY21">
        <v>15.3</v>
      </c>
      <c r="AZ21">
        <v>9.8000000000000007</v>
      </c>
      <c r="BA21">
        <v>29.7</v>
      </c>
      <c r="BB21">
        <v>564</v>
      </c>
      <c r="BC21">
        <v>68</v>
      </c>
      <c r="BD21">
        <v>1.8</v>
      </c>
      <c r="BE21">
        <v>43</v>
      </c>
      <c r="BF21">
        <v>25.4</v>
      </c>
      <c r="BG21">
        <v>162</v>
      </c>
      <c r="BH21">
        <v>9.1</v>
      </c>
      <c r="BI21">
        <v>9.1999999999999993</v>
      </c>
      <c r="BJ21">
        <v>18.3</v>
      </c>
      <c r="BK21">
        <v>0.34</v>
      </c>
      <c r="BL21">
        <v>7.3</v>
      </c>
      <c r="BM21">
        <v>0.9</v>
      </c>
      <c r="BN21">
        <v>7.5</v>
      </c>
      <c r="BO21">
        <v>2.9</v>
      </c>
      <c r="BP21">
        <f t="shared" si="0"/>
        <v>8.5332623280144535</v>
      </c>
      <c r="BQ21">
        <f t="shared" si="1"/>
        <v>27.772292606499423</v>
      </c>
    </row>
    <row r="22" spans="1:69" hidden="1" x14ac:dyDescent="0.2">
      <c r="A22" t="s">
        <v>3244</v>
      </c>
      <c r="B22" t="s">
        <v>68</v>
      </c>
      <c r="C22" t="s">
        <v>1956</v>
      </c>
      <c r="D22" t="s">
        <v>70</v>
      </c>
      <c r="E22" t="s">
        <v>1724</v>
      </c>
      <c r="F22">
        <v>5</v>
      </c>
      <c r="G22">
        <v>800</v>
      </c>
      <c r="H22">
        <v>3</v>
      </c>
      <c r="I22">
        <v>5</v>
      </c>
      <c r="J22">
        <v>4</v>
      </c>
      <c r="K22" t="s">
        <v>110</v>
      </c>
      <c r="L22" t="s">
        <v>124</v>
      </c>
      <c r="M22" s="4">
        <v>2400000000</v>
      </c>
      <c r="N22">
        <v>0</v>
      </c>
      <c r="O22">
        <v>4.7657928470000002</v>
      </c>
      <c r="P22">
        <v>-74.064781190000005</v>
      </c>
      <c r="Q22" t="s">
        <v>3245</v>
      </c>
      <c r="R22">
        <v>3000000</v>
      </c>
      <c r="S22">
        <v>0</v>
      </c>
      <c r="T22" t="s">
        <v>151</v>
      </c>
      <c r="U22" t="s">
        <v>152</v>
      </c>
      <c r="V22" t="s">
        <v>77</v>
      </c>
      <c r="W22" t="s">
        <v>119</v>
      </c>
      <c r="X22" t="s">
        <v>153</v>
      </c>
      <c r="Y22">
        <v>3.0396776450968099</v>
      </c>
      <c r="Z22">
        <v>3039.67764509681</v>
      </c>
      <c r="AA22">
        <v>4.7837500000000004</v>
      </c>
      <c r="AB22">
        <v>-74.044138888888895</v>
      </c>
      <c r="AC22">
        <v>2580</v>
      </c>
      <c r="AD22">
        <v>0</v>
      </c>
      <c r="AE22" t="s">
        <v>154</v>
      </c>
      <c r="AF22" t="s">
        <v>107</v>
      </c>
      <c r="AG22" t="s">
        <v>82</v>
      </c>
      <c r="AH22" t="s">
        <v>83</v>
      </c>
      <c r="AI22" t="s">
        <v>121</v>
      </c>
      <c r="AJ22">
        <v>2.2710455928236599</v>
      </c>
      <c r="AK22">
        <v>3.8089723466702301</v>
      </c>
      <c r="AL22">
        <v>1.8565046200259501</v>
      </c>
      <c r="AM22">
        <v>0.51328058704588997</v>
      </c>
      <c r="AN22">
        <v>3.5269858226795101</v>
      </c>
      <c r="AO22">
        <v>7.0847032711356802E-3</v>
      </c>
      <c r="AP22">
        <v>7.0847032711356802E-3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5</v>
      </c>
      <c r="AW22">
        <v>0</v>
      </c>
      <c r="AX22">
        <v>1</v>
      </c>
      <c r="AY22">
        <v>15.3</v>
      </c>
      <c r="AZ22">
        <v>9.8000000000000007</v>
      </c>
      <c r="BA22">
        <v>29.7</v>
      </c>
      <c r="BB22">
        <v>564</v>
      </c>
      <c r="BC22">
        <v>68</v>
      </c>
      <c r="BD22">
        <v>1.8</v>
      </c>
      <c r="BE22">
        <v>43</v>
      </c>
      <c r="BF22">
        <v>25.4</v>
      </c>
      <c r="BG22">
        <v>162</v>
      </c>
      <c r="BH22">
        <v>9.1</v>
      </c>
      <c r="BI22">
        <v>9.1999999999999993</v>
      </c>
      <c r="BJ22">
        <v>18.3</v>
      </c>
      <c r="BK22">
        <v>0.34</v>
      </c>
      <c r="BL22">
        <v>7.3</v>
      </c>
      <c r="BM22">
        <v>0.9</v>
      </c>
      <c r="BN22">
        <v>7.5</v>
      </c>
      <c r="BO22">
        <v>2.9</v>
      </c>
      <c r="BP22">
        <f t="shared" si="0"/>
        <v>8.4310248993402261</v>
      </c>
      <c r="BQ22">
        <f t="shared" si="1"/>
        <v>27.610462647645761</v>
      </c>
    </row>
    <row r="23" spans="1:69" hidden="1" x14ac:dyDescent="0.2">
      <c r="A23" t="s">
        <v>2163</v>
      </c>
      <c r="B23" t="s">
        <v>68</v>
      </c>
      <c r="C23" t="s">
        <v>1956</v>
      </c>
      <c r="D23" t="s">
        <v>70</v>
      </c>
      <c r="E23" t="s">
        <v>1724</v>
      </c>
      <c r="F23">
        <v>5</v>
      </c>
      <c r="G23">
        <v>800</v>
      </c>
      <c r="H23">
        <v>3</v>
      </c>
      <c r="I23">
        <v>4</v>
      </c>
      <c r="J23">
        <v>4</v>
      </c>
      <c r="K23" t="s">
        <v>110</v>
      </c>
      <c r="L23" t="s">
        <v>115</v>
      </c>
      <c r="M23" s="4">
        <v>2400000000</v>
      </c>
      <c r="N23">
        <v>0</v>
      </c>
      <c r="O23">
        <v>4.7675499920000002</v>
      </c>
      <c r="P23">
        <v>-74.063789369999995</v>
      </c>
      <c r="Q23" t="s">
        <v>2164</v>
      </c>
      <c r="R23">
        <v>3000000</v>
      </c>
      <c r="S23">
        <v>0</v>
      </c>
      <c r="T23" t="s">
        <v>151</v>
      </c>
      <c r="U23" t="s">
        <v>152</v>
      </c>
      <c r="V23" t="s">
        <v>77</v>
      </c>
      <c r="W23" t="s">
        <v>119</v>
      </c>
      <c r="X23" t="s">
        <v>153</v>
      </c>
      <c r="Y23">
        <v>2.8291475912250301</v>
      </c>
      <c r="Z23">
        <v>2829.1475912250298</v>
      </c>
      <c r="AA23">
        <v>4.7837500000000004</v>
      </c>
      <c r="AB23">
        <v>-74.044138888888895</v>
      </c>
      <c r="AC23">
        <v>2580</v>
      </c>
      <c r="AD23">
        <v>0</v>
      </c>
      <c r="AE23" t="s">
        <v>154</v>
      </c>
      <c r="AF23" t="s">
        <v>107</v>
      </c>
      <c r="AG23" t="s">
        <v>82</v>
      </c>
      <c r="AH23" t="s">
        <v>83</v>
      </c>
      <c r="AI23" t="s">
        <v>121</v>
      </c>
      <c r="AJ23">
        <v>2.19476381079421</v>
      </c>
      <c r="AK23">
        <v>3.7460532833308302</v>
      </c>
      <c r="AL23">
        <v>1.9375904629949301</v>
      </c>
      <c r="AM23">
        <v>0.67160974276534802</v>
      </c>
      <c r="AN23">
        <v>3.7465124411539601</v>
      </c>
      <c r="AO23">
        <v>0.16541016492492799</v>
      </c>
      <c r="AP23">
        <v>0.16541016492492799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15.3</v>
      </c>
      <c r="AZ23">
        <v>9.8000000000000007</v>
      </c>
      <c r="BA23">
        <v>29.7</v>
      </c>
      <c r="BB23">
        <v>564</v>
      </c>
      <c r="BC23">
        <v>68</v>
      </c>
      <c r="BD23">
        <v>1.8</v>
      </c>
      <c r="BE23">
        <v>43</v>
      </c>
      <c r="BF23">
        <v>25.4</v>
      </c>
      <c r="BG23">
        <v>162</v>
      </c>
      <c r="BH23">
        <v>9.1</v>
      </c>
      <c r="BI23">
        <v>9.1999999999999993</v>
      </c>
      <c r="BJ23">
        <v>18.3</v>
      </c>
      <c r="BK23">
        <v>0.34</v>
      </c>
      <c r="BL23">
        <v>7.3</v>
      </c>
      <c r="BM23">
        <v>0.9</v>
      </c>
      <c r="BN23">
        <v>7.5</v>
      </c>
      <c r="BO23">
        <v>2.9</v>
      </c>
      <c r="BP23">
        <f t="shared" si="0"/>
        <v>8.5193460219738313</v>
      </c>
      <c r="BQ23">
        <f t="shared" si="1"/>
        <v>27.750323661981469</v>
      </c>
    </row>
    <row r="24" spans="1:69" hidden="1" x14ac:dyDescent="0.2">
      <c r="A24" t="s">
        <v>2781</v>
      </c>
      <c r="B24" t="s">
        <v>68</v>
      </c>
      <c r="C24" t="s">
        <v>1956</v>
      </c>
      <c r="D24" t="s">
        <v>70</v>
      </c>
      <c r="E24" t="s">
        <v>1724</v>
      </c>
      <c r="F24">
        <v>5</v>
      </c>
      <c r="G24">
        <v>800</v>
      </c>
      <c r="H24">
        <v>4</v>
      </c>
      <c r="I24">
        <v>5</v>
      </c>
      <c r="J24">
        <v>4</v>
      </c>
      <c r="K24" t="s">
        <v>110</v>
      </c>
      <c r="L24" t="s">
        <v>162</v>
      </c>
      <c r="M24" s="4">
        <v>2090000000</v>
      </c>
      <c r="N24">
        <v>0</v>
      </c>
      <c r="O24">
        <v>4.7665521000000002</v>
      </c>
      <c r="P24">
        <v>-74.061094900000001</v>
      </c>
      <c r="Q24" t="s">
        <v>2782</v>
      </c>
      <c r="R24">
        <v>2612500</v>
      </c>
      <c r="S24">
        <v>0</v>
      </c>
      <c r="T24" t="s">
        <v>151</v>
      </c>
      <c r="U24" t="s">
        <v>152</v>
      </c>
      <c r="V24" t="s">
        <v>77</v>
      </c>
      <c r="W24" t="s">
        <v>119</v>
      </c>
      <c r="X24" t="s">
        <v>153</v>
      </c>
      <c r="Y24">
        <v>2.6838889189606299</v>
      </c>
      <c r="Z24">
        <v>2683.8889189606298</v>
      </c>
      <c r="AA24">
        <v>4.7837500000000004</v>
      </c>
      <c r="AB24">
        <v>-74.044138888888895</v>
      </c>
      <c r="AC24">
        <v>2580</v>
      </c>
      <c r="AD24">
        <v>0</v>
      </c>
      <c r="AE24" t="s">
        <v>154</v>
      </c>
      <c r="AF24" t="s">
        <v>107</v>
      </c>
      <c r="AG24" t="s">
        <v>82</v>
      </c>
      <c r="AH24" t="s">
        <v>83</v>
      </c>
      <c r="AI24" t="s">
        <v>121</v>
      </c>
      <c r="AJ24">
        <v>1.87996382400283</v>
      </c>
      <c r="AK24">
        <v>4.0378551236991296</v>
      </c>
      <c r="AL24">
        <v>1.68188043383636</v>
      </c>
      <c r="AM24">
        <v>0.83020281545074204</v>
      </c>
      <c r="AN24">
        <v>3.8634618653786799</v>
      </c>
      <c r="AO24">
        <v>0.31789411643530102</v>
      </c>
      <c r="AP24">
        <v>0.31789411643530102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1</v>
      </c>
      <c r="AY24">
        <v>15.3</v>
      </c>
      <c r="AZ24">
        <v>9.8000000000000007</v>
      </c>
      <c r="BA24">
        <v>29.7</v>
      </c>
      <c r="BB24">
        <v>564</v>
      </c>
      <c r="BC24">
        <v>68</v>
      </c>
      <c r="BD24">
        <v>1.8</v>
      </c>
      <c r="BE24">
        <v>43</v>
      </c>
      <c r="BF24">
        <v>25.4</v>
      </c>
      <c r="BG24">
        <v>162</v>
      </c>
      <c r="BH24">
        <v>9.1</v>
      </c>
      <c r="BI24">
        <v>9.1999999999999993</v>
      </c>
      <c r="BJ24">
        <v>18.3</v>
      </c>
      <c r="BK24">
        <v>0.34</v>
      </c>
      <c r="BL24">
        <v>7.3</v>
      </c>
      <c r="BM24">
        <v>0.9</v>
      </c>
      <c r="BN24">
        <v>7.5</v>
      </c>
      <c r="BO24">
        <v>2.9</v>
      </c>
      <c r="BP24">
        <f t="shared" si="0"/>
        <v>8.580823468017698</v>
      </c>
      <c r="BQ24">
        <f t="shared" si="1"/>
        <v>27.84723589601883</v>
      </c>
    </row>
    <row r="25" spans="1:69" hidden="1" x14ac:dyDescent="0.2">
      <c r="A25" t="s">
        <v>2460</v>
      </c>
      <c r="B25" t="s">
        <v>68</v>
      </c>
      <c r="C25" t="s">
        <v>1956</v>
      </c>
      <c r="D25" t="s">
        <v>70</v>
      </c>
      <c r="E25" t="s">
        <v>1724</v>
      </c>
      <c r="F25">
        <v>5</v>
      </c>
      <c r="G25">
        <v>800</v>
      </c>
      <c r="H25">
        <v>4</v>
      </c>
      <c r="I25">
        <v>5</v>
      </c>
      <c r="J25">
        <v>4</v>
      </c>
      <c r="K25" t="s">
        <v>110</v>
      </c>
      <c r="L25" t="s">
        <v>124</v>
      </c>
      <c r="M25" s="4">
        <v>1860000000</v>
      </c>
      <c r="N25">
        <v>0</v>
      </c>
      <c r="O25">
        <v>4.7671403879999996</v>
      </c>
      <c r="P25">
        <v>-74.064491270000005</v>
      </c>
      <c r="Q25" t="s">
        <v>2461</v>
      </c>
      <c r="R25">
        <v>2325000</v>
      </c>
      <c r="S25">
        <v>0</v>
      </c>
      <c r="T25" t="s">
        <v>151</v>
      </c>
      <c r="U25" t="s">
        <v>152</v>
      </c>
      <c r="V25" t="s">
        <v>77</v>
      </c>
      <c r="W25" t="s">
        <v>119</v>
      </c>
      <c r="X25" t="s">
        <v>153</v>
      </c>
      <c r="Y25">
        <v>2.9182437900970801</v>
      </c>
      <c r="Z25">
        <v>2918.2437900970799</v>
      </c>
      <c r="AA25">
        <v>4.7837500000000004</v>
      </c>
      <c r="AB25">
        <v>-74.044138888888895</v>
      </c>
      <c r="AC25">
        <v>2580</v>
      </c>
      <c r="AD25">
        <v>0</v>
      </c>
      <c r="AE25" t="s">
        <v>154</v>
      </c>
      <c r="AF25" t="s">
        <v>107</v>
      </c>
      <c r="AG25" t="s">
        <v>82</v>
      </c>
      <c r="AH25" t="s">
        <v>83</v>
      </c>
      <c r="AI25" t="s">
        <v>121</v>
      </c>
      <c r="AJ25">
        <v>2.2620231370126098</v>
      </c>
      <c r="AK25">
        <v>3.7229348208066</v>
      </c>
      <c r="AL25">
        <v>1.9488679745086499</v>
      </c>
      <c r="AM25">
        <v>0.58243404697476397</v>
      </c>
      <c r="AN25">
        <v>3.6621848777225101</v>
      </c>
      <c r="AO25">
        <v>0.12975210837593101</v>
      </c>
      <c r="AP25">
        <v>0.12975210837593101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3</v>
      </c>
      <c r="AW25">
        <v>0</v>
      </c>
      <c r="AX25">
        <v>0</v>
      </c>
      <c r="AY25">
        <v>15.3</v>
      </c>
      <c r="AZ25">
        <v>9.8000000000000007</v>
      </c>
      <c r="BA25">
        <v>29.7</v>
      </c>
      <c r="BB25">
        <v>564</v>
      </c>
      <c r="BC25">
        <v>68</v>
      </c>
      <c r="BD25">
        <v>1.8</v>
      </c>
      <c r="BE25">
        <v>43</v>
      </c>
      <c r="BF25">
        <v>25.4</v>
      </c>
      <c r="BG25">
        <v>162</v>
      </c>
      <c r="BH25">
        <v>9.1</v>
      </c>
      <c r="BI25">
        <v>9.1999999999999993</v>
      </c>
      <c r="BJ25">
        <v>18.3</v>
      </c>
      <c r="BK25">
        <v>0.34</v>
      </c>
      <c r="BL25">
        <v>7.3</v>
      </c>
      <c r="BM25">
        <v>0.9</v>
      </c>
      <c r="BN25">
        <v>7.5</v>
      </c>
      <c r="BO25">
        <v>2.9</v>
      </c>
      <c r="BP25">
        <f t="shared" si="0"/>
        <v>8.4818562059943492</v>
      </c>
      <c r="BQ25">
        <f t="shared" si="1"/>
        <v>27.691048298543969</v>
      </c>
    </row>
    <row r="26" spans="1:69" hidden="1" x14ac:dyDescent="0.2">
      <c r="A26" t="s">
        <v>2543</v>
      </c>
      <c r="B26" t="s">
        <v>68</v>
      </c>
      <c r="C26" t="s">
        <v>1956</v>
      </c>
      <c r="D26" t="s">
        <v>70</v>
      </c>
      <c r="E26" t="s">
        <v>1724</v>
      </c>
      <c r="F26">
        <v>5</v>
      </c>
      <c r="G26">
        <v>800</v>
      </c>
      <c r="H26">
        <v>4</v>
      </c>
      <c r="I26">
        <v>4</v>
      </c>
      <c r="J26">
        <v>3</v>
      </c>
      <c r="K26" t="s">
        <v>110</v>
      </c>
      <c r="L26" t="s">
        <v>115</v>
      </c>
      <c r="M26" s="4">
        <v>1550000000</v>
      </c>
      <c r="N26">
        <v>0</v>
      </c>
      <c r="O26">
        <v>4.7679042819999999</v>
      </c>
      <c r="P26">
        <v>-74.063766479999998</v>
      </c>
      <c r="Q26" t="s">
        <v>2544</v>
      </c>
      <c r="R26">
        <v>1937500</v>
      </c>
      <c r="S26">
        <v>0</v>
      </c>
      <c r="T26" t="s">
        <v>151</v>
      </c>
      <c r="U26" t="s">
        <v>152</v>
      </c>
      <c r="V26" t="s">
        <v>77</v>
      </c>
      <c r="W26" t="s">
        <v>119</v>
      </c>
      <c r="X26" t="s">
        <v>153</v>
      </c>
      <c r="Y26">
        <v>2.8021985739372899</v>
      </c>
      <c r="Z26">
        <v>2802.1985739372899</v>
      </c>
      <c r="AA26">
        <v>4.7837500000000004</v>
      </c>
      <c r="AB26">
        <v>-74.044138888888895</v>
      </c>
      <c r="AC26">
        <v>2580</v>
      </c>
      <c r="AD26">
        <v>0</v>
      </c>
      <c r="AE26" t="s">
        <v>154</v>
      </c>
      <c r="AF26" t="s">
        <v>107</v>
      </c>
      <c r="AG26" t="s">
        <v>82</v>
      </c>
      <c r="AH26" t="s">
        <v>83</v>
      </c>
      <c r="AI26" t="s">
        <v>121</v>
      </c>
      <c r="AJ26">
        <v>2.20093202384655</v>
      </c>
      <c r="AK26">
        <v>3.7206393461723102</v>
      </c>
      <c r="AL26">
        <v>1.96790671742106</v>
      </c>
      <c r="AM26">
        <v>0.69004633469012899</v>
      </c>
      <c r="AN26">
        <v>3.7783837932031301</v>
      </c>
      <c r="AO26">
        <v>0.14425265453729899</v>
      </c>
      <c r="AP26">
        <v>0.14425265453729899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3</v>
      </c>
      <c r="AW26">
        <v>0</v>
      </c>
      <c r="AX26">
        <v>0</v>
      </c>
      <c r="AY26">
        <v>15.3</v>
      </c>
      <c r="AZ26">
        <v>9.8000000000000007</v>
      </c>
      <c r="BA26">
        <v>29.7</v>
      </c>
      <c r="BB26">
        <v>564</v>
      </c>
      <c r="BC26">
        <v>68</v>
      </c>
      <c r="BD26">
        <v>1.8</v>
      </c>
      <c r="BE26">
        <v>43</v>
      </c>
      <c r="BF26">
        <v>25.4</v>
      </c>
      <c r="BG26">
        <v>162</v>
      </c>
      <c r="BH26">
        <v>9.1</v>
      </c>
      <c r="BI26">
        <v>9.1999999999999993</v>
      </c>
      <c r="BJ26">
        <v>18.3</v>
      </c>
      <c r="BK26">
        <v>0.34</v>
      </c>
      <c r="BL26">
        <v>7.3</v>
      </c>
      <c r="BM26">
        <v>0.9</v>
      </c>
      <c r="BN26">
        <v>7.5</v>
      </c>
      <c r="BO26">
        <v>2.9</v>
      </c>
      <c r="BP26">
        <f t="shared" si="0"/>
        <v>8.5307182115631566</v>
      </c>
      <c r="BQ26">
        <f t="shared" si="1"/>
        <v>27.768277722337555</v>
      </c>
    </row>
    <row r="27" spans="1:69" hidden="1" x14ac:dyDescent="0.2">
      <c r="A27" t="s">
        <v>2345</v>
      </c>
      <c r="B27" t="s">
        <v>68</v>
      </c>
      <c r="C27" t="s">
        <v>1956</v>
      </c>
      <c r="D27" t="s">
        <v>70</v>
      </c>
      <c r="E27" t="s">
        <v>267</v>
      </c>
      <c r="F27">
        <v>6</v>
      </c>
      <c r="G27">
        <v>650</v>
      </c>
      <c r="H27">
        <v>4</v>
      </c>
      <c r="I27">
        <v>5</v>
      </c>
      <c r="J27">
        <v>4</v>
      </c>
      <c r="K27" t="s">
        <v>110</v>
      </c>
      <c r="L27" t="s">
        <v>124</v>
      </c>
      <c r="M27" s="4">
        <v>3300000000</v>
      </c>
      <c r="N27">
        <v>0</v>
      </c>
      <c r="O27">
        <v>4.8195161820000001</v>
      </c>
      <c r="P27">
        <v>-74.053352360000005</v>
      </c>
      <c r="Q27" t="s">
        <v>2346</v>
      </c>
      <c r="R27">
        <v>5076923.0769999996</v>
      </c>
      <c r="S27">
        <v>0</v>
      </c>
      <c r="T27" t="s">
        <v>151</v>
      </c>
      <c r="U27" t="s">
        <v>152</v>
      </c>
      <c r="V27" t="s">
        <v>77</v>
      </c>
      <c r="W27" t="s">
        <v>119</v>
      </c>
      <c r="X27" t="s">
        <v>153</v>
      </c>
      <c r="Y27">
        <v>4.1105587331789204</v>
      </c>
      <c r="Z27">
        <v>4110.5587331789202</v>
      </c>
      <c r="AA27">
        <v>4.7837500000000004</v>
      </c>
      <c r="AB27">
        <v>-74.044138888888895</v>
      </c>
      <c r="AC27">
        <v>2580</v>
      </c>
      <c r="AD27">
        <v>0</v>
      </c>
      <c r="AE27" t="s">
        <v>154</v>
      </c>
      <c r="AF27" t="s">
        <v>107</v>
      </c>
      <c r="AG27" t="s">
        <v>82</v>
      </c>
      <c r="AH27" t="s">
        <v>83</v>
      </c>
      <c r="AI27" t="s">
        <v>121</v>
      </c>
      <c r="AJ27">
        <v>5.70661893542173</v>
      </c>
      <c r="AK27">
        <v>0.75594310485893401</v>
      </c>
      <c r="AL27">
        <v>2.2612206892240101</v>
      </c>
      <c r="AM27">
        <v>4.1599099082114197</v>
      </c>
      <c r="AN27">
        <v>9.1089198403950107</v>
      </c>
      <c r="AO27">
        <v>0.53607127048732395</v>
      </c>
      <c r="AP27">
        <v>0.53607127048732395</v>
      </c>
      <c r="AQ27">
        <v>0</v>
      </c>
      <c r="AR27">
        <v>0</v>
      </c>
      <c r="AS27">
        <v>0</v>
      </c>
      <c r="AT27">
        <v>1</v>
      </c>
      <c r="AU27">
        <v>0</v>
      </c>
      <c r="AV27">
        <v>0</v>
      </c>
      <c r="AW27">
        <v>0</v>
      </c>
      <c r="AX27">
        <v>0</v>
      </c>
      <c r="AY27">
        <v>15.3</v>
      </c>
      <c r="AZ27">
        <v>9.8000000000000007</v>
      </c>
      <c r="BA27">
        <v>29.7</v>
      </c>
      <c r="BB27">
        <v>564</v>
      </c>
      <c r="BC27">
        <v>68</v>
      </c>
      <c r="BD27">
        <v>1.8</v>
      </c>
      <c r="BE27">
        <v>43</v>
      </c>
      <c r="BF27">
        <v>25.4</v>
      </c>
      <c r="BG27">
        <v>162</v>
      </c>
      <c r="BH27">
        <v>9.1</v>
      </c>
      <c r="BI27">
        <v>9.1999999999999993</v>
      </c>
      <c r="BJ27">
        <v>18.3</v>
      </c>
      <c r="BK27">
        <v>0.34</v>
      </c>
      <c r="BL27">
        <v>7.3</v>
      </c>
      <c r="BM27">
        <v>0.9</v>
      </c>
      <c r="BN27">
        <v>7.5</v>
      </c>
      <c r="BO27">
        <v>2.9</v>
      </c>
      <c r="BP27">
        <f t="shared" si="0"/>
        <v>7.9957466247356761</v>
      </c>
      <c r="BQ27">
        <f t="shared" si="1"/>
        <v>26.909883519605202</v>
      </c>
    </row>
    <row r="28" spans="1:69" hidden="1" x14ac:dyDescent="0.2">
      <c r="A28" t="s">
        <v>2127</v>
      </c>
      <c r="B28" t="s">
        <v>68</v>
      </c>
      <c r="C28" t="s">
        <v>1956</v>
      </c>
      <c r="D28" t="s">
        <v>70</v>
      </c>
      <c r="E28" t="s">
        <v>1724</v>
      </c>
      <c r="F28">
        <v>5</v>
      </c>
      <c r="G28">
        <v>630</v>
      </c>
      <c r="H28">
        <v>4</v>
      </c>
      <c r="I28">
        <v>5</v>
      </c>
      <c r="J28">
        <v>3</v>
      </c>
      <c r="K28" t="s">
        <v>110</v>
      </c>
      <c r="L28" t="s">
        <v>124</v>
      </c>
      <c r="M28" s="4">
        <v>1890000000</v>
      </c>
      <c r="N28">
        <v>0</v>
      </c>
      <c r="O28">
        <v>4.7617945669999999</v>
      </c>
      <c r="P28">
        <v>-74.059394839999996</v>
      </c>
      <c r="Q28" t="s">
        <v>2128</v>
      </c>
      <c r="R28">
        <v>3000000</v>
      </c>
      <c r="S28">
        <v>0</v>
      </c>
      <c r="T28" t="s">
        <v>117</v>
      </c>
      <c r="U28" t="s">
        <v>118</v>
      </c>
      <c r="V28" t="s">
        <v>77</v>
      </c>
      <c r="W28" t="s">
        <v>119</v>
      </c>
      <c r="X28" t="s">
        <v>120</v>
      </c>
      <c r="Y28">
        <v>2.9578814889487202</v>
      </c>
      <c r="Z28">
        <v>2957.8814889487198</v>
      </c>
      <c r="AA28">
        <v>4.73719444444444</v>
      </c>
      <c r="AB28">
        <v>-74.069472222222203</v>
      </c>
      <c r="AC28">
        <v>2555</v>
      </c>
      <c r="AD28">
        <v>0</v>
      </c>
      <c r="AE28" t="s">
        <v>80</v>
      </c>
      <c r="AF28" t="s">
        <v>107</v>
      </c>
      <c r="AG28" t="s">
        <v>82</v>
      </c>
      <c r="AH28" t="s">
        <v>83</v>
      </c>
      <c r="AI28" t="s">
        <v>121</v>
      </c>
      <c r="AJ28">
        <v>1.6663333633025199</v>
      </c>
      <c r="AK28">
        <v>4.0869924955383201</v>
      </c>
      <c r="AL28">
        <v>1.1367865492928899</v>
      </c>
      <c r="AM28">
        <v>0.31504281901537801</v>
      </c>
      <c r="AN28">
        <v>3.65091583118648</v>
      </c>
      <c r="AO28">
        <v>6.9784134266593096E-3</v>
      </c>
      <c r="AP28">
        <v>6.9784134266593096E-3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6</v>
      </c>
      <c r="AW28">
        <v>0</v>
      </c>
      <c r="AX28">
        <v>1</v>
      </c>
      <c r="AY28">
        <v>15.3</v>
      </c>
      <c r="AZ28">
        <v>9.8000000000000007</v>
      </c>
      <c r="BA28">
        <v>29.7</v>
      </c>
      <c r="BB28">
        <v>564</v>
      </c>
      <c r="BC28">
        <v>68</v>
      </c>
      <c r="BD28">
        <v>1.8</v>
      </c>
      <c r="BE28">
        <v>43</v>
      </c>
      <c r="BF28">
        <v>25.4</v>
      </c>
      <c r="BG28">
        <v>162</v>
      </c>
      <c r="BH28">
        <v>9.1</v>
      </c>
      <c r="BI28">
        <v>9.1999999999999993</v>
      </c>
      <c r="BJ28">
        <v>18.3</v>
      </c>
      <c r="BK28">
        <v>0.34</v>
      </c>
      <c r="BL28">
        <v>7.3</v>
      </c>
      <c r="BM28">
        <v>0.9</v>
      </c>
      <c r="BN28">
        <v>7.5</v>
      </c>
      <c r="BO28">
        <v>2.9</v>
      </c>
      <c r="BP28">
        <f t="shared" si="0"/>
        <v>8.46523055916815</v>
      </c>
      <c r="BQ28">
        <f t="shared" si="1"/>
        <v>27.664718198104506</v>
      </c>
    </row>
    <row r="29" spans="1:69" hidden="1" x14ac:dyDescent="0.2">
      <c r="A29" t="s">
        <v>2038</v>
      </c>
      <c r="B29" t="s">
        <v>68</v>
      </c>
      <c r="C29" t="s">
        <v>1956</v>
      </c>
      <c r="D29" t="s">
        <v>70</v>
      </c>
      <c r="E29" t="s">
        <v>1724</v>
      </c>
      <c r="F29">
        <v>6</v>
      </c>
      <c r="G29">
        <v>618</v>
      </c>
      <c r="H29">
        <v>4</v>
      </c>
      <c r="I29">
        <v>5</v>
      </c>
      <c r="J29">
        <v>4</v>
      </c>
      <c r="K29" t="s">
        <v>110</v>
      </c>
      <c r="L29" t="s">
        <v>124</v>
      </c>
      <c r="M29" s="4">
        <v>4000000000</v>
      </c>
      <c r="N29">
        <v>0</v>
      </c>
      <c r="O29">
        <v>4.7710514069999999</v>
      </c>
      <c r="P29">
        <v>-74.061302190000006</v>
      </c>
      <c r="Q29" t="s">
        <v>2039</v>
      </c>
      <c r="R29">
        <v>6472491.909</v>
      </c>
      <c r="S29">
        <v>0</v>
      </c>
      <c r="T29" t="s">
        <v>151</v>
      </c>
      <c r="U29" t="s">
        <v>152</v>
      </c>
      <c r="V29" t="s">
        <v>77</v>
      </c>
      <c r="W29" t="s">
        <v>119</v>
      </c>
      <c r="X29" t="s">
        <v>153</v>
      </c>
      <c r="Y29">
        <v>2.3713660970983499</v>
      </c>
      <c r="Z29">
        <v>2371.3660970983501</v>
      </c>
      <c r="AA29">
        <v>4.7837500000000004</v>
      </c>
      <c r="AB29">
        <v>-74.044138888888895</v>
      </c>
      <c r="AC29">
        <v>2580</v>
      </c>
      <c r="AD29">
        <v>0</v>
      </c>
      <c r="AE29" t="s">
        <v>154</v>
      </c>
      <c r="AF29" t="s">
        <v>107</v>
      </c>
      <c r="AG29" t="s">
        <v>82</v>
      </c>
      <c r="AH29" t="s">
        <v>83</v>
      </c>
      <c r="AI29" t="s">
        <v>121</v>
      </c>
      <c r="AJ29">
        <v>1.98104781459684</v>
      </c>
      <c r="AK29">
        <v>3.67160273100076</v>
      </c>
      <c r="AL29">
        <v>2.1361438092155298</v>
      </c>
      <c r="AM29">
        <v>1.10453057450254</v>
      </c>
      <c r="AN29">
        <v>4.2205885746857499</v>
      </c>
      <c r="AO29">
        <v>1.3439842702131701E-3</v>
      </c>
      <c r="AP29">
        <v>1.3439842702131701E-3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15.3</v>
      </c>
      <c r="AZ29">
        <v>9.8000000000000007</v>
      </c>
      <c r="BA29">
        <v>29.7</v>
      </c>
      <c r="BB29">
        <v>564</v>
      </c>
      <c r="BC29">
        <v>68</v>
      </c>
      <c r="BD29">
        <v>1.8</v>
      </c>
      <c r="BE29">
        <v>43</v>
      </c>
      <c r="BF29">
        <v>25.4</v>
      </c>
      <c r="BG29">
        <v>162</v>
      </c>
      <c r="BH29">
        <v>9.1</v>
      </c>
      <c r="BI29">
        <v>9.1999999999999993</v>
      </c>
      <c r="BJ29">
        <v>18.3</v>
      </c>
      <c r="BK29">
        <v>0.34</v>
      </c>
      <c r="BL29">
        <v>7.3</v>
      </c>
      <c r="BM29">
        <v>0.9</v>
      </c>
      <c r="BN29">
        <v>7.5</v>
      </c>
      <c r="BO29">
        <v>2.9</v>
      </c>
      <c r="BP29">
        <f t="shared" si="0"/>
        <v>8.7145998590739104</v>
      </c>
      <c r="BQ29">
        <f t="shared" si="1"/>
        <v>28.056890697881784</v>
      </c>
    </row>
    <row r="30" spans="1:69" hidden="1" x14ac:dyDescent="0.2">
      <c r="A30" t="s">
        <v>3121</v>
      </c>
      <c r="B30" t="s">
        <v>68</v>
      </c>
      <c r="C30" t="s">
        <v>1956</v>
      </c>
      <c r="D30" t="s">
        <v>70</v>
      </c>
      <c r="E30" t="s">
        <v>3122</v>
      </c>
      <c r="F30">
        <v>5</v>
      </c>
      <c r="G30">
        <v>600</v>
      </c>
      <c r="H30">
        <v>4</v>
      </c>
      <c r="I30">
        <v>5</v>
      </c>
      <c r="J30">
        <v>2</v>
      </c>
      <c r="K30" t="s">
        <v>110</v>
      </c>
      <c r="L30" t="s">
        <v>162</v>
      </c>
      <c r="M30" s="4">
        <v>4000000000</v>
      </c>
      <c r="N30">
        <v>0</v>
      </c>
      <c r="O30">
        <v>4.7175599999999998</v>
      </c>
      <c r="P30">
        <v>-74.081109999999995</v>
      </c>
      <c r="Q30" t="s">
        <v>3123</v>
      </c>
      <c r="R30">
        <v>6666666.6670000004</v>
      </c>
      <c r="S30">
        <v>0</v>
      </c>
      <c r="T30" t="s">
        <v>117</v>
      </c>
      <c r="U30" t="s">
        <v>118</v>
      </c>
      <c r="V30" t="s">
        <v>77</v>
      </c>
      <c r="W30" t="s">
        <v>119</v>
      </c>
      <c r="X30" t="s">
        <v>120</v>
      </c>
      <c r="Y30">
        <v>2.5385466162987802</v>
      </c>
      <c r="Z30">
        <v>2538.54661629878</v>
      </c>
      <c r="AA30">
        <v>4.73719444444444</v>
      </c>
      <c r="AB30">
        <v>-74.069472222222203</v>
      </c>
      <c r="AC30">
        <v>2555</v>
      </c>
      <c r="AD30">
        <v>0</v>
      </c>
      <c r="AE30" t="s">
        <v>80</v>
      </c>
      <c r="AF30" t="s">
        <v>107</v>
      </c>
      <c r="AG30" t="s">
        <v>82</v>
      </c>
      <c r="AH30" t="s">
        <v>83</v>
      </c>
      <c r="AI30" t="s">
        <v>121</v>
      </c>
      <c r="AJ30">
        <v>0.81922158178506599</v>
      </c>
      <c r="AK30">
        <v>5.0192088388221299</v>
      </c>
      <c r="AL30">
        <v>1.0776062556278401</v>
      </c>
      <c r="AM30">
        <v>0.36967843036527098</v>
      </c>
      <c r="AN30">
        <v>2.6770009976990301</v>
      </c>
      <c r="AO30">
        <v>0.29353017745225901</v>
      </c>
      <c r="AP30">
        <v>0.29353017745225901</v>
      </c>
      <c r="AQ30">
        <v>0</v>
      </c>
      <c r="AR30">
        <v>1</v>
      </c>
      <c r="AS30">
        <v>0</v>
      </c>
      <c r="AT30">
        <v>0</v>
      </c>
      <c r="AU30">
        <v>0</v>
      </c>
      <c r="AV30">
        <v>10</v>
      </c>
      <c r="AW30">
        <v>0</v>
      </c>
      <c r="AX30">
        <v>0</v>
      </c>
      <c r="AY30">
        <v>15.3</v>
      </c>
      <c r="AZ30">
        <v>9.8000000000000007</v>
      </c>
      <c r="BA30">
        <v>29.7</v>
      </c>
      <c r="BB30">
        <v>564</v>
      </c>
      <c r="BC30">
        <v>68</v>
      </c>
      <c r="BD30">
        <v>1.8</v>
      </c>
      <c r="BE30">
        <v>43</v>
      </c>
      <c r="BF30">
        <v>25.4</v>
      </c>
      <c r="BG30">
        <v>162</v>
      </c>
      <c r="BH30">
        <v>9.1</v>
      </c>
      <c r="BI30">
        <v>9.1999999999999993</v>
      </c>
      <c r="BJ30">
        <v>18.3</v>
      </c>
      <c r="BK30">
        <v>0.34</v>
      </c>
      <c r="BL30">
        <v>7.3</v>
      </c>
      <c r="BM30">
        <v>0.9</v>
      </c>
      <c r="BN30">
        <v>7.5</v>
      </c>
      <c r="BO30">
        <v>2.9</v>
      </c>
      <c r="BP30">
        <f t="shared" si="0"/>
        <v>8.6427803271112733</v>
      </c>
      <c r="BQ30">
        <f t="shared" si="1"/>
        <v>27.94454266413906</v>
      </c>
    </row>
    <row r="31" spans="1:69" hidden="1" x14ac:dyDescent="0.2">
      <c r="A31" t="s">
        <v>2129</v>
      </c>
      <c r="B31" t="s">
        <v>68</v>
      </c>
      <c r="C31" t="s">
        <v>1956</v>
      </c>
      <c r="D31" t="s">
        <v>70</v>
      </c>
      <c r="E31" t="s">
        <v>2130</v>
      </c>
      <c r="F31">
        <v>5</v>
      </c>
      <c r="G31">
        <v>600</v>
      </c>
      <c r="H31">
        <v>4</v>
      </c>
      <c r="I31">
        <v>4</v>
      </c>
      <c r="J31">
        <v>3</v>
      </c>
      <c r="K31" t="s">
        <v>110</v>
      </c>
      <c r="L31" t="s">
        <v>124</v>
      </c>
      <c r="M31" s="4">
        <v>3700000000</v>
      </c>
      <c r="N31">
        <v>0</v>
      </c>
      <c r="O31">
        <v>4.7000665660000003</v>
      </c>
      <c r="P31">
        <v>-74.086357120000002</v>
      </c>
      <c r="Q31" t="s">
        <v>2131</v>
      </c>
      <c r="R31">
        <v>6166666.6670000004</v>
      </c>
      <c r="S31">
        <v>0</v>
      </c>
      <c r="T31" t="s">
        <v>117</v>
      </c>
      <c r="U31" t="s">
        <v>118</v>
      </c>
      <c r="V31" t="s">
        <v>77</v>
      </c>
      <c r="W31" t="s">
        <v>119</v>
      </c>
      <c r="X31" t="s">
        <v>120</v>
      </c>
      <c r="Y31">
        <v>4.5377541495757496</v>
      </c>
      <c r="Z31">
        <v>4537.7541495757496</v>
      </c>
      <c r="AA31">
        <v>4.73719444444444</v>
      </c>
      <c r="AB31">
        <v>-74.069472222222203</v>
      </c>
      <c r="AC31">
        <v>2555</v>
      </c>
      <c r="AD31">
        <v>0</v>
      </c>
      <c r="AE31" t="s">
        <v>80</v>
      </c>
      <c r="AF31" t="s">
        <v>107</v>
      </c>
      <c r="AG31" t="s">
        <v>82</v>
      </c>
      <c r="AH31" t="s">
        <v>83</v>
      </c>
      <c r="AI31" t="s">
        <v>121</v>
      </c>
      <c r="AJ31">
        <v>0.68329733557755101</v>
      </c>
      <c r="AK31">
        <v>5.1920778158007597</v>
      </c>
      <c r="AL31">
        <v>0.37114059792222298</v>
      </c>
      <c r="AM31">
        <v>0.577893621375834</v>
      </c>
      <c r="AN31">
        <v>2.12343840964283</v>
      </c>
      <c r="AO31">
        <v>0.601196273728409</v>
      </c>
      <c r="AP31">
        <v>0.601196273728409</v>
      </c>
      <c r="AQ31">
        <v>0</v>
      </c>
      <c r="AR31">
        <v>2</v>
      </c>
      <c r="AS31">
        <v>0</v>
      </c>
      <c r="AT31">
        <v>0</v>
      </c>
      <c r="AU31">
        <v>2</v>
      </c>
      <c r="AV31">
        <v>13</v>
      </c>
      <c r="AW31">
        <v>0</v>
      </c>
      <c r="AX31">
        <v>0</v>
      </c>
      <c r="AY31">
        <v>15.3</v>
      </c>
      <c r="AZ31">
        <v>9.8000000000000007</v>
      </c>
      <c r="BA31">
        <v>29.7</v>
      </c>
      <c r="BB31">
        <v>564</v>
      </c>
      <c r="BC31">
        <v>68</v>
      </c>
      <c r="BD31">
        <v>1.8</v>
      </c>
      <c r="BE31">
        <v>43</v>
      </c>
      <c r="BF31">
        <v>25.4</v>
      </c>
      <c r="BG31">
        <v>162</v>
      </c>
      <c r="BH31">
        <v>9.1</v>
      </c>
      <c r="BI31">
        <v>9.1999999999999993</v>
      </c>
      <c r="BJ31">
        <v>18.3</v>
      </c>
      <c r="BK31">
        <v>0.34</v>
      </c>
      <c r="BL31">
        <v>7.3</v>
      </c>
      <c r="BM31">
        <v>0.9</v>
      </c>
      <c r="BN31">
        <v>7.5</v>
      </c>
      <c r="BO31">
        <v>2.9</v>
      </c>
      <c r="BP31">
        <f t="shared" si="0"/>
        <v>7.8284423394197598</v>
      </c>
      <c r="BQ31">
        <f t="shared" si="1"/>
        <v>26.635394356730764</v>
      </c>
    </row>
    <row r="32" spans="1:69" hidden="1" x14ac:dyDescent="0.2">
      <c r="A32" t="s">
        <v>2957</v>
      </c>
      <c r="B32" t="s">
        <v>68</v>
      </c>
      <c r="C32" t="s">
        <v>1956</v>
      </c>
      <c r="D32" t="s">
        <v>70</v>
      </c>
      <c r="E32" t="s">
        <v>267</v>
      </c>
      <c r="F32">
        <v>6</v>
      </c>
      <c r="G32">
        <v>600</v>
      </c>
      <c r="H32">
        <v>4</v>
      </c>
      <c r="I32">
        <v>5</v>
      </c>
      <c r="J32">
        <v>3</v>
      </c>
      <c r="K32" t="s">
        <v>110</v>
      </c>
      <c r="L32" t="s">
        <v>111</v>
      </c>
      <c r="M32" s="4">
        <v>3300000000</v>
      </c>
      <c r="N32">
        <v>0</v>
      </c>
      <c r="O32">
        <v>4.8190441130000004</v>
      </c>
      <c r="P32">
        <v>-74.046867370000001</v>
      </c>
      <c r="Q32" t="s">
        <v>2958</v>
      </c>
      <c r="R32">
        <v>5500000</v>
      </c>
      <c r="S32">
        <v>0</v>
      </c>
      <c r="T32" t="s">
        <v>151</v>
      </c>
      <c r="U32" t="s">
        <v>152</v>
      </c>
      <c r="V32" t="s">
        <v>77</v>
      </c>
      <c r="W32" t="s">
        <v>119</v>
      </c>
      <c r="X32" t="s">
        <v>153</v>
      </c>
      <c r="Y32">
        <v>3.94056353292856</v>
      </c>
      <c r="Z32">
        <v>3940.5635329285601</v>
      </c>
      <c r="AA32">
        <v>4.7837500000000004</v>
      </c>
      <c r="AB32">
        <v>-74.044138888888895</v>
      </c>
      <c r="AC32">
        <v>2580</v>
      </c>
      <c r="AD32">
        <v>0</v>
      </c>
      <c r="AE32" t="s">
        <v>154</v>
      </c>
      <c r="AF32" t="s">
        <v>107</v>
      </c>
      <c r="AG32" t="s">
        <v>82</v>
      </c>
      <c r="AH32" t="s">
        <v>83</v>
      </c>
      <c r="AI32" t="s">
        <v>121</v>
      </c>
      <c r="AJ32">
        <v>5.5625071435306603</v>
      </c>
      <c r="AK32">
        <v>0.92589351545951204</v>
      </c>
      <c r="AL32">
        <v>2.0988111872115098</v>
      </c>
      <c r="AM32">
        <v>4.6069634031514299</v>
      </c>
      <c r="AN32">
        <v>8.8515036469124695</v>
      </c>
      <c r="AO32">
        <v>0.17873824348672299</v>
      </c>
      <c r="AP32">
        <v>0.17873824348672299</v>
      </c>
      <c r="AQ32">
        <v>0</v>
      </c>
      <c r="AR32">
        <v>0</v>
      </c>
      <c r="AS32">
        <v>0</v>
      </c>
      <c r="AT32">
        <v>1</v>
      </c>
      <c r="AU32">
        <v>0</v>
      </c>
      <c r="AV32">
        <v>0</v>
      </c>
      <c r="AW32">
        <v>0</v>
      </c>
      <c r="AX32">
        <v>0</v>
      </c>
      <c r="AY32">
        <v>15.3</v>
      </c>
      <c r="AZ32">
        <v>9.8000000000000007</v>
      </c>
      <c r="BA32">
        <v>29.7</v>
      </c>
      <c r="BB32">
        <v>564</v>
      </c>
      <c r="BC32">
        <v>68</v>
      </c>
      <c r="BD32">
        <v>1.8</v>
      </c>
      <c r="BE32">
        <v>43</v>
      </c>
      <c r="BF32">
        <v>25.4</v>
      </c>
      <c r="BG32">
        <v>162</v>
      </c>
      <c r="BH32">
        <v>9.1</v>
      </c>
      <c r="BI32">
        <v>9.1999999999999993</v>
      </c>
      <c r="BJ32">
        <v>18.3</v>
      </c>
      <c r="BK32">
        <v>0.34</v>
      </c>
      <c r="BL32">
        <v>7.3</v>
      </c>
      <c r="BM32">
        <v>0.9</v>
      </c>
      <c r="BN32">
        <v>7.5</v>
      </c>
      <c r="BO32">
        <v>2.9</v>
      </c>
      <c r="BP32">
        <f t="shared" si="0"/>
        <v>8.0633128109080481</v>
      </c>
      <c r="BQ32">
        <f t="shared" si="1"/>
        <v>27.019897013096518</v>
      </c>
    </row>
    <row r="33" spans="1:69" hidden="1" x14ac:dyDescent="0.2">
      <c r="A33" t="s">
        <v>2040</v>
      </c>
      <c r="B33" t="s">
        <v>68</v>
      </c>
      <c r="C33" t="s">
        <v>1956</v>
      </c>
      <c r="D33" t="s">
        <v>70</v>
      </c>
      <c r="E33" t="s">
        <v>267</v>
      </c>
      <c r="F33">
        <v>6</v>
      </c>
      <c r="G33">
        <v>600</v>
      </c>
      <c r="H33">
        <v>5</v>
      </c>
      <c r="I33">
        <v>5</v>
      </c>
      <c r="J33">
        <v>4</v>
      </c>
      <c r="K33" t="s">
        <v>110</v>
      </c>
      <c r="L33" t="s">
        <v>133</v>
      </c>
      <c r="M33" s="4">
        <v>3300000000</v>
      </c>
      <c r="N33">
        <v>0</v>
      </c>
      <c r="O33">
        <v>4.8182315830000002</v>
      </c>
      <c r="P33">
        <v>-74.048858640000006</v>
      </c>
      <c r="Q33" t="s">
        <v>2041</v>
      </c>
      <c r="R33">
        <v>5500000</v>
      </c>
      <c r="S33">
        <v>0</v>
      </c>
      <c r="T33" t="s">
        <v>151</v>
      </c>
      <c r="U33" t="s">
        <v>152</v>
      </c>
      <c r="V33" t="s">
        <v>77</v>
      </c>
      <c r="W33" t="s">
        <v>119</v>
      </c>
      <c r="X33" t="s">
        <v>153</v>
      </c>
      <c r="Y33">
        <v>3.8740135642625599</v>
      </c>
      <c r="Z33">
        <v>3874.0135642625601</v>
      </c>
      <c r="AA33">
        <v>4.7837500000000004</v>
      </c>
      <c r="AB33">
        <v>-74.044138888888895</v>
      </c>
      <c r="AC33">
        <v>2580</v>
      </c>
      <c r="AD33">
        <v>0</v>
      </c>
      <c r="AE33" t="s">
        <v>154</v>
      </c>
      <c r="AF33" t="s">
        <v>107</v>
      </c>
      <c r="AG33" t="s">
        <v>82</v>
      </c>
      <c r="AH33" t="s">
        <v>83</v>
      </c>
      <c r="AI33" t="s">
        <v>121</v>
      </c>
      <c r="AJ33">
        <v>5.4920640217483001</v>
      </c>
      <c r="AK33">
        <v>1.0220037629538801</v>
      </c>
      <c r="AL33">
        <v>2.0187995390631102</v>
      </c>
      <c r="AM33">
        <v>4.4247126716954099</v>
      </c>
      <c r="AN33">
        <v>8.8234534355339296</v>
      </c>
      <c r="AO33">
        <v>0.37615942350075299</v>
      </c>
      <c r="AP33">
        <v>0.37615942350075299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15.3</v>
      </c>
      <c r="AZ33">
        <v>9.8000000000000007</v>
      </c>
      <c r="BA33">
        <v>29.7</v>
      </c>
      <c r="BB33">
        <v>564</v>
      </c>
      <c r="BC33">
        <v>68</v>
      </c>
      <c r="BD33">
        <v>1.8</v>
      </c>
      <c r="BE33">
        <v>43</v>
      </c>
      <c r="BF33">
        <v>25.4</v>
      </c>
      <c r="BG33">
        <v>162</v>
      </c>
      <c r="BH33">
        <v>9.1</v>
      </c>
      <c r="BI33">
        <v>9.1999999999999993</v>
      </c>
      <c r="BJ33">
        <v>18.3</v>
      </c>
      <c r="BK33">
        <v>0.34</v>
      </c>
      <c r="BL33">
        <v>7.3</v>
      </c>
      <c r="BM33">
        <v>0.9</v>
      </c>
      <c r="BN33">
        <v>7.5</v>
      </c>
      <c r="BO33">
        <v>2.9</v>
      </c>
      <c r="BP33">
        <f t="shared" si="0"/>
        <v>8.0899189642926554</v>
      </c>
      <c r="BQ33">
        <f t="shared" si="1"/>
        <v>27.063087655135156</v>
      </c>
    </row>
    <row r="34" spans="1:69" hidden="1" x14ac:dyDescent="0.2">
      <c r="A34" t="s">
        <v>2140</v>
      </c>
      <c r="B34" t="s">
        <v>68</v>
      </c>
      <c r="C34" t="s">
        <v>1956</v>
      </c>
      <c r="D34" t="s">
        <v>70</v>
      </c>
      <c r="E34" t="s">
        <v>1724</v>
      </c>
      <c r="F34">
        <v>5</v>
      </c>
      <c r="G34">
        <v>600</v>
      </c>
      <c r="H34">
        <v>4</v>
      </c>
      <c r="I34">
        <v>5</v>
      </c>
      <c r="J34">
        <v>4</v>
      </c>
      <c r="K34" t="s">
        <v>110</v>
      </c>
      <c r="L34" t="s">
        <v>124</v>
      </c>
      <c r="M34" s="4">
        <v>2680000000</v>
      </c>
      <c r="N34">
        <v>0</v>
      </c>
      <c r="O34">
        <v>4.7657928470000002</v>
      </c>
      <c r="P34">
        <v>-74.064781190000005</v>
      </c>
      <c r="Q34" t="s">
        <v>2141</v>
      </c>
      <c r="R34">
        <v>4466666.6670000004</v>
      </c>
      <c r="S34">
        <v>0</v>
      </c>
      <c r="T34" t="s">
        <v>151</v>
      </c>
      <c r="U34" t="s">
        <v>152</v>
      </c>
      <c r="V34" t="s">
        <v>77</v>
      </c>
      <c r="W34" t="s">
        <v>119</v>
      </c>
      <c r="X34" t="s">
        <v>153</v>
      </c>
      <c r="Y34">
        <v>3.0396776450968099</v>
      </c>
      <c r="Z34">
        <v>3039.67764509681</v>
      </c>
      <c r="AA34">
        <v>4.7837500000000004</v>
      </c>
      <c r="AB34">
        <v>-74.044138888888895</v>
      </c>
      <c r="AC34">
        <v>2580</v>
      </c>
      <c r="AD34">
        <v>0</v>
      </c>
      <c r="AE34" t="s">
        <v>154</v>
      </c>
      <c r="AF34" t="s">
        <v>107</v>
      </c>
      <c r="AG34" t="s">
        <v>82</v>
      </c>
      <c r="AH34" t="s">
        <v>83</v>
      </c>
      <c r="AI34" t="s">
        <v>121</v>
      </c>
      <c r="AJ34">
        <v>2.2710455928236599</v>
      </c>
      <c r="AK34">
        <v>3.8089723466702301</v>
      </c>
      <c r="AL34">
        <v>1.8565046200259501</v>
      </c>
      <c r="AM34">
        <v>0.51328058704588997</v>
      </c>
      <c r="AN34">
        <v>3.5269858226795101</v>
      </c>
      <c r="AO34">
        <v>7.0847032711356802E-3</v>
      </c>
      <c r="AP34">
        <v>7.0847032711356802E-3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5</v>
      </c>
      <c r="AW34">
        <v>0</v>
      </c>
      <c r="AX34">
        <v>1</v>
      </c>
      <c r="AY34">
        <v>15.3</v>
      </c>
      <c r="AZ34">
        <v>9.8000000000000007</v>
      </c>
      <c r="BA34">
        <v>29.7</v>
      </c>
      <c r="BB34">
        <v>564</v>
      </c>
      <c r="BC34">
        <v>68</v>
      </c>
      <c r="BD34">
        <v>1.8</v>
      </c>
      <c r="BE34">
        <v>43</v>
      </c>
      <c r="BF34">
        <v>25.4</v>
      </c>
      <c r="BG34">
        <v>162</v>
      </c>
      <c r="BH34">
        <v>9.1</v>
      </c>
      <c r="BI34">
        <v>9.1999999999999993</v>
      </c>
      <c r="BJ34">
        <v>18.3</v>
      </c>
      <c r="BK34">
        <v>0.34</v>
      </c>
      <c r="BL34">
        <v>7.3</v>
      </c>
      <c r="BM34">
        <v>0.9</v>
      </c>
      <c r="BN34">
        <v>7.5</v>
      </c>
      <c r="BO34">
        <v>2.9</v>
      </c>
      <c r="BP34">
        <f t="shared" si="0"/>
        <v>8.4310248993402261</v>
      </c>
      <c r="BQ34">
        <f t="shared" si="1"/>
        <v>27.610462647645761</v>
      </c>
    </row>
    <row r="35" spans="1:69" hidden="1" x14ac:dyDescent="0.2">
      <c r="A35" t="s">
        <v>2031</v>
      </c>
      <c r="B35" t="s">
        <v>68</v>
      </c>
      <c r="C35" t="s">
        <v>1956</v>
      </c>
      <c r="D35" t="s">
        <v>70</v>
      </c>
      <c r="E35" t="s">
        <v>1724</v>
      </c>
      <c r="F35">
        <v>5</v>
      </c>
      <c r="G35">
        <v>600</v>
      </c>
      <c r="H35">
        <v>5</v>
      </c>
      <c r="I35">
        <v>5</v>
      </c>
      <c r="J35">
        <v>4</v>
      </c>
      <c r="K35" t="s">
        <v>110</v>
      </c>
      <c r="L35" t="s">
        <v>124</v>
      </c>
      <c r="M35" s="4">
        <v>1750000000</v>
      </c>
      <c r="N35">
        <v>0</v>
      </c>
      <c r="O35">
        <v>4.7691793440000003</v>
      </c>
      <c r="P35">
        <v>-74.063278199999999</v>
      </c>
      <c r="Q35" t="s">
        <v>2032</v>
      </c>
      <c r="R35">
        <v>2916666.6669999999</v>
      </c>
      <c r="S35">
        <v>0</v>
      </c>
      <c r="T35" t="s">
        <v>151</v>
      </c>
      <c r="U35" t="s">
        <v>152</v>
      </c>
      <c r="V35" t="s">
        <v>77</v>
      </c>
      <c r="W35" t="s">
        <v>119</v>
      </c>
      <c r="X35" t="s">
        <v>153</v>
      </c>
      <c r="Y35">
        <v>2.6718471791561602</v>
      </c>
      <c r="Z35">
        <v>2671.8471791561601</v>
      </c>
      <c r="AA35">
        <v>4.7837500000000004</v>
      </c>
      <c r="AB35">
        <v>-74.044138888888895</v>
      </c>
      <c r="AC35">
        <v>2580</v>
      </c>
      <c r="AD35">
        <v>0</v>
      </c>
      <c r="AE35" t="s">
        <v>154</v>
      </c>
      <c r="AF35" t="s">
        <v>107</v>
      </c>
      <c r="AG35" t="s">
        <v>82</v>
      </c>
      <c r="AH35" t="s">
        <v>83</v>
      </c>
      <c r="AI35" t="s">
        <v>121</v>
      </c>
      <c r="AJ35">
        <v>2.1850630191417402</v>
      </c>
      <c r="AK35">
        <v>3.66289270778974</v>
      </c>
      <c r="AL35">
        <v>2.05539891172754</v>
      </c>
      <c r="AM35">
        <v>0.80670277287478698</v>
      </c>
      <c r="AN35">
        <v>3.9220686850226198</v>
      </c>
      <c r="AO35">
        <v>0.103229470861002</v>
      </c>
      <c r="AP35">
        <v>0.103229470861002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2</v>
      </c>
      <c r="AW35">
        <v>0</v>
      </c>
      <c r="AX35">
        <v>0</v>
      </c>
      <c r="AY35">
        <v>15.3</v>
      </c>
      <c r="AZ35">
        <v>9.8000000000000007</v>
      </c>
      <c r="BA35">
        <v>29.7</v>
      </c>
      <c r="BB35">
        <v>564</v>
      </c>
      <c r="BC35">
        <v>68</v>
      </c>
      <c r="BD35">
        <v>1.8</v>
      </c>
      <c r="BE35">
        <v>43</v>
      </c>
      <c r="BF35">
        <v>25.4</v>
      </c>
      <c r="BG35">
        <v>162</v>
      </c>
      <c r="BH35">
        <v>9.1</v>
      </c>
      <c r="BI35">
        <v>9.1999999999999993</v>
      </c>
      <c r="BJ35">
        <v>18.3</v>
      </c>
      <c r="BK35">
        <v>0.34</v>
      </c>
      <c r="BL35">
        <v>7.3</v>
      </c>
      <c r="BM35">
        <v>0.9</v>
      </c>
      <c r="BN35">
        <v>7.5</v>
      </c>
      <c r="BO35">
        <v>2.9</v>
      </c>
      <c r="BP35">
        <f t="shared" si="0"/>
        <v>8.5859397308354239</v>
      </c>
      <c r="BQ35">
        <f t="shared" si="1"/>
        <v>27.855284959113895</v>
      </c>
    </row>
    <row r="36" spans="1:69" hidden="1" x14ac:dyDescent="0.2">
      <c r="A36" t="s">
        <v>2499</v>
      </c>
      <c r="B36" t="s">
        <v>68</v>
      </c>
      <c r="C36" t="s">
        <v>1956</v>
      </c>
      <c r="D36" t="s">
        <v>70</v>
      </c>
      <c r="E36" t="s">
        <v>548</v>
      </c>
      <c r="F36">
        <v>6</v>
      </c>
      <c r="G36">
        <v>570</v>
      </c>
      <c r="H36">
        <v>3</v>
      </c>
      <c r="I36">
        <v>4</v>
      </c>
      <c r="J36">
        <v>2</v>
      </c>
      <c r="K36" t="s">
        <v>110</v>
      </c>
      <c r="L36" t="s">
        <v>162</v>
      </c>
      <c r="M36" s="4">
        <v>2800000000</v>
      </c>
      <c r="N36">
        <v>0</v>
      </c>
      <c r="O36">
        <v>4.714560509</v>
      </c>
      <c r="P36">
        <v>-74.081619259999997</v>
      </c>
      <c r="Q36" t="s">
        <v>2500</v>
      </c>
      <c r="R36">
        <v>4912280.7019999996</v>
      </c>
      <c r="S36">
        <v>0</v>
      </c>
      <c r="T36" t="s">
        <v>117</v>
      </c>
      <c r="U36" t="s">
        <v>118</v>
      </c>
      <c r="V36" t="s">
        <v>77</v>
      </c>
      <c r="W36" t="s">
        <v>119</v>
      </c>
      <c r="X36" t="s">
        <v>120</v>
      </c>
      <c r="Y36">
        <v>2.8573438721511302</v>
      </c>
      <c r="Z36">
        <v>2857.3438721511302</v>
      </c>
      <c r="AA36">
        <v>4.73719444444444</v>
      </c>
      <c r="AB36">
        <v>-74.069472222222203</v>
      </c>
      <c r="AC36">
        <v>2555</v>
      </c>
      <c r="AD36">
        <v>0</v>
      </c>
      <c r="AE36" t="s">
        <v>80</v>
      </c>
      <c r="AF36" t="s">
        <v>107</v>
      </c>
      <c r="AG36" t="s">
        <v>82</v>
      </c>
      <c r="AH36" t="s">
        <v>83</v>
      </c>
      <c r="AI36" t="s">
        <v>121</v>
      </c>
      <c r="AJ36">
        <v>1.0657949431040199</v>
      </c>
      <c r="AK36">
        <v>5.0335894044544398</v>
      </c>
      <c r="AL36">
        <v>1.15921938460953</v>
      </c>
      <c r="AM36">
        <v>0.46180920654273899</v>
      </c>
      <c r="AN36">
        <v>2.9957450232700298</v>
      </c>
      <c r="AO36">
        <v>0.519241717539207</v>
      </c>
      <c r="AP36">
        <v>0.519241717539207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11</v>
      </c>
      <c r="AW36">
        <v>0</v>
      </c>
      <c r="AX36">
        <v>0</v>
      </c>
      <c r="AY36">
        <v>15.3</v>
      </c>
      <c r="AZ36">
        <v>9.8000000000000007</v>
      </c>
      <c r="BA36">
        <v>29.7</v>
      </c>
      <c r="BB36">
        <v>564</v>
      </c>
      <c r="BC36">
        <v>68</v>
      </c>
      <c r="BD36">
        <v>1.8</v>
      </c>
      <c r="BE36">
        <v>43</v>
      </c>
      <c r="BF36">
        <v>25.4</v>
      </c>
      <c r="BG36">
        <v>162</v>
      </c>
      <c r="BH36">
        <v>9.1</v>
      </c>
      <c r="BI36">
        <v>9.1999999999999993</v>
      </c>
      <c r="BJ36">
        <v>18.3</v>
      </c>
      <c r="BK36">
        <v>0.34</v>
      </c>
      <c r="BL36">
        <v>7.3</v>
      </c>
      <c r="BM36">
        <v>0.9</v>
      </c>
      <c r="BN36">
        <v>7.5</v>
      </c>
      <c r="BO36">
        <v>2.9</v>
      </c>
      <c r="BP36">
        <f t="shared" si="0"/>
        <v>8.5074637293049431</v>
      </c>
      <c r="BQ36">
        <f t="shared" si="1"/>
        <v>27.731551072382057</v>
      </c>
    </row>
    <row r="37" spans="1:69" hidden="1" x14ac:dyDescent="0.2">
      <c r="A37" t="s">
        <v>2554</v>
      </c>
      <c r="B37" t="s">
        <v>68</v>
      </c>
      <c r="C37" t="s">
        <v>1956</v>
      </c>
      <c r="D37" t="s">
        <v>70</v>
      </c>
      <c r="E37" t="s">
        <v>548</v>
      </c>
      <c r="F37">
        <v>6</v>
      </c>
      <c r="G37">
        <v>550</v>
      </c>
      <c r="H37">
        <v>5</v>
      </c>
      <c r="I37">
        <v>5</v>
      </c>
      <c r="J37">
        <v>4</v>
      </c>
      <c r="K37" t="s">
        <v>110</v>
      </c>
      <c r="L37" t="s">
        <v>162</v>
      </c>
      <c r="M37" s="4">
        <v>3950000000</v>
      </c>
      <c r="N37">
        <v>0</v>
      </c>
      <c r="O37">
        <v>4.7121168200000003</v>
      </c>
      <c r="P37">
        <v>-74.078915910000006</v>
      </c>
      <c r="Q37" t="s">
        <v>2555</v>
      </c>
      <c r="R37">
        <v>7181818.182</v>
      </c>
      <c r="S37">
        <v>0</v>
      </c>
      <c r="T37" t="s">
        <v>117</v>
      </c>
      <c r="U37" t="s">
        <v>118</v>
      </c>
      <c r="V37" t="s">
        <v>77</v>
      </c>
      <c r="W37" t="s">
        <v>119</v>
      </c>
      <c r="X37" t="s">
        <v>120</v>
      </c>
      <c r="Y37">
        <v>2.9817532525348698</v>
      </c>
      <c r="Z37">
        <v>2981.7532525348702</v>
      </c>
      <c r="AA37">
        <v>4.73719444444444</v>
      </c>
      <c r="AB37">
        <v>-74.069472222222203</v>
      </c>
      <c r="AC37">
        <v>2555</v>
      </c>
      <c r="AD37">
        <v>0</v>
      </c>
      <c r="AE37" t="s">
        <v>80</v>
      </c>
      <c r="AF37" t="s">
        <v>107</v>
      </c>
      <c r="AG37" t="s">
        <v>82</v>
      </c>
      <c r="AH37" t="s">
        <v>83</v>
      </c>
      <c r="AI37" t="s">
        <v>121</v>
      </c>
      <c r="AJ37">
        <v>0.73286240091747901</v>
      </c>
      <c r="AK37">
        <v>5.3931868431287002</v>
      </c>
      <c r="AL37">
        <v>0.98243980144731402</v>
      </c>
      <c r="AM37">
        <v>0.20327555509552001</v>
      </c>
      <c r="AN37">
        <v>3.3144418532687601</v>
      </c>
      <c r="AO37">
        <v>0.30457715781231598</v>
      </c>
      <c r="AP37">
        <v>0.30457715781231598</v>
      </c>
      <c r="AQ37">
        <v>0</v>
      </c>
      <c r="AR37">
        <v>1</v>
      </c>
      <c r="AS37">
        <v>0</v>
      </c>
      <c r="AT37">
        <v>0</v>
      </c>
      <c r="AU37">
        <v>1</v>
      </c>
      <c r="AV37">
        <v>25</v>
      </c>
      <c r="AW37">
        <v>0</v>
      </c>
      <c r="AX37">
        <v>0</v>
      </c>
      <c r="AY37">
        <v>15.3</v>
      </c>
      <c r="AZ37">
        <v>9.8000000000000007</v>
      </c>
      <c r="BA37">
        <v>29.7</v>
      </c>
      <c r="BB37">
        <v>564</v>
      </c>
      <c r="BC37">
        <v>68</v>
      </c>
      <c r="BD37">
        <v>1.8</v>
      </c>
      <c r="BE37">
        <v>43</v>
      </c>
      <c r="BF37">
        <v>25.4</v>
      </c>
      <c r="BG37">
        <v>162</v>
      </c>
      <c r="BH37">
        <v>9.1</v>
      </c>
      <c r="BI37">
        <v>9.1999999999999993</v>
      </c>
      <c r="BJ37">
        <v>18.3</v>
      </c>
      <c r="BK37">
        <v>0.34</v>
      </c>
      <c r="BL37">
        <v>7.3</v>
      </c>
      <c r="BM37">
        <v>0.9</v>
      </c>
      <c r="BN37">
        <v>7.5</v>
      </c>
      <c r="BO37">
        <v>2.9</v>
      </c>
      <c r="BP37">
        <f t="shared" si="0"/>
        <v>8.4552335077115721</v>
      </c>
      <c r="BQ37">
        <f t="shared" si="1"/>
        <v>27.648873002870918</v>
      </c>
    </row>
    <row r="38" spans="1:69" hidden="1" x14ac:dyDescent="0.2">
      <c r="A38" t="s">
        <v>2023</v>
      </c>
      <c r="B38" t="s">
        <v>68</v>
      </c>
      <c r="C38" t="s">
        <v>1956</v>
      </c>
      <c r="D38" t="s">
        <v>70</v>
      </c>
      <c r="E38" t="s">
        <v>267</v>
      </c>
      <c r="F38">
        <v>6</v>
      </c>
      <c r="G38">
        <v>550</v>
      </c>
      <c r="H38">
        <v>4</v>
      </c>
      <c r="I38">
        <v>5</v>
      </c>
      <c r="J38">
        <v>4</v>
      </c>
      <c r="K38" t="s">
        <v>110</v>
      </c>
      <c r="L38" t="s">
        <v>133</v>
      </c>
      <c r="M38" s="4">
        <v>1950000000</v>
      </c>
      <c r="N38">
        <v>0</v>
      </c>
      <c r="O38">
        <v>4.813549042</v>
      </c>
      <c r="P38">
        <v>-74.051460270000007</v>
      </c>
      <c r="Q38" t="s">
        <v>2024</v>
      </c>
      <c r="R38">
        <v>3545454.5449999999</v>
      </c>
      <c r="S38">
        <v>0</v>
      </c>
      <c r="T38" t="s">
        <v>151</v>
      </c>
      <c r="U38" t="s">
        <v>152</v>
      </c>
      <c r="V38" t="s">
        <v>77</v>
      </c>
      <c r="W38" t="s">
        <v>119</v>
      </c>
      <c r="X38" t="s">
        <v>153</v>
      </c>
      <c r="Y38">
        <v>3.4151876565085701</v>
      </c>
      <c r="Z38">
        <v>3415.1876565085699</v>
      </c>
      <c r="AA38">
        <v>4.7837500000000004</v>
      </c>
      <c r="AB38">
        <v>-74.044138888888895</v>
      </c>
      <c r="AC38">
        <v>2580</v>
      </c>
      <c r="AD38">
        <v>0</v>
      </c>
      <c r="AE38" t="s">
        <v>154</v>
      </c>
      <c r="AF38" t="s">
        <v>107</v>
      </c>
      <c r="AG38" t="s">
        <v>82</v>
      </c>
      <c r="AH38" t="s">
        <v>83</v>
      </c>
      <c r="AI38" t="s">
        <v>121</v>
      </c>
      <c r="AJ38">
        <v>5.0199828737223102</v>
      </c>
      <c r="AK38">
        <v>1.44794109202475</v>
      </c>
      <c r="AL38">
        <v>1.56923909481288</v>
      </c>
      <c r="AM38">
        <v>3.8751381141096899</v>
      </c>
      <c r="AN38">
        <v>8.4171033728344504</v>
      </c>
      <c r="AO38">
        <v>0.96646018304994896</v>
      </c>
      <c r="AP38">
        <v>0.96646018304994896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15.3</v>
      </c>
      <c r="AZ38">
        <v>9.8000000000000007</v>
      </c>
      <c r="BA38">
        <v>29.7</v>
      </c>
      <c r="BB38">
        <v>564</v>
      </c>
      <c r="BC38">
        <v>68</v>
      </c>
      <c r="BD38">
        <v>1.8</v>
      </c>
      <c r="BE38">
        <v>43</v>
      </c>
      <c r="BF38">
        <v>25.4</v>
      </c>
      <c r="BG38">
        <v>162</v>
      </c>
      <c r="BH38">
        <v>9.1</v>
      </c>
      <c r="BI38">
        <v>9.1999999999999993</v>
      </c>
      <c r="BJ38">
        <v>18.3</v>
      </c>
      <c r="BK38">
        <v>0.34</v>
      </c>
      <c r="BL38">
        <v>7.3</v>
      </c>
      <c r="BM38">
        <v>0.9</v>
      </c>
      <c r="BN38">
        <v>7.5</v>
      </c>
      <c r="BO38">
        <v>2.9</v>
      </c>
      <c r="BP38">
        <f t="shared" si="0"/>
        <v>8.2757586488434587</v>
      </c>
      <c r="BQ38">
        <f t="shared" si="1"/>
        <v>27.362748430832639</v>
      </c>
    </row>
    <row r="39" spans="1:69" hidden="1" x14ac:dyDescent="0.2">
      <c r="A39" t="s">
        <v>2197</v>
      </c>
      <c r="B39" t="s">
        <v>68</v>
      </c>
      <c r="C39" t="s">
        <v>1956</v>
      </c>
      <c r="D39" t="s">
        <v>70</v>
      </c>
      <c r="E39" t="s">
        <v>267</v>
      </c>
      <c r="F39">
        <v>6</v>
      </c>
      <c r="G39">
        <v>542</v>
      </c>
      <c r="H39">
        <v>4</v>
      </c>
      <c r="I39">
        <v>5</v>
      </c>
      <c r="J39">
        <v>2</v>
      </c>
      <c r="K39" t="s">
        <v>110</v>
      </c>
      <c r="L39" t="s">
        <v>124</v>
      </c>
      <c r="M39" s="4">
        <v>2900000000</v>
      </c>
      <c r="N39">
        <v>0</v>
      </c>
      <c r="O39">
        <v>4.8174481389999997</v>
      </c>
      <c r="P39">
        <v>-74.045600890000003</v>
      </c>
      <c r="Q39" t="s">
        <v>2198</v>
      </c>
      <c r="R39">
        <v>5350553.5060000001</v>
      </c>
      <c r="S39">
        <v>0</v>
      </c>
      <c r="T39" t="s">
        <v>151</v>
      </c>
      <c r="U39" t="s">
        <v>152</v>
      </c>
      <c r="V39" t="s">
        <v>77</v>
      </c>
      <c r="W39" t="s">
        <v>119</v>
      </c>
      <c r="X39" t="s">
        <v>153</v>
      </c>
      <c r="Y39">
        <v>3.7547637663028599</v>
      </c>
      <c r="Z39">
        <v>3754.7637663028599</v>
      </c>
      <c r="AA39">
        <v>4.7837500000000004</v>
      </c>
      <c r="AB39">
        <v>-74.044138888888895</v>
      </c>
      <c r="AC39">
        <v>2580</v>
      </c>
      <c r="AD39">
        <v>0</v>
      </c>
      <c r="AE39" t="s">
        <v>154</v>
      </c>
      <c r="AF39" t="s">
        <v>107</v>
      </c>
      <c r="AG39" t="s">
        <v>82</v>
      </c>
      <c r="AH39" t="s">
        <v>83</v>
      </c>
      <c r="AI39" t="s">
        <v>121</v>
      </c>
      <c r="AJ39">
        <v>5.3788281283284496</v>
      </c>
      <c r="AK39">
        <v>1.10350409633276</v>
      </c>
      <c r="AL39">
        <v>1.9291083259891699</v>
      </c>
      <c r="AM39">
        <v>4.4230446012343902</v>
      </c>
      <c r="AN39">
        <v>8.6459028322607594</v>
      </c>
      <c r="AO39">
        <v>0.25195960356421099</v>
      </c>
      <c r="AP39">
        <v>0.25195960356421099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15.3</v>
      </c>
      <c r="AZ39">
        <v>9.8000000000000007</v>
      </c>
      <c r="BA39">
        <v>29.7</v>
      </c>
      <c r="BB39">
        <v>564</v>
      </c>
      <c r="BC39">
        <v>68</v>
      </c>
      <c r="BD39">
        <v>1.8</v>
      </c>
      <c r="BE39">
        <v>43</v>
      </c>
      <c r="BF39">
        <v>25.4</v>
      </c>
      <c r="BG39">
        <v>162</v>
      </c>
      <c r="BH39">
        <v>9.1</v>
      </c>
      <c r="BI39">
        <v>9.1999999999999993</v>
      </c>
      <c r="BJ39">
        <v>18.3</v>
      </c>
      <c r="BK39">
        <v>0.34</v>
      </c>
      <c r="BL39">
        <v>7.3</v>
      </c>
      <c r="BM39">
        <v>0.9</v>
      </c>
      <c r="BN39">
        <v>7.5</v>
      </c>
      <c r="BO39">
        <v>2.9</v>
      </c>
      <c r="BP39">
        <f t="shared" si="0"/>
        <v>8.1378138833423499</v>
      </c>
      <c r="BQ39">
        <f t="shared" si="1"/>
        <v>27.140653023685548</v>
      </c>
    </row>
    <row r="40" spans="1:69" hidden="1" x14ac:dyDescent="0.2">
      <c r="A40" t="s">
        <v>2979</v>
      </c>
      <c r="B40" t="s">
        <v>68</v>
      </c>
      <c r="C40" t="s">
        <v>1956</v>
      </c>
      <c r="D40" t="s">
        <v>70</v>
      </c>
      <c r="E40" t="s">
        <v>267</v>
      </c>
      <c r="F40">
        <v>6</v>
      </c>
      <c r="G40">
        <v>539</v>
      </c>
      <c r="H40">
        <v>4</v>
      </c>
      <c r="I40">
        <v>5</v>
      </c>
      <c r="J40">
        <v>4</v>
      </c>
      <c r="K40" t="s">
        <v>110</v>
      </c>
      <c r="L40" t="s">
        <v>162</v>
      </c>
      <c r="M40" s="4">
        <v>1900000000</v>
      </c>
      <c r="N40">
        <v>0</v>
      </c>
      <c r="O40">
        <v>4.8132810590000004</v>
      </c>
      <c r="P40">
        <v>-74.055961609999997</v>
      </c>
      <c r="Q40" t="s">
        <v>2980</v>
      </c>
      <c r="R40">
        <v>3525046.3820000002</v>
      </c>
      <c r="S40">
        <v>0</v>
      </c>
      <c r="T40" t="s">
        <v>151</v>
      </c>
      <c r="U40" t="s">
        <v>152</v>
      </c>
      <c r="V40" t="s">
        <v>77</v>
      </c>
      <c r="W40" t="s">
        <v>119</v>
      </c>
      <c r="X40" t="s">
        <v>153</v>
      </c>
      <c r="Y40">
        <v>3.5393332588851498</v>
      </c>
      <c r="Z40">
        <v>3539.3332588851499</v>
      </c>
      <c r="AA40">
        <v>4.7837500000000004</v>
      </c>
      <c r="AB40">
        <v>-74.044138888888895</v>
      </c>
      <c r="AC40">
        <v>2580</v>
      </c>
      <c r="AD40">
        <v>0</v>
      </c>
      <c r="AE40" t="s">
        <v>154</v>
      </c>
      <c r="AF40" t="s">
        <v>107</v>
      </c>
      <c r="AG40" t="s">
        <v>82</v>
      </c>
      <c r="AH40" t="s">
        <v>83</v>
      </c>
      <c r="AI40" t="s">
        <v>121</v>
      </c>
      <c r="AJ40">
        <v>5.1019747262262003</v>
      </c>
      <c r="AK40">
        <v>1.3265334265858899</v>
      </c>
      <c r="AL40">
        <v>1.76383460825947</v>
      </c>
      <c r="AM40">
        <v>3.4717839025134101</v>
      </c>
      <c r="AN40">
        <v>8.5651922665369593</v>
      </c>
      <c r="AO40">
        <v>1.26954881358238</v>
      </c>
      <c r="AP40">
        <v>1.26954881358238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15.3</v>
      </c>
      <c r="AZ40">
        <v>9.8000000000000007</v>
      </c>
      <c r="BA40">
        <v>29.7</v>
      </c>
      <c r="BB40">
        <v>564</v>
      </c>
      <c r="BC40">
        <v>68</v>
      </c>
      <c r="BD40">
        <v>1.8</v>
      </c>
      <c r="BE40">
        <v>43</v>
      </c>
      <c r="BF40">
        <v>25.4</v>
      </c>
      <c r="BG40">
        <v>162</v>
      </c>
      <c r="BH40">
        <v>9.1</v>
      </c>
      <c r="BI40">
        <v>9.1999999999999993</v>
      </c>
      <c r="BJ40">
        <v>18.3</v>
      </c>
      <c r="BK40">
        <v>0.34</v>
      </c>
      <c r="BL40">
        <v>7.3</v>
      </c>
      <c r="BM40">
        <v>0.9</v>
      </c>
      <c r="BN40">
        <v>7.5</v>
      </c>
      <c r="BO40">
        <v>2.9</v>
      </c>
      <c r="BP40">
        <f t="shared" si="0"/>
        <v>8.225058337748905</v>
      </c>
      <c r="BQ40">
        <f t="shared" si="1"/>
        <v>27.281342607875363</v>
      </c>
    </row>
    <row r="41" spans="1:69" hidden="1" x14ac:dyDescent="0.2">
      <c r="A41" t="s">
        <v>2145</v>
      </c>
      <c r="B41" t="s">
        <v>68</v>
      </c>
      <c r="C41" t="s">
        <v>1956</v>
      </c>
      <c r="D41" t="s">
        <v>70</v>
      </c>
      <c r="E41" t="s">
        <v>1724</v>
      </c>
      <c r="F41">
        <v>5</v>
      </c>
      <c r="G41">
        <v>520</v>
      </c>
      <c r="H41">
        <v>5</v>
      </c>
      <c r="I41">
        <v>5</v>
      </c>
      <c r="J41">
        <v>4</v>
      </c>
      <c r="K41" t="s">
        <v>110</v>
      </c>
      <c r="L41" t="s">
        <v>124</v>
      </c>
      <c r="M41" s="4">
        <v>3500000000</v>
      </c>
      <c r="N41">
        <v>0</v>
      </c>
      <c r="O41">
        <v>4.7628803250000002</v>
      </c>
      <c r="P41">
        <v>-74.059646610000001</v>
      </c>
      <c r="Q41" t="s">
        <v>2146</v>
      </c>
      <c r="R41">
        <v>6730769.2309999997</v>
      </c>
      <c r="S41">
        <v>0</v>
      </c>
      <c r="T41" t="s">
        <v>151</v>
      </c>
      <c r="U41" t="s">
        <v>152</v>
      </c>
      <c r="V41" t="s">
        <v>77</v>
      </c>
      <c r="W41" t="s">
        <v>119</v>
      </c>
      <c r="X41" t="s">
        <v>153</v>
      </c>
      <c r="Y41">
        <v>2.8908097963291901</v>
      </c>
      <c r="Z41">
        <v>2890.8097963291898</v>
      </c>
      <c r="AA41">
        <v>4.7837500000000004</v>
      </c>
      <c r="AB41">
        <v>-74.044138888888895</v>
      </c>
      <c r="AC41">
        <v>2580</v>
      </c>
      <c r="AD41">
        <v>0</v>
      </c>
      <c r="AE41" t="s">
        <v>154</v>
      </c>
      <c r="AF41" t="s">
        <v>107</v>
      </c>
      <c r="AG41" t="s">
        <v>82</v>
      </c>
      <c r="AH41" t="s">
        <v>83</v>
      </c>
      <c r="AI41" t="s">
        <v>121</v>
      </c>
      <c r="AJ41">
        <v>1.68626289108858</v>
      </c>
      <c r="AK41">
        <v>4.0986739193947503</v>
      </c>
      <c r="AL41">
        <v>1.2518684715486299</v>
      </c>
      <c r="AM41">
        <v>0.42524646266294602</v>
      </c>
      <c r="AN41">
        <v>3.7046530357400602</v>
      </c>
      <c r="AO41">
        <v>8.6677316745727498E-2</v>
      </c>
      <c r="AP41">
        <v>8.6677316745727498E-2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5</v>
      </c>
      <c r="AW41">
        <v>0</v>
      </c>
      <c r="AX41">
        <v>1</v>
      </c>
      <c r="AY41">
        <v>15.3</v>
      </c>
      <c r="AZ41">
        <v>9.8000000000000007</v>
      </c>
      <c r="BA41">
        <v>29.7</v>
      </c>
      <c r="BB41">
        <v>564</v>
      </c>
      <c r="BC41">
        <v>68</v>
      </c>
      <c r="BD41">
        <v>1.8</v>
      </c>
      <c r="BE41">
        <v>43</v>
      </c>
      <c r="BF41">
        <v>25.4</v>
      </c>
      <c r="BG41">
        <v>162</v>
      </c>
      <c r="BH41">
        <v>9.1</v>
      </c>
      <c r="BI41">
        <v>9.1999999999999993</v>
      </c>
      <c r="BJ41">
        <v>18.3</v>
      </c>
      <c r="BK41">
        <v>0.34</v>
      </c>
      <c r="BL41">
        <v>7.3</v>
      </c>
      <c r="BM41">
        <v>0.9</v>
      </c>
      <c r="BN41">
        <v>7.5</v>
      </c>
      <c r="BO41">
        <v>2.9</v>
      </c>
      <c r="BP41">
        <f t="shared" si="0"/>
        <v>8.4933822442229001</v>
      </c>
      <c r="BQ41">
        <f t="shared" si="1"/>
        <v>27.709286527169269</v>
      </c>
    </row>
    <row r="42" spans="1:69" hidden="1" x14ac:dyDescent="0.2">
      <c r="A42" t="s">
        <v>2297</v>
      </c>
      <c r="B42" t="s">
        <v>68</v>
      </c>
      <c r="C42" t="s">
        <v>1956</v>
      </c>
      <c r="D42" t="s">
        <v>70</v>
      </c>
      <c r="E42" t="s">
        <v>2298</v>
      </c>
      <c r="F42">
        <v>6</v>
      </c>
      <c r="G42">
        <v>510</v>
      </c>
      <c r="H42">
        <v>3</v>
      </c>
      <c r="I42">
        <v>5</v>
      </c>
      <c r="J42">
        <v>4</v>
      </c>
      <c r="K42" t="s">
        <v>110</v>
      </c>
      <c r="L42" t="s">
        <v>115</v>
      </c>
      <c r="M42" s="4">
        <v>2600000000</v>
      </c>
      <c r="N42">
        <v>0</v>
      </c>
      <c r="O42">
        <v>4.8088450429999998</v>
      </c>
      <c r="P42">
        <v>-74.030281070000001</v>
      </c>
      <c r="Q42" t="s">
        <v>2299</v>
      </c>
      <c r="R42">
        <v>5098039.216</v>
      </c>
      <c r="S42">
        <v>0</v>
      </c>
      <c r="T42" t="s">
        <v>151</v>
      </c>
      <c r="U42" t="s">
        <v>152</v>
      </c>
      <c r="V42" t="s">
        <v>77</v>
      </c>
      <c r="W42" t="s">
        <v>119</v>
      </c>
      <c r="X42" t="s">
        <v>153</v>
      </c>
      <c r="Y42">
        <v>3.1885946928703301</v>
      </c>
      <c r="Z42">
        <v>3188.5946928703302</v>
      </c>
      <c r="AA42">
        <v>4.7837500000000004</v>
      </c>
      <c r="AB42">
        <v>-74.044138888888895</v>
      </c>
      <c r="AC42">
        <v>2580</v>
      </c>
      <c r="AD42">
        <v>0</v>
      </c>
      <c r="AE42" t="s">
        <v>154</v>
      </c>
      <c r="AF42" t="s">
        <v>107</v>
      </c>
      <c r="AG42" t="s">
        <v>82</v>
      </c>
      <c r="AH42" t="s">
        <v>83</v>
      </c>
      <c r="AI42" t="s">
        <v>108</v>
      </c>
      <c r="AJ42">
        <v>4.6623486576644897</v>
      </c>
      <c r="AK42">
        <v>2.7090149515865898</v>
      </c>
      <c r="AL42">
        <v>2.0984175187076701</v>
      </c>
      <c r="AM42">
        <v>3.7856117185075</v>
      </c>
      <c r="AN42">
        <v>7.4486587410695497</v>
      </c>
      <c r="AO42">
        <v>1.15831421540242</v>
      </c>
      <c r="AP42">
        <v>1.15831421540242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15.3</v>
      </c>
      <c r="AZ42">
        <v>9.8000000000000007</v>
      </c>
      <c r="BA42">
        <v>29.7</v>
      </c>
      <c r="BB42">
        <v>564</v>
      </c>
      <c r="BC42">
        <v>68</v>
      </c>
      <c r="BD42">
        <v>1.8</v>
      </c>
      <c r="BE42">
        <v>43</v>
      </c>
      <c r="BF42">
        <v>25.4</v>
      </c>
      <c r="BG42">
        <v>162</v>
      </c>
      <c r="BH42">
        <v>9.1</v>
      </c>
      <c r="BI42">
        <v>9.1999999999999993</v>
      </c>
      <c r="BJ42">
        <v>18.3</v>
      </c>
      <c r="BK42">
        <v>0.34</v>
      </c>
      <c r="BL42">
        <v>7.3</v>
      </c>
      <c r="BM42">
        <v>0.9</v>
      </c>
      <c r="BN42">
        <v>7.5</v>
      </c>
      <c r="BO42">
        <v>2.9</v>
      </c>
      <c r="BP42">
        <f t="shared" si="0"/>
        <v>8.3691049925145382</v>
      </c>
      <c r="BQ42">
        <f t="shared" si="1"/>
        <v>27.51195873340107</v>
      </c>
    </row>
    <row r="43" spans="1:69" hidden="1" x14ac:dyDescent="0.2">
      <c r="A43" t="s">
        <v>2947</v>
      </c>
      <c r="B43" t="s">
        <v>68</v>
      </c>
      <c r="C43" t="s">
        <v>1956</v>
      </c>
      <c r="D43" t="s">
        <v>70</v>
      </c>
      <c r="E43" t="s">
        <v>1517</v>
      </c>
      <c r="F43">
        <v>5</v>
      </c>
      <c r="G43">
        <v>509</v>
      </c>
      <c r="H43">
        <v>5</v>
      </c>
      <c r="I43">
        <v>5</v>
      </c>
      <c r="J43">
        <v>3</v>
      </c>
      <c r="K43" t="s">
        <v>110</v>
      </c>
      <c r="L43" t="s">
        <v>162</v>
      </c>
      <c r="M43" s="4">
        <v>1400000000</v>
      </c>
      <c r="N43">
        <v>0</v>
      </c>
      <c r="O43">
        <v>4.7076200000000004</v>
      </c>
      <c r="P43">
        <v>-74.077060000000003</v>
      </c>
      <c r="Q43" t="s">
        <v>2948</v>
      </c>
      <c r="R43">
        <v>2750491.159</v>
      </c>
      <c r="S43">
        <v>0</v>
      </c>
      <c r="T43" t="s">
        <v>117</v>
      </c>
      <c r="U43" t="s">
        <v>118</v>
      </c>
      <c r="V43" t="s">
        <v>77</v>
      </c>
      <c r="W43" t="s">
        <v>119</v>
      </c>
      <c r="X43" t="s">
        <v>120</v>
      </c>
      <c r="Y43">
        <v>3.3981300651644699</v>
      </c>
      <c r="Z43">
        <v>3398.1300651644701</v>
      </c>
      <c r="AA43">
        <v>4.73719444444444</v>
      </c>
      <c r="AB43">
        <v>-74.069472222222203</v>
      </c>
      <c r="AC43">
        <v>2555</v>
      </c>
      <c r="AD43">
        <v>0</v>
      </c>
      <c r="AE43" t="s">
        <v>80</v>
      </c>
      <c r="AF43" t="s">
        <v>107</v>
      </c>
      <c r="AG43" t="s">
        <v>82</v>
      </c>
      <c r="AH43" t="s">
        <v>83</v>
      </c>
      <c r="AI43" t="s">
        <v>121</v>
      </c>
      <c r="AJ43">
        <v>0.66064061921026696</v>
      </c>
      <c r="AK43">
        <v>5.5422527163417703</v>
      </c>
      <c r="AL43">
        <v>1.19682051415188</v>
      </c>
      <c r="AM43">
        <v>0.103822001318383</v>
      </c>
      <c r="AN43">
        <v>3.4429952593268398</v>
      </c>
      <c r="AO43">
        <v>0.168797113946519</v>
      </c>
      <c r="AP43">
        <v>0.168797113946519</v>
      </c>
      <c r="AQ43">
        <v>0</v>
      </c>
      <c r="AR43">
        <v>2</v>
      </c>
      <c r="AS43">
        <v>0</v>
      </c>
      <c r="AT43">
        <v>0</v>
      </c>
      <c r="AU43">
        <v>0</v>
      </c>
      <c r="AV43">
        <v>32</v>
      </c>
      <c r="AW43">
        <v>0</v>
      </c>
      <c r="AX43">
        <v>0</v>
      </c>
      <c r="AY43">
        <v>15.3</v>
      </c>
      <c r="AZ43">
        <v>9.8000000000000007</v>
      </c>
      <c r="BA43">
        <v>29.7</v>
      </c>
      <c r="BB43">
        <v>564</v>
      </c>
      <c r="BC43">
        <v>68</v>
      </c>
      <c r="BD43">
        <v>1.8</v>
      </c>
      <c r="BE43">
        <v>43</v>
      </c>
      <c r="BF43">
        <v>25.4</v>
      </c>
      <c r="BG43">
        <v>162</v>
      </c>
      <c r="BH43">
        <v>9.1</v>
      </c>
      <c r="BI43">
        <v>9.1999999999999993</v>
      </c>
      <c r="BJ43">
        <v>18.3</v>
      </c>
      <c r="BK43">
        <v>0.34</v>
      </c>
      <c r="BL43">
        <v>7.3</v>
      </c>
      <c r="BM43">
        <v>0.9</v>
      </c>
      <c r="BN43">
        <v>7.5</v>
      </c>
      <c r="BO43">
        <v>2.9</v>
      </c>
      <c r="BP43">
        <f t="shared" si="0"/>
        <v>8.2827492428850515</v>
      </c>
      <c r="BQ43">
        <f t="shared" si="1"/>
        <v>27.373952545997604</v>
      </c>
    </row>
    <row r="44" spans="1:69" hidden="1" x14ac:dyDescent="0.2">
      <c r="A44" t="s">
        <v>3219</v>
      </c>
      <c r="B44" t="s">
        <v>68</v>
      </c>
      <c r="C44" t="s">
        <v>1956</v>
      </c>
      <c r="D44" t="s">
        <v>70</v>
      </c>
      <c r="E44" t="s">
        <v>1724</v>
      </c>
      <c r="F44">
        <v>5</v>
      </c>
      <c r="G44">
        <v>500</v>
      </c>
      <c r="H44">
        <v>4</v>
      </c>
      <c r="I44">
        <v>4</v>
      </c>
      <c r="J44">
        <v>3</v>
      </c>
      <c r="K44" t="s">
        <v>110</v>
      </c>
      <c r="L44" t="s">
        <v>124</v>
      </c>
      <c r="M44" s="4">
        <v>2200000000</v>
      </c>
      <c r="N44">
        <v>0</v>
      </c>
      <c r="O44">
        <v>4.7652621269999997</v>
      </c>
      <c r="P44">
        <v>-74.059921259999996</v>
      </c>
      <c r="Q44" t="s">
        <v>3220</v>
      </c>
      <c r="R44">
        <v>4400000</v>
      </c>
      <c r="S44">
        <v>0</v>
      </c>
      <c r="T44" t="s">
        <v>151</v>
      </c>
      <c r="U44" t="s">
        <v>152</v>
      </c>
      <c r="V44" t="s">
        <v>77</v>
      </c>
      <c r="W44" t="s">
        <v>119</v>
      </c>
      <c r="X44" t="s">
        <v>153</v>
      </c>
      <c r="Y44">
        <v>2.7020133144431102</v>
      </c>
      <c r="Z44">
        <v>2702.0133144431102</v>
      </c>
      <c r="AA44">
        <v>4.7837500000000004</v>
      </c>
      <c r="AB44">
        <v>-74.044138888888895</v>
      </c>
      <c r="AC44">
        <v>2580</v>
      </c>
      <c r="AD44">
        <v>0</v>
      </c>
      <c r="AE44" t="s">
        <v>154</v>
      </c>
      <c r="AF44" t="s">
        <v>107</v>
      </c>
      <c r="AG44" t="s">
        <v>82</v>
      </c>
      <c r="AH44" t="s">
        <v>83</v>
      </c>
      <c r="AI44" t="s">
        <v>121</v>
      </c>
      <c r="AJ44">
        <v>1.72910043504564</v>
      </c>
      <c r="AK44">
        <v>4.1063153761878297</v>
      </c>
      <c r="AL44">
        <v>1.4939056181656201</v>
      </c>
      <c r="AM44">
        <v>0.683818886989351</v>
      </c>
      <c r="AN44">
        <v>3.8561940890220998</v>
      </c>
      <c r="AO44">
        <v>0.28030815564509498</v>
      </c>
      <c r="AP44">
        <v>0.28030815564509498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3</v>
      </c>
      <c r="AW44">
        <v>0</v>
      </c>
      <c r="AX44">
        <v>1</v>
      </c>
      <c r="AY44">
        <v>15.3</v>
      </c>
      <c r="AZ44">
        <v>9.8000000000000007</v>
      </c>
      <c r="BA44">
        <v>29.7</v>
      </c>
      <c r="BB44">
        <v>564</v>
      </c>
      <c r="BC44">
        <v>68</v>
      </c>
      <c r="BD44">
        <v>1.8</v>
      </c>
      <c r="BE44">
        <v>43</v>
      </c>
      <c r="BF44">
        <v>25.4</v>
      </c>
      <c r="BG44">
        <v>162</v>
      </c>
      <c r="BH44">
        <v>9.1</v>
      </c>
      <c r="BI44">
        <v>9.1999999999999993</v>
      </c>
      <c r="BJ44">
        <v>18.3</v>
      </c>
      <c r="BK44">
        <v>0.34</v>
      </c>
      <c r="BL44">
        <v>7.3</v>
      </c>
      <c r="BM44">
        <v>0.9</v>
      </c>
      <c r="BN44">
        <v>7.5</v>
      </c>
      <c r="BO44">
        <v>2.9</v>
      </c>
      <c r="BP44">
        <f t="shared" si="0"/>
        <v>8.5731285695161379</v>
      </c>
      <c r="BQ44">
        <f t="shared" si="1"/>
        <v>27.835125386562378</v>
      </c>
    </row>
    <row r="45" spans="1:69" hidden="1" x14ac:dyDescent="0.2">
      <c r="A45" t="s">
        <v>2437</v>
      </c>
      <c r="B45" t="s">
        <v>68</v>
      </c>
      <c r="C45" t="s">
        <v>1956</v>
      </c>
      <c r="D45" t="s">
        <v>70</v>
      </c>
      <c r="E45" t="s">
        <v>267</v>
      </c>
      <c r="F45">
        <v>6</v>
      </c>
      <c r="G45">
        <v>495</v>
      </c>
      <c r="H45">
        <v>4</v>
      </c>
      <c r="I45">
        <v>4</v>
      </c>
      <c r="J45">
        <v>3</v>
      </c>
      <c r="K45" t="s">
        <v>110</v>
      </c>
      <c r="L45" t="s">
        <v>124</v>
      </c>
      <c r="M45" s="4">
        <v>3500000000</v>
      </c>
      <c r="N45">
        <v>0</v>
      </c>
      <c r="O45">
        <v>4.8192005160000004</v>
      </c>
      <c r="P45">
        <v>-74.041084290000001</v>
      </c>
      <c r="Q45" t="s">
        <v>2438</v>
      </c>
      <c r="R45">
        <v>7070707.0710000005</v>
      </c>
      <c r="S45">
        <v>0</v>
      </c>
      <c r="T45" t="s">
        <v>151</v>
      </c>
      <c r="U45" t="s">
        <v>152</v>
      </c>
      <c r="V45" t="s">
        <v>77</v>
      </c>
      <c r="W45" t="s">
        <v>119</v>
      </c>
      <c r="X45" t="s">
        <v>153</v>
      </c>
      <c r="Y45">
        <v>3.9608536790384101</v>
      </c>
      <c r="Z45">
        <v>3960.8536790384101</v>
      </c>
      <c r="AA45">
        <v>4.7837500000000004</v>
      </c>
      <c r="AB45">
        <v>-74.044138888888895</v>
      </c>
      <c r="AC45">
        <v>2580</v>
      </c>
      <c r="AD45">
        <v>0</v>
      </c>
      <c r="AE45" t="s">
        <v>154</v>
      </c>
      <c r="AF45" t="s">
        <v>107</v>
      </c>
      <c r="AG45" t="s">
        <v>82</v>
      </c>
      <c r="AH45" t="s">
        <v>83</v>
      </c>
      <c r="AI45" t="s">
        <v>121</v>
      </c>
      <c r="AJ45">
        <v>5.5746097397625398</v>
      </c>
      <c r="AK45">
        <v>1.07227956348163</v>
      </c>
      <c r="AL45">
        <v>2.21721150407698</v>
      </c>
      <c r="AM45">
        <v>4.6239717682486399</v>
      </c>
      <c r="AN45">
        <v>8.7289186934471701</v>
      </c>
      <c r="AO45">
        <v>2.0650607888673699E-2</v>
      </c>
      <c r="AP45">
        <v>2.0650607888673699E-2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15.3</v>
      </c>
      <c r="AZ45">
        <v>9.8000000000000007</v>
      </c>
      <c r="BA45">
        <v>29.7</v>
      </c>
      <c r="BB45">
        <v>564</v>
      </c>
      <c r="BC45">
        <v>68</v>
      </c>
      <c r="BD45">
        <v>1.8</v>
      </c>
      <c r="BE45">
        <v>43</v>
      </c>
      <c r="BF45">
        <v>25.4</v>
      </c>
      <c r="BG45">
        <v>162</v>
      </c>
      <c r="BH45">
        <v>9.1</v>
      </c>
      <c r="BI45">
        <v>9.1999999999999993</v>
      </c>
      <c r="BJ45">
        <v>18.3</v>
      </c>
      <c r="BK45">
        <v>0.34</v>
      </c>
      <c r="BL45">
        <v>7.3</v>
      </c>
      <c r="BM45">
        <v>0.9</v>
      </c>
      <c r="BN45">
        <v>7.5</v>
      </c>
      <c r="BO45">
        <v>2.9</v>
      </c>
      <c r="BP45">
        <f t="shared" si="0"/>
        <v>8.0552183895984015</v>
      </c>
      <c r="BQ45">
        <f t="shared" si="1"/>
        <v>27.006742512438898</v>
      </c>
    </row>
    <row r="46" spans="1:69" hidden="1" x14ac:dyDescent="0.2">
      <c r="A46" t="s">
        <v>2193</v>
      </c>
      <c r="B46" t="s">
        <v>68</v>
      </c>
      <c r="C46" t="s">
        <v>1956</v>
      </c>
      <c r="D46" t="s">
        <v>70</v>
      </c>
      <c r="E46" t="s">
        <v>267</v>
      </c>
      <c r="F46">
        <v>6</v>
      </c>
      <c r="G46">
        <v>493</v>
      </c>
      <c r="H46">
        <v>5</v>
      </c>
      <c r="I46">
        <v>5</v>
      </c>
      <c r="J46">
        <v>4</v>
      </c>
      <c r="K46" t="s">
        <v>110</v>
      </c>
      <c r="L46" t="s">
        <v>124</v>
      </c>
      <c r="M46" s="4">
        <v>2500000000</v>
      </c>
      <c r="N46">
        <v>0</v>
      </c>
      <c r="O46">
        <v>4.8150963779999998</v>
      </c>
      <c r="P46">
        <v>-74.054985049999999</v>
      </c>
      <c r="Q46" t="s">
        <v>2194</v>
      </c>
      <c r="R46">
        <v>5070993.915</v>
      </c>
      <c r="S46">
        <v>0</v>
      </c>
      <c r="T46" t="s">
        <v>151</v>
      </c>
      <c r="U46" t="s">
        <v>152</v>
      </c>
      <c r="V46" t="s">
        <v>77</v>
      </c>
      <c r="W46" t="s">
        <v>119</v>
      </c>
      <c r="X46" t="s">
        <v>153</v>
      </c>
      <c r="Y46">
        <v>3.6910614205457302</v>
      </c>
      <c r="Z46">
        <v>3691.06142054573</v>
      </c>
      <c r="AA46">
        <v>4.7837500000000004</v>
      </c>
      <c r="AB46">
        <v>-74.044138888888895</v>
      </c>
      <c r="AC46">
        <v>2580</v>
      </c>
      <c r="AD46">
        <v>0</v>
      </c>
      <c r="AE46" t="s">
        <v>154</v>
      </c>
      <c r="AF46" t="s">
        <v>107</v>
      </c>
      <c r="AG46" t="s">
        <v>82</v>
      </c>
      <c r="AH46" t="s">
        <v>83</v>
      </c>
      <c r="AI46" t="s">
        <v>121</v>
      </c>
      <c r="AJ46">
        <v>5.2684145542287997</v>
      </c>
      <c r="AK46">
        <v>1.1715929137780901</v>
      </c>
      <c r="AL46">
        <v>1.8803962180473299</v>
      </c>
      <c r="AM46">
        <v>3.6872401604240101</v>
      </c>
      <c r="AN46">
        <v>8.7117108681348991</v>
      </c>
      <c r="AO46">
        <v>1.04261447138145</v>
      </c>
      <c r="AP46">
        <v>1.04261447138145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15.3</v>
      </c>
      <c r="AZ46">
        <v>9.8000000000000007</v>
      </c>
      <c r="BA46">
        <v>29.7</v>
      </c>
      <c r="BB46">
        <v>564</v>
      </c>
      <c r="BC46">
        <v>68</v>
      </c>
      <c r="BD46">
        <v>1.8</v>
      </c>
      <c r="BE46">
        <v>43</v>
      </c>
      <c r="BF46">
        <v>25.4</v>
      </c>
      <c r="BG46">
        <v>162</v>
      </c>
      <c r="BH46">
        <v>9.1</v>
      </c>
      <c r="BI46">
        <v>9.1999999999999993</v>
      </c>
      <c r="BJ46">
        <v>18.3</v>
      </c>
      <c r="BK46">
        <v>0.34</v>
      </c>
      <c r="BL46">
        <v>7.3</v>
      </c>
      <c r="BM46">
        <v>0.9</v>
      </c>
      <c r="BN46">
        <v>7.5</v>
      </c>
      <c r="BO46">
        <v>2.9</v>
      </c>
      <c r="BP46">
        <f t="shared" si="0"/>
        <v>8.1635150761651492</v>
      </c>
      <c r="BQ46">
        <f t="shared" si="1"/>
        <v>27.18217891747085</v>
      </c>
    </row>
    <row r="47" spans="1:69" hidden="1" x14ac:dyDescent="0.2">
      <c r="A47" t="s">
        <v>2490</v>
      </c>
      <c r="B47" t="s">
        <v>68</v>
      </c>
      <c r="C47" t="s">
        <v>1956</v>
      </c>
      <c r="D47" t="s">
        <v>70</v>
      </c>
      <c r="E47" t="s">
        <v>1724</v>
      </c>
      <c r="F47">
        <v>5</v>
      </c>
      <c r="G47">
        <v>477</v>
      </c>
      <c r="H47">
        <v>4</v>
      </c>
      <c r="I47">
        <v>3</v>
      </c>
      <c r="J47">
        <v>4</v>
      </c>
      <c r="K47" t="s">
        <v>110</v>
      </c>
      <c r="L47" t="s">
        <v>162</v>
      </c>
      <c r="M47" s="4">
        <v>1800000000</v>
      </c>
      <c r="N47">
        <v>0</v>
      </c>
      <c r="O47">
        <v>4.7587175369999999</v>
      </c>
      <c r="P47">
        <v>-74.060997009999994</v>
      </c>
      <c r="Q47" t="s">
        <v>2491</v>
      </c>
      <c r="R47">
        <v>3773584.906</v>
      </c>
      <c r="S47">
        <v>0</v>
      </c>
      <c r="T47" t="s">
        <v>117</v>
      </c>
      <c r="U47" t="s">
        <v>118</v>
      </c>
      <c r="V47" t="s">
        <v>77</v>
      </c>
      <c r="W47" t="s">
        <v>119</v>
      </c>
      <c r="X47" t="s">
        <v>120</v>
      </c>
      <c r="Y47">
        <v>2.5738178721590499</v>
      </c>
      <c r="Z47">
        <v>2573.8178721590498</v>
      </c>
      <c r="AA47">
        <v>4.73719444444444</v>
      </c>
      <c r="AB47">
        <v>-74.069472222222203</v>
      </c>
      <c r="AC47">
        <v>2555</v>
      </c>
      <c r="AD47">
        <v>0</v>
      </c>
      <c r="AE47" t="s">
        <v>80</v>
      </c>
      <c r="AF47" t="s">
        <v>107</v>
      </c>
      <c r="AG47" t="s">
        <v>82</v>
      </c>
      <c r="AH47" t="s">
        <v>83</v>
      </c>
      <c r="AI47" t="s">
        <v>121</v>
      </c>
      <c r="AJ47">
        <v>1.7183987391308899</v>
      </c>
      <c r="AK47">
        <v>4.30677279347662</v>
      </c>
      <c r="AL47">
        <v>1.0192898894320901</v>
      </c>
      <c r="AM47">
        <v>8.9532573366316606E-2</v>
      </c>
      <c r="AN47">
        <v>3.3051159669152699</v>
      </c>
      <c r="AO47">
        <v>0.36248705651072399</v>
      </c>
      <c r="AP47">
        <v>0.36248705651072399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10</v>
      </c>
      <c r="AW47">
        <v>0</v>
      </c>
      <c r="AX47">
        <v>1</v>
      </c>
      <c r="AY47">
        <v>15.3</v>
      </c>
      <c r="AZ47">
        <v>9.8000000000000007</v>
      </c>
      <c r="BA47">
        <v>29.7</v>
      </c>
      <c r="BB47">
        <v>564</v>
      </c>
      <c r="BC47">
        <v>68</v>
      </c>
      <c r="BD47">
        <v>1.8</v>
      </c>
      <c r="BE47">
        <v>43</v>
      </c>
      <c r="BF47">
        <v>25.4</v>
      </c>
      <c r="BG47">
        <v>162</v>
      </c>
      <c r="BH47">
        <v>9.1</v>
      </c>
      <c r="BI47">
        <v>9.1999999999999993</v>
      </c>
      <c r="BJ47">
        <v>18.3</v>
      </c>
      <c r="BK47">
        <v>0.34</v>
      </c>
      <c r="BL47">
        <v>7.3</v>
      </c>
      <c r="BM47">
        <v>0.9</v>
      </c>
      <c r="BN47">
        <v>7.5</v>
      </c>
      <c r="BO47">
        <v>2.9</v>
      </c>
      <c r="BP47">
        <f t="shared" si="0"/>
        <v>8.6277038272214384</v>
      </c>
      <c r="BQ47">
        <f t="shared" si="1"/>
        <v>27.920897334815642</v>
      </c>
    </row>
    <row r="48" spans="1:69" hidden="1" x14ac:dyDescent="0.2">
      <c r="A48" t="s">
        <v>2025</v>
      </c>
      <c r="B48" t="s">
        <v>68</v>
      </c>
      <c r="C48" t="s">
        <v>1956</v>
      </c>
      <c r="D48" t="s">
        <v>70</v>
      </c>
      <c r="E48" t="s">
        <v>267</v>
      </c>
      <c r="F48">
        <v>6</v>
      </c>
      <c r="G48">
        <v>474.11</v>
      </c>
      <c r="H48">
        <v>4</v>
      </c>
      <c r="I48">
        <v>4</v>
      </c>
      <c r="J48">
        <v>3</v>
      </c>
      <c r="K48" t="s">
        <v>110</v>
      </c>
      <c r="L48" t="s">
        <v>124</v>
      </c>
      <c r="M48" s="4">
        <v>3300000000</v>
      </c>
      <c r="N48">
        <v>0</v>
      </c>
      <c r="O48">
        <v>4.8192005160000004</v>
      </c>
      <c r="P48">
        <v>-74.041084290000001</v>
      </c>
      <c r="Q48" t="s">
        <v>2026</v>
      </c>
      <c r="R48">
        <v>6960410.0310000004</v>
      </c>
      <c r="S48">
        <v>0</v>
      </c>
      <c r="T48" t="s">
        <v>151</v>
      </c>
      <c r="U48" t="s">
        <v>152</v>
      </c>
      <c r="V48" t="s">
        <v>77</v>
      </c>
      <c r="W48" t="s">
        <v>119</v>
      </c>
      <c r="X48" t="s">
        <v>153</v>
      </c>
      <c r="Y48">
        <v>3.9608536790384101</v>
      </c>
      <c r="Z48">
        <v>3960.8536790384101</v>
      </c>
      <c r="AA48">
        <v>4.7837500000000004</v>
      </c>
      <c r="AB48">
        <v>-74.044138888888895</v>
      </c>
      <c r="AC48">
        <v>2580</v>
      </c>
      <c r="AD48">
        <v>0</v>
      </c>
      <c r="AE48" t="s">
        <v>154</v>
      </c>
      <c r="AF48" t="s">
        <v>107</v>
      </c>
      <c r="AG48" t="s">
        <v>82</v>
      </c>
      <c r="AH48" t="s">
        <v>83</v>
      </c>
      <c r="AI48" t="s">
        <v>121</v>
      </c>
      <c r="AJ48">
        <v>5.5746097397625398</v>
      </c>
      <c r="AK48">
        <v>1.07227956348163</v>
      </c>
      <c r="AL48">
        <v>2.21721150407698</v>
      </c>
      <c r="AM48">
        <v>4.6239717682486399</v>
      </c>
      <c r="AN48">
        <v>8.7289186934471701</v>
      </c>
      <c r="AO48">
        <v>2.0650607888673699E-2</v>
      </c>
      <c r="AP48">
        <v>2.0650607888673699E-2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15.3</v>
      </c>
      <c r="AZ48">
        <v>9.8000000000000007</v>
      </c>
      <c r="BA48">
        <v>29.7</v>
      </c>
      <c r="BB48">
        <v>564</v>
      </c>
      <c r="BC48">
        <v>68</v>
      </c>
      <c r="BD48">
        <v>1.8</v>
      </c>
      <c r="BE48">
        <v>43</v>
      </c>
      <c r="BF48">
        <v>25.4</v>
      </c>
      <c r="BG48">
        <v>162</v>
      </c>
      <c r="BH48">
        <v>9.1</v>
      </c>
      <c r="BI48">
        <v>9.1999999999999993</v>
      </c>
      <c r="BJ48">
        <v>18.3</v>
      </c>
      <c r="BK48">
        <v>0.34</v>
      </c>
      <c r="BL48">
        <v>7.3</v>
      </c>
      <c r="BM48">
        <v>0.9</v>
      </c>
      <c r="BN48">
        <v>7.5</v>
      </c>
      <c r="BO48">
        <v>2.9</v>
      </c>
      <c r="BP48">
        <f t="shared" si="0"/>
        <v>8.0552183895984015</v>
      </c>
      <c r="BQ48">
        <f t="shared" si="1"/>
        <v>27.006742512438898</v>
      </c>
    </row>
    <row r="49" spans="1:69" hidden="1" x14ac:dyDescent="0.2">
      <c r="A49" t="s">
        <v>2233</v>
      </c>
      <c r="B49" t="s">
        <v>68</v>
      </c>
      <c r="C49" t="s">
        <v>1956</v>
      </c>
      <c r="D49" t="s">
        <v>70</v>
      </c>
      <c r="E49" t="s">
        <v>1022</v>
      </c>
      <c r="F49">
        <v>5</v>
      </c>
      <c r="G49">
        <v>473.33</v>
      </c>
      <c r="H49">
        <v>5</v>
      </c>
      <c r="I49">
        <v>5</v>
      </c>
      <c r="J49">
        <v>4</v>
      </c>
      <c r="K49" t="s">
        <v>110</v>
      </c>
      <c r="L49" t="s">
        <v>162</v>
      </c>
      <c r="M49" s="4">
        <v>3000000000</v>
      </c>
      <c r="N49">
        <v>0</v>
      </c>
      <c r="O49">
        <v>4.7002350000000002</v>
      </c>
      <c r="P49">
        <v>-74.077755999999994</v>
      </c>
      <c r="Q49" t="s">
        <v>2234</v>
      </c>
      <c r="R49">
        <v>6338072.8030000003</v>
      </c>
      <c r="S49">
        <v>0</v>
      </c>
      <c r="T49" t="s">
        <v>117</v>
      </c>
      <c r="U49" t="s">
        <v>118</v>
      </c>
      <c r="V49" t="s">
        <v>77</v>
      </c>
      <c r="W49" t="s">
        <v>119</v>
      </c>
      <c r="X49" t="s">
        <v>120</v>
      </c>
      <c r="Y49">
        <v>4.2156988374359603</v>
      </c>
      <c r="Z49">
        <v>4215.6988374359598</v>
      </c>
      <c r="AA49">
        <v>4.73719444444444</v>
      </c>
      <c r="AB49">
        <v>-74.069472222222203</v>
      </c>
      <c r="AC49">
        <v>2555</v>
      </c>
      <c r="AD49">
        <v>0</v>
      </c>
      <c r="AE49" t="s">
        <v>80</v>
      </c>
      <c r="AF49" t="s">
        <v>107</v>
      </c>
      <c r="AG49" t="s">
        <v>82</v>
      </c>
      <c r="AH49" t="s">
        <v>83</v>
      </c>
      <c r="AI49" t="s">
        <v>121</v>
      </c>
      <c r="AJ49">
        <v>0.884125723959301</v>
      </c>
      <c r="AK49">
        <v>5.1380666850569998</v>
      </c>
      <c r="AL49">
        <v>0.94159720541020997</v>
      </c>
      <c r="AM49">
        <v>6.4723721717084001E-2</v>
      </c>
      <c r="AN49">
        <v>2.9553560277415101</v>
      </c>
      <c r="AO49">
        <v>0.14562688472768501</v>
      </c>
      <c r="AP49">
        <v>0.14562688472768501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36</v>
      </c>
      <c r="AW49">
        <v>0</v>
      </c>
      <c r="AX49">
        <v>0</v>
      </c>
      <c r="AY49">
        <v>15.3</v>
      </c>
      <c r="AZ49">
        <v>9.8000000000000007</v>
      </c>
      <c r="BA49">
        <v>29.7</v>
      </c>
      <c r="BB49">
        <v>564</v>
      </c>
      <c r="BC49">
        <v>68</v>
      </c>
      <c r="BD49">
        <v>1.8</v>
      </c>
      <c r="BE49">
        <v>43</v>
      </c>
      <c r="BF49">
        <v>25.4</v>
      </c>
      <c r="BG49">
        <v>162</v>
      </c>
      <c r="BH49">
        <v>9.1</v>
      </c>
      <c r="BI49">
        <v>9.1999999999999993</v>
      </c>
      <c r="BJ49">
        <v>18.3</v>
      </c>
      <c r="BK49">
        <v>0.34</v>
      </c>
      <c r="BL49">
        <v>7.3</v>
      </c>
      <c r="BM49">
        <v>0.9</v>
      </c>
      <c r="BN49">
        <v>7.5</v>
      </c>
      <c r="BO49">
        <v>2.9</v>
      </c>
      <c r="BP49">
        <f t="shared" si="0"/>
        <v>7.9542413792299147</v>
      </c>
      <c r="BQ49">
        <f t="shared" si="1"/>
        <v>26.842065729013985</v>
      </c>
    </row>
    <row r="50" spans="1:69" hidden="1" x14ac:dyDescent="0.2">
      <c r="A50" t="s">
        <v>2721</v>
      </c>
      <c r="B50" t="s">
        <v>68</v>
      </c>
      <c r="C50" t="s">
        <v>1956</v>
      </c>
      <c r="D50" t="s">
        <v>70</v>
      </c>
      <c r="E50" t="s">
        <v>267</v>
      </c>
      <c r="F50">
        <v>6</v>
      </c>
      <c r="G50">
        <v>460</v>
      </c>
      <c r="H50">
        <v>4</v>
      </c>
      <c r="I50">
        <v>5</v>
      </c>
      <c r="J50">
        <v>4</v>
      </c>
      <c r="K50" t="s">
        <v>110</v>
      </c>
      <c r="L50" t="s">
        <v>124</v>
      </c>
      <c r="M50" s="4">
        <v>3300000000</v>
      </c>
      <c r="N50">
        <v>0</v>
      </c>
      <c r="O50">
        <v>4.8131113049999996</v>
      </c>
      <c r="P50">
        <v>-74.049324040000002</v>
      </c>
      <c r="Q50" t="s">
        <v>2722</v>
      </c>
      <c r="R50">
        <v>7173913.0429999996</v>
      </c>
      <c r="S50">
        <v>0</v>
      </c>
      <c r="T50" t="s">
        <v>151</v>
      </c>
      <c r="U50" t="s">
        <v>152</v>
      </c>
      <c r="V50" t="s">
        <v>77</v>
      </c>
      <c r="W50" t="s">
        <v>119</v>
      </c>
      <c r="X50" t="s">
        <v>153</v>
      </c>
      <c r="Y50">
        <v>3.31870995841189</v>
      </c>
      <c r="Z50">
        <v>3318.7099584118901</v>
      </c>
      <c r="AA50">
        <v>4.7837500000000004</v>
      </c>
      <c r="AB50">
        <v>-74.044138888888895</v>
      </c>
      <c r="AC50">
        <v>2580</v>
      </c>
      <c r="AD50">
        <v>0</v>
      </c>
      <c r="AE50" t="s">
        <v>154</v>
      </c>
      <c r="AF50" t="s">
        <v>107</v>
      </c>
      <c r="AG50" t="s">
        <v>82</v>
      </c>
      <c r="AH50" t="s">
        <v>83</v>
      </c>
      <c r="AI50" t="s">
        <v>121</v>
      </c>
      <c r="AJ50">
        <v>4.9362118483059003</v>
      </c>
      <c r="AK50">
        <v>1.5785624216147001</v>
      </c>
      <c r="AL50">
        <v>1.46475331815375</v>
      </c>
      <c r="AM50">
        <v>3.98464559435036</v>
      </c>
      <c r="AN50">
        <v>8.2968377490917309</v>
      </c>
      <c r="AO50">
        <v>0.874621925454797</v>
      </c>
      <c r="AP50">
        <v>0.874621925454797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15.3</v>
      </c>
      <c r="AZ50">
        <v>9.8000000000000007</v>
      </c>
      <c r="BA50">
        <v>29.7</v>
      </c>
      <c r="BB50">
        <v>564</v>
      </c>
      <c r="BC50">
        <v>68</v>
      </c>
      <c r="BD50">
        <v>1.8</v>
      </c>
      <c r="BE50">
        <v>43</v>
      </c>
      <c r="BF50">
        <v>25.4</v>
      </c>
      <c r="BG50">
        <v>162</v>
      </c>
      <c r="BH50">
        <v>9.1</v>
      </c>
      <c r="BI50">
        <v>9.1999999999999993</v>
      </c>
      <c r="BJ50">
        <v>18.3</v>
      </c>
      <c r="BK50">
        <v>0.34</v>
      </c>
      <c r="BL50">
        <v>7.3</v>
      </c>
      <c r="BM50">
        <v>0.9</v>
      </c>
      <c r="BN50">
        <v>7.5</v>
      </c>
      <c r="BO50">
        <v>2.9</v>
      </c>
      <c r="BP50">
        <f t="shared" si="0"/>
        <v>8.315375265168214</v>
      </c>
      <c r="BQ50">
        <f t="shared" si="1"/>
        <v>27.426179318057677</v>
      </c>
    </row>
    <row r="51" spans="1:69" hidden="1" x14ac:dyDescent="0.2">
      <c r="A51" t="s">
        <v>3180</v>
      </c>
      <c r="B51" t="s">
        <v>68</v>
      </c>
      <c r="C51" t="s">
        <v>1956</v>
      </c>
      <c r="D51" t="s">
        <v>70</v>
      </c>
      <c r="E51" t="s">
        <v>267</v>
      </c>
      <c r="F51">
        <v>6</v>
      </c>
      <c r="G51">
        <v>460</v>
      </c>
      <c r="H51">
        <v>4</v>
      </c>
      <c r="I51">
        <v>4</v>
      </c>
      <c r="J51">
        <v>4</v>
      </c>
      <c r="K51" t="s">
        <v>110</v>
      </c>
      <c r="L51" t="s">
        <v>124</v>
      </c>
      <c r="M51" s="4">
        <v>2900000000</v>
      </c>
      <c r="N51">
        <v>0</v>
      </c>
      <c r="O51">
        <v>4.8183999999999996</v>
      </c>
      <c r="P51">
        <v>-74.052909999999997</v>
      </c>
      <c r="Q51" t="s">
        <v>3181</v>
      </c>
      <c r="R51">
        <v>6304347.8260000004</v>
      </c>
      <c r="S51">
        <v>0</v>
      </c>
      <c r="T51" t="s">
        <v>151</v>
      </c>
      <c r="U51" t="s">
        <v>152</v>
      </c>
      <c r="V51" t="s">
        <v>77</v>
      </c>
      <c r="W51" t="s">
        <v>119</v>
      </c>
      <c r="X51" t="s">
        <v>153</v>
      </c>
      <c r="Y51">
        <v>3.9780420995420198</v>
      </c>
      <c r="Z51">
        <v>3978.04209954202</v>
      </c>
      <c r="AA51">
        <v>4.7837500000000004</v>
      </c>
      <c r="AB51">
        <v>-74.044138888888895</v>
      </c>
      <c r="AC51">
        <v>2580</v>
      </c>
      <c r="AD51">
        <v>0</v>
      </c>
      <c r="AE51" t="s">
        <v>154</v>
      </c>
      <c r="AF51" t="s">
        <v>107</v>
      </c>
      <c r="AG51" t="s">
        <v>82</v>
      </c>
      <c r="AH51" t="s">
        <v>83</v>
      </c>
      <c r="AI51" t="s">
        <v>121</v>
      </c>
      <c r="AJ51">
        <v>5.5762511392270797</v>
      </c>
      <c r="AK51">
        <v>0.88840745561341194</v>
      </c>
      <c r="AL51">
        <v>2.1287733491823801</v>
      </c>
      <c r="AM51">
        <v>4.1062349004348704</v>
      </c>
      <c r="AN51">
        <v>8.9763353170427695</v>
      </c>
      <c r="AO51">
        <v>0.61125127769407095</v>
      </c>
      <c r="AP51">
        <v>0.61125127769407095</v>
      </c>
      <c r="AQ51">
        <v>0</v>
      </c>
      <c r="AR51">
        <v>0</v>
      </c>
      <c r="AS51">
        <v>0</v>
      </c>
      <c r="AT51">
        <v>1</v>
      </c>
      <c r="AU51">
        <v>0</v>
      </c>
      <c r="AV51">
        <v>0</v>
      </c>
      <c r="AW51">
        <v>0</v>
      </c>
      <c r="AX51">
        <v>0</v>
      </c>
      <c r="AY51">
        <v>15.3</v>
      </c>
      <c r="AZ51">
        <v>9.8000000000000007</v>
      </c>
      <c r="BA51">
        <v>29.7</v>
      </c>
      <c r="BB51">
        <v>564</v>
      </c>
      <c r="BC51">
        <v>68</v>
      </c>
      <c r="BD51">
        <v>1.8</v>
      </c>
      <c r="BE51">
        <v>43</v>
      </c>
      <c r="BF51">
        <v>25.4</v>
      </c>
      <c r="BG51">
        <v>162</v>
      </c>
      <c r="BH51">
        <v>9.1</v>
      </c>
      <c r="BI51">
        <v>9.1999999999999993</v>
      </c>
      <c r="BJ51">
        <v>18.3</v>
      </c>
      <c r="BK51">
        <v>0.34</v>
      </c>
      <c r="BL51">
        <v>7.3</v>
      </c>
      <c r="BM51">
        <v>0.9</v>
      </c>
      <c r="BN51">
        <v>7.5</v>
      </c>
      <c r="BO51">
        <v>2.9</v>
      </c>
      <c r="BP51">
        <f t="shared" si="0"/>
        <v>8.0483677085772527</v>
      </c>
      <c r="BQ51">
        <f t="shared" si="1"/>
        <v>26.995603932130408</v>
      </c>
    </row>
    <row r="52" spans="1:69" hidden="1" x14ac:dyDescent="0.2">
      <c r="A52" t="s">
        <v>3209</v>
      </c>
      <c r="B52" t="s">
        <v>68</v>
      </c>
      <c r="C52" t="s">
        <v>1956</v>
      </c>
      <c r="D52" t="s">
        <v>70</v>
      </c>
      <c r="E52" t="s">
        <v>1517</v>
      </c>
      <c r="F52">
        <v>5</v>
      </c>
      <c r="G52">
        <v>454</v>
      </c>
      <c r="H52">
        <v>5</v>
      </c>
      <c r="I52">
        <v>5</v>
      </c>
      <c r="J52">
        <v>3</v>
      </c>
      <c r="K52" t="s">
        <v>110</v>
      </c>
      <c r="L52" t="s">
        <v>162</v>
      </c>
      <c r="M52" s="4">
        <v>1550000000</v>
      </c>
      <c r="N52">
        <v>0</v>
      </c>
      <c r="O52">
        <v>4.7077900000000001</v>
      </c>
      <c r="P52">
        <v>-74.074539999999999</v>
      </c>
      <c r="Q52" t="s">
        <v>3210</v>
      </c>
      <c r="R52">
        <v>3414096.9160000002</v>
      </c>
      <c r="S52">
        <v>0</v>
      </c>
      <c r="T52" t="s">
        <v>117</v>
      </c>
      <c r="U52" t="s">
        <v>118</v>
      </c>
      <c r="V52" t="s">
        <v>77</v>
      </c>
      <c r="W52" t="s">
        <v>119</v>
      </c>
      <c r="X52" t="s">
        <v>120</v>
      </c>
      <c r="Y52">
        <v>3.32122152104313</v>
      </c>
      <c r="Z52">
        <v>3321.22152104313</v>
      </c>
      <c r="AA52">
        <v>4.73719444444444</v>
      </c>
      <c r="AB52">
        <v>-74.069472222222203</v>
      </c>
      <c r="AC52">
        <v>2555</v>
      </c>
      <c r="AD52">
        <v>0</v>
      </c>
      <c r="AE52" t="s">
        <v>80</v>
      </c>
      <c r="AF52" t="s">
        <v>107</v>
      </c>
      <c r="AG52" t="s">
        <v>82</v>
      </c>
      <c r="AH52" t="s">
        <v>83</v>
      </c>
      <c r="AI52" t="s">
        <v>121</v>
      </c>
      <c r="AJ52">
        <v>0.39248974396638597</v>
      </c>
      <c r="AK52">
        <v>5.32992028564201</v>
      </c>
      <c r="AL52">
        <v>1.05962481483981</v>
      </c>
      <c r="AM52">
        <v>0.107264660847208</v>
      </c>
      <c r="AN52">
        <v>3.6868666977393798</v>
      </c>
      <c r="AO52">
        <v>0.191316503522269</v>
      </c>
      <c r="AP52">
        <v>0.191316503522269</v>
      </c>
      <c r="AQ52">
        <v>1</v>
      </c>
      <c r="AR52">
        <v>2</v>
      </c>
      <c r="AS52">
        <v>0</v>
      </c>
      <c r="AT52">
        <v>0</v>
      </c>
      <c r="AU52">
        <v>0</v>
      </c>
      <c r="AV52">
        <v>35</v>
      </c>
      <c r="AW52">
        <v>0</v>
      </c>
      <c r="AX52">
        <v>0</v>
      </c>
      <c r="AY52">
        <v>15.3</v>
      </c>
      <c r="AZ52">
        <v>9.8000000000000007</v>
      </c>
      <c r="BA52">
        <v>29.7</v>
      </c>
      <c r="BB52">
        <v>564</v>
      </c>
      <c r="BC52">
        <v>68</v>
      </c>
      <c r="BD52">
        <v>1.8</v>
      </c>
      <c r="BE52">
        <v>43</v>
      </c>
      <c r="BF52">
        <v>25.4</v>
      </c>
      <c r="BG52">
        <v>162</v>
      </c>
      <c r="BH52">
        <v>9.1</v>
      </c>
      <c r="BI52">
        <v>9.1999999999999993</v>
      </c>
      <c r="BJ52">
        <v>18.3</v>
      </c>
      <c r="BK52">
        <v>0.34</v>
      </c>
      <c r="BL52">
        <v>7.3</v>
      </c>
      <c r="BM52">
        <v>0.9</v>
      </c>
      <c r="BN52">
        <v>7.5</v>
      </c>
      <c r="BO52">
        <v>2.9</v>
      </c>
      <c r="BP52">
        <f t="shared" si="0"/>
        <v>8.3143415424308174</v>
      </c>
      <c r="BQ52">
        <f t="shared" si="1"/>
        <v>27.424526186271276</v>
      </c>
    </row>
    <row r="53" spans="1:69" hidden="1" x14ac:dyDescent="0.2">
      <c r="A53" t="s">
        <v>2501</v>
      </c>
      <c r="B53" t="s">
        <v>68</v>
      </c>
      <c r="C53" t="s">
        <v>1956</v>
      </c>
      <c r="D53" t="s">
        <v>70</v>
      </c>
      <c r="E53" t="s">
        <v>2502</v>
      </c>
      <c r="F53">
        <v>4</v>
      </c>
      <c r="G53">
        <v>450</v>
      </c>
      <c r="H53">
        <v>4</v>
      </c>
      <c r="I53">
        <v>5</v>
      </c>
      <c r="J53">
        <v>4</v>
      </c>
      <c r="K53" t="s">
        <v>110</v>
      </c>
      <c r="L53" t="s">
        <v>162</v>
      </c>
      <c r="M53" s="4">
        <v>3300000000</v>
      </c>
      <c r="N53">
        <v>0</v>
      </c>
      <c r="O53">
        <v>4.8247077799999998</v>
      </c>
      <c r="P53">
        <v>-74.03131424</v>
      </c>
      <c r="Q53" t="s">
        <v>2503</v>
      </c>
      <c r="R53">
        <v>7333333.3329999996</v>
      </c>
      <c r="S53">
        <v>0</v>
      </c>
      <c r="T53" t="s">
        <v>151</v>
      </c>
      <c r="U53" t="s">
        <v>152</v>
      </c>
      <c r="V53" t="s">
        <v>77</v>
      </c>
      <c r="W53" t="s">
        <v>119</v>
      </c>
      <c r="X53" t="s">
        <v>153</v>
      </c>
      <c r="Y53">
        <v>4.7761869816625202</v>
      </c>
      <c r="Z53">
        <v>4776.1869816625203</v>
      </c>
      <c r="AA53">
        <v>4.7837500000000004</v>
      </c>
      <c r="AB53">
        <v>-74.044138888888895</v>
      </c>
      <c r="AC53">
        <v>2580</v>
      </c>
      <c r="AD53">
        <v>0</v>
      </c>
      <c r="AE53" t="s">
        <v>154</v>
      </c>
      <c r="AF53" t="s">
        <v>107</v>
      </c>
      <c r="AG53" t="s">
        <v>82</v>
      </c>
      <c r="AH53" t="s">
        <v>83</v>
      </c>
      <c r="AI53" t="s">
        <v>121</v>
      </c>
      <c r="AJ53">
        <v>6.3241283579626604</v>
      </c>
      <c r="AK53">
        <v>1.5903960203776499</v>
      </c>
      <c r="AL53">
        <v>3.2357101988881798</v>
      </c>
      <c r="AM53">
        <v>5.4065212987776503</v>
      </c>
      <c r="AN53">
        <v>9.2053026097110404</v>
      </c>
      <c r="AO53">
        <v>0.62225834454731099</v>
      </c>
      <c r="AP53">
        <v>0.62225834454731099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15.3</v>
      </c>
      <c r="AZ53">
        <v>9.8000000000000007</v>
      </c>
      <c r="BA53">
        <v>29.7</v>
      </c>
      <c r="BB53">
        <v>564</v>
      </c>
      <c r="BC53">
        <v>68</v>
      </c>
      <c r="BD53">
        <v>1.8</v>
      </c>
      <c r="BE53">
        <v>43</v>
      </c>
      <c r="BF53">
        <v>25.4</v>
      </c>
      <c r="BG53">
        <v>162</v>
      </c>
      <c r="BH53">
        <v>9.1</v>
      </c>
      <c r="BI53">
        <v>9.1999999999999993</v>
      </c>
      <c r="BJ53">
        <v>18.3</v>
      </c>
      <c r="BK53">
        <v>0.34</v>
      </c>
      <c r="BL53">
        <v>7.3</v>
      </c>
      <c r="BM53">
        <v>0.9</v>
      </c>
      <c r="BN53">
        <v>7.5</v>
      </c>
      <c r="BO53">
        <v>2.9</v>
      </c>
      <c r="BP53">
        <f t="shared" si="0"/>
        <v>7.736590835836882</v>
      </c>
      <c r="BQ53">
        <f t="shared" si="1"/>
        <v>26.483411563471304</v>
      </c>
    </row>
    <row r="54" spans="1:69" hidden="1" x14ac:dyDescent="0.2">
      <c r="A54" t="s">
        <v>2045</v>
      </c>
      <c r="B54" t="s">
        <v>68</v>
      </c>
      <c r="C54" t="s">
        <v>1956</v>
      </c>
      <c r="D54" t="s">
        <v>70</v>
      </c>
      <c r="E54" t="s">
        <v>532</v>
      </c>
      <c r="F54">
        <v>6</v>
      </c>
      <c r="G54">
        <v>450</v>
      </c>
      <c r="H54">
        <v>3</v>
      </c>
      <c r="I54">
        <v>4</v>
      </c>
      <c r="J54">
        <v>4</v>
      </c>
      <c r="K54" t="s">
        <v>110</v>
      </c>
      <c r="L54" t="s">
        <v>162</v>
      </c>
      <c r="M54" s="4">
        <v>3280000000</v>
      </c>
      <c r="N54">
        <v>0</v>
      </c>
      <c r="O54">
        <v>4.7131259749999996</v>
      </c>
      <c r="P54">
        <v>-74.079440300000002</v>
      </c>
      <c r="Q54" t="s">
        <v>2046</v>
      </c>
      <c r="R54">
        <v>7288888.8890000004</v>
      </c>
      <c r="S54">
        <v>0</v>
      </c>
      <c r="T54" t="s">
        <v>117</v>
      </c>
      <c r="U54" t="s">
        <v>118</v>
      </c>
      <c r="V54" t="s">
        <v>77</v>
      </c>
      <c r="W54" t="s">
        <v>119</v>
      </c>
      <c r="X54" t="s">
        <v>120</v>
      </c>
      <c r="Y54">
        <v>2.8985413751468099</v>
      </c>
      <c r="Z54">
        <v>2898.54137514681</v>
      </c>
      <c r="AA54">
        <v>4.73719444444444</v>
      </c>
      <c r="AB54">
        <v>-74.069472222222203</v>
      </c>
      <c r="AC54">
        <v>2555</v>
      </c>
      <c r="AD54">
        <v>0</v>
      </c>
      <c r="AE54" t="s">
        <v>80</v>
      </c>
      <c r="AF54" t="s">
        <v>107</v>
      </c>
      <c r="AG54" t="s">
        <v>82</v>
      </c>
      <c r="AH54" t="s">
        <v>83</v>
      </c>
      <c r="AI54" t="s">
        <v>121</v>
      </c>
      <c r="AJ54">
        <v>0.80060104631868501</v>
      </c>
      <c r="AK54">
        <v>5.3072687223304396</v>
      </c>
      <c r="AL54">
        <v>0.98029607779975503</v>
      </c>
      <c r="AM54">
        <v>0.32285162892941199</v>
      </c>
      <c r="AN54">
        <v>3.1932305902167202</v>
      </c>
      <c r="AO54">
        <v>0.41358870872957099</v>
      </c>
      <c r="AP54">
        <v>0.41358870872957099</v>
      </c>
      <c r="AQ54">
        <v>0</v>
      </c>
      <c r="AR54">
        <v>1</v>
      </c>
      <c r="AS54">
        <v>0</v>
      </c>
      <c r="AT54">
        <v>0</v>
      </c>
      <c r="AU54">
        <v>1</v>
      </c>
      <c r="AV54">
        <v>16</v>
      </c>
      <c r="AW54">
        <v>0</v>
      </c>
      <c r="AX54">
        <v>0</v>
      </c>
      <c r="AY54">
        <v>15.3</v>
      </c>
      <c r="AZ54">
        <v>9.8000000000000007</v>
      </c>
      <c r="BA54">
        <v>29.7</v>
      </c>
      <c r="BB54">
        <v>564</v>
      </c>
      <c r="BC54">
        <v>68</v>
      </c>
      <c r="BD54">
        <v>1.8</v>
      </c>
      <c r="BE54">
        <v>43</v>
      </c>
      <c r="BF54">
        <v>25.4</v>
      </c>
      <c r="BG54">
        <v>162</v>
      </c>
      <c r="BH54">
        <v>9.1</v>
      </c>
      <c r="BI54">
        <v>9.1999999999999993</v>
      </c>
      <c r="BJ54">
        <v>18.3</v>
      </c>
      <c r="BK54">
        <v>0.34</v>
      </c>
      <c r="BL54">
        <v>7.3</v>
      </c>
      <c r="BM54">
        <v>0.9</v>
      </c>
      <c r="BN54">
        <v>7.5</v>
      </c>
      <c r="BO54">
        <v>2.9</v>
      </c>
      <c r="BP54">
        <f t="shared" si="0"/>
        <v>8.4901323370683279</v>
      </c>
      <c r="BQ54">
        <f t="shared" si="1"/>
        <v>27.704145327392762</v>
      </c>
    </row>
    <row r="55" spans="1:69" hidden="1" x14ac:dyDescent="0.2">
      <c r="A55" t="s">
        <v>2289</v>
      </c>
      <c r="B55" t="s">
        <v>68</v>
      </c>
      <c r="C55" t="s">
        <v>1956</v>
      </c>
      <c r="D55" t="s">
        <v>70</v>
      </c>
      <c r="E55" t="s">
        <v>1724</v>
      </c>
      <c r="F55">
        <v>6</v>
      </c>
      <c r="G55">
        <v>450</v>
      </c>
      <c r="H55">
        <v>5</v>
      </c>
      <c r="I55">
        <v>5</v>
      </c>
      <c r="J55">
        <v>4</v>
      </c>
      <c r="K55" t="s">
        <v>110</v>
      </c>
      <c r="L55" t="s">
        <v>124</v>
      </c>
      <c r="M55" s="4">
        <v>2350000000</v>
      </c>
      <c r="N55">
        <v>0</v>
      </c>
      <c r="O55">
        <v>4.7639500000000004</v>
      </c>
      <c r="P55">
        <v>-74.061099999999996</v>
      </c>
      <c r="Q55" t="s">
        <v>2290</v>
      </c>
      <c r="R55">
        <v>5222222.2220000001</v>
      </c>
      <c r="S55">
        <v>0</v>
      </c>
      <c r="T55" t="s">
        <v>151</v>
      </c>
      <c r="U55" t="s">
        <v>152</v>
      </c>
      <c r="V55" t="s">
        <v>77</v>
      </c>
      <c r="W55" t="s">
        <v>119</v>
      </c>
      <c r="X55" t="s">
        <v>153</v>
      </c>
      <c r="Y55">
        <v>2.8980010651138302</v>
      </c>
      <c r="Z55">
        <v>2898.00106511383</v>
      </c>
      <c r="AA55">
        <v>4.7837500000000004</v>
      </c>
      <c r="AB55">
        <v>-74.044138888888895</v>
      </c>
      <c r="AC55">
        <v>2580</v>
      </c>
      <c r="AD55">
        <v>0</v>
      </c>
      <c r="AE55" t="s">
        <v>154</v>
      </c>
      <c r="AF55" t="s">
        <v>107</v>
      </c>
      <c r="AG55" t="s">
        <v>82</v>
      </c>
      <c r="AH55" t="s">
        <v>83</v>
      </c>
      <c r="AI55" t="s">
        <v>121</v>
      </c>
      <c r="AJ55">
        <v>1.8478857785298699</v>
      </c>
      <c r="AK55">
        <v>4.2379587308217701</v>
      </c>
      <c r="AL55">
        <v>1.4404799007548701</v>
      </c>
      <c r="AM55">
        <v>0.54535766989502799</v>
      </c>
      <c r="AN55">
        <v>3.6617279374652201</v>
      </c>
      <c r="AO55">
        <v>8.6007372629043594E-2</v>
      </c>
      <c r="AP55">
        <v>8.6007372629043594E-2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4</v>
      </c>
      <c r="AW55">
        <v>0</v>
      </c>
      <c r="AX55">
        <v>1</v>
      </c>
      <c r="AY55">
        <v>15.3</v>
      </c>
      <c r="AZ55">
        <v>9.8000000000000007</v>
      </c>
      <c r="BA55">
        <v>29.7</v>
      </c>
      <c r="BB55">
        <v>564</v>
      </c>
      <c r="BC55">
        <v>68</v>
      </c>
      <c r="BD55">
        <v>1.8</v>
      </c>
      <c r="BE55">
        <v>43</v>
      </c>
      <c r="BF55">
        <v>25.4</v>
      </c>
      <c r="BG55">
        <v>162</v>
      </c>
      <c r="BH55">
        <v>9.1</v>
      </c>
      <c r="BI55">
        <v>9.1999999999999993</v>
      </c>
      <c r="BJ55">
        <v>18.3</v>
      </c>
      <c r="BK55">
        <v>0.34</v>
      </c>
      <c r="BL55">
        <v>7.3</v>
      </c>
      <c r="BM55">
        <v>0.9</v>
      </c>
      <c r="BN55">
        <v>7.5</v>
      </c>
      <c r="BO55">
        <v>2.9</v>
      </c>
      <c r="BP55">
        <f t="shared" si="0"/>
        <v>8.4903594116372183</v>
      </c>
      <c r="BQ55">
        <f t="shared" si="1"/>
        <v>27.704504581586271</v>
      </c>
    </row>
    <row r="56" spans="1:69" hidden="1" x14ac:dyDescent="0.2">
      <c r="A56" t="s">
        <v>3042</v>
      </c>
      <c r="B56" t="s">
        <v>68</v>
      </c>
      <c r="C56" t="s">
        <v>1956</v>
      </c>
      <c r="D56" t="s">
        <v>70</v>
      </c>
      <c r="E56" t="s">
        <v>1517</v>
      </c>
      <c r="F56">
        <v>6</v>
      </c>
      <c r="G56">
        <v>450</v>
      </c>
      <c r="H56">
        <v>5</v>
      </c>
      <c r="I56">
        <v>5</v>
      </c>
      <c r="J56">
        <v>3</v>
      </c>
      <c r="K56" t="s">
        <v>110</v>
      </c>
      <c r="L56" t="s">
        <v>162</v>
      </c>
      <c r="M56" s="4">
        <v>1800000000</v>
      </c>
      <c r="N56">
        <v>0</v>
      </c>
      <c r="O56">
        <v>4.7098399999999998</v>
      </c>
      <c r="P56">
        <v>-74.075479999999999</v>
      </c>
      <c r="Q56" t="s">
        <v>3043</v>
      </c>
      <c r="R56">
        <v>4000000</v>
      </c>
      <c r="S56">
        <v>0</v>
      </c>
      <c r="T56" t="s">
        <v>117</v>
      </c>
      <c r="U56" t="s">
        <v>118</v>
      </c>
      <c r="V56" t="s">
        <v>77</v>
      </c>
      <c r="W56" t="s">
        <v>119</v>
      </c>
      <c r="X56" t="s">
        <v>120</v>
      </c>
      <c r="Y56">
        <v>3.1171728858336598</v>
      </c>
      <c r="Z56">
        <v>3117.1728858336601</v>
      </c>
      <c r="AA56">
        <v>4.73719444444444</v>
      </c>
      <c r="AB56">
        <v>-74.069472222222203</v>
      </c>
      <c r="AC56">
        <v>2555</v>
      </c>
      <c r="AD56">
        <v>0</v>
      </c>
      <c r="AE56" t="s">
        <v>80</v>
      </c>
      <c r="AF56" t="s">
        <v>107</v>
      </c>
      <c r="AG56" t="s">
        <v>82</v>
      </c>
      <c r="AH56" t="s">
        <v>83</v>
      </c>
      <c r="AI56" t="s">
        <v>121</v>
      </c>
      <c r="AJ56">
        <v>0.42520841876850501</v>
      </c>
      <c r="AK56">
        <v>5.55235674903009</v>
      </c>
      <c r="AL56">
        <v>0.89634067029709896</v>
      </c>
      <c r="AM56">
        <v>0.14557579501982901</v>
      </c>
      <c r="AN56">
        <v>3.6556175285423098</v>
      </c>
      <c r="AO56">
        <v>0.37824771553757502</v>
      </c>
      <c r="AP56">
        <v>0.37824771553757502</v>
      </c>
      <c r="AQ56">
        <v>1</v>
      </c>
      <c r="AR56">
        <v>2</v>
      </c>
      <c r="AS56">
        <v>0</v>
      </c>
      <c r="AT56">
        <v>0</v>
      </c>
      <c r="AU56">
        <v>1</v>
      </c>
      <c r="AV56">
        <v>32</v>
      </c>
      <c r="AW56">
        <v>0</v>
      </c>
      <c r="AX56">
        <v>0</v>
      </c>
      <c r="AY56">
        <v>15.3</v>
      </c>
      <c r="AZ56">
        <v>9.8000000000000007</v>
      </c>
      <c r="BA56">
        <v>29.7</v>
      </c>
      <c r="BB56">
        <v>564</v>
      </c>
      <c r="BC56">
        <v>68</v>
      </c>
      <c r="BD56">
        <v>1.8</v>
      </c>
      <c r="BE56">
        <v>43</v>
      </c>
      <c r="BF56">
        <v>25.4</v>
      </c>
      <c r="BG56">
        <v>162</v>
      </c>
      <c r="BH56">
        <v>9.1</v>
      </c>
      <c r="BI56">
        <v>9.1999999999999993</v>
      </c>
      <c r="BJ56">
        <v>18.3</v>
      </c>
      <c r="BK56">
        <v>0.34</v>
      </c>
      <c r="BL56">
        <v>7.3</v>
      </c>
      <c r="BM56">
        <v>0.9</v>
      </c>
      <c r="BN56">
        <v>7.5</v>
      </c>
      <c r="BO56">
        <v>2.9</v>
      </c>
      <c r="BP56">
        <f t="shared" si="0"/>
        <v>8.3987453183325993</v>
      </c>
      <c r="BQ56">
        <f t="shared" si="1"/>
        <v>27.559158065972305</v>
      </c>
    </row>
    <row r="57" spans="1:69" hidden="1" x14ac:dyDescent="0.2">
      <c r="A57" t="s">
        <v>2653</v>
      </c>
      <c r="B57" t="s">
        <v>68</v>
      </c>
      <c r="C57" t="s">
        <v>1956</v>
      </c>
      <c r="D57" t="s">
        <v>70</v>
      </c>
      <c r="E57" t="s">
        <v>378</v>
      </c>
      <c r="F57">
        <v>5</v>
      </c>
      <c r="G57">
        <v>445</v>
      </c>
      <c r="H57">
        <v>4</v>
      </c>
      <c r="I57">
        <v>5</v>
      </c>
      <c r="J57">
        <v>4</v>
      </c>
      <c r="K57" t="s">
        <v>110</v>
      </c>
      <c r="L57" t="s">
        <v>162</v>
      </c>
      <c r="M57" s="4">
        <v>1400000000</v>
      </c>
      <c r="N57">
        <v>0</v>
      </c>
      <c r="O57">
        <v>4.7228784560000001</v>
      </c>
      <c r="P57">
        <v>-74.063934329999995</v>
      </c>
      <c r="Q57" t="s">
        <v>2654</v>
      </c>
      <c r="R57">
        <v>3146067.4160000002</v>
      </c>
      <c r="S57">
        <v>0</v>
      </c>
      <c r="T57" t="s">
        <v>117</v>
      </c>
      <c r="U57" t="s">
        <v>118</v>
      </c>
      <c r="V57" t="s">
        <v>77</v>
      </c>
      <c r="W57" t="s">
        <v>119</v>
      </c>
      <c r="X57" t="s">
        <v>120</v>
      </c>
      <c r="Y57">
        <v>1.70797345235394</v>
      </c>
      <c r="Z57">
        <v>1707.97345235394</v>
      </c>
      <c r="AA57">
        <v>4.73719444444444</v>
      </c>
      <c r="AB57">
        <v>-74.069472222222203</v>
      </c>
      <c r="AC57">
        <v>2555</v>
      </c>
      <c r="AD57">
        <v>0</v>
      </c>
      <c r="AE57" t="s">
        <v>80</v>
      </c>
      <c r="AF57" t="s">
        <v>107</v>
      </c>
      <c r="AG57" t="s">
        <v>82</v>
      </c>
      <c r="AH57" t="s">
        <v>83</v>
      </c>
      <c r="AI57" t="s">
        <v>121</v>
      </c>
      <c r="AJ57">
        <v>1.20812552619262</v>
      </c>
      <c r="AK57">
        <v>4.4906945055463003</v>
      </c>
      <c r="AL57">
        <v>1.06387459294801</v>
      </c>
      <c r="AM57">
        <v>8.1195827406925006E-2</v>
      </c>
      <c r="AN57">
        <v>3.1326453397663001</v>
      </c>
      <c r="AO57">
        <v>0.50908793779003803</v>
      </c>
      <c r="AP57">
        <v>0.50908793779003803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30</v>
      </c>
      <c r="AW57">
        <v>0</v>
      </c>
      <c r="AX57">
        <v>0</v>
      </c>
      <c r="AY57">
        <v>15.3</v>
      </c>
      <c r="AZ57">
        <v>9.8000000000000007</v>
      </c>
      <c r="BA57">
        <v>29.7</v>
      </c>
      <c r="BB57">
        <v>564</v>
      </c>
      <c r="BC57">
        <v>68</v>
      </c>
      <c r="BD57">
        <v>1.8</v>
      </c>
      <c r="BE57">
        <v>43</v>
      </c>
      <c r="BF57">
        <v>25.4</v>
      </c>
      <c r="BG57">
        <v>162</v>
      </c>
      <c r="BH57">
        <v>9.1</v>
      </c>
      <c r="BI57">
        <v>9.1999999999999993</v>
      </c>
      <c r="BJ57">
        <v>18.3</v>
      </c>
      <c r="BK57">
        <v>0.34</v>
      </c>
      <c r="BL57">
        <v>7.3</v>
      </c>
      <c r="BM57">
        <v>0.9</v>
      </c>
      <c r="BN57">
        <v>7.5</v>
      </c>
      <c r="BO57">
        <v>2.9</v>
      </c>
      <c r="BP57">
        <f t="shared" si="0"/>
        <v>9.0055197940209784</v>
      </c>
      <c r="BQ57">
        <f t="shared" si="1"/>
        <v>28.507171378916443</v>
      </c>
    </row>
    <row r="58" spans="1:69" hidden="1" x14ac:dyDescent="0.2">
      <c r="A58" t="s">
        <v>590</v>
      </c>
      <c r="B58" t="s">
        <v>68</v>
      </c>
      <c r="C58" t="s">
        <v>69</v>
      </c>
      <c r="D58" t="s">
        <v>70</v>
      </c>
      <c r="E58" t="s">
        <v>591</v>
      </c>
      <c r="F58">
        <v>6</v>
      </c>
      <c r="G58">
        <v>440</v>
      </c>
      <c r="H58">
        <v>2</v>
      </c>
      <c r="I58">
        <v>4</v>
      </c>
      <c r="J58">
        <v>4</v>
      </c>
      <c r="K58" t="s">
        <v>110</v>
      </c>
      <c r="L58" t="s">
        <v>162</v>
      </c>
      <c r="M58" s="4">
        <v>2950000000</v>
      </c>
      <c r="N58">
        <v>0</v>
      </c>
      <c r="O58">
        <v>4.7229233910000001</v>
      </c>
      <c r="P58">
        <v>-74.075728369999993</v>
      </c>
      <c r="Q58" t="s">
        <v>592</v>
      </c>
      <c r="R58">
        <v>6704545.4550000001</v>
      </c>
      <c r="S58">
        <v>0</v>
      </c>
      <c r="T58" t="s">
        <v>117</v>
      </c>
      <c r="U58" t="s">
        <v>118</v>
      </c>
      <c r="V58" t="s">
        <v>77</v>
      </c>
      <c r="W58" t="s">
        <v>119</v>
      </c>
      <c r="X58" t="s">
        <v>120</v>
      </c>
      <c r="Y58">
        <v>1.73364233155037</v>
      </c>
      <c r="Z58">
        <v>1733.64233155037</v>
      </c>
      <c r="AA58">
        <v>4.73719444444444</v>
      </c>
      <c r="AB58">
        <v>-74.069472222222203</v>
      </c>
      <c r="AC58">
        <v>2555</v>
      </c>
      <c r="AD58">
        <v>0</v>
      </c>
      <c r="AE58" t="s">
        <v>80</v>
      </c>
      <c r="AF58" t="s">
        <v>107</v>
      </c>
      <c r="AG58" t="s">
        <v>82</v>
      </c>
      <c r="AH58" t="s">
        <v>83</v>
      </c>
      <c r="AI58" t="s">
        <v>121</v>
      </c>
      <c r="AJ58">
        <v>0.2149649956694</v>
      </c>
      <c r="AK58">
        <v>5.4979575435107</v>
      </c>
      <c r="AL58">
        <v>0.82388174564803895</v>
      </c>
      <c r="AM58">
        <v>0.47874980477349699</v>
      </c>
      <c r="AN58">
        <v>2.3031539012082298</v>
      </c>
      <c r="AO58">
        <v>0.17347837366487501</v>
      </c>
      <c r="AP58">
        <v>0.17347837366487501</v>
      </c>
      <c r="AQ58">
        <v>1</v>
      </c>
      <c r="AR58">
        <v>2</v>
      </c>
      <c r="AS58">
        <v>0</v>
      </c>
      <c r="AT58">
        <v>0</v>
      </c>
      <c r="AU58">
        <v>1</v>
      </c>
      <c r="AV58">
        <v>19</v>
      </c>
      <c r="AW58">
        <v>0</v>
      </c>
      <c r="AX58">
        <v>0</v>
      </c>
      <c r="AY58">
        <v>15.3</v>
      </c>
      <c r="AZ58">
        <v>9.8000000000000007</v>
      </c>
      <c r="BA58">
        <v>29.7</v>
      </c>
      <c r="BB58">
        <v>564</v>
      </c>
      <c r="BC58">
        <v>68</v>
      </c>
      <c r="BD58">
        <v>1.8</v>
      </c>
      <c r="BE58">
        <v>43</v>
      </c>
      <c r="BF58">
        <v>25.4</v>
      </c>
      <c r="BG58">
        <v>162</v>
      </c>
      <c r="BH58">
        <v>9.1</v>
      </c>
      <c r="BI58">
        <v>9.1999999999999993</v>
      </c>
      <c r="BJ58">
        <v>18.3</v>
      </c>
      <c r="BK58">
        <v>0.34</v>
      </c>
      <c r="BL58">
        <v>7.3</v>
      </c>
      <c r="BM58">
        <v>0.9</v>
      </c>
      <c r="BN58">
        <v>7.5</v>
      </c>
      <c r="BO58">
        <v>2.9</v>
      </c>
      <c r="BP58">
        <f t="shared" si="0"/>
        <v>8.9940845612324267</v>
      </c>
      <c r="BQ58">
        <f t="shared" si="1"/>
        <v>28.489614856026307</v>
      </c>
    </row>
    <row r="59" spans="1:69" hidden="1" x14ac:dyDescent="0.2">
      <c r="A59" t="s">
        <v>728</v>
      </c>
      <c r="B59" t="s">
        <v>68</v>
      </c>
      <c r="C59" t="s">
        <v>69</v>
      </c>
      <c r="D59" t="s">
        <v>70</v>
      </c>
      <c r="E59" t="s">
        <v>567</v>
      </c>
      <c r="F59">
        <v>6</v>
      </c>
      <c r="G59">
        <v>440</v>
      </c>
      <c r="H59">
        <v>4</v>
      </c>
      <c r="I59">
        <v>5</v>
      </c>
      <c r="J59">
        <v>4</v>
      </c>
      <c r="K59" t="s">
        <v>110</v>
      </c>
      <c r="L59" t="s">
        <v>162</v>
      </c>
      <c r="M59" s="4">
        <v>2800000000</v>
      </c>
      <c r="N59">
        <v>0</v>
      </c>
      <c r="O59">
        <v>4.7214879999999999</v>
      </c>
      <c r="P59">
        <v>-74.076368000000002</v>
      </c>
      <c r="Q59" t="s">
        <v>729</v>
      </c>
      <c r="R59">
        <v>6363636.3640000001</v>
      </c>
      <c r="S59">
        <v>0</v>
      </c>
      <c r="T59" t="s">
        <v>117</v>
      </c>
      <c r="U59" t="s">
        <v>118</v>
      </c>
      <c r="V59" t="s">
        <v>77</v>
      </c>
      <c r="W59" t="s">
        <v>119</v>
      </c>
      <c r="X59" t="s">
        <v>120</v>
      </c>
      <c r="Y59">
        <v>1.9084748684067101</v>
      </c>
      <c r="Z59">
        <v>1908.4748684067099</v>
      </c>
      <c r="AA59">
        <v>4.73719444444444</v>
      </c>
      <c r="AB59">
        <v>-74.069472222222203</v>
      </c>
      <c r="AC59">
        <v>2555</v>
      </c>
      <c r="AD59">
        <v>0</v>
      </c>
      <c r="AE59" t="s">
        <v>80</v>
      </c>
      <c r="AF59" t="s">
        <v>107</v>
      </c>
      <c r="AG59" t="s">
        <v>82</v>
      </c>
      <c r="AH59" t="s">
        <v>83</v>
      </c>
      <c r="AI59" t="s">
        <v>121</v>
      </c>
      <c r="AJ59">
        <v>0.185264258053877</v>
      </c>
      <c r="AK59">
        <v>5.4501225159782303</v>
      </c>
      <c r="AL59">
        <v>0.75093535039807802</v>
      </c>
      <c r="AM59">
        <v>0.47100613690063597</v>
      </c>
      <c r="AN59">
        <v>2.4150179935992502</v>
      </c>
      <c r="AO59">
        <v>0.16999881258147401</v>
      </c>
      <c r="AP59">
        <v>0.16999881258147401</v>
      </c>
      <c r="AQ59">
        <v>1</v>
      </c>
      <c r="AR59">
        <v>2</v>
      </c>
      <c r="AS59">
        <v>0</v>
      </c>
      <c r="AT59">
        <v>0</v>
      </c>
      <c r="AU59">
        <v>1</v>
      </c>
      <c r="AV59">
        <v>21</v>
      </c>
      <c r="AW59">
        <v>0</v>
      </c>
      <c r="AX59">
        <v>0</v>
      </c>
      <c r="AY59">
        <v>15.3</v>
      </c>
      <c r="AZ59">
        <v>9.8000000000000007</v>
      </c>
      <c r="BA59">
        <v>29.7</v>
      </c>
      <c r="BB59">
        <v>564</v>
      </c>
      <c r="BC59">
        <v>68</v>
      </c>
      <c r="BD59">
        <v>1.8</v>
      </c>
      <c r="BE59">
        <v>43</v>
      </c>
      <c r="BF59">
        <v>25.4</v>
      </c>
      <c r="BG59">
        <v>162</v>
      </c>
      <c r="BH59">
        <v>9.1</v>
      </c>
      <c r="BI59">
        <v>9.1999999999999993</v>
      </c>
      <c r="BJ59">
        <v>18.3</v>
      </c>
      <c r="BK59">
        <v>0.34</v>
      </c>
      <c r="BL59">
        <v>7.3</v>
      </c>
      <c r="BM59">
        <v>0.9</v>
      </c>
      <c r="BN59">
        <v>7.5</v>
      </c>
      <c r="BO59">
        <v>2.9</v>
      </c>
      <c r="BP59">
        <f t="shared" si="0"/>
        <v>8.9165836976163675</v>
      </c>
      <c r="BQ59">
        <f t="shared" si="1"/>
        <v>28.370323423989326</v>
      </c>
    </row>
    <row r="60" spans="1:69" hidden="1" x14ac:dyDescent="0.2">
      <c r="A60" t="s">
        <v>2880</v>
      </c>
      <c r="B60" t="s">
        <v>68</v>
      </c>
      <c r="C60" t="s">
        <v>1956</v>
      </c>
      <c r="D60" t="s">
        <v>70</v>
      </c>
      <c r="E60" t="s">
        <v>2261</v>
      </c>
      <c r="F60">
        <v>6</v>
      </c>
      <c r="G60">
        <v>440</v>
      </c>
      <c r="H60">
        <v>5</v>
      </c>
      <c r="I60">
        <v>5</v>
      </c>
      <c r="J60">
        <v>4</v>
      </c>
      <c r="K60" t="s">
        <v>110</v>
      </c>
      <c r="L60" t="s">
        <v>124</v>
      </c>
      <c r="M60" s="4">
        <v>2700000000</v>
      </c>
      <c r="N60">
        <v>0</v>
      </c>
      <c r="O60">
        <v>4.8133822999999998</v>
      </c>
      <c r="P60">
        <v>-74.055931700000002</v>
      </c>
      <c r="Q60" t="s">
        <v>2881</v>
      </c>
      <c r="R60">
        <v>6136363.6359999999</v>
      </c>
      <c r="S60">
        <v>0</v>
      </c>
      <c r="T60" t="s">
        <v>151</v>
      </c>
      <c r="U60" t="s">
        <v>152</v>
      </c>
      <c r="V60" t="s">
        <v>77</v>
      </c>
      <c r="W60" t="s">
        <v>119</v>
      </c>
      <c r="X60" t="s">
        <v>153</v>
      </c>
      <c r="Y60">
        <v>3.5485790355580602</v>
      </c>
      <c r="Z60">
        <v>3548.5790355580598</v>
      </c>
      <c r="AA60">
        <v>4.7837500000000004</v>
      </c>
      <c r="AB60">
        <v>-74.044138888888895</v>
      </c>
      <c r="AC60">
        <v>2580</v>
      </c>
      <c r="AD60">
        <v>0</v>
      </c>
      <c r="AE60" t="s">
        <v>154</v>
      </c>
      <c r="AF60" t="s">
        <v>107</v>
      </c>
      <c r="AG60" t="s">
        <v>82</v>
      </c>
      <c r="AH60" t="s">
        <v>83</v>
      </c>
      <c r="AI60" t="s">
        <v>121</v>
      </c>
      <c r="AJ60">
        <v>5.11186108784411</v>
      </c>
      <c r="AK60">
        <v>1.3166096005351</v>
      </c>
      <c r="AL60">
        <v>1.77127460269208</v>
      </c>
      <c r="AM60">
        <v>3.48173718787841</v>
      </c>
      <c r="AN60">
        <v>8.5742973687338395</v>
      </c>
      <c r="AO60">
        <v>1.2584123196380901</v>
      </c>
      <c r="AP60">
        <v>1.2584123196380901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15.3</v>
      </c>
      <c r="AZ60">
        <v>9.8000000000000007</v>
      </c>
      <c r="BA60">
        <v>29.7</v>
      </c>
      <c r="BB60">
        <v>564</v>
      </c>
      <c r="BC60">
        <v>68</v>
      </c>
      <c r="BD60">
        <v>1.8</v>
      </c>
      <c r="BE60">
        <v>43</v>
      </c>
      <c r="BF60">
        <v>25.4</v>
      </c>
      <c r="BG60">
        <v>162</v>
      </c>
      <c r="BH60">
        <v>9.1</v>
      </c>
      <c r="BI60">
        <v>9.1999999999999993</v>
      </c>
      <c r="BJ60">
        <v>18.3</v>
      </c>
      <c r="BK60">
        <v>0.34</v>
      </c>
      <c r="BL60">
        <v>7.3</v>
      </c>
      <c r="BM60">
        <v>0.9</v>
      </c>
      <c r="BN60">
        <v>7.5</v>
      </c>
      <c r="BO60">
        <v>2.9</v>
      </c>
      <c r="BP60">
        <f t="shared" si="0"/>
        <v>8.221294869920758</v>
      </c>
      <c r="BQ60">
        <f t="shared" si="1"/>
        <v>27.27528958665264</v>
      </c>
    </row>
    <row r="61" spans="1:69" hidden="1" x14ac:dyDescent="0.2">
      <c r="A61" t="s">
        <v>3139</v>
      </c>
      <c r="B61" t="s">
        <v>68</v>
      </c>
      <c r="C61" t="s">
        <v>1956</v>
      </c>
      <c r="D61" t="s">
        <v>70</v>
      </c>
      <c r="E61" t="s">
        <v>1724</v>
      </c>
      <c r="F61">
        <v>5</v>
      </c>
      <c r="G61">
        <v>434</v>
      </c>
      <c r="H61">
        <v>4</v>
      </c>
      <c r="I61">
        <v>3</v>
      </c>
      <c r="J61">
        <v>4</v>
      </c>
      <c r="K61" t="s">
        <v>110</v>
      </c>
      <c r="L61" t="s">
        <v>162</v>
      </c>
      <c r="M61" s="4">
        <v>1800000000</v>
      </c>
      <c r="N61">
        <v>0</v>
      </c>
      <c r="O61">
        <v>4.7648099999999998</v>
      </c>
      <c r="P61">
        <v>-74.060370000000006</v>
      </c>
      <c r="Q61" t="s">
        <v>3140</v>
      </c>
      <c r="R61">
        <v>4147465.4380000001</v>
      </c>
      <c r="S61">
        <v>0</v>
      </c>
      <c r="T61" t="s">
        <v>151</v>
      </c>
      <c r="U61" t="s">
        <v>152</v>
      </c>
      <c r="V61" t="s">
        <v>77</v>
      </c>
      <c r="W61" t="s">
        <v>119</v>
      </c>
      <c r="X61" t="s">
        <v>153</v>
      </c>
      <c r="Y61">
        <v>2.7726098003874902</v>
      </c>
      <c r="Z61">
        <v>2772.6098003874899</v>
      </c>
      <c r="AA61">
        <v>4.7837500000000004</v>
      </c>
      <c r="AB61">
        <v>-74.044138888888895</v>
      </c>
      <c r="AC61">
        <v>2580</v>
      </c>
      <c r="AD61">
        <v>0</v>
      </c>
      <c r="AE61" t="s">
        <v>154</v>
      </c>
      <c r="AF61" t="s">
        <v>107</v>
      </c>
      <c r="AG61" t="s">
        <v>82</v>
      </c>
      <c r="AH61" t="s">
        <v>83</v>
      </c>
      <c r="AI61" t="s">
        <v>121</v>
      </c>
      <c r="AJ61">
        <v>1.7731996291961001</v>
      </c>
      <c r="AK61">
        <v>4.1589609980499</v>
      </c>
      <c r="AL61">
        <v>1.4752271836798301</v>
      </c>
      <c r="AM61">
        <v>0.63279767467354597</v>
      </c>
      <c r="AN61">
        <v>3.7857280248363301</v>
      </c>
      <c r="AO61">
        <v>0.21062522005224199</v>
      </c>
      <c r="AP61">
        <v>0.21062522005224199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4</v>
      </c>
      <c r="AW61">
        <v>0</v>
      </c>
      <c r="AX61">
        <v>1</v>
      </c>
      <c r="AY61">
        <v>15.3</v>
      </c>
      <c r="AZ61">
        <v>9.8000000000000007</v>
      </c>
      <c r="BA61">
        <v>29.7</v>
      </c>
      <c r="BB61">
        <v>564</v>
      </c>
      <c r="BC61">
        <v>68</v>
      </c>
      <c r="BD61">
        <v>1.8</v>
      </c>
      <c r="BE61">
        <v>43</v>
      </c>
      <c r="BF61">
        <v>25.4</v>
      </c>
      <c r="BG61">
        <v>162</v>
      </c>
      <c r="BH61">
        <v>9.1</v>
      </c>
      <c r="BI61">
        <v>9.1999999999999993</v>
      </c>
      <c r="BJ61">
        <v>18.3</v>
      </c>
      <c r="BK61">
        <v>0.34</v>
      </c>
      <c r="BL61">
        <v>7.3</v>
      </c>
      <c r="BM61">
        <v>0.9</v>
      </c>
      <c r="BN61">
        <v>7.5</v>
      </c>
      <c r="BO61">
        <v>2.9</v>
      </c>
      <c r="BP61">
        <f t="shared" si="0"/>
        <v>8.5432218337316197</v>
      </c>
      <c r="BQ61">
        <f t="shared" si="1"/>
        <v>27.788003828317446</v>
      </c>
    </row>
    <row r="62" spans="1:69" hidden="1" x14ac:dyDescent="0.2">
      <c r="A62" t="s">
        <v>2558</v>
      </c>
      <c r="B62" t="s">
        <v>68</v>
      </c>
      <c r="C62" t="s">
        <v>1956</v>
      </c>
      <c r="D62" t="s">
        <v>70</v>
      </c>
      <c r="E62" t="s">
        <v>2261</v>
      </c>
      <c r="F62">
        <v>6</v>
      </c>
      <c r="G62">
        <v>432</v>
      </c>
      <c r="H62">
        <v>4</v>
      </c>
      <c r="I62">
        <v>5</v>
      </c>
      <c r="J62">
        <v>4</v>
      </c>
      <c r="K62" t="s">
        <v>110</v>
      </c>
      <c r="L62" t="s">
        <v>162</v>
      </c>
      <c r="M62" s="4">
        <v>2400000000</v>
      </c>
      <c r="N62">
        <v>0</v>
      </c>
      <c r="O62">
        <v>4.8165747000000003</v>
      </c>
      <c r="P62">
        <v>-74.055766199999994</v>
      </c>
      <c r="Q62" t="s">
        <v>2559</v>
      </c>
      <c r="R62">
        <v>5555555.5559999999</v>
      </c>
      <c r="S62">
        <v>0</v>
      </c>
      <c r="T62" t="s">
        <v>151</v>
      </c>
      <c r="U62" t="s">
        <v>152</v>
      </c>
      <c r="V62" t="s">
        <v>77</v>
      </c>
      <c r="W62" t="s">
        <v>119</v>
      </c>
      <c r="X62" t="s">
        <v>153</v>
      </c>
      <c r="Y62">
        <v>3.8749874992227702</v>
      </c>
      <c r="Z62">
        <v>3874.9874992227701</v>
      </c>
      <c r="AA62">
        <v>4.7837500000000004</v>
      </c>
      <c r="AB62">
        <v>-74.044138888888895</v>
      </c>
      <c r="AC62">
        <v>2580</v>
      </c>
      <c r="AD62">
        <v>0</v>
      </c>
      <c r="AE62" t="s">
        <v>154</v>
      </c>
      <c r="AF62" t="s">
        <v>107</v>
      </c>
      <c r="AG62" t="s">
        <v>82</v>
      </c>
      <c r="AH62" t="s">
        <v>83</v>
      </c>
      <c r="AI62" t="s">
        <v>121</v>
      </c>
      <c r="AJ62">
        <v>5.4479881426497503</v>
      </c>
      <c r="AK62">
        <v>0.98756805615827203</v>
      </c>
      <c r="AL62">
        <v>2.0653010803591298</v>
      </c>
      <c r="AM62">
        <v>3.7401053578022401</v>
      </c>
      <c r="AN62">
        <v>8.8953224952892391</v>
      </c>
      <c r="AO62">
        <v>0.95510282384575496</v>
      </c>
      <c r="AP62">
        <v>0.95510282384575496</v>
      </c>
      <c r="AQ62">
        <v>0</v>
      </c>
      <c r="AR62">
        <v>0</v>
      </c>
      <c r="AS62">
        <v>0</v>
      </c>
      <c r="AT62">
        <v>1</v>
      </c>
      <c r="AU62">
        <v>0</v>
      </c>
      <c r="AV62">
        <v>0</v>
      </c>
      <c r="AW62">
        <v>0</v>
      </c>
      <c r="AX62">
        <v>0</v>
      </c>
      <c r="AY62">
        <v>15.3</v>
      </c>
      <c r="AZ62">
        <v>9.8000000000000007</v>
      </c>
      <c r="BA62">
        <v>29.7</v>
      </c>
      <c r="BB62">
        <v>564</v>
      </c>
      <c r="BC62">
        <v>68</v>
      </c>
      <c r="BD62">
        <v>1.8</v>
      </c>
      <c r="BE62">
        <v>43</v>
      </c>
      <c r="BF62">
        <v>25.4</v>
      </c>
      <c r="BG62">
        <v>162</v>
      </c>
      <c r="BH62">
        <v>9.1</v>
      </c>
      <c r="BI62">
        <v>9.1999999999999993</v>
      </c>
      <c r="BJ62">
        <v>18.3</v>
      </c>
      <c r="BK62">
        <v>0.34</v>
      </c>
      <c r="BL62">
        <v>7.3</v>
      </c>
      <c r="BM62">
        <v>0.9</v>
      </c>
      <c r="BN62">
        <v>7.5</v>
      </c>
      <c r="BO62">
        <v>2.9</v>
      </c>
      <c r="BP62">
        <f t="shared" si="0"/>
        <v>8.0895289604759526</v>
      </c>
      <c r="BQ62">
        <f t="shared" si="1"/>
        <v>27.062455078035491</v>
      </c>
    </row>
    <row r="63" spans="1:69" hidden="1" x14ac:dyDescent="0.2">
      <c r="A63" t="s">
        <v>3171</v>
      </c>
      <c r="B63" t="s">
        <v>68</v>
      </c>
      <c r="C63" t="s">
        <v>1956</v>
      </c>
      <c r="D63" t="s">
        <v>70</v>
      </c>
      <c r="E63" t="s">
        <v>3166</v>
      </c>
      <c r="F63">
        <v>6</v>
      </c>
      <c r="G63">
        <v>427</v>
      </c>
      <c r="H63">
        <v>5</v>
      </c>
      <c r="I63">
        <v>5</v>
      </c>
      <c r="J63">
        <v>4</v>
      </c>
      <c r="K63" t="s">
        <v>110</v>
      </c>
      <c r="L63" t="s">
        <v>124</v>
      </c>
      <c r="M63" s="4">
        <v>2800000000</v>
      </c>
      <c r="N63">
        <v>0</v>
      </c>
      <c r="O63">
        <v>4.8201260000000001</v>
      </c>
      <c r="P63">
        <v>-74.051602000000003</v>
      </c>
      <c r="Q63" t="s">
        <v>3172</v>
      </c>
      <c r="R63">
        <v>6557377.0489999996</v>
      </c>
      <c r="S63">
        <v>0</v>
      </c>
      <c r="T63" t="s">
        <v>151</v>
      </c>
      <c r="U63" t="s">
        <v>152</v>
      </c>
      <c r="V63" t="s">
        <v>77</v>
      </c>
      <c r="W63" t="s">
        <v>119</v>
      </c>
      <c r="X63" t="s">
        <v>153</v>
      </c>
      <c r="Y63">
        <v>4.1331190856013498</v>
      </c>
      <c r="Z63">
        <v>4133.11908560135</v>
      </c>
      <c r="AA63">
        <v>4.7837500000000004</v>
      </c>
      <c r="AB63">
        <v>-74.044138888888895</v>
      </c>
      <c r="AC63">
        <v>2580</v>
      </c>
      <c r="AD63">
        <v>0</v>
      </c>
      <c r="AE63" t="s">
        <v>154</v>
      </c>
      <c r="AF63" t="s">
        <v>107</v>
      </c>
      <c r="AG63" t="s">
        <v>82</v>
      </c>
      <c r="AH63" t="s">
        <v>83</v>
      </c>
      <c r="AI63" t="s">
        <v>121</v>
      </c>
      <c r="AJ63">
        <v>5.7395165538877402</v>
      </c>
      <c r="AK63">
        <v>0.76506765924192699</v>
      </c>
      <c r="AL63">
        <v>2.2747367742370499</v>
      </c>
      <c r="AM63">
        <v>4.3435939883250398</v>
      </c>
      <c r="AN63">
        <v>9.1121175454978296</v>
      </c>
      <c r="AO63">
        <v>0.37209261312414599</v>
      </c>
      <c r="AP63">
        <v>0.37209261312414599</v>
      </c>
      <c r="AQ63">
        <v>0</v>
      </c>
      <c r="AR63">
        <v>0</v>
      </c>
      <c r="AS63">
        <v>0</v>
      </c>
      <c r="AT63">
        <v>1</v>
      </c>
      <c r="AU63">
        <v>0</v>
      </c>
      <c r="AV63">
        <v>0</v>
      </c>
      <c r="AW63">
        <v>0</v>
      </c>
      <c r="AX63">
        <v>0</v>
      </c>
      <c r="AY63">
        <v>15.3</v>
      </c>
      <c r="AZ63">
        <v>9.8000000000000007</v>
      </c>
      <c r="BA63">
        <v>29.7</v>
      </c>
      <c r="BB63">
        <v>564</v>
      </c>
      <c r="BC63">
        <v>68</v>
      </c>
      <c r="BD63">
        <v>1.8</v>
      </c>
      <c r="BE63">
        <v>43</v>
      </c>
      <c r="BF63">
        <v>25.4</v>
      </c>
      <c r="BG63">
        <v>162</v>
      </c>
      <c r="BH63">
        <v>9.1</v>
      </c>
      <c r="BI63">
        <v>9.1999999999999993</v>
      </c>
      <c r="BJ63">
        <v>18.3</v>
      </c>
      <c r="BK63">
        <v>0.34</v>
      </c>
      <c r="BL63">
        <v>7.3</v>
      </c>
      <c r="BM63">
        <v>0.9</v>
      </c>
      <c r="BN63">
        <v>7.5</v>
      </c>
      <c r="BO63">
        <v>2.9</v>
      </c>
      <c r="BP63">
        <f t="shared" si="0"/>
        <v>7.9868224589822949</v>
      </c>
      <c r="BQ63">
        <f t="shared" si="1"/>
        <v>26.895317148490285</v>
      </c>
    </row>
    <row r="64" spans="1:69" hidden="1" x14ac:dyDescent="0.2">
      <c r="A64" t="s">
        <v>2771</v>
      </c>
      <c r="B64" t="s">
        <v>68</v>
      </c>
      <c r="C64" t="s">
        <v>1956</v>
      </c>
      <c r="D64" t="s">
        <v>70</v>
      </c>
      <c r="E64" t="s">
        <v>542</v>
      </c>
      <c r="F64">
        <v>6</v>
      </c>
      <c r="G64">
        <v>422.7</v>
      </c>
      <c r="H64">
        <v>4</v>
      </c>
      <c r="I64">
        <v>5</v>
      </c>
      <c r="J64">
        <v>3</v>
      </c>
      <c r="K64" t="s">
        <v>110</v>
      </c>
      <c r="L64" t="s">
        <v>162</v>
      </c>
      <c r="M64" s="4">
        <v>3700000000</v>
      </c>
      <c r="N64">
        <v>0</v>
      </c>
      <c r="O64">
        <v>4.7315206529999996</v>
      </c>
      <c r="P64">
        <v>-74.084068299999998</v>
      </c>
      <c r="Q64" t="s">
        <v>2772</v>
      </c>
      <c r="R64">
        <v>8753252.898</v>
      </c>
      <c r="S64">
        <v>0</v>
      </c>
      <c r="T64" t="s">
        <v>117</v>
      </c>
      <c r="U64" t="s">
        <v>118</v>
      </c>
      <c r="V64" t="s">
        <v>77</v>
      </c>
      <c r="W64" t="s">
        <v>119</v>
      </c>
      <c r="X64" t="s">
        <v>120</v>
      </c>
      <c r="Y64">
        <v>1.7381036321939201</v>
      </c>
      <c r="Z64">
        <v>1738.10363219392</v>
      </c>
      <c r="AA64">
        <v>4.73719444444444</v>
      </c>
      <c r="AB64">
        <v>-74.069472222222203</v>
      </c>
      <c r="AC64">
        <v>2555</v>
      </c>
      <c r="AD64">
        <v>0</v>
      </c>
      <c r="AE64" t="s">
        <v>80</v>
      </c>
      <c r="AF64" t="s">
        <v>107</v>
      </c>
      <c r="AG64" t="s">
        <v>82</v>
      </c>
      <c r="AH64" t="s">
        <v>83</v>
      </c>
      <c r="AI64" t="s">
        <v>121</v>
      </c>
      <c r="AJ64">
        <v>0.55761715522047794</v>
      </c>
      <c r="AK64">
        <v>4.5354579583136996</v>
      </c>
      <c r="AL64">
        <v>2.1437555617052499</v>
      </c>
      <c r="AM64">
        <v>0.29278141584735201</v>
      </c>
      <c r="AN64">
        <v>1.1019794537007199</v>
      </c>
      <c r="AO64">
        <v>2.8258551972585302E-3</v>
      </c>
      <c r="AP64">
        <v>2.8258551972585302E-3</v>
      </c>
      <c r="AQ64">
        <v>0</v>
      </c>
      <c r="AR64">
        <v>2</v>
      </c>
      <c r="AS64">
        <v>0</v>
      </c>
      <c r="AT64">
        <v>0</v>
      </c>
      <c r="AU64">
        <v>0</v>
      </c>
      <c r="AV64">
        <v>16</v>
      </c>
      <c r="AW64">
        <v>0</v>
      </c>
      <c r="AX64">
        <v>0</v>
      </c>
      <c r="AY64">
        <v>15.3</v>
      </c>
      <c r="AZ64">
        <v>9.8000000000000007</v>
      </c>
      <c r="BA64">
        <v>29.7</v>
      </c>
      <c r="BB64">
        <v>564</v>
      </c>
      <c r="BC64">
        <v>68</v>
      </c>
      <c r="BD64">
        <v>1.8</v>
      </c>
      <c r="BE64">
        <v>43</v>
      </c>
      <c r="BF64">
        <v>25.4</v>
      </c>
      <c r="BG64">
        <v>162</v>
      </c>
      <c r="BH64">
        <v>9.1</v>
      </c>
      <c r="BI64">
        <v>9.1999999999999993</v>
      </c>
      <c r="BJ64">
        <v>18.3</v>
      </c>
      <c r="BK64">
        <v>0.34</v>
      </c>
      <c r="BL64">
        <v>7.3</v>
      </c>
      <c r="BM64">
        <v>0.9</v>
      </c>
      <c r="BN64">
        <v>7.5</v>
      </c>
      <c r="BO64">
        <v>2.9</v>
      </c>
      <c r="BP64">
        <f t="shared" si="0"/>
        <v>8.9920985774228139</v>
      </c>
      <c r="BQ64">
        <f t="shared" si="1"/>
        <v>28.486564601636243</v>
      </c>
    </row>
    <row r="65" spans="1:69" hidden="1" x14ac:dyDescent="0.2">
      <c r="A65" t="s">
        <v>2072</v>
      </c>
      <c r="B65" t="s">
        <v>68</v>
      </c>
      <c r="C65" t="s">
        <v>1956</v>
      </c>
      <c r="D65" t="s">
        <v>70</v>
      </c>
      <c r="E65" t="s">
        <v>1724</v>
      </c>
      <c r="F65">
        <v>5</v>
      </c>
      <c r="G65">
        <v>420</v>
      </c>
      <c r="H65">
        <v>4</v>
      </c>
      <c r="I65">
        <v>5</v>
      </c>
      <c r="J65">
        <v>4</v>
      </c>
      <c r="K65" t="s">
        <v>110</v>
      </c>
      <c r="L65" t="s">
        <v>162</v>
      </c>
      <c r="M65" s="4">
        <v>2350000000</v>
      </c>
      <c r="N65">
        <v>0</v>
      </c>
      <c r="O65">
        <v>4.7628903390000001</v>
      </c>
      <c r="P65">
        <v>-74.063407900000001</v>
      </c>
      <c r="Q65" t="s">
        <v>2073</v>
      </c>
      <c r="R65">
        <v>5595238.0949999997</v>
      </c>
      <c r="S65">
        <v>0</v>
      </c>
      <c r="T65" t="s">
        <v>117</v>
      </c>
      <c r="U65" t="s">
        <v>118</v>
      </c>
      <c r="V65" t="s">
        <v>77</v>
      </c>
      <c r="W65" t="s">
        <v>119</v>
      </c>
      <c r="X65" t="s">
        <v>120</v>
      </c>
      <c r="Y65">
        <v>2.9385031424983801</v>
      </c>
      <c r="Z65">
        <v>2938.5031424983799</v>
      </c>
      <c r="AA65">
        <v>4.73719444444444</v>
      </c>
      <c r="AB65">
        <v>-74.069472222222203</v>
      </c>
      <c r="AC65">
        <v>2555</v>
      </c>
      <c r="AD65">
        <v>0</v>
      </c>
      <c r="AE65" t="s">
        <v>80</v>
      </c>
      <c r="AF65" t="s">
        <v>107</v>
      </c>
      <c r="AG65" t="s">
        <v>82</v>
      </c>
      <c r="AH65" t="s">
        <v>83</v>
      </c>
      <c r="AI65" t="s">
        <v>121</v>
      </c>
      <c r="AJ65">
        <v>2.10309342720746</v>
      </c>
      <c r="AK65">
        <v>4.1496649793445597</v>
      </c>
      <c r="AL65">
        <v>1.52040602028392</v>
      </c>
      <c r="AM65">
        <v>0.40249848844393499</v>
      </c>
      <c r="AN65">
        <v>3.3956500947505601</v>
      </c>
      <c r="AO65">
        <v>0.15124218243073301</v>
      </c>
      <c r="AP65">
        <v>0.15124218243073301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6</v>
      </c>
      <c r="AW65">
        <v>0</v>
      </c>
      <c r="AX65">
        <v>1</v>
      </c>
      <c r="AY65">
        <v>15.3</v>
      </c>
      <c r="AZ65">
        <v>9.8000000000000007</v>
      </c>
      <c r="BA65">
        <v>29.7</v>
      </c>
      <c r="BB65">
        <v>564</v>
      </c>
      <c r="BC65">
        <v>68</v>
      </c>
      <c r="BD65">
        <v>1.8</v>
      </c>
      <c r="BE65">
        <v>43</v>
      </c>
      <c r="BF65">
        <v>25.4</v>
      </c>
      <c r="BG65">
        <v>162</v>
      </c>
      <c r="BH65">
        <v>9.1</v>
      </c>
      <c r="BI65">
        <v>9.1999999999999993</v>
      </c>
      <c r="BJ65">
        <v>18.3</v>
      </c>
      <c r="BK65">
        <v>0.34</v>
      </c>
      <c r="BL65">
        <v>7.3</v>
      </c>
      <c r="BM65">
        <v>0.9</v>
      </c>
      <c r="BN65">
        <v>7.5</v>
      </c>
      <c r="BO65">
        <v>2.9</v>
      </c>
      <c r="BP65">
        <f t="shared" si="0"/>
        <v>8.4733545423645129</v>
      </c>
      <c r="BQ65">
        <f t="shared" si="1"/>
        <v>27.677587506352154</v>
      </c>
    </row>
    <row r="66" spans="1:69" hidden="1" x14ac:dyDescent="0.2">
      <c r="A66" t="s">
        <v>3277</v>
      </c>
      <c r="B66" t="s">
        <v>68</v>
      </c>
      <c r="C66" t="s">
        <v>1956</v>
      </c>
      <c r="D66" t="s">
        <v>70</v>
      </c>
      <c r="E66" t="s">
        <v>2261</v>
      </c>
      <c r="F66">
        <v>6</v>
      </c>
      <c r="G66">
        <v>419</v>
      </c>
      <c r="H66">
        <v>4</v>
      </c>
      <c r="I66">
        <v>5</v>
      </c>
      <c r="J66">
        <v>4</v>
      </c>
      <c r="K66" t="s">
        <v>110</v>
      </c>
      <c r="L66" t="s">
        <v>124</v>
      </c>
      <c r="M66" s="4">
        <v>3400000000</v>
      </c>
      <c r="N66">
        <v>0</v>
      </c>
      <c r="O66">
        <v>4.8173899999999996</v>
      </c>
      <c r="P66">
        <v>-74.045379999999994</v>
      </c>
      <c r="Q66" t="s">
        <v>3278</v>
      </c>
      <c r="R66">
        <v>8114558.4730000002</v>
      </c>
      <c r="S66">
        <v>0</v>
      </c>
      <c r="T66" t="s">
        <v>151</v>
      </c>
      <c r="U66" t="s">
        <v>152</v>
      </c>
      <c r="V66" t="s">
        <v>77</v>
      </c>
      <c r="W66" t="s">
        <v>119</v>
      </c>
      <c r="X66" t="s">
        <v>153</v>
      </c>
      <c r="Y66">
        <v>3.7473175945618502</v>
      </c>
      <c r="Z66">
        <v>3747.31759456185</v>
      </c>
      <c r="AA66">
        <v>4.7837500000000004</v>
      </c>
      <c r="AB66">
        <v>-74.044138888888895</v>
      </c>
      <c r="AC66">
        <v>2580</v>
      </c>
      <c r="AD66">
        <v>0</v>
      </c>
      <c r="AE66" t="s">
        <v>154</v>
      </c>
      <c r="AF66" t="s">
        <v>107</v>
      </c>
      <c r="AG66" t="s">
        <v>82</v>
      </c>
      <c r="AH66" t="s">
        <v>83</v>
      </c>
      <c r="AI66" t="s">
        <v>121</v>
      </c>
      <c r="AJ66">
        <v>5.3714392463335399</v>
      </c>
      <c r="AK66">
        <v>1.11173576139759</v>
      </c>
      <c r="AL66">
        <v>1.9249184253062299</v>
      </c>
      <c r="AM66">
        <v>4.41568454062147</v>
      </c>
      <c r="AN66">
        <v>8.6337718745358192</v>
      </c>
      <c r="AO66">
        <v>0.24623060467906999</v>
      </c>
      <c r="AP66">
        <v>0.24623060467906999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15.3</v>
      </c>
      <c r="AZ66">
        <v>9.8000000000000007</v>
      </c>
      <c r="BA66">
        <v>29.7</v>
      </c>
      <c r="BB66">
        <v>564</v>
      </c>
      <c r="BC66">
        <v>68</v>
      </c>
      <c r="BD66">
        <v>1.8</v>
      </c>
      <c r="BE66">
        <v>43</v>
      </c>
      <c r="BF66">
        <v>25.4</v>
      </c>
      <c r="BG66">
        <v>162</v>
      </c>
      <c r="BH66">
        <v>9.1</v>
      </c>
      <c r="BI66">
        <v>9.1999999999999993</v>
      </c>
      <c r="BJ66">
        <v>18.3</v>
      </c>
      <c r="BK66">
        <v>0.34</v>
      </c>
      <c r="BL66">
        <v>7.3</v>
      </c>
      <c r="BM66">
        <v>0.9</v>
      </c>
      <c r="BN66">
        <v>7.5</v>
      </c>
      <c r="BO66">
        <v>2.9</v>
      </c>
      <c r="BP66">
        <f t="shared" ref="BP66:BP129" si="2">+AZ66*EXP(-0.0495*Y66)</f>
        <v>8.1408139164014326</v>
      </c>
      <c r="BQ66">
        <f t="shared" ref="BQ66:BQ129" si="3">+BA66*EXP(-0.024*Y66)</f>
        <v>27.145503712227217</v>
      </c>
    </row>
    <row r="67" spans="1:69" hidden="1" x14ac:dyDescent="0.2">
      <c r="A67" t="s">
        <v>2975</v>
      </c>
      <c r="B67" t="s">
        <v>68</v>
      </c>
      <c r="C67" t="s">
        <v>1956</v>
      </c>
      <c r="D67" t="s">
        <v>70</v>
      </c>
      <c r="E67" t="s">
        <v>2261</v>
      </c>
      <c r="F67">
        <v>6</v>
      </c>
      <c r="G67">
        <v>419</v>
      </c>
      <c r="H67">
        <v>4</v>
      </c>
      <c r="I67">
        <v>5</v>
      </c>
      <c r="J67">
        <v>4</v>
      </c>
      <c r="K67" t="s">
        <v>110</v>
      </c>
      <c r="L67" t="s">
        <v>124</v>
      </c>
      <c r="M67" s="4">
        <v>3400000000</v>
      </c>
      <c r="N67">
        <v>0</v>
      </c>
      <c r="O67">
        <v>4.817329</v>
      </c>
      <c r="P67">
        <v>-74.045213000000004</v>
      </c>
      <c r="Q67" t="s">
        <v>2976</v>
      </c>
      <c r="R67">
        <v>8114558.4730000002</v>
      </c>
      <c r="S67">
        <v>0</v>
      </c>
      <c r="T67" t="s">
        <v>151</v>
      </c>
      <c r="U67" t="s">
        <v>152</v>
      </c>
      <c r="V67" t="s">
        <v>77</v>
      </c>
      <c r="W67" t="s">
        <v>119</v>
      </c>
      <c r="X67" t="s">
        <v>153</v>
      </c>
      <c r="Y67">
        <v>3.7398956755904602</v>
      </c>
      <c r="Z67">
        <v>3739.8956755904601</v>
      </c>
      <c r="AA67">
        <v>4.7837500000000004</v>
      </c>
      <c r="AB67">
        <v>-74.044138888888895</v>
      </c>
      <c r="AC67">
        <v>2580</v>
      </c>
      <c r="AD67">
        <v>0</v>
      </c>
      <c r="AE67" t="s">
        <v>154</v>
      </c>
      <c r="AF67" t="s">
        <v>107</v>
      </c>
      <c r="AG67" t="s">
        <v>82</v>
      </c>
      <c r="AH67" t="s">
        <v>83</v>
      </c>
      <c r="AI67" t="s">
        <v>121</v>
      </c>
      <c r="AJ67">
        <v>5.36404295388677</v>
      </c>
      <c r="AK67">
        <v>1.1201734393198901</v>
      </c>
      <c r="AL67">
        <v>1.9200930719145</v>
      </c>
      <c r="AM67">
        <v>4.4083256717905597</v>
      </c>
      <c r="AN67">
        <v>8.6228087528740094</v>
      </c>
      <c r="AO67">
        <v>0.24416912651563599</v>
      </c>
      <c r="AP67">
        <v>0.24416912651563599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15.3</v>
      </c>
      <c r="AZ67">
        <v>9.8000000000000007</v>
      </c>
      <c r="BA67">
        <v>29.7</v>
      </c>
      <c r="BB67">
        <v>564</v>
      </c>
      <c r="BC67">
        <v>68</v>
      </c>
      <c r="BD67">
        <v>1.8</v>
      </c>
      <c r="BE67">
        <v>43</v>
      </c>
      <c r="BF67">
        <v>25.4</v>
      </c>
      <c r="BG67">
        <v>162</v>
      </c>
      <c r="BH67">
        <v>9.1</v>
      </c>
      <c r="BI67">
        <v>9.1999999999999993</v>
      </c>
      <c r="BJ67">
        <v>18.3</v>
      </c>
      <c r="BK67">
        <v>0.34</v>
      </c>
      <c r="BL67">
        <v>7.3</v>
      </c>
      <c r="BM67">
        <v>0.9</v>
      </c>
      <c r="BN67">
        <v>7.5</v>
      </c>
      <c r="BO67">
        <v>2.9</v>
      </c>
      <c r="BP67">
        <f t="shared" si="2"/>
        <v>8.1438052786903974</v>
      </c>
      <c r="BQ67">
        <f t="shared" si="3"/>
        <v>27.150339464396911</v>
      </c>
    </row>
    <row r="68" spans="1:69" hidden="1" x14ac:dyDescent="0.2">
      <c r="A68" t="s">
        <v>2785</v>
      </c>
      <c r="B68" t="s">
        <v>68</v>
      </c>
      <c r="C68" t="s">
        <v>1956</v>
      </c>
      <c r="D68" t="s">
        <v>70</v>
      </c>
      <c r="E68" t="s">
        <v>548</v>
      </c>
      <c r="F68">
        <v>6</v>
      </c>
      <c r="G68">
        <v>417</v>
      </c>
      <c r="H68">
        <v>4</v>
      </c>
      <c r="I68">
        <v>5</v>
      </c>
      <c r="J68">
        <v>2</v>
      </c>
      <c r="K68" t="s">
        <v>110</v>
      </c>
      <c r="L68" t="s">
        <v>162</v>
      </c>
      <c r="M68" s="4">
        <v>1390000000</v>
      </c>
      <c r="N68">
        <v>0</v>
      </c>
      <c r="O68">
        <v>4.7209057809999999</v>
      </c>
      <c r="P68">
        <v>-74.079124449999995</v>
      </c>
      <c r="Q68" t="s">
        <v>2786</v>
      </c>
      <c r="R68">
        <v>3333333.3330000001</v>
      </c>
      <c r="S68">
        <v>0</v>
      </c>
      <c r="T68" t="s">
        <v>117</v>
      </c>
      <c r="U68" t="s">
        <v>118</v>
      </c>
      <c r="V68" t="s">
        <v>77</v>
      </c>
      <c r="W68" t="s">
        <v>119</v>
      </c>
      <c r="X68" t="s">
        <v>120</v>
      </c>
      <c r="Y68">
        <v>2.10583058365195</v>
      </c>
      <c r="Z68">
        <v>2105.8305836519498</v>
      </c>
      <c r="AA68">
        <v>4.73719444444444</v>
      </c>
      <c r="AB68">
        <v>-74.069472222222203</v>
      </c>
      <c r="AC68">
        <v>2555</v>
      </c>
      <c r="AD68">
        <v>0</v>
      </c>
      <c r="AE68" t="s">
        <v>80</v>
      </c>
      <c r="AF68" t="s">
        <v>107</v>
      </c>
      <c r="AG68" t="s">
        <v>82</v>
      </c>
      <c r="AH68" t="s">
        <v>83</v>
      </c>
      <c r="AI68" t="s">
        <v>121</v>
      </c>
      <c r="AJ68">
        <v>0.49089883547554403</v>
      </c>
      <c r="AK68">
        <v>5.1594994302809196</v>
      </c>
      <c r="AL68">
        <v>0.964925159542254</v>
      </c>
      <c r="AM68">
        <v>0.50206283400047802</v>
      </c>
      <c r="AN68">
        <v>2.3679417310072601</v>
      </c>
      <c r="AO68">
        <v>5.6942108278335402E-2</v>
      </c>
      <c r="AP68">
        <v>5.6942108278335402E-2</v>
      </c>
      <c r="AQ68">
        <v>1</v>
      </c>
      <c r="AR68">
        <v>2</v>
      </c>
      <c r="AS68">
        <v>0</v>
      </c>
      <c r="AT68">
        <v>0</v>
      </c>
      <c r="AU68">
        <v>1</v>
      </c>
      <c r="AV68">
        <v>11</v>
      </c>
      <c r="AW68">
        <v>0</v>
      </c>
      <c r="AX68">
        <v>0</v>
      </c>
      <c r="AY68">
        <v>15.3</v>
      </c>
      <c r="AZ68">
        <v>9.8000000000000007</v>
      </c>
      <c r="BA68">
        <v>29.7</v>
      </c>
      <c r="BB68">
        <v>564</v>
      </c>
      <c r="BC68">
        <v>68</v>
      </c>
      <c r="BD68">
        <v>1.8</v>
      </c>
      <c r="BE68">
        <v>43</v>
      </c>
      <c r="BF68">
        <v>25.4</v>
      </c>
      <c r="BG68">
        <v>162</v>
      </c>
      <c r="BH68">
        <v>9.1</v>
      </c>
      <c r="BI68">
        <v>9.1999999999999993</v>
      </c>
      <c r="BJ68">
        <v>18.3</v>
      </c>
      <c r="BK68">
        <v>0.34</v>
      </c>
      <c r="BL68">
        <v>7.3</v>
      </c>
      <c r="BM68">
        <v>0.9</v>
      </c>
      <c r="BN68">
        <v>7.5</v>
      </c>
      <c r="BO68">
        <v>2.9</v>
      </c>
      <c r="BP68">
        <f t="shared" si="2"/>
        <v>8.8299007263681553</v>
      </c>
      <c r="BQ68">
        <f t="shared" si="3"/>
        <v>28.236264071867907</v>
      </c>
    </row>
    <row r="69" spans="1:69" hidden="1" x14ac:dyDescent="0.2">
      <c r="A69" t="s">
        <v>2036</v>
      </c>
      <c r="B69" t="s">
        <v>68</v>
      </c>
      <c r="C69" t="s">
        <v>1956</v>
      </c>
      <c r="D69" t="s">
        <v>70</v>
      </c>
      <c r="E69" t="s">
        <v>1724</v>
      </c>
      <c r="F69">
        <v>5</v>
      </c>
      <c r="G69">
        <v>415</v>
      </c>
      <c r="H69">
        <v>3</v>
      </c>
      <c r="I69">
        <v>4</v>
      </c>
      <c r="J69">
        <v>3</v>
      </c>
      <c r="K69" t="s">
        <v>110</v>
      </c>
      <c r="L69" t="s">
        <v>124</v>
      </c>
      <c r="M69" s="4">
        <v>2200000000</v>
      </c>
      <c r="N69">
        <v>0</v>
      </c>
      <c r="O69">
        <v>4.7652621269999997</v>
      </c>
      <c r="P69">
        <v>-74.059921259999996</v>
      </c>
      <c r="Q69" t="s">
        <v>2037</v>
      </c>
      <c r="R69">
        <v>5301204.8190000001</v>
      </c>
      <c r="S69">
        <v>0</v>
      </c>
      <c r="T69" t="s">
        <v>151</v>
      </c>
      <c r="U69" t="s">
        <v>152</v>
      </c>
      <c r="V69" t="s">
        <v>77</v>
      </c>
      <c r="W69" t="s">
        <v>119</v>
      </c>
      <c r="X69" t="s">
        <v>153</v>
      </c>
      <c r="Y69">
        <v>2.7020133144431102</v>
      </c>
      <c r="Z69">
        <v>2702.0133144431102</v>
      </c>
      <c r="AA69">
        <v>4.7837500000000004</v>
      </c>
      <c r="AB69">
        <v>-74.044138888888895</v>
      </c>
      <c r="AC69">
        <v>2580</v>
      </c>
      <c r="AD69">
        <v>0</v>
      </c>
      <c r="AE69" t="s">
        <v>154</v>
      </c>
      <c r="AF69" t="s">
        <v>107</v>
      </c>
      <c r="AG69" t="s">
        <v>82</v>
      </c>
      <c r="AH69" t="s">
        <v>83</v>
      </c>
      <c r="AI69" t="s">
        <v>121</v>
      </c>
      <c r="AJ69">
        <v>1.72910043504564</v>
      </c>
      <c r="AK69">
        <v>4.1063153761878297</v>
      </c>
      <c r="AL69">
        <v>1.4939056181656201</v>
      </c>
      <c r="AM69">
        <v>0.683818886989351</v>
      </c>
      <c r="AN69">
        <v>3.8561940890220998</v>
      </c>
      <c r="AO69">
        <v>0.28030815564509498</v>
      </c>
      <c r="AP69">
        <v>0.28030815564509498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3</v>
      </c>
      <c r="AW69">
        <v>0</v>
      </c>
      <c r="AX69">
        <v>1</v>
      </c>
      <c r="AY69">
        <v>15.3</v>
      </c>
      <c r="AZ69">
        <v>9.8000000000000007</v>
      </c>
      <c r="BA69">
        <v>29.7</v>
      </c>
      <c r="BB69">
        <v>564</v>
      </c>
      <c r="BC69">
        <v>68</v>
      </c>
      <c r="BD69">
        <v>1.8</v>
      </c>
      <c r="BE69">
        <v>43</v>
      </c>
      <c r="BF69">
        <v>25.4</v>
      </c>
      <c r="BG69">
        <v>162</v>
      </c>
      <c r="BH69">
        <v>9.1</v>
      </c>
      <c r="BI69">
        <v>9.1999999999999993</v>
      </c>
      <c r="BJ69">
        <v>18.3</v>
      </c>
      <c r="BK69">
        <v>0.34</v>
      </c>
      <c r="BL69">
        <v>7.3</v>
      </c>
      <c r="BM69">
        <v>0.9</v>
      </c>
      <c r="BN69">
        <v>7.5</v>
      </c>
      <c r="BO69">
        <v>2.9</v>
      </c>
      <c r="BP69">
        <f t="shared" si="2"/>
        <v>8.5731285695161379</v>
      </c>
      <c r="BQ69">
        <f t="shared" si="3"/>
        <v>27.835125386562378</v>
      </c>
    </row>
    <row r="70" spans="1:69" hidden="1" x14ac:dyDescent="0.2">
      <c r="A70" t="s">
        <v>3173</v>
      </c>
      <c r="B70" t="s">
        <v>68</v>
      </c>
      <c r="C70" t="s">
        <v>1956</v>
      </c>
      <c r="D70" t="s">
        <v>70</v>
      </c>
      <c r="E70" t="s">
        <v>1724</v>
      </c>
      <c r="F70">
        <v>5</v>
      </c>
      <c r="G70">
        <v>409</v>
      </c>
      <c r="H70">
        <v>4</v>
      </c>
      <c r="I70">
        <v>4</v>
      </c>
      <c r="J70">
        <v>4</v>
      </c>
      <c r="K70" t="s">
        <v>110</v>
      </c>
      <c r="L70" t="s">
        <v>162</v>
      </c>
      <c r="M70" s="4">
        <v>2280000000</v>
      </c>
      <c r="N70">
        <v>0</v>
      </c>
      <c r="O70">
        <v>4.763064376</v>
      </c>
      <c r="P70">
        <v>-74.059585619999993</v>
      </c>
      <c r="Q70" t="s">
        <v>3174</v>
      </c>
      <c r="R70">
        <v>5574572.1270000003</v>
      </c>
      <c r="S70">
        <v>0</v>
      </c>
      <c r="T70" t="s">
        <v>151</v>
      </c>
      <c r="U70" t="s">
        <v>152</v>
      </c>
      <c r="V70" t="s">
        <v>77</v>
      </c>
      <c r="W70" t="s">
        <v>119</v>
      </c>
      <c r="X70" t="s">
        <v>153</v>
      </c>
      <c r="Y70">
        <v>2.8703256862548199</v>
      </c>
      <c r="Z70">
        <v>2870.3256862548201</v>
      </c>
      <c r="AA70">
        <v>4.7837500000000004</v>
      </c>
      <c r="AB70">
        <v>-74.044138888888895</v>
      </c>
      <c r="AC70">
        <v>2580</v>
      </c>
      <c r="AD70">
        <v>0</v>
      </c>
      <c r="AE70" t="s">
        <v>154</v>
      </c>
      <c r="AF70" t="s">
        <v>107</v>
      </c>
      <c r="AG70" t="s">
        <v>82</v>
      </c>
      <c r="AH70" t="s">
        <v>83</v>
      </c>
      <c r="AI70" t="s">
        <v>121</v>
      </c>
      <c r="AJ70">
        <v>1.67901637222947</v>
      </c>
      <c r="AK70">
        <v>4.0895983640148303</v>
      </c>
      <c r="AL70">
        <v>1.2653627385078301</v>
      </c>
      <c r="AM70">
        <v>0.446433636059345</v>
      </c>
      <c r="AN70">
        <v>3.72288848503857</v>
      </c>
      <c r="AO70">
        <v>0.10706631484806001</v>
      </c>
      <c r="AP70">
        <v>0.10706631484806001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4</v>
      </c>
      <c r="AW70">
        <v>0</v>
      </c>
      <c r="AX70">
        <v>1</v>
      </c>
      <c r="AY70">
        <v>15.3</v>
      </c>
      <c r="AZ70">
        <v>9.8000000000000007</v>
      </c>
      <c r="BA70">
        <v>29.7</v>
      </c>
      <c r="BB70">
        <v>564</v>
      </c>
      <c r="BC70">
        <v>68</v>
      </c>
      <c r="BD70">
        <v>1.8</v>
      </c>
      <c r="BE70">
        <v>43</v>
      </c>
      <c r="BF70">
        <v>25.4</v>
      </c>
      <c r="BG70">
        <v>162</v>
      </c>
      <c r="BH70">
        <v>9.1</v>
      </c>
      <c r="BI70">
        <v>9.1999999999999993</v>
      </c>
      <c r="BJ70">
        <v>18.3</v>
      </c>
      <c r="BK70">
        <v>0.34</v>
      </c>
      <c r="BL70">
        <v>7.3</v>
      </c>
      <c r="BM70">
        <v>0.9</v>
      </c>
      <c r="BN70">
        <v>7.5</v>
      </c>
      <c r="BO70">
        <v>2.9</v>
      </c>
      <c r="BP70">
        <f t="shared" si="2"/>
        <v>8.5019985909663287</v>
      </c>
      <c r="BQ70">
        <f t="shared" si="3"/>
        <v>27.722912278038716</v>
      </c>
    </row>
    <row r="71" spans="1:69" hidden="1" x14ac:dyDescent="0.2">
      <c r="A71" t="s">
        <v>3157</v>
      </c>
      <c r="B71" t="s">
        <v>68</v>
      </c>
      <c r="C71" t="s">
        <v>1956</v>
      </c>
      <c r="D71" t="s">
        <v>70</v>
      </c>
      <c r="E71" t="s">
        <v>1419</v>
      </c>
      <c r="F71">
        <v>4</v>
      </c>
      <c r="G71">
        <v>408</v>
      </c>
      <c r="H71">
        <v>5</v>
      </c>
      <c r="I71">
        <v>4</v>
      </c>
      <c r="J71">
        <v>1</v>
      </c>
      <c r="K71" t="s">
        <v>110</v>
      </c>
      <c r="L71" t="s">
        <v>162</v>
      </c>
      <c r="M71" s="4">
        <v>1500000000</v>
      </c>
      <c r="N71">
        <v>0</v>
      </c>
      <c r="O71">
        <v>4.7135415079999996</v>
      </c>
      <c r="P71">
        <v>-74.065277100000003</v>
      </c>
      <c r="Q71" t="s">
        <v>3158</v>
      </c>
      <c r="R71">
        <v>3676470.588</v>
      </c>
      <c r="S71">
        <v>0</v>
      </c>
      <c r="T71" t="s">
        <v>117</v>
      </c>
      <c r="U71" t="s">
        <v>118</v>
      </c>
      <c r="V71" t="s">
        <v>77</v>
      </c>
      <c r="W71" t="s">
        <v>119</v>
      </c>
      <c r="X71" t="s">
        <v>120</v>
      </c>
      <c r="Y71">
        <v>2.6738492560182601</v>
      </c>
      <c r="Z71">
        <v>2673.8492560182599</v>
      </c>
      <c r="AA71">
        <v>4.73719444444444</v>
      </c>
      <c r="AB71">
        <v>-74.069472222222203</v>
      </c>
      <c r="AC71">
        <v>2555</v>
      </c>
      <c r="AD71">
        <v>0</v>
      </c>
      <c r="AE71" t="s">
        <v>80</v>
      </c>
      <c r="AF71" t="s">
        <v>107</v>
      </c>
      <c r="AG71" t="s">
        <v>82</v>
      </c>
      <c r="AH71" t="s">
        <v>83</v>
      </c>
      <c r="AI71" t="s">
        <v>121</v>
      </c>
      <c r="AJ71">
        <v>0.797840072461657</v>
      </c>
      <c r="AK71">
        <v>4.4830793961802602</v>
      </c>
      <c r="AL71">
        <v>0.772794719923102</v>
      </c>
      <c r="AM71">
        <v>0.11693073599155</v>
      </c>
      <c r="AN71">
        <v>3.79762946359866</v>
      </c>
      <c r="AO71">
        <v>0.16143108102322101</v>
      </c>
      <c r="AP71">
        <v>0.16143108102322101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39</v>
      </c>
      <c r="AW71">
        <v>0</v>
      </c>
      <c r="AX71">
        <v>0</v>
      </c>
      <c r="AY71">
        <v>15.3</v>
      </c>
      <c r="AZ71">
        <v>9.8000000000000007</v>
      </c>
      <c r="BA71">
        <v>29.7</v>
      </c>
      <c r="BB71">
        <v>564</v>
      </c>
      <c r="BC71">
        <v>68</v>
      </c>
      <c r="BD71">
        <v>1.8</v>
      </c>
      <c r="BE71">
        <v>43</v>
      </c>
      <c r="BF71">
        <v>25.4</v>
      </c>
      <c r="BG71">
        <v>162</v>
      </c>
      <c r="BH71">
        <v>9.1</v>
      </c>
      <c r="BI71">
        <v>9.1999999999999993</v>
      </c>
      <c r="BJ71">
        <v>18.3</v>
      </c>
      <c r="BK71">
        <v>0.34</v>
      </c>
      <c r="BL71">
        <v>7.3</v>
      </c>
      <c r="BM71">
        <v>0.9</v>
      </c>
      <c r="BN71">
        <v>7.5</v>
      </c>
      <c r="BO71">
        <v>2.9</v>
      </c>
      <c r="BP71">
        <f t="shared" si="2"/>
        <v>8.5850888822887708</v>
      </c>
      <c r="BQ71">
        <f t="shared" si="3"/>
        <v>27.853946549153253</v>
      </c>
    </row>
    <row r="72" spans="1:69" hidden="1" x14ac:dyDescent="0.2">
      <c r="A72" t="s">
        <v>3214</v>
      </c>
      <c r="B72" t="s">
        <v>68</v>
      </c>
      <c r="C72" t="s">
        <v>1956</v>
      </c>
      <c r="D72" t="s">
        <v>70</v>
      </c>
      <c r="E72" t="s">
        <v>267</v>
      </c>
      <c r="F72">
        <v>6</v>
      </c>
      <c r="G72">
        <v>406</v>
      </c>
      <c r="H72">
        <v>4</v>
      </c>
      <c r="I72">
        <v>4</v>
      </c>
      <c r="J72">
        <v>3</v>
      </c>
      <c r="K72" t="s">
        <v>110</v>
      </c>
      <c r="L72" t="s">
        <v>162</v>
      </c>
      <c r="M72" s="4">
        <v>2150000000</v>
      </c>
      <c r="N72">
        <v>0</v>
      </c>
      <c r="O72">
        <v>4.8165745739999997</v>
      </c>
      <c r="P72">
        <v>-74.055763240000005</v>
      </c>
      <c r="Q72" t="s">
        <v>3215</v>
      </c>
      <c r="R72">
        <v>5295566.5020000003</v>
      </c>
      <c r="S72">
        <v>0</v>
      </c>
      <c r="T72" t="s">
        <v>151</v>
      </c>
      <c r="U72" t="s">
        <v>152</v>
      </c>
      <c r="V72" t="s">
        <v>77</v>
      </c>
      <c r="W72" t="s">
        <v>119</v>
      </c>
      <c r="X72" t="s">
        <v>153</v>
      </c>
      <c r="Y72">
        <v>3.8748649920765899</v>
      </c>
      <c r="Z72">
        <v>3874.8649920765902</v>
      </c>
      <c r="AA72">
        <v>4.7837500000000004</v>
      </c>
      <c r="AB72">
        <v>-74.044138888888895</v>
      </c>
      <c r="AC72">
        <v>2580</v>
      </c>
      <c r="AD72">
        <v>0</v>
      </c>
      <c r="AE72" t="s">
        <v>154</v>
      </c>
      <c r="AF72" t="s">
        <v>107</v>
      </c>
      <c r="AG72" t="s">
        <v>82</v>
      </c>
      <c r="AH72" t="s">
        <v>83</v>
      </c>
      <c r="AI72" t="s">
        <v>121</v>
      </c>
      <c r="AJ72">
        <v>5.44789323464021</v>
      </c>
      <c r="AK72">
        <v>0.98770306699590504</v>
      </c>
      <c r="AL72">
        <v>2.0651354092196699</v>
      </c>
      <c r="AM72">
        <v>3.7403237188057701</v>
      </c>
      <c r="AN72">
        <v>8.8951907677257704</v>
      </c>
      <c r="AO72">
        <v>0.95493157140229101</v>
      </c>
      <c r="AP72">
        <v>0.95493157140229101</v>
      </c>
      <c r="AQ72">
        <v>0</v>
      </c>
      <c r="AR72">
        <v>0</v>
      </c>
      <c r="AS72">
        <v>0</v>
      </c>
      <c r="AT72">
        <v>1</v>
      </c>
      <c r="AU72">
        <v>0</v>
      </c>
      <c r="AV72">
        <v>0</v>
      </c>
      <c r="AW72">
        <v>0</v>
      </c>
      <c r="AX72">
        <v>0</v>
      </c>
      <c r="AY72">
        <v>15.3</v>
      </c>
      <c r="AZ72">
        <v>9.8000000000000007</v>
      </c>
      <c r="BA72">
        <v>29.7</v>
      </c>
      <c r="BB72">
        <v>564</v>
      </c>
      <c r="BC72">
        <v>68</v>
      </c>
      <c r="BD72">
        <v>1.8</v>
      </c>
      <c r="BE72">
        <v>43</v>
      </c>
      <c r="BF72">
        <v>25.4</v>
      </c>
      <c r="BG72">
        <v>162</v>
      </c>
      <c r="BH72">
        <v>9.1</v>
      </c>
      <c r="BI72">
        <v>9.1999999999999993</v>
      </c>
      <c r="BJ72">
        <v>18.3</v>
      </c>
      <c r="BK72">
        <v>0.34</v>
      </c>
      <c r="BL72">
        <v>7.3</v>
      </c>
      <c r="BM72">
        <v>0.9</v>
      </c>
      <c r="BN72">
        <v>7.5</v>
      </c>
      <c r="BO72">
        <v>2.9</v>
      </c>
      <c r="BP72">
        <f t="shared" si="2"/>
        <v>8.0895780163674846</v>
      </c>
      <c r="BQ72">
        <f t="shared" si="3"/>
        <v>27.06253464641183</v>
      </c>
    </row>
    <row r="73" spans="1:69" hidden="1" x14ac:dyDescent="0.2">
      <c r="A73" t="s">
        <v>2571</v>
      </c>
      <c r="B73" t="s">
        <v>68</v>
      </c>
      <c r="C73" t="s">
        <v>1956</v>
      </c>
      <c r="D73" t="s">
        <v>70</v>
      </c>
      <c r="E73" t="s">
        <v>349</v>
      </c>
      <c r="F73">
        <v>6</v>
      </c>
      <c r="G73">
        <v>401</v>
      </c>
      <c r="H73">
        <v>4</v>
      </c>
      <c r="I73">
        <v>3</v>
      </c>
      <c r="J73">
        <v>4</v>
      </c>
      <c r="K73" t="s">
        <v>110</v>
      </c>
      <c r="L73" t="s">
        <v>124</v>
      </c>
      <c r="M73" s="4">
        <v>1850000000</v>
      </c>
      <c r="N73">
        <v>0</v>
      </c>
      <c r="O73">
        <v>4.7202842</v>
      </c>
      <c r="P73">
        <v>-74.079208899999998</v>
      </c>
      <c r="Q73" t="s">
        <v>2572</v>
      </c>
      <c r="R73">
        <v>4613466.3339999998</v>
      </c>
      <c r="S73">
        <v>0</v>
      </c>
      <c r="T73" t="s">
        <v>117</v>
      </c>
      <c r="U73" t="s">
        <v>118</v>
      </c>
      <c r="V73" t="s">
        <v>77</v>
      </c>
      <c r="W73" t="s">
        <v>119</v>
      </c>
      <c r="X73" t="s">
        <v>120</v>
      </c>
      <c r="Y73">
        <v>2.17034461826356</v>
      </c>
      <c r="Z73">
        <v>2170.3446182635598</v>
      </c>
      <c r="AA73">
        <v>4.73719444444444</v>
      </c>
      <c r="AB73">
        <v>-74.069472222222203</v>
      </c>
      <c r="AC73">
        <v>2555</v>
      </c>
      <c r="AD73">
        <v>0</v>
      </c>
      <c r="AE73" t="s">
        <v>80</v>
      </c>
      <c r="AF73" t="s">
        <v>107</v>
      </c>
      <c r="AG73" t="s">
        <v>82</v>
      </c>
      <c r="AH73" t="s">
        <v>83</v>
      </c>
      <c r="AI73" t="s">
        <v>121</v>
      </c>
      <c r="AJ73">
        <v>0.51033076319145398</v>
      </c>
      <c r="AK73">
        <v>5.1629378754471302</v>
      </c>
      <c r="AL73">
        <v>0.94357820886950095</v>
      </c>
      <c r="AM73">
        <v>0.439036426513433</v>
      </c>
      <c r="AN73">
        <v>2.4311481557949999</v>
      </c>
      <c r="AO73">
        <v>5.1934928666953397E-3</v>
      </c>
      <c r="AP73">
        <v>5.1934928666953397E-3</v>
      </c>
      <c r="AQ73">
        <v>0</v>
      </c>
      <c r="AR73">
        <v>2</v>
      </c>
      <c r="AS73">
        <v>0</v>
      </c>
      <c r="AT73">
        <v>0</v>
      </c>
      <c r="AU73">
        <v>1</v>
      </c>
      <c r="AV73">
        <v>12</v>
      </c>
      <c r="AW73">
        <v>0</v>
      </c>
      <c r="AX73">
        <v>0</v>
      </c>
      <c r="AY73">
        <v>15.3</v>
      </c>
      <c r="AZ73">
        <v>9.8000000000000007</v>
      </c>
      <c r="BA73">
        <v>29.7</v>
      </c>
      <c r="BB73">
        <v>564</v>
      </c>
      <c r="BC73">
        <v>68</v>
      </c>
      <c r="BD73">
        <v>1.8</v>
      </c>
      <c r="BE73">
        <v>43</v>
      </c>
      <c r="BF73">
        <v>25.4</v>
      </c>
      <c r="BG73">
        <v>162</v>
      </c>
      <c r="BH73">
        <v>9.1</v>
      </c>
      <c r="BI73">
        <v>9.1999999999999993</v>
      </c>
      <c r="BJ73">
        <v>18.3</v>
      </c>
      <c r="BK73">
        <v>0.34</v>
      </c>
      <c r="BL73">
        <v>7.3</v>
      </c>
      <c r="BM73">
        <v>0.9</v>
      </c>
      <c r="BN73">
        <v>7.5</v>
      </c>
      <c r="BO73">
        <v>2.9</v>
      </c>
      <c r="BP73">
        <f t="shared" si="2"/>
        <v>8.8017479027430898</v>
      </c>
      <c r="BQ73">
        <f t="shared" si="3"/>
        <v>28.192578652843711</v>
      </c>
    </row>
    <row r="74" spans="1:69" hidden="1" x14ac:dyDescent="0.2">
      <c r="A74" t="s">
        <v>2132</v>
      </c>
      <c r="B74" t="s">
        <v>68</v>
      </c>
      <c r="C74" t="s">
        <v>1956</v>
      </c>
      <c r="D74" t="s">
        <v>70</v>
      </c>
      <c r="E74" t="s">
        <v>567</v>
      </c>
      <c r="F74">
        <v>6</v>
      </c>
      <c r="G74">
        <v>400.64</v>
      </c>
      <c r="H74">
        <v>3</v>
      </c>
      <c r="I74">
        <v>5</v>
      </c>
      <c r="J74">
        <v>4</v>
      </c>
      <c r="K74" t="s">
        <v>110</v>
      </c>
      <c r="L74" t="s">
        <v>124</v>
      </c>
      <c r="M74" s="4">
        <v>3500000000</v>
      </c>
      <c r="N74">
        <v>0</v>
      </c>
      <c r="O74">
        <v>4.7219300000000004</v>
      </c>
      <c r="P74">
        <v>-74.076189999999997</v>
      </c>
      <c r="Q74" t="s">
        <v>2133</v>
      </c>
      <c r="R74">
        <v>8736022.3640000001</v>
      </c>
      <c r="S74">
        <v>0</v>
      </c>
      <c r="T74" t="s">
        <v>117</v>
      </c>
      <c r="U74" t="s">
        <v>118</v>
      </c>
      <c r="V74" t="s">
        <v>77</v>
      </c>
      <c r="W74" t="s">
        <v>119</v>
      </c>
      <c r="X74" t="s">
        <v>120</v>
      </c>
      <c r="Y74">
        <v>1.8554825359001299</v>
      </c>
      <c r="Z74">
        <v>1855.48253590013</v>
      </c>
      <c r="AA74">
        <v>4.73719444444444</v>
      </c>
      <c r="AB74">
        <v>-74.069472222222203</v>
      </c>
      <c r="AC74">
        <v>2555</v>
      </c>
      <c r="AD74">
        <v>0</v>
      </c>
      <c r="AE74" t="s">
        <v>80</v>
      </c>
      <c r="AF74" t="s">
        <v>107</v>
      </c>
      <c r="AG74" t="s">
        <v>82</v>
      </c>
      <c r="AH74" t="s">
        <v>83</v>
      </c>
      <c r="AI74" t="s">
        <v>121</v>
      </c>
      <c r="AJ74">
        <v>0.17953740312150501</v>
      </c>
      <c r="AK74">
        <v>5.4622287302391896</v>
      </c>
      <c r="AL74">
        <v>0.77140429792693199</v>
      </c>
      <c r="AM74">
        <v>0.46850056312758598</v>
      </c>
      <c r="AN74">
        <v>2.3788857568179802</v>
      </c>
      <c r="AO74">
        <v>0.222174455952555</v>
      </c>
      <c r="AP74">
        <v>0.222174455952555</v>
      </c>
      <c r="AQ74">
        <v>1</v>
      </c>
      <c r="AR74">
        <v>2</v>
      </c>
      <c r="AS74">
        <v>0</v>
      </c>
      <c r="AT74">
        <v>0</v>
      </c>
      <c r="AU74">
        <v>1</v>
      </c>
      <c r="AV74">
        <v>21</v>
      </c>
      <c r="AW74">
        <v>0</v>
      </c>
      <c r="AX74">
        <v>0</v>
      </c>
      <c r="AY74">
        <v>15.3</v>
      </c>
      <c r="AZ74">
        <v>9.8000000000000007</v>
      </c>
      <c r="BA74">
        <v>29.7</v>
      </c>
      <c r="BB74">
        <v>564</v>
      </c>
      <c r="BC74">
        <v>68</v>
      </c>
      <c r="BD74">
        <v>1.8</v>
      </c>
      <c r="BE74">
        <v>43</v>
      </c>
      <c r="BF74">
        <v>25.4</v>
      </c>
      <c r="BG74">
        <v>162</v>
      </c>
      <c r="BH74">
        <v>9.1</v>
      </c>
      <c r="BI74">
        <v>9.1999999999999993</v>
      </c>
      <c r="BJ74">
        <v>18.3</v>
      </c>
      <c r="BK74">
        <v>0.34</v>
      </c>
      <c r="BL74">
        <v>7.3</v>
      </c>
      <c r="BM74">
        <v>0.9</v>
      </c>
      <c r="BN74">
        <v>7.5</v>
      </c>
      <c r="BO74">
        <v>2.9</v>
      </c>
      <c r="BP74">
        <f t="shared" si="2"/>
        <v>8.9400036740193354</v>
      </c>
      <c r="BQ74">
        <f t="shared" si="3"/>
        <v>28.406428209136891</v>
      </c>
    </row>
    <row r="75" spans="1:69" hidden="1" x14ac:dyDescent="0.2">
      <c r="A75" t="s">
        <v>3076</v>
      </c>
      <c r="B75" t="s">
        <v>68</v>
      </c>
      <c r="C75" t="s">
        <v>1956</v>
      </c>
      <c r="D75" t="s">
        <v>70</v>
      </c>
      <c r="E75" t="s">
        <v>1375</v>
      </c>
      <c r="F75">
        <v>4</v>
      </c>
      <c r="G75">
        <v>400</v>
      </c>
      <c r="H75">
        <v>5</v>
      </c>
      <c r="I75">
        <v>4</v>
      </c>
      <c r="J75">
        <v>4</v>
      </c>
      <c r="K75" t="s">
        <v>110</v>
      </c>
      <c r="L75" t="s">
        <v>162</v>
      </c>
      <c r="M75" s="4">
        <v>3900000000</v>
      </c>
      <c r="N75">
        <v>0</v>
      </c>
      <c r="O75">
        <v>4.7532017450000001</v>
      </c>
      <c r="P75">
        <v>-74.077112900000003</v>
      </c>
      <c r="Q75" t="s">
        <v>3077</v>
      </c>
      <c r="R75">
        <v>9750000</v>
      </c>
      <c r="S75">
        <v>0</v>
      </c>
      <c r="T75" t="s">
        <v>117</v>
      </c>
      <c r="U75" t="s">
        <v>118</v>
      </c>
      <c r="V75" t="s">
        <v>77</v>
      </c>
      <c r="W75" t="s">
        <v>119</v>
      </c>
      <c r="X75" t="s">
        <v>120</v>
      </c>
      <c r="Y75">
        <v>1.9732588260017401</v>
      </c>
      <c r="Z75">
        <v>1973.2588260017401</v>
      </c>
      <c r="AA75">
        <v>4.73719444444444</v>
      </c>
      <c r="AB75">
        <v>-74.069472222222203</v>
      </c>
      <c r="AC75">
        <v>2555</v>
      </c>
      <c r="AD75">
        <v>0</v>
      </c>
      <c r="AE75" t="s">
        <v>80</v>
      </c>
      <c r="AF75" t="s">
        <v>107</v>
      </c>
      <c r="AG75" t="s">
        <v>82</v>
      </c>
      <c r="AH75" t="s">
        <v>83</v>
      </c>
      <c r="AI75" t="s">
        <v>121</v>
      </c>
      <c r="AJ75">
        <v>1.91963881167615</v>
      </c>
      <c r="AK75">
        <v>4.1571858677012496</v>
      </c>
      <c r="AL75">
        <v>2.6178818669042698</v>
      </c>
      <c r="AM75">
        <v>0.30190180033527497</v>
      </c>
      <c r="AN75">
        <v>1.5884862430091899</v>
      </c>
      <c r="AO75">
        <v>1.81545773935528E-2</v>
      </c>
      <c r="AP75">
        <v>1.81545773935528E-2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3</v>
      </c>
      <c r="AW75">
        <v>0</v>
      </c>
      <c r="AX75">
        <v>0</v>
      </c>
      <c r="AY75">
        <v>15.3</v>
      </c>
      <c r="AZ75">
        <v>9.8000000000000007</v>
      </c>
      <c r="BA75">
        <v>29.7</v>
      </c>
      <c r="BB75">
        <v>564</v>
      </c>
      <c r="BC75">
        <v>68</v>
      </c>
      <c r="BD75">
        <v>1.8</v>
      </c>
      <c r="BE75">
        <v>43</v>
      </c>
      <c r="BF75">
        <v>25.4</v>
      </c>
      <c r="BG75">
        <v>162</v>
      </c>
      <c r="BH75">
        <v>9.1</v>
      </c>
      <c r="BI75">
        <v>9.1999999999999993</v>
      </c>
      <c r="BJ75">
        <v>18.3</v>
      </c>
      <c r="BK75">
        <v>0.34</v>
      </c>
      <c r="BL75">
        <v>7.3</v>
      </c>
      <c r="BM75">
        <v>0.9</v>
      </c>
      <c r="BN75">
        <v>7.5</v>
      </c>
      <c r="BO75">
        <v>2.9</v>
      </c>
      <c r="BP75">
        <f t="shared" si="2"/>
        <v>8.8880357427382339</v>
      </c>
      <c r="BQ75">
        <f t="shared" si="3"/>
        <v>28.32624709422586</v>
      </c>
    </row>
    <row r="76" spans="1:69" hidden="1" x14ac:dyDescent="0.2">
      <c r="A76" t="s">
        <v>2062</v>
      </c>
      <c r="B76" t="s">
        <v>68</v>
      </c>
      <c r="C76" t="s">
        <v>1956</v>
      </c>
      <c r="D76" t="s">
        <v>70</v>
      </c>
      <c r="E76" t="s">
        <v>2063</v>
      </c>
      <c r="F76">
        <v>6</v>
      </c>
      <c r="G76">
        <v>400</v>
      </c>
      <c r="H76">
        <v>4</v>
      </c>
      <c r="I76">
        <v>5</v>
      </c>
      <c r="J76">
        <v>4</v>
      </c>
      <c r="K76" t="s">
        <v>110</v>
      </c>
      <c r="L76" t="s">
        <v>162</v>
      </c>
      <c r="M76" s="4">
        <v>2870000000</v>
      </c>
      <c r="N76">
        <v>0</v>
      </c>
      <c r="O76">
        <v>4.8132071500000002</v>
      </c>
      <c r="P76">
        <v>-74.063598630000001</v>
      </c>
      <c r="Q76" t="s">
        <v>2064</v>
      </c>
      <c r="R76">
        <v>7175000</v>
      </c>
      <c r="S76">
        <v>0</v>
      </c>
      <c r="T76" t="s">
        <v>151</v>
      </c>
      <c r="U76" t="s">
        <v>152</v>
      </c>
      <c r="V76" t="s">
        <v>77</v>
      </c>
      <c r="W76" t="s">
        <v>119</v>
      </c>
      <c r="X76" t="s">
        <v>153</v>
      </c>
      <c r="Y76">
        <v>3.9258951203328598</v>
      </c>
      <c r="Z76">
        <v>3925.8951203328602</v>
      </c>
      <c r="AA76">
        <v>4.7837500000000004</v>
      </c>
      <c r="AB76">
        <v>-74.044138888888895</v>
      </c>
      <c r="AC76">
        <v>2580</v>
      </c>
      <c r="AD76">
        <v>0</v>
      </c>
      <c r="AE76" t="s">
        <v>154</v>
      </c>
      <c r="AF76" t="s">
        <v>107</v>
      </c>
      <c r="AG76" t="s">
        <v>82</v>
      </c>
      <c r="AH76" t="s">
        <v>83</v>
      </c>
      <c r="AI76" t="s">
        <v>121</v>
      </c>
      <c r="AJ76">
        <v>5.3844793155142998</v>
      </c>
      <c r="AK76">
        <v>1.31257661116464</v>
      </c>
      <c r="AL76">
        <v>2.3399611483549001</v>
      </c>
      <c r="AM76">
        <v>2.8916766171991402</v>
      </c>
      <c r="AN76">
        <v>8.2912223415881598</v>
      </c>
      <c r="AO76">
        <v>1.73572615568512</v>
      </c>
      <c r="AP76">
        <v>1.73572615568512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15.3</v>
      </c>
      <c r="AZ76">
        <v>9.8000000000000007</v>
      </c>
      <c r="BA76">
        <v>29.7</v>
      </c>
      <c r="BB76">
        <v>564</v>
      </c>
      <c r="BC76">
        <v>68</v>
      </c>
      <c r="BD76">
        <v>1.8</v>
      </c>
      <c r="BE76">
        <v>43</v>
      </c>
      <c r="BF76">
        <v>25.4</v>
      </c>
      <c r="BG76">
        <v>162</v>
      </c>
      <c r="BH76">
        <v>9.1</v>
      </c>
      <c r="BI76">
        <v>9.1999999999999993</v>
      </c>
      <c r="BJ76">
        <v>18.3</v>
      </c>
      <c r="BK76">
        <v>0.34</v>
      </c>
      <c r="BL76">
        <v>7.3</v>
      </c>
      <c r="BM76">
        <v>0.9</v>
      </c>
      <c r="BN76">
        <v>7.5</v>
      </c>
      <c r="BO76">
        <v>2.9</v>
      </c>
      <c r="BP76">
        <f t="shared" si="2"/>
        <v>8.0691695988781849</v>
      </c>
      <c r="BQ76">
        <f t="shared" si="3"/>
        <v>27.029410823572583</v>
      </c>
    </row>
    <row r="77" spans="1:69" hidden="1" x14ac:dyDescent="0.2">
      <c r="A77" t="s">
        <v>2685</v>
      </c>
      <c r="B77" t="s">
        <v>68</v>
      </c>
      <c r="C77" t="s">
        <v>1956</v>
      </c>
      <c r="D77" t="s">
        <v>70</v>
      </c>
      <c r="E77" t="s">
        <v>913</v>
      </c>
      <c r="F77">
        <v>6</v>
      </c>
      <c r="G77">
        <v>400</v>
      </c>
      <c r="H77">
        <v>4</v>
      </c>
      <c r="I77">
        <v>5</v>
      </c>
      <c r="J77">
        <v>4</v>
      </c>
      <c r="K77" t="s">
        <v>110</v>
      </c>
      <c r="L77" t="s">
        <v>124</v>
      </c>
      <c r="M77" s="4">
        <v>2600000000</v>
      </c>
      <c r="N77">
        <v>0</v>
      </c>
      <c r="O77">
        <v>4.7205400470000001</v>
      </c>
      <c r="P77">
        <v>-74.082244869999997</v>
      </c>
      <c r="Q77" t="s">
        <v>2686</v>
      </c>
      <c r="R77">
        <v>6500000</v>
      </c>
      <c r="S77">
        <v>0</v>
      </c>
      <c r="T77" t="s">
        <v>117</v>
      </c>
      <c r="U77" t="s">
        <v>118</v>
      </c>
      <c r="V77" t="s">
        <v>77</v>
      </c>
      <c r="W77" t="s">
        <v>119</v>
      </c>
      <c r="X77" t="s">
        <v>120</v>
      </c>
      <c r="Y77">
        <v>2.3334665868327602</v>
      </c>
      <c r="Z77">
        <v>2333.4665868327602</v>
      </c>
      <c r="AA77">
        <v>4.73719444444444</v>
      </c>
      <c r="AB77">
        <v>-74.069472222222203</v>
      </c>
      <c r="AC77">
        <v>2555</v>
      </c>
      <c r="AD77">
        <v>0</v>
      </c>
      <c r="AE77" t="s">
        <v>80</v>
      </c>
      <c r="AF77" t="s">
        <v>107</v>
      </c>
      <c r="AG77" t="s">
        <v>82</v>
      </c>
      <c r="AH77" t="s">
        <v>83</v>
      </c>
      <c r="AI77" t="s">
        <v>121</v>
      </c>
      <c r="AJ77">
        <v>0.83910566580303503</v>
      </c>
      <c r="AK77">
        <v>4.8272434313148098</v>
      </c>
      <c r="AL77">
        <v>1.2678926376421</v>
      </c>
      <c r="AM77">
        <v>0.65194787648876296</v>
      </c>
      <c r="AN77">
        <v>2.3317479363748301</v>
      </c>
      <c r="AO77">
        <v>4.0137645605442902E-3</v>
      </c>
      <c r="AP77">
        <v>4.0137645605442902E-3</v>
      </c>
      <c r="AQ77">
        <v>0</v>
      </c>
      <c r="AR77">
        <v>1</v>
      </c>
      <c r="AS77">
        <v>0</v>
      </c>
      <c r="AT77">
        <v>0</v>
      </c>
      <c r="AU77">
        <v>0</v>
      </c>
      <c r="AV77">
        <v>1</v>
      </c>
      <c r="AW77">
        <v>0</v>
      </c>
      <c r="AX77">
        <v>0</v>
      </c>
      <c r="AY77">
        <v>15.3</v>
      </c>
      <c r="AZ77">
        <v>9.8000000000000007</v>
      </c>
      <c r="BA77">
        <v>29.7</v>
      </c>
      <c r="BB77">
        <v>564</v>
      </c>
      <c r="BC77">
        <v>68</v>
      </c>
      <c r="BD77">
        <v>1.8</v>
      </c>
      <c r="BE77">
        <v>43</v>
      </c>
      <c r="BF77">
        <v>25.4</v>
      </c>
      <c r="BG77">
        <v>162</v>
      </c>
      <c r="BH77">
        <v>9.1</v>
      </c>
      <c r="BI77">
        <v>9.1999999999999993</v>
      </c>
      <c r="BJ77">
        <v>18.3</v>
      </c>
      <c r="BK77">
        <v>0.34</v>
      </c>
      <c r="BL77">
        <v>7.3</v>
      </c>
      <c r="BM77">
        <v>0.9</v>
      </c>
      <c r="BN77">
        <v>7.5</v>
      </c>
      <c r="BO77">
        <v>2.9</v>
      </c>
      <c r="BP77">
        <f t="shared" si="2"/>
        <v>8.7309640178737506</v>
      </c>
      <c r="BQ77">
        <f t="shared" si="3"/>
        <v>28.082422525855382</v>
      </c>
    </row>
    <row r="78" spans="1:69" hidden="1" x14ac:dyDescent="0.2">
      <c r="A78" t="s">
        <v>3343</v>
      </c>
      <c r="B78" t="s">
        <v>68</v>
      </c>
      <c r="C78" t="s">
        <v>3294</v>
      </c>
      <c r="D78" t="s">
        <v>70</v>
      </c>
      <c r="E78" t="s">
        <v>2261</v>
      </c>
      <c r="F78">
        <v>6</v>
      </c>
      <c r="G78">
        <v>400</v>
      </c>
      <c r="H78">
        <v>4</v>
      </c>
      <c r="I78">
        <v>5</v>
      </c>
      <c r="J78">
        <v>4</v>
      </c>
      <c r="K78" t="s">
        <v>110</v>
      </c>
      <c r="L78" t="s">
        <v>133</v>
      </c>
      <c r="M78" s="4">
        <v>2500000000</v>
      </c>
      <c r="N78">
        <v>0</v>
      </c>
      <c r="O78">
        <v>4.8087467999999998</v>
      </c>
      <c r="P78">
        <v>-74.036250699999997</v>
      </c>
      <c r="Q78" t="s">
        <v>3344</v>
      </c>
      <c r="R78">
        <v>6250000</v>
      </c>
      <c r="S78">
        <v>0</v>
      </c>
      <c r="T78" t="s">
        <v>151</v>
      </c>
      <c r="U78" t="s">
        <v>152</v>
      </c>
      <c r="V78" t="s">
        <v>77</v>
      </c>
      <c r="W78" t="s">
        <v>119</v>
      </c>
      <c r="X78" t="s">
        <v>153</v>
      </c>
      <c r="Y78">
        <v>2.9169711359150901</v>
      </c>
      <c r="Z78">
        <v>2916.9711359150901</v>
      </c>
      <c r="AA78">
        <v>4.7837500000000004</v>
      </c>
      <c r="AB78">
        <v>-74.044138888888895</v>
      </c>
      <c r="AC78">
        <v>2580</v>
      </c>
      <c r="AD78">
        <v>0</v>
      </c>
      <c r="AE78" t="s">
        <v>154</v>
      </c>
      <c r="AF78" t="s">
        <v>107</v>
      </c>
      <c r="AG78" t="s">
        <v>82</v>
      </c>
      <c r="AH78" t="s">
        <v>83</v>
      </c>
      <c r="AI78" t="s">
        <v>108</v>
      </c>
      <c r="AJ78">
        <v>4.48655746507574</v>
      </c>
      <c r="AK78">
        <v>2.3410488721346701</v>
      </c>
      <c r="AL78">
        <v>1.53575762414021</v>
      </c>
      <c r="AM78">
        <v>3.5617849164069999</v>
      </c>
      <c r="AN78">
        <v>7.5020023862185896</v>
      </c>
      <c r="AO78">
        <v>0.54679447941438097</v>
      </c>
      <c r="AP78">
        <v>0.54679447941438097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15.3</v>
      </c>
      <c r="AZ78">
        <v>9.8000000000000007</v>
      </c>
      <c r="BA78">
        <v>29.7</v>
      </c>
      <c r="BB78">
        <v>564</v>
      </c>
      <c r="BC78">
        <v>68</v>
      </c>
      <c r="BD78">
        <v>1.8</v>
      </c>
      <c r="BE78">
        <v>43</v>
      </c>
      <c r="BF78">
        <v>25.4</v>
      </c>
      <c r="BG78">
        <v>162</v>
      </c>
      <c r="BH78">
        <v>9.1</v>
      </c>
      <c r="BI78">
        <v>9.1999999999999993</v>
      </c>
      <c r="BJ78">
        <v>18.3</v>
      </c>
      <c r="BK78">
        <v>0.34</v>
      </c>
      <c r="BL78">
        <v>7.3</v>
      </c>
      <c r="BM78">
        <v>0.9</v>
      </c>
      <c r="BN78">
        <v>7.5</v>
      </c>
      <c r="BO78">
        <v>2.9</v>
      </c>
      <c r="BP78">
        <f t="shared" si="2"/>
        <v>8.4823905490787084</v>
      </c>
      <c r="BQ78">
        <f t="shared" si="3"/>
        <v>27.691894098542935</v>
      </c>
    </row>
    <row r="79" spans="1:69" hidden="1" x14ac:dyDescent="0.2">
      <c r="A79" t="s">
        <v>3216</v>
      </c>
      <c r="B79" t="s">
        <v>68</v>
      </c>
      <c r="C79" t="s">
        <v>1956</v>
      </c>
      <c r="D79" t="s">
        <v>70</v>
      </c>
      <c r="E79" t="s">
        <v>3217</v>
      </c>
      <c r="F79">
        <v>6</v>
      </c>
      <c r="G79">
        <v>400</v>
      </c>
      <c r="H79">
        <v>4</v>
      </c>
      <c r="I79">
        <v>4</v>
      </c>
      <c r="J79">
        <v>3</v>
      </c>
      <c r="K79" t="s">
        <v>110</v>
      </c>
      <c r="L79" t="s">
        <v>162</v>
      </c>
      <c r="M79" s="4">
        <v>2500000000</v>
      </c>
      <c r="N79">
        <v>0</v>
      </c>
      <c r="O79">
        <v>4.784875242</v>
      </c>
      <c r="P79">
        <v>-74.06385899</v>
      </c>
      <c r="Q79" t="s">
        <v>3218</v>
      </c>
      <c r="R79">
        <v>6250000</v>
      </c>
      <c r="S79">
        <v>0</v>
      </c>
      <c r="T79" t="s">
        <v>151</v>
      </c>
      <c r="U79" t="s">
        <v>152</v>
      </c>
      <c r="V79" t="s">
        <v>77</v>
      </c>
      <c r="W79" t="s">
        <v>119</v>
      </c>
      <c r="X79" t="s">
        <v>153</v>
      </c>
      <c r="Y79">
        <v>2.19116614883679</v>
      </c>
      <c r="Z79">
        <v>2191.1661488367899</v>
      </c>
      <c r="AA79">
        <v>4.7837500000000004</v>
      </c>
      <c r="AB79">
        <v>-74.044138888888895</v>
      </c>
      <c r="AC79">
        <v>2580</v>
      </c>
      <c r="AD79">
        <v>0</v>
      </c>
      <c r="AE79" t="s">
        <v>154</v>
      </c>
      <c r="AF79" t="s">
        <v>107</v>
      </c>
      <c r="AG79" t="s">
        <v>82</v>
      </c>
      <c r="AH79" t="s">
        <v>83</v>
      </c>
      <c r="AI79" t="s">
        <v>121</v>
      </c>
      <c r="AJ79">
        <v>2.86477160462923</v>
      </c>
      <c r="AK79">
        <v>2.5613574997700499</v>
      </c>
      <c r="AL79">
        <v>2.5065344329311698</v>
      </c>
      <c r="AM79">
        <v>1.8912292840520699</v>
      </c>
      <c r="AN79">
        <v>5.3596582282679996</v>
      </c>
      <c r="AO79">
        <v>1.4446296747096401</v>
      </c>
      <c r="AP79">
        <v>1.4446296747096401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15.3</v>
      </c>
      <c r="AZ79">
        <v>9.8000000000000007</v>
      </c>
      <c r="BA79">
        <v>29.7</v>
      </c>
      <c r="BB79">
        <v>564</v>
      </c>
      <c r="BC79">
        <v>68</v>
      </c>
      <c r="BD79">
        <v>1.8</v>
      </c>
      <c r="BE79">
        <v>43</v>
      </c>
      <c r="BF79">
        <v>25.4</v>
      </c>
      <c r="BG79">
        <v>162</v>
      </c>
      <c r="BH79">
        <v>9.1</v>
      </c>
      <c r="BI79">
        <v>9.1999999999999993</v>
      </c>
      <c r="BJ79">
        <v>18.3</v>
      </c>
      <c r="BK79">
        <v>0.34</v>
      </c>
      <c r="BL79">
        <v>7.3</v>
      </c>
      <c r="BM79">
        <v>0.9</v>
      </c>
      <c r="BN79">
        <v>7.5</v>
      </c>
      <c r="BO79">
        <v>2.9</v>
      </c>
      <c r="BP79">
        <f t="shared" si="2"/>
        <v>8.7926809158409984</v>
      </c>
      <c r="BQ79">
        <f t="shared" si="3"/>
        <v>28.178493869017295</v>
      </c>
    </row>
    <row r="80" spans="1:69" hidden="1" x14ac:dyDescent="0.2">
      <c r="A80" t="s">
        <v>2439</v>
      </c>
      <c r="B80" t="s">
        <v>68</v>
      </c>
      <c r="C80" t="s">
        <v>1956</v>
      </c>
      <c r="D80" t="s">
        <v>70</v>
      </c>
      <c r="E80" t="s">
        <v>1724</v>
      </c>
      <c r="F80">
        <v>5</v>
      </c>
      <c r="G80">
        <v>400</v>
      </c>
      <c r="H80">
        <v>4</v>
      </c>
      <c r="I80">
        <v>4</v>
      </c>
      <c r="J80">
        <v>3</v>
      </c>
      <c r="K80" t="s">
        <v>110</v>
      </c>
      <c r="L80" t="s">
        <v>124</v>
      </c>
      <c r="M80" s="4">
        <v>1700000000</v>
      </c>
      <c r="N80">
        <v>0</v>
      </c>
      <c r="O80">
        <v>4.7652621269999997</v>
      </c>
      <c r="P80">
        <v>-74.059921259999996</v>
      </c>
      <c r="Q80" t="s">
        <v>2440</v>
      </c>
      <c r="R80">
        <v>4250000</v>
      </c>
      <c r="S80">
        <v>0</v>
      </c>
      <c r="T80" t="s">
        <v>151</v>
      </c>
      <c r="U80" t="s">
        <v>152</v>
      </c>
      <c r="V80" t="s">
        <v>77</v>
      </c>
      <c r="W80" t="s">
        <v>119</v>
      </c>
      <c r="X80" t="s">
        <v>153</v>
      </c>
      <c r="Y80">
        <v>2.7020133144431102</v>
      </c>
      <c r="Z80">
        <v>2702.0133144431102</v>
      </c>
      <c r="AA80">
        <v>4.7837500000000004</v>
      </c>
      <c r="AB80">
        <v>-74.044138888888895</v>
      </c>
      <c r="AC80">
        <v>2580</v>
      </c>
      <c r="AD80">
        <v>0</v>
      </c>
      <c r="AE80" t="s">
        <v>154</v>
      </c>
      <c r="AF80" t="s">
        <v>107</v>
      </c>
      <c r="AG80" t="s">
        <v>82</v>
      </c>
      <c r="AH80" t="s">
        <v>83</v>
      </c>
      <c r="AI80" t="s">
        <v>121</v>
      </c>
      <c r="AJ80">
        <v>1.72910043504564</v>
      </c>
      <c r="AK80">
        <v>4.1063153761878297</v>
      </c>
      <c r="AL80">
        <v>1.4939056181656201</v>
      </c>
      <c r="AM80">
        <v>0.683818886989351</v>
      </c>
      <c r="AN80">
        <v>3.8561940890220998</v>
      </c>
      <c r="AO80">
        <v>0.28030815564509498</v>
      </c>
      <c r="AP80">
        <v>0.28030815564509498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3</v>
      </c>
      <c r="AW80">
        <v>0</v>
      </c>
      <c r="AX80">
        <v>1</v>
      </c>
      <c r="AY80">
        <v>15.3</v>
      </c>
      <c r="AZ80">
        <v>9.8000000000000007</v>
      </c>
      <c r="BA80">
        <v>29.7</v>
      </c>
      <c r="BB80">
        <v>564</v>
      </c>
      <c r="BC80">
        <v>68</v>
      </c>
      <c r="BD80">
        <v>1.8</v>
      </c>
      <c r="BE80">
        <v>43</v>
      </c>
      <c r="BF80">
        <v>25.4</v>
      </c>
      <c r="BG80">
        <v>162</v>
      </c>
      <c r="BH80">
        <v>9.1</v>
      </c>
      <c r="BI80">
        <v>9.1999999999999993</v>
      </c>
      <c r="BJ80">
        <v>18.3</v>
      </c>
      <c r="BK80">
        <v>0.34</v>
      </c>
      <c r="BL80">
        <v>7.3</v>
      </c>
      <c r="BM80">
        <v>0.9</v>
      </c>
      <c r="BN80">
        <v>7.5</v>
      </c>
      <c r="BO80">
        <v>2.9</v>
      </c>
      <c r="BP80">
        <f t="shared" si="2"/>
        <v>8.5731285695161379</v>
      </c>
      <c r="BQ80">
        <f t="shared" si="3"/>
        <v>27.835125386562378</v>
      </c>
    </row>
    <row r="81" spans="1:69" hidden="1" x14ac:dyDescent="0.2">
      <c r="A81" t="s">
        <v>2507</v>
      </c>
      <c r="B81" t="s">
        <v>68</v>
      </c>
      <c r="C81" t="s">
        <v>1956</v>
      </c>
      <c r="D81" t="s">
        <v>70</v>
      </c>
      <c r="E81" t="s">
        <v>114</v>
      </c>
      <c r="F81">
        <v>5</v>
      </c>
      <c r="G81">
        <v>396</v>
      </c>
      <c r="H81">
        <v>4</v>
      </c>
      <c r="I81">
        <v>4</v>
      </c>
      <c r="J81">
        <v>2</v>
      </c>
      <c r="K81" t="s">
        <v>110</v>
      </c>
      <c r="L81" t="s">
        <v>162</v>
      </c>
      <c r="M81" s="4">
        <v>1570000000</v>
      </c>
      <c r="N81">
        <v>0</v>
      </c>
      <c r="O81">
        <v>4.713005066</v>
      </c>
      <c r="P81">
        <v>-74.077125550000005</v>
      </c>
      <c r="Q81" t="s">
        <v>2508</v>
      </c>
      <c r="R81">
        <v>3964646.4649999999</v>
      </c>
      <c r="S81">
        <v>0</v>
      </c>
      <c r="T81" t="s">
        <v>117</v>
      </c>
      <c r="U81" t="s">
        <v>118</v>
      </c>
      <c r="V81" t="s">
        <v>77</v>
      </c>
      <c r="W81" t="s">
        <v>119</v>
      </c>
      <c r="X81" t="s">
        <v>120</v>
      </c>
      <c r="Y81">
        <v>2.8234406322633201</v>
      </c>
      <c r="Z81">
        <v>2823.4406322633199</v>
      </c>
      <c r="AA81">
        <v>4.73719444444444</v>
      </c>
      <c r="AB81">
        <v>-74.069472222222203</v>
      </c>
      <c r="AC81">
        <v>2555</v>
      </c>
      <c r="AD81">
        <v>0</v>
      </c>
      <c r="AE81" t="s">
        <v>80</v>
      </c>
      <c r="AF81" t="s">
        <v>107</v>
      </c>
      <c r="AG81" t="s">
        <v>82</v>
      </c>
      <c r="AH81" t="s">
        <v>83</v>
      </c>
      <c r="AI81" t="s">
        <v>121</v>
      </c>
      <c r="AJ81">
        <v>0.545638223172213</v>
      </c>
      <c r="AK81">
        <v>5.55883700713684</v>
      </c>
      <c r="AL81">
        <v>0.76248414413489196</v>
      </c>
      <c r="AM81">
        <v>0.27039578619730997</v>
      </c>
      <c r="AN81">
        <v>3.26809232516647</v>
      </c>
      <c r="AO81">
        <v>0.25184254634119202</v>
      </c>
      <c r="AP81">
        <v>0.25184254634119202</v>
      </c>
      <c r="AQ81">
        <v>0</v>
      </c>
      <c r="AR81">
        <v>3</v>
      </c>
      <c r="AS81">
        <v>0</v>
      </c>
      <c r="AT81">
        <v>0</v>
      </c>
      <c r="AU81">
        <v>1</v>
      </c>
      <c r="AV81">
        <v>36</v>
      </c>
      <c r="AW81">
        <v>0</v>
      </c>
      <c r="AX81">
        <v>0</v>
      </c>
      <c r="AY81">
        <v>15.3</v>
      </c>
      <c r="AZ81">
        <v>9.8000000000000007</v>
      </c>
      <c r="BA81">
        <v>29.7</v>
      </c>
      <c r="BB81">
        <v>564</v>
      </c>
      <c r="BC81">
        <v>68</v>
      </c>
      <c r="BD81">
        <v>1.8</v>
      </c>
      <c r="BE81">
        <v>43</v>
      </c>
      <c r="BF81">
        <v>25.4</v>
      </c>
      <c r="BG81">
        <v>162</v>
      </c>
      <c r="BH81">
        <v>9.1</v>
      </c>
      <c r="BI81">
        <v>9.1999999999999993</v>
      </c>
      <c r="BJ81">
        <v>18.3</v>
      </c>
      <c r="BK81">
        <v>0.34</v>
      </c>
      <c r="BL81">
        <v>7.3</v>
      </c>
      <c r="BM81">
        <v>0.9</v>
      </c>
      <c r="BN81">
        <v>7.5</v>
      </c>
      <c r="BO81">
        <v>2.9</v>
      </c>
      <c r="BP81">
        <f t="shared" si="2"/>
        <v>8.5217530300683961</v>
      </c>
      <c r="BQ81">
        <f t="shared" si="3"/>
        <v>27.754124801290391</v>
      </c>
    </row>
    <row r="82" spans="1:69" hidden="1" x14ac:dyDescent="0.2">
      <c r="A82" t="s">
        <v>706</v>
      </c>
      <c r="B82" t="s">
        <v>68</v>
      </c>
      <c r="C82" t="s">
        <v>69</v>
      </c>
      <c r="D82" t="s">
        <v>70</v>
      </c>
      <c r="E82" t="s">
        <v>349</v>
      </c>
      <c r="F82">
        <v>6</v>
      </c>
      <c r="G82">
        <v>392.93</v>
      </c>
      <c r="H82">
        <v>4</v>
      </c>
      <c r="I82">
        <v>5</v>
      </c>
      <c r="J82">
        <v>4</v>
      </c>
      <c r="K82" t="s">
        <v>110</v>
      </c>
      <c r="L82" t="s">
        <v>124</v>
      </c>
      <c r="M82" s="4">
        <v>2800000000</v>
      </c>
      <c r="N82">
        <v>0</v>
      </c>
      <c r="O82">
        <v>4.7376310000000004</v>
      </c>
      <c r="P82">
        <v>-74.076516999999996</v>
      </c>
      <c r="Q82" t="s">
        <v>707</v>
      </c>
      <c r="R82">
        <v>7125951.1869999999</v>
      </c>
      <c r="S82">
        <v>0</v>
      </c>
      <c r="T82" t="s">
        <v>117</v>
      </c>
      <c r="U82" t="s">
        <v>118</v>
      </c>
      <c r="V82" t="s">
        <v>77</v>
      </c>
      <c r="W82" t="s">
        <v>119</v>
      </c>
      <c r="X82" t="s">
        <v>120</v>
      </c>
      <c r="Y82">
        <v>0.783051371804378</v>
      </c>
      <c r="Z82">
        <v>783.05137180437805</v>
      </c>
      <c r="AA82">
        <v>4.73719444444444</v>
      </c>
      <c r="AB82">
        <v>-74.069472222222203</v>
      </c>
      <c r="AC82">
        <v>2555</v>
      </c>
      <c r="AD82">
        <v>0</v>
      </c>
      <c r="AE82" t="s">
        <v>80</v>
      </c>
      <c r="AF82" t="s">
        <v>107</v>
      </c>
      <c r="AG82" t="s">
        <v>82</v>
      </c>
      <c r="AH82" t="s">
        <v>83</v>
      </c>
      <c r="AI82" t="s">
        <v>121</v>
      </c>
      <c r="AJ82">
        <v>0.54827765781916205</v>
      </c>
      <c r="AK82">
        <v>4.9056608409869096</v>
      </c>
      <c r="AL82">
        <v>2.36497834892059</v>
      </c>
      <c r="AM82">
        <v>0.56050034973964502</v>
      </c>
      <c r="AN82">
        <v>1.06088553111615</v>
      </c>
      <c r="AO82">
        <v>5.8042860338053601E-3</v>
      </c>
      <c r="AP82">
        <v>5.8042860338053601E-3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6</v>
      </c>
      <c r="AW82">
        <v>0</v>
      </c>
      <c r="AX82">
        <v>0</v>
      </c>
      <c r="AY82">
        <v>15.3</v>
      </c>
      <c r="AZ82">
        <v>9.8000000000000007</v>
      </c>
      <c r="BA82">
        <v>29.7</v>
      </c>
      <c r="BB82">
        <v>564</v>
      </c>
      <c r="BC82">
        <v>68</v>
      </c>
      <c r="BD82">
        <v>1.8</v>
      </c>
      <c r="BE82">
        <v>43</v>
      </c>
      <c r="BF82">
        <v>25.4</v>
      </c>
      <c r="BG82">
        <v>162</v>
      </c>
      <c r="BH82">
        <v>9.1</v>
      </c>
      <c r="BI82">
        <v>9.1999999999999993</v>
      </c>
      <c r="BJ82">
        <v>18.3</v>
      </c>
      <c r="BK82">
        <v>0.34</v>
      </c>
      <c r="BL82">
        <v>7.3</v>
      </c>
      <c r="BM82">
        <v>0.9</v>
      </c>
      <c r="BN82">
        <v>7.5</v>
      </c>
      <c r="BO82">
        <v>2.9</v>
      </c>
      <c r="BP82">
        <f t="shared" si="2"/>
        <v>9.4274094268774302</v>
      </c>
      <c r="BQ82">
        <f t="shared" si="3"/>
        <v>29.147053086558756</v>
      </c>
    </row>
    <row r="83" spans="1:69" hidden="1" x14ac:dyDescent="0.2">
      <c r="A83" t="s">
        <v>2731</v>
      </c>
      <c r="B83" t="s">
        <v>68</v>
      </c>
      <c r="C83" t="s">
        <v>1956</v>
      </c>
      <c r="D83" t="s">
        <v>70</v>
      </c>
      <c r="E83" t="s">
        <v>349</v>
      </c>
      <c r="F83">
        <v>6</v>
      </c>
      <c r="G83">
        <v>390.64</v>
      </c>
      <c r="H83">
        <v>3</v>
      </c>
      <c r="I83">
        <v>5</v>
      </c>
      <c r="J83">
        <v>4</v>
      </c>
      <c r="K83" t="s">
        <v>110</v>
      </c>
      <c r="L83" t="s">
        <v>124</v>
      </c>
      <c r="M83" s="4">
        <v>3100000000</v>
      </c>
      <c r="N83">
        <v>0</v>
      </c>
      <c r="O83">
        <v>4.7219300000000004</v>
      </c>
      <c r="P83">
        <v>-74.076189999999997</v>
      </c>
      <c r="Q83" t="s">
        <v>2732</v>
      </c>
      <c r="R83">
        <v>7935695.2690000003</v>
      </c>
      <c r="S83">
        <v>0</v>
      </c>
      <c r="T83" t="s">
        <v>117</v>
      </c>
      <c r="U83" t="s">
        <v>118</v>
      </c>
      <c r="V83" t="s">
        <v>77</v>
      </c>
      <c r="W83" t="s">
        <v>119</v>
      </c>
      <c r="X83" t="s">
        <v>120</v>
      </c>
      <c r="Y83">
        <v>1.8554825359001299</v>
      </c>
      <c r="Z83">
        <v>1855.48253590013</v>
      </c>
      <c r="AA83">
        <v>4.73719444444444</v>
      </c>
      <c r="AB83">
        <v>-74.069472222222203</v>
      </c>
      <c r="AC83">
        <v>2555</v>
      </c>
      <c r="AD83">
        <v>0</v>
      </c>
      <c r="AE83" t="s">
        <v>80</v>
      </c>
      <c r="AF83" t="s">
        <v>107</v>
      </c>
      <c r="AG83" t="s">
        <v>82</v>
      </c>
      <c r="AH83" t="s">
        <v>83</v>
      </c>
      <c r="AI83" t="s">
        <v>121</v>
      </c>
      <c r="AJ83">
        <v>0.17953740312150501</v>
      </c>
      <c r="AK83">
        <v>5.4622287302391896</v>
      </c>
      <c r="AL83">
        <v>0.77140429792693199</v>
      </c>
      <c r="AM83">
        <v>0.46850056312758598</v>
      </c>
      <c r="AN83">
        <v>2.3788857568179802</v>
      </c>
      <c r="AO83">
        <v>0.222174455952555</v>
      </c>
      <c r="AP83">
        <v>0.222174455952555</v>
      </c>
      <c r="AQ83">
        <v>1</v>
      </c>
      <c r="AR83">
        <v>2</v>
      </c>
      <c r="AS83">
        <v>0</v>
      </c>
      <c r="AT83">
        <v>0</v>
      </c>
      <c r="AU83">
        <v>1</v>
      </c>
      <c r="AV83">
        <v>21</v>
      </c>
      <c r="AW83">
        <v>0</v>
      </c>
      <c r="AX83">
        <v>0</v>
      </c>
      <c r="AY83">
        <v>15.3</v>
      </c>
      <c r="AZ83">
        <v>9.8000000000000007</v>
      </c>
      <c r="BA83">
        <v>29.7</v>
      </c>
      <c r="BB83">
        <v>564</v>
      </c>
      <c r="BC83">
        <v>68</v>
      </c>
      <c r="BD83">
        <v>1.8</v>
      </c>
      <c r="BE83">
        <v>43</v>
      </c>
      <c r="BF83">
        <v>25.4</v>
      </c>
      <c r="BG83">
        <v>162</v>
      </c>
      <c r="BH83">
        <v>9.1</v>
      </c>
      <c r="BI83">
        <v>9.1999999999999993</v>
      </c>
      <c r="BJ83">
        <v>18.3</v>
      </c>
      <c r="BK83">
        <v>0.34</v>
      </c>
      <c r="BL83">
        <v>7.3</v>
      </c>
      <c r="BM83">
        <v>0.9</v>
      </c>
      <c r="BN83">
        <v>7.5</v>
      </c>
      <c r="BO83">
        <v>2.9</v>
      </c>
      <c r="BP83">
        <f t="shared" si="2"/>
        <v>8.9400036740193354</v>
      </c>
      <c r="BQ83">
        <f t="shared" si="3"/>
        <v>28.406428209136891</v>
      </c>
    </row>
    <row r="84" spans="1:69" hidden="1" x14ac:dyDescent="0.2">
      <c r="A84" t="s">
        <v>3169</v>
      </c>
      <c r="B84" t="s">
        <v>68</v>
      </c>
      <c r="C84" t="s">
        <v>1956</v>
      </c>
      <c r="D84" t="s">
        <v>70</v>
      </c>
      <c r="E84" t="s">
        <v>591</v>
      </c>
      <c r="F84">
        <v>6</v>
      </c>
      <c r="G84">
        <v>390</v>
      </c>
      <c r="H84">
        <v>3</v>
      </c>
      <c r="I84">
        <v>5</v>
      </c>
      <c r="J84">
        <v>3</v>
      </c>
      <c r="K84" t="s">
        <v>110</v>
      </c>
      <c r="L84" t="s">
        <v>124</v>
      </c>
      <c r="M84" s="4">
        <v>3500000000</v>
      </c>
      <c r="N84">
        <v>0</v>
      </c>
      <c r="O84">
        <v>4.7209320000000004</v>
      </c>
      <c r="P84">
        <v>-74.076378000000005</v>
      </c>
      <c r="Q84" t="s">
        <v>3170</v>
      </c>
      <c r="R84">
        <v>8974358.9739999995</v>
      </c>
      <c r="S84">
        <v>0</v>
      </c>
      <c r="T84" t="s">
        <v>117</v>
      </c>
      <c r="U84" t="s">
        <v>118</v>
      </c>
      <c r="V84" t="s">
        <v>77</v>
      </c>
      <c r="W84" t="s">
        <v>119</v>
      </c>
      <c r="X84" t="s">
        <v>120</v>
      </c>
      <c r="Y84">
        <v>1.96576704792914</v>
      </c>
      <c r="Z84">
        <v>1965.7670479291401</v>
      </c>
      <c r="AA84">
        <v>4.73719444444444</v>
      </c>
      <c r="AB84">
        <v>-74.069472222222203</v>
      </c>
      <c r="AC84">
        <v>2555</v>
      </c>
      <c r="AD84">
        <v>0</v>
      </c>
      <c r="AE84" t="s">
        <v>80</v>
      </c>
      <c r="AF84" t="s">
        <v>107</v>
      </c>
      <c r="AG84" t="s">
        <v>82</v>
      </c>
      <c r="AH84" t="s">
        <v>83</v>
      </c>
      <c r="AI84" t="s">
        <v>121</v>
      </c>
      <c r="AJ84">
        <v>0.18843462614937501</v>
      </c>
      <c r="AK84">
        <v>5.4589627859113197</v>
      </c>
      <c r="AL84">
        <v>0.71129000095696504</v>
      </c>
      <c r="AM84">
        <v>0.45891925660539501</v>
      </c>
      <c r="AN84">
        <v>2.4707293376466701</v>
      </c>
      <c r="AO84">
        <v>0.114268287622876</v>
      </c>
      <c r="AP84">
        <v>0.114268287622876</v>
      </c>
      <c r="AQ84">
        <v>1</v>
      </c>
      <c r="AR84">
        <v>2</v>
      </c>
      <c r="AS84">
        <v>0</v>
      </c>
      <c r="AT84">
        <v>0</v>
      </c>
      <c r="AU84">
        <v>1</v>
      </c>
      <c r="AV84">
        <v>24</v>
      </c>
      <c r="AW84">
        <v>0</v>
      </c>
      <c r="AX84">
        <v>0</v>
      </c>
      <c r="AY84">
        <v>15.3</v>
      </c>
      <c r="AZ84">
        <v>9.8000000000000007</v>
      </c>
      <c r="BA84">
        <v>29.7</v>
      </c>
      <c r="BB84">
        <v>564</v>
      </c>
      <c r="BC84">
        <v>68</v>
      </c>
      <c r="BD84">
        <v>1.8</v>
      </c>
      <c r="BE84">
        <v>43</v>
      </c>
      <c r="BF84">
        <v>25.4</v>
      </c>
      <c r="BG84">
        <v>162</v>
      </c>
      <c r="BH84">
        <v>9.1</v>
      </c>
      <c r="BI84">
        <v>9.1999999999999993</v>
      </c>
      <c r="BJ84">
        <v>18.3</v>
      </c>
      <c r="BK84">
        <v>0.34</v>
      </c>
      <c r="BL84">
        <v>7.3</v>
      </c>
      <c r="BM84">
        <v>0.9</v>
      </c>
      <c r="BN84">
        <v>7.5</v>
      </c>
      <c r="BO84">
        <v>2.9</v>
      </c>
      <c r="BP84">
        <f t="shared" si="2"/>
        <v>8.8913324199439625</v>
      </c>
      <c r="BQ84">
        <f t="shared" si="3"/>
        <v>28.331340687097573</v>
      </c>
    </row>
    <row r="85" spans="1:69" hidden="1" x14ac:dyDescent="0.2">
      <c r="A85" t="s">
        <v>3281</v>
      </c>
      <c r="B85" t="s">
        <v>68</v>
      </c>
      <c r="C85" t="s">
        <v>1956</v>
      </c>
      <c r="D85" t="s">
        <v>70</v>
      </c>
      <c r="E85" t="s">
        <v>73</v>
      </c>
      <c r="F85">
        <v>1</v>
      </c>
      <c r="G85">
        <v>390</v>
      </c>
      <c r="H85">
        <v>3</v>
      </c>
      <c r="I85">
        <v>5</v>
      </c>
      <c r="J85">
        <v>4</v>
      </c>
      <c r="K85" t="s">
        <v>110</v>
      </c>
      <c r="L85" t="s">
        <v>162</v>
      </c>
      <c r="M85" s="4">
        <v>2350000000</v>
      </c>
      <c r="N85">
        <v>0</v>
      </c>
      <c r="O85">
        <v>4.785472393</v>
      </c>
      <c r="P85">
        <v>-74.027854919999996</v>
      </c>
      <c r="Q85" t="s">
        <v>3282</v>
      </c>
      <c r="R85">
        <v>6025641.0259999996</v>
      </c>
      <c r="S85">
        <v>0</v>
      </c>
      <c r="T85" t="s">
        <v>151</v>
      </c>
      <c r="U85" t="s">
        <v>152</v>
      </c>
      <c r="V85" t="s">
        <v>77</v>
      </c>
      <c r="W85" t="s">
        <v>119</v>
      </c>
      <c r="X85" t="s">
        <v>153</v>
      </c>
      <c r="Y85">
        <v>1.8165534590891099</v>
      </c>
      <c r="Z85">
        <v>1816.55345908911</v>
      </c>
      <c r="AA85">
        <v>4.7837500000000004</v>
      </c>
      <c r="AB85">
        <v>-74.044138888888895</v>
      </c>
      <c r="AC85">
        <v>2580</v>
      </c>
      <c r="AD85">
        <v>0</v>
      </c>
      <c r="AE85" t="s">
        <v>154</v>
      </c>
      <c r="AF85" t="s">
        <v>107</v>
      </c>
      <c r="AG85" t="s">
        <v>82</v>
      </c>
      <c r="AH85" t="s">
        <v>83</v>
      </c>
      <c r="AI85" t="s">
        <v>108</v>
      </c>
      <c r="AJ85">
        <v>2.53447284692193</v>
      </c>
      <c r="AK85">
        <v>1.9391345933648501</v>
      </c>
      <c r="AL85">
        <v>2.6700011545656399</v>
      </c>
      <c r="AM85">
        <v>1.86346386706036</v>
      </c>
      <c r="AN85">
        <v>4.8569096426894101</v>
      </c>
      <c r="AO85">
        <v>0.20309214369145701</v>
      </c>
      <c r="AP85">
        <v>0.20309214369145701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15.3</v>
      </c>
      <c r="AZ85">
        <v>9.8000000000000007</v>
      </c>
      <c r="BA85">
        <v>29.7</v>
      </c>
      <c r="BB85">
        <v>564</v>
      </c>
      <c r="BC85">
        <v>68</v>
      </c>
      <c r="BD85">
        <v>1.8</v>
      </c>
      <c r="BE85">
        <v>43</v>
      </c>
      <c r="BF85">
        <v>25.4</v>
      </c>
      <c r="BG85">
        <v>162</v>
      </c>
      <c r="BH85">
        <v>9.1</v>
      </c>
      <c r="BI85">
        <v>9.1999999999999993</v>
      </c>
      <c r="BJ85">
        <v>18.3</v>
      </c>
      <c r="BK85">
        <v>0.34</v>
      </c>
      <c r="BL85">
        <v>7.3</v>
      </c>
      <c r="BM85">
        <v>0.9</v>
      </c>
      <c r="BN85">
        <v>7.5</v>
      </c>
      <c r="BO85">
        <v>2.9</v>
      </c>
      <c r="BP85">
        <f t="shared" si="2"/>
        <v>8.9572475745302551</v>
      </c>
      <c r="BQ85">
        <f t="shared" si="3"/>
        <v>28.432980675777877</v>
      </c>
    </row>
    <row r="86" spans="1:69" hidden="1" x14ac:dyDescent="0.2">
      <c r="A86" t="s">
        <v>2449</v>
      </c>
      <c r="B86" t="s">
        <v>68</v>
      </c>
      <c r="C86" t="s">
        <v>1956</v>
      </c>
      <c r="D86" t="s">
        <v>70</v>
      </c>
      <c r="E86" t="s">
        <v>267</v>
      </c>
      <c r="F86">
        <v>6</v>
      </c>
      <c r="G86">
        <v>390</v>
      </c>
      <c r="H86">
        <v>4</v>
      </c>
      <c r="I86">
        <v>4</v>
      </c>
      <c r="J86">
        <v>4</v>
      </c>
      <c r="K86" t="s">
        <v>110</v>
      </c>
      <c r="L86" t="s">
        <v>124</v>
      </c>
      <c r="M86" s="4">
        <v>2300000000</v>
      </c>
      <c r="N86">
        <v>0</v>
      </c>
      <c r="O86">
        <v>4.8195161820000001</v>
      </c>
      <c r="P86">
        <v>-74.053352360000005</v>
      </c>
      <c r="Q86" t="s">
        <v>2450</v>
      </c>
      <c r="R86">
        <v>5897435.8969999999</v>
      </c>
      <c r="S86">
        <v>0</v>
      </c>
      <c r="T86" t="s">
        <v>151</v>
      </c>
      <c r="U86" t="s">
        <v>152</v>
      </c>
      <c r="V86" t="s">
        <v>77</v>
      </c>
      <c r="W86" t="s">
        <v>119</v>
      </c>
      <c r="X86" t="s">
        <v>153</v>
      </c>
      <c r="Y86">
        <v>4.1105587331789204</v>
      </c>
      <c r="Z86">
        <v>4110.5587331789202</v>
      </c>
      <c r="AA86">
        <v>4.7837500000000004</v>
      </c>
      <c r="AB86">
        <v>-74.044138888888895</v>
      </c>
      <c r="AC86">
        <v>2580</v>
      </c>
      <c r="AD86">
        <v>0</v>
      </c>
      <c r="AE86" t="s">
        <v>154</v>
      </c>
      <c r="AF86" t="s">
        <v>107</v>
      </c>
      <c r="AG86" t="s">
        <v>82</v>
      </c>
      <c r="AH86" t="s">
        <v>83</v>
      </c>
      <c r="AI86" t="s">
        <v>121</v>
      </c>
      <c r="AJ86">
        <v>5.70661893542173</v>
      </c>
      <c r="AK86">
        <v>0.75594310485893401</v>
      </c>
      <c r="AL86">
        <v>2.2612206892240101</v>
      </c>
      <c r="AM86">
        <v>4.1599099082114197</v>
      </c>
      <c r="AN86">
        <v>9.1089198403950107</v>
      </c>
      <c r="AO86">
        <v>0.53607127048732395</v>
      </c>
      <c r="AP86">
        <v>0.53607127048732395</v>
      </c>
      <c r="AQ86">
        <v>0</v>
      </c>
      <c r="AR86">
        <v>0</v>
      </c>
      <c r="AS86">
        <v>0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15.3</v>
      </c>
      <c r="AZ86">
        <v>9.8000000000000007</v>
      </c>
      <c r="BA86">
        <v>29.7</v>
      </c>
      <c r="BB86">
        <v>564</v>
      </c>
      <c r="BC86">
        <v>68</v>
      </c>
      <c r="BD86">
        <v>1.8</v>
      </c>
      <c r="BE86">
        <v>43</v>
      </c>
      <c r="BF86">
        <v>25.4</v>
      </c>
      <c r="BG86">
        <v>162</v>
      </c>
      <c r="BH86">
        <v>9.1</v>
      </c>
      <c r="BI86">
        <v>9.1999999999999993</v>
      </c>
      <c r="BJ86">
        <v>18.3</v>
      </c>
      <c r="BK86">
        <v>0.34</v>
      </c>
      <c r="BL86">
        <v>7.3</v>
      </c>
      <c r="BM86">
        <v>0.9</v>
      </c>
      <c r="BN86">
        <v>7.5</v>
      </c>
      <c r="BO86">
        <v>2.9</v>
      </c>
      <c r="BP86">
        <f t="shared" si="2"/>
        <v>7.9957466247356761</v>
      </c>
      <c r="BQ86">
        <f t="shared" si="3"/>
        <v>26.909883519605202</v>
      </c>
    </row>
    <row r="87" spans="1:69" hidden="1" x14ac:dyDescent="0.2">
      <c r="A87" t="s">
        <v>2330</v>
      </c>
      <c r="B87" t="s">
        <v>68</v>
      </c>
      <c r="C87" t="s">
        <v>1956</v>
      </c>
      <c r="D87" t="s">
        <v>70</v>
      </c>
      <c r="E87" t="s">
        <v>492</v>
      </c>
      <c r="F87">
        <v>4</v>
      </c>
      <c r="G87">
        <v>386.1</v>
      </c>
      <c r="H87">
        <v>5</v>
      </c>
      <c r="I87">
        <v>5</v>
      </c>
      <c r="J87">
        <v>4</v>
      </c>
      <c r="K87" t="s">
        <v>110</v>
      </c>
      <c r="L87" t="s">
        <v>162</v>
      </c>
      <c r="M87" s="4">
        <v>1900000000</v>
      </c>
      <c r="N87">
        <v>0</v>
      </c>
      <c r="O87">
        <v>4.7158740000000003</v>
      </c>
      <c r="P87">
        <v>-74.071901999999994</v>
      </c>
      <c r="Q87" t="s">
        <v>2331</v>
      </c>
      <c r="R87">
        <v>4921004.9210000001</v>
      </c>
      <c r="S87">
        <v>0</v>
      </c>
      <c r="T87" t="s">
        <v>117</v>
      </c>
      <c r="U87" t="s">
        <v>118</v>
      </c>
      <c r="V87" t="s">
        <v>77</v>
      </c>
      <c r="W87" t="s">
        <v>119</v>
      </c>
      <c r="X87" t="s">
        <v>120</v>
      </c>
      <c r="Y87">
        <v>2.38863999559663</v>
      </c>
      <c r="Z87">
        <v>2388.6399955966299</v>
      </c>
      <c r="AA87">
        <v>4.73719444444444</v>
      </c>
      <c r="AB87">
        <v>-74.069472222222203</v>
      </c>
      <c r="AC87">
        <v>2555</v>
      </c>
      <c r="AD87">
        <v>0</v>
      </c>
      <c r="AE87" t="s">
        <v>80</v>
      </c>
      <c r="AF87" t="s">
        <v>107</v>
      </c>
      <c r="AG87" t="s">
        <v>82</v>
      </c>
      <c r="AH87" t="s">
        <v>83</v>
      </c>
      <c r="AI87" t="s">
        <v>121</v>
      </c>
      <c r="AJ87">
        <v>0.43034149980737901</v>
      </c>
      <c r="AK87">
        <v>5.2439081264265104</v>
      </c>
      <c r="AL87">
        <v>0.120712127979758</v>
      </c>
      <c r="AM87">
        <v>0.119471983392428</v>
      </c>
      <c r="AN87">
        <v>3.1901113644825498</v>
      </c>
      <c r="AO87">
        <v>0.12768147735724</v>
      </c>
      <c r="AP87">
        <v>0.12768147735724</v>
      </c>
      <c r="AQ87">
        <v>1</v>
      </c>
      <c r="AR87">
        <v>2</v>
      </c>
      <c r="AS87">
        <v>0</v>
      </c>
      <c r="AT87">
        <v>0</v>
      </c>
      <c r="AU87">
        <v>1</v>
      </c>
      <c r="AV87">
        <v>41</v>
      </c>
      <c r="AW87">
        <v>0</v>
      </c>
      <c r="AX87">
        <v>0</v>
      </c>
      <c r="AY87">
        <v>15.3</v>
      </c>
      <c r="AZ87">
        <v>9.8000000000000007</v>
      </c>
      <c r="BA87">
        <v>29.7</v>
      </c>
      <c r="BB87">
        <v>564</v>
      </c>
      <c r="BC87">
        <v>68</v>
      </c>
      <c r="BD87">
        <v>1.8</v>
      </c>
      <c r="BE87">
        <v>43</v>
      </c>
      <c r="BF87">
        <v>25.4</v>
      </c>
      <c r="BG87">
        <v>162</v>
      </c>
      <c r="BH87">
        <v>9.1</v>
      </c>
      <c r="BI87">
        <v>9.1999999999999993</v>
      </c>
      <c r="BJ87">
        <v>18.3</v>
      </c>
      <c r="BK87">
        <v>0.34</v>
      </c>
      <c r="BL87">
        <v>7.3</v>
      </c>
      <c r="BM87">
        <v>0.9</v>
      </c>
      <c r="BN87">
        <v>7.5</v>
      </c>
      <c r="BO87">
        <v>2.9</v>
      </c>
      <c r="BP87">
        <f t="shared" si="2"/>
        <v>8.7071515557790526</v>
      </c>
      <c r="BQ87">
        <f t="shared" si="3"/>
        <v>28.045261463464701</v>
      </c>
    </row>
    <row r="88" spans="1:69" hidden="1" x14ac:dyDescent="0.2">
      <c r="A88" t="s">
        <v>2242</v>
      </c>
      <c r="B88" t="s">
        <v>68</v>
      </c>
      <c r="C88" t="s">
        <v>1956</v>
      </c>
      <c r="D88" t="s">
        <v>70</v>
      </c>
      <c r="E88" t="s">
        <v>492</v>
      </c>
      <c r="F88">
        <v>4</v>
      </c>
      <c r="G88">
        <v>386.1</v>
      </c>
      <c r="H88">
        <v>4</v>
      </c>
      <c r="I88">
        <v>3</v>
      </c>
      <c r="J88">
        <v>4</v>
      </c>
      <c r="K88" t="s">
        <v>110</v>
      </c>
      <c r="L88" t="s">
        <v>162</v>
      </c>
      <c r="M88" s="4">
        <v>1600000000</v>
      </c>
      <c r="N88">
        <v>0</v>
      </c>
      <c r="O88">
        <v>4.7160299999999999</v>
      </c>
      <c r="P88">
        <v>-74.071916000000002</v>
      </c>
      <c r="Q88" t="s">
        <v>2243</v>
      </c>
      <c r="R88">
        <v>4144004.1439999999</v>
      </c>
      <c r="S88">
        <v>0</v>
      </c>
      <c r="T88" t="s">
        <v>117</v>
      </c>
      <c r="U88" t="s">
        <v>118</v>
      </c>
      <c r="V88" t="s">
        <v>77</v>
      </c>
      <c r="W88" t="s">
        <v>119</v>
      </c>
      <c r="X88" t="s">
        <v>120</v>
      </c>
      <c r="Y88">
        <v>2.3715629522093802</v>
      </c>
      <c r="Z88">
        <v>2371.56295220938</v>
      </c>
      <c r="AA88">
        <v>4.73719444444444</v>
      </c>
      <c r="AB88">
        <v>-74.069472222222203</v>
      </c>
      <c r="AC88">
        <v>2555</v>
      </c>
      <c r="AD88">
        <v>0</v>
      </c>
      <c r="AE88" t="s">
        <v>80</v>
      </c>
      <c r="AF88" t="s">
        <v>107</v>
      </c>
      <c r="AG88" t="s">
        <v>82</v>
      </c>
      <c r="AH88" t="s">
        <v>83</v>
      </c>
      <c r="AI88" t="s">
        <v>121</v>
      </c>
      <c r="AJ88">
        <v>0.44733771203740003</v>
      </c>
      <c r="AK88">
        <v>5.2478879958412898</v>
      </c>
      <c r="AL88">
        <v>0.106360172692697</v>
      </c>
      <c r="AM88">
        <v>0.110734229145386</v>
      </c>
      <c r="AN88">
        <v>3.1741415952573102</v>
      </c>
      <c r="AO88">
        <v>0.112406665654827</v>
      </c>
      <c r="AP88">
        <v>0.112406665654827</v>
      </c>
      <c r="AQ88">
        <v>1</v>
      </c>
      <c r="AR88">
        <v>2</v>
      </c>
      <c r="AS88">
        <v>0</v>
      </c>
      <c r="AT88">
        <v>0</v>
      </c>
      <c r="AU88">
        <v>1</v>
      </c>
      <c r="AV88">
        <v>41</v>
      </c>
      <c r="AW88">
        <v>0</v>
      </c>
      <c r="AX88">
        <v>0</v>
      </c>
      <c r="AY88">
        <v>15.3</v>
      </c>
      <c r="AZ88">
        <v>9.8000000000000007</v>
      </c>
      <c r="BA88">
        <v>29.7</v>
      </c>
      <c r="BB88">
        <v>564</v>
      </c>
      <c r="BC88">
        <v>68</v>
      </c>
      <c r="BD88">
        <v>1.8</v>
      </c>
      <c r="BE88">
        <v>43</v>
      </c>
      <c r="BF88">
        <v>25.4</v>
      </c>
      <c r="BG88">
        <v>162</v>
      </c>
      <c r="BH88">
        <v>9.1</v>
      </c>
      <c r="BI88">
        <v>9.1999999999999993</v>
      </c>
      <c r="BJ88">
        <v>18.3</v>
      </c>
      <c r="BK88">
        <v>0.34</v>
      </c>
      <c r="BL88">
        <v>7.3</v>
      </c>
      <c r="BM88">
        <v>0.9</v>
      </c>
      <c r="BN88">
        <v>7.5</v>
      </c>
      <c r="BO88">
        <v>2.9</v>
      </c>
      <c r="BP88">
        <f t="shared" si="2"/>
        <v>8.7145149415682628</v>
      </c>
      <c r="BQ88">
        <f t="shared" si="3"/>
        <v>28.056758142778911</v>
      </c>
    </row>
    <row r="89" spans="1:69" hidden="1" x14ac:dyDescent="0.2">
      <c r="A89" t="s">
        <v>2878</v>
      </c>
      <c r="B89" t="s">
        <v>68</v>
      </c>
      <c r="C89" t="s">
        <v>1956</v>
      </c>
      <c r="D89" t="s">
        <v>70</v>
      </c>
      <c r="E89" t="s">
        <v>1603</v>
      </c>
      <c r="F89">
        <v>4</v>
      </c>
      <c r="G89">
        <v>380</v>
      </c>
      <c r="H89">
        <v>5</v>
      </c>
      <c r="I89">
        <v>5</v>
      </c>
      <c r="J89">
        <v>4</v>
      </c>
      <c r="K89" t="s">
        <v>110</v>
      </c>
      <c r="L89" t="s">
        <v>162</v>
      </c>
      <c r="M89" s="4">
        <v>2500000000</v>
      </c>
      <c r="N89">
        <v>0</v>
      </c>
      <c r="O89">
        <v>4.7334269000000004</v>
      </c>
      <c r="P89">
        <v>-74.046405800000002</v>
      </c>
      <c r="Q89" t="s">
        <v>2879</v>
      </c>
      <c r="R89">
        <v>6578947.3679999998</v>
      </c>
      <c r="S89">
        <v>0</v>
      </c>
      <c r="T89" t="s">
        <v>117</v>
      </c>
      <c r="U89" t="s">
        <v>118</v>
      </c>
      <c r="V89" t="s">
        <v>77</v>
      </c>
      <c r="W89" t="s">
        <v>119</v>
      </c>
      <c r="X89" t="s">
        <v>120</v>
      </c>
      <c r="Y89">
        <v>2.5931188173737199</v>
      </c>
      <c r="Z89">
        <v>2593.11881737372</v>
      </c>
      <c r="AA89">
        <v>4.73719444444444</v>
      </c>
      <c r="AB89">
        <v>-74.069472222222203</v>
      </c>
      <c r="AC89">
        <v>2555</v>
      </c>
      <c r="AD89">
        <v>0</v>
      </c>
      <c r="AE89" t="s">
        <v>80</v>
      </c>
      <c r="AF89" t="s">
        <v>107</v>
      </c>
      <c r="AG89" t="s">
        <v>82</v>
      </c>
      <c r="AH89" t="s">
        <v>83</v>
      </c>
      <c r="AI89" t="s">
        <v>108</v>
      </c>
      <c r="AJ89">
        <v>0.33803336040799697</v>
      </c>
      <c r="AK89">
        <v>2.70761702263788</v>
      </c>
      <c r="AL89">
        <v>0.715801796268829</v>
      </c>
      <c r="AM89">
        <v>0.31780847531515399</v>
      </c>
      <c r="AN89">
        <v>2.3582226679287599</v>
      </c>
      <c r="AO89">
        <v>0.21337155469614899</v>
      </c>
      <c r="AP89">
        <v>0.21337155469614899</v>
      </c>
      <c r="AQ89">
        <v>2</v>
      </c>
      <c r="AR89">
        <v>4</v>
      </c>
      <c r="AS89">
        <v>0</v>
      </c>
      <c r="AT89">
        <v>0</v>
      </c>
      <c r="AU89">
        <v>1</v>
      </c>
      <c r="AV89">
        <v>30</v>
      </c>
      <c r="AW89">
        <v>0</v>
      </c>
      <c r="AX89">
        <v>0</v>
      </c>
      <c r="AY89">
        <v>15.3</v>
      </c>
      <c r="AZ89">
        <v>9.8000000000000007</v>
      </c>
      <c r="BA89">
        <v>29.7</v>
      </c>
      <c r="BB89">
        <v>564</v>
      </c>
      <c r="BC89">
        <v>68</v>
      </c>
      <c r="BD89">
        <v>1.8</v>
      </c>
      <c r="BE89">
        <v>43</v>
      </c>
      <c r="BF89">
        <v>25.4</v>
      </c>
      <c r="BG89">
        <v>162</v>
      </c>
      <c r="BH89">
        <v>9.1</v>
      </c>
      <c r="BI89">
        <v>9.1999999999999993</v>
      </c>
      <c r="BJ89">
        <v>18.3</v>
      </c>
      <c r="BK89">
        <v>0.34</v>
      </c>
      <c r="BL89">
        <v>7.3</v>
      </c>
      <c r="BM89">
        <v>0.9</v>
      </c>
      <c r="BN89">
        <v>7.5</v>
      </c>
      <c r="BO89">
        <v>2.9</v>
      </c>
      <c r="BP89">
        <f t="shared" si="2"/>
        <v>8.6194648830531015</v>
      </c>
      <c r="BQ89">
        <f t="shared" si="3"/>
        <v>27.907966736884717</v>
      </c>
    </row>
    <row r="90" spans="1:69" hidden="1" x14ac:dyDescent="0.2">
      <c r="A90" t="s">
        <v>2332</v>
      </c>
      <c r="B90" t="s">
        <v>68</v>
      </c>
      <c r="C90" t="s">
        <v>1956</v>
      </c>
      <c r="D90" t="s">
        <v>70</v>
      </c>
      <c r="E90" t="s">
        <v>1724</v>
      </c>
      <c r="F90">
        <v>5</v>
      </c>
      <c r="G90">
        <v>376.54</v>
      </c>
      <c r="H90">
        <v>4</v>
      </c>
      <c r="I90">
        <v>5</v>
      </c>
      <c r="J90">
        <v>4</v>
      </c>
      <c r="K90" t="s">
        <v>110</v>
      </c>
      <c r="L90" t="s">
        <v>162</v>
      </c>
      <c r="M90" s="4">
        <v>1800000000</v>
      </c>
      <c r="N90">
        <v>0</v>
      </c>
      <c r="O90">
        <v>4.7688124109999999</v>
      </c>
      <c r="P90">
        <v>-74.064621639999999</v>
      </c>
      <c r="Q90" t="s">
        <v>2333</v>
      </c>
      <c r="R90">
        <v>4780368.62</v>
      </c>
      <c r="S90">
        <v>0</v>
      </c>
      <c r="T90" t="s">
        <v>151</v>
      </c>
      <c r="U90" t="s">
        <v>152</v>
      </c>
      <c r="V90" t="s">
        <v>77</v>
      </c>
      <c r="W90" t="s">
        <v>119</v>
      </c>
      <c r="X90" t="s">
        <v>153</v>
      </c>
      <c r="Y90">
        <v>2.81567004547269</v>
      </c>
      <c r="Z90">
        <v>2815.6700454726902</v>
      </c>
      <c r="AA90">
        <v>4.7837500000000004</v>
      </c>
      <c r="AB90">
        <v>-74.044138888888895</v>
      </c>
      <c r="AC90">
        <v>2580</v>
      </c>
      <c r="AD90">
        <v>0</v>
      </c>
      <c r="AE90" t="s">
        <v>154</v>
      </c>
      <c r="AF90" t="s">
        <v>107</v>
      </c>
      <c r="AG90" t="s">
        <v>82</v>
      </c>
      <c r="AH90" t="s">
        <v>83</v>
      </c>
      <c r="AI90" t="s">
        <v>121</v>
      </c>
      <c r="AJ90">
        <v>2.3174750669037798</v>
      </c>
      <c r="AK90">
        <v>3.5827234545683502</v>
      </c>
      <c r="AL90">
        <v>2.10469992309128</v>
      </c>
      <c r="AM90">
        <v>0.661512489808458</v>
      </c>
      <c r="AN90">
        <v>3.79867237466713</v>
      </c>
      <c r="AO90">
        <v>8.2882446054565392E-3</v>
      </c>
      <c r="AP90">
        <v>8.2882446054565392E-3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2</v>
      </c>
      <c r="AW90">
        <v>0</v>
      </c>
      <c r="AX90">
        <v>0</v>
      </c>
      <c r="AY90">
        <v>15.3</v>
      </c>
      <c r="AZ90">
        <v>9.8000000000000007</v>
      </c>
      <c r="BA90">
        <v>29.7</v>
      </c>
      <c r="BB90">
        <v>564</v>
      </c>
      <c r="BC90">
        <v>68</v>
      </c>
      <c r="BD90">
        <v>1.8</v>
      </c>
      <c r="BE90">
        <v>43</v>
      </c>
      <c r="BF90">
        <v>25.4</v>
      </c>
      <c r="BG90">
        <v>162</v>
      </c>
      <c r="BH90">
        <v>9.1</v>
      </c>
      <c r="BI90">
        <v>9.1999999999999993</v>
      </c>
      <c r="BJ90">
        <v>18.3</v>
      </c>
      <c r="BK90">
        <v>0.34</v>
      </c>
      <c r="BL90">
        <v>7.3</v>
      </c>
      <c r="BM90">
        <v>0.9</v>
      </c>
      <c r="BN90">
        <v>7.5</v>
      </c>
      <c r="BO90">
        <v>2.9</v>
      </c>
      <c r="BP90">
        <f t="shared" si="2"/>
        <v>8.5250315021160112</v>
      </c>
      <c r="BQ90">
        <f t="shared" si="3"/>
        <v>27.759301264018816</v>
      </c>
    </row>
    <row r="91" spans="1:69" hidden="1" x14ac:dyDescent="0.2">
      <c r="A91" t="s">
        <v>2167</v>
      </c>
      <c r="B91" t="s">
        <v>68</v>
      </c>
      <c r="C91" t="s">
        <v>1956</v>
      </c>
      <c r="D91" t="s">
        <v>70</v>
      </c>
      <c r="E91" t="s">
        <v>483</v>
      </c>
      <c r="F91">
        <v>3</v>
      </c>
      <c r="G91">
        <v>374</v>
      </c>
      <c r="H91">
        <v>5</v>
      </c>
      <c r="I91">
        <v>4</v>
      </c>
      <c r="J91">
        <v>4</v>
      </c>
      <c r="K91" t="s">
        <v>110</v>
      </c>
      <c r="L91" t="s">
        <v>162</v>
      </c>
      <c r="M91" s="4">
        <v>1900000000</v>
      </c>
      <c r="N91">
        <v>0</v>
      </c>
      <c r="O91">
        <v>4.7241311069999998</v>
      </c>
      <c r="P91">
        <v>-74.071990970000002</v>
      </c>
      <c r="Q91" t="s">
        <v>2168</v>
      </c>
      <c r="R91">
        <v>5080213.9040000001</v>
      </c>
      <c r="S91">
        <v>0</v>
      </c>
      <c r="T91" t="s">
        <v>117</v>
      </c>
      <c r="U91" t="s">
        <v>118</v>
      </c>
      <c r="V91" t="s">
        <v>77</v>
      </c>
      <c r="W91" t="s">
        <v>119</v>
      </c>
      <c r="X91" t="s">
        <v>120</v>
      </c>
      <c r="Y91">
        <v>1.48080752277637</v>
      </c>
      <c r="Z91">
        <v>1480.80752277637</v>
      </c>
      <c r="AA91">
        <v>4.73719444444444</v>
      </c>
      <c r="AB91">
        <v>-74.069472222222203</v>
      </c>
      <c r="AC91">
        <v>2555</v>
      </c>
      <c r="AD91">
        <v>0</v>
      </c>
      <c r="AE91" t="s">
        <v>80</v>
      </c>
      <c r="AF91" t="s">
        <v>107</v>
      </c>
      <c r="AG91" t="s">
        <v>82</v>
      </c>
      <c r="AH91" t="s">
        <v>83</v>
      </c>
      <c r="AI91" t="s">
        <v>121</v>
      </c>
      <c r="AJ91">
        <v>0.43722822190449301</v>
      </c>
      <c r="AK91">
        <v>5.3924413078289</v>
      </c>
      <c r="AL91">
        <v>0.80697924807513999</v>
      </c>
      <c r="AM91">
        <v>0.423724134796582</v>
      </c>
      <c r="AN91">
        <v>2.4143550482257399</v>
      </c>
      <c r="AO91">
        <v>0.27475024011299098</v>
      </c>
      <c r="AP91">
        <v>0.27475024011299098</v>
      </c>
      <c r="AQ91">
        <v>2</v>
      </c>
      <c r="AR91">
        <v>2</v>
      </c>
      <c r="AS91">
        <v>0</v>
      </c>
      <c r="AT91">
        <v>0</v>
      </c>
      <c r="AU91">
        <v>1</v>
      </c>
      <c r="AV91">
        <v>29</v>
      </c>
      <c r="AW91">
        <v>0</v>
      </c>
      <c r="AX91">
        <v>0</v>
      </c>
      <c r="AY91">
        <v>15.3</v>
      </c>
      <c r="AZ91">
        <v>9.8000000000000007</v>
      </c>
      <c r="BA91">
        <v>29.7</v>
      </c>
      <c r="BB91">
        <v>564</v>
      </c>
      <c r="BC91">
        <v>68</v>
      </c>
      <c r="BD91">
        <v>1.8</v>
      </c>
      <c r="BE91">
        <v>43</v>
      </c>
      <c r="BF91">
        <v>25.4</v>
      </c>
      <c r="BG91">
        <v>162</v>
      </c>
      <c r="BH91">
        <v>9.1</v>
      </c>
      <c r="BI91">
        <v>9.1999999999999993</v>
      </c>
      <c r="BJ91">
        <v>18.3</v>
      </c>
      <c r="BK91">
        <v>0.34</v>
      </c>
      <c r="BL91">
        <v>7.3</v>
      </c>
      <c r="BM91">
        <v>0.9</v>
      </c>
      <c r="BN91">
        <v>7.5</v>
      </c>
      <c r="BO91">
        <v>2.9</v>
      </c>
      <c r="BP91">
        <f t="shared" si="2"/>
        <v>9.107355769294033</v>
      </c>
      <c r="BQ91">
        <f t="shared" si="3"/>
        <v>28.663016419150289</v>
      </c>
    </row>
    <row r="92" spans="1:69" hidden="1" x14ac:dyDescent="0.2">
      <c r="A92" t="s">
        <v>3086</v>
      </c>
      <c r="B92" t="s">
        <v>68</v>
      </c>
      <c r="C92" t="s">
        <v>1956</v>
      </c>
      <c r="D92" t="s">
        <v>70</v>
      </c>
      <c r="E92" t="s">
        <v>1724</v>
      </c>
      <c r="F92">
        <v>5</v>
      </c>
      <c r="G92">
        <v>373</v>
      </c>
      <c r="H92">
        <v>3</v>
      </c>
      <c r="I92">
        <v>5</v>
      </c>
      <c r="J92">
        <v>3</v>
      </c>
      <c r="K92" t="s">
        <v>110</v>
      </c>
      <c r="L92" t="s">
        <v>162</v>
      </c>
      <c r="M92" s="4">
        <v>1250000000</v>
      </c>
      <c r="N92">
        <v>0</v>
      </c>
      <c r="O92">
        <v>4.7637584999999998</v>
      </c>
      <c r="P92">
        <v>-74.062806300000005</v>
      </c>
      <c r="Q92" t="s">
        <v>3087</v>
      </c>
      <c r="R92">
        <v>3351206.4339999999</v>
      </c>
      <c r="S92">
        <v>0</v>
      </c>
      <c r="T92" t="s">
        <v>151</v>
      </c>
      <c r="U92" t="s">
        <v>152</v>
      </c>
      <c r="V92" t="s">
        <v>77</v>
      </c>
      <c r="W92" t="s">
        <v>119</v>
      </c>
      <c r="X92" t="s">
        <v>153</v>
      </c>
      <c r="Y92">
        <v>3.0398963379070398</v>
      </c>
      <c r="Z92">
        <v>3039.8963379070401</v>
      </c>
      <c r="AA92">
        <v>4.7837500000000004</v>
      </c>
      <c r="AB92">
        <v>-74.044138888888895</v>
      </c>
      <c r="AC92">
        <v>2580</v>
      </c>
      <c r="AD92">
        <v>0</v>
      </c>
      <c r="AE92" t="s">
        <v>154</v>
      </c>
      <c r="AF92" t="s">
        <v>107</v>
      </c>
      <c r="AG92" t="s">
        <v>82</v>
      </c>
      <c r="AH92" t="s">
        <v>83</v>
      </c>
      <c r="AI92" t="s">
        <v>121</v>
      </c>
      <c r="AJ92">
        <v>2.0363497832789998</v>
      </c>
      <c r="AK92">
        <v>4.1226578419186097</v>
      </c>
      <c r="AL92">
        <v>1.54288917042121</v>
      </c>
      <c r="AM92">
        <v>0.49929724503377598</v>
      </c>
      <c r="AN92">
        <v>3.51047872571433</v>
      </c>
      <c r="AO92">
        <v>3.4432385586606003E-2</v>
      </c>
      <c r="AP92">
        <v>3.4432385586606003E-2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5</v>
      </c>
      <c r="AW92">
        <v>0</v>
      </c>
      <c r="AX92">
        <v>1</v>
      </c>
      <c r="AY92">
        <v>15.3</v>
      </c>
      <c r="AZ92">
        <v>9.8000000000000007</v>
      </c>
      <c r="BA92">
        <v>29.7</v>
      </c>
      <c r="BB92">
        <v>564</v>
      </c>
      <c r="BC92">
        <v>68</v>
      </c>
      <c r="BD92">
        <v>1.8</v>
      </c>
      <c r="BE92">
        <v>43</v>
      </c>
      <c r="BF92">
        <v>25.4</v>
      </c>
      <c r="BG92">
        <v>162</v>
      </c>
      <c r="BH92">
        <v>9.1</v>
      </c>
      <c r="BI92">
        <v>9.1999999999999993</v>
      </c>
      <c r="BJ92">
        <v>18.3</v>
      </c>
      <c r="BK92">
        <v>0.34</v>
      </c>
      <c r="BL92">
        <v>7.3</v>
      </c>
      <c r="BM92">
        <v>0.9</v>
      </c>
      <c r="BN92">
        <v>7.5</v>
      </c>
      <c r="BO92">
        <v>2.9</v>
      </c>
      <c r="BP92">
        <f t="shared" si="2"/>
        <v>8.430933631510074</v>
      </c>
      <c r="BQ92">
        <f t="shared" si="3"/>
        <v>27.610317730994037</v>
      </c>
    </row>
    <row r="93" spans="1:69" hidden="1" x14ac:dyDescent="0.2">
      <c r="A93" t="s">
        <v>2629</v>
      </c>
      <c r="B93" t="s">
        <v>68</v>
      </c>
      <c r="C93" t="s">
        <v>1956</v>
      </c>
      <c r="D93" t="s">
        <v>70</v>
      </c>
      <c r="E93" t="s">
        <v>1517</v>
      </c>
      <c r="F93">
        <v>5</v>
      </c>
      <c r="G93">
        <v>370</v>
      </c>
      <c r="H93">
        <v>5</v>
      </c>
      <c r="I93">
        <v>5</v>
      </c>
      <c r="J93">
        <v>4</v>
      </c>
      <c r="K93" t="s">
        <v>110</v>
      </c>
      <c r="L93" t="s">
        <v>162</v>
      </c>
      <c r="M93" s="4">
        <v>1600000000</v>
      </c>
      <c r="N93">
        <v>0</v>
      </c>
      <c r="O93">
        <v>4.7088299999999998</v>
      </c>
      <c r="P93">
        <v>-74.078860000000006</v>
      </c>
      <c r="Q93" t="s">
        <v>2630</v>
      </c>
      <c r="R93">
        <v>4324324.324</v>
      </c>
      <c r="S93">
        <v>0</v>
      </c>
      <c r="T93" t="s">
        <v>117</v>
      </c>
      <c r="U93" t="s">
        <v>118</v>
      </c>
      <c r="V93" t="s">
        <v>77</v>
      </c>
      <c r="W93" t="s">
        <v>119</v>
      </c>
      <c r="X93" t="s">
        <v>120</v>
      </c>
      <c r="Y93">
        <v>3.3248479860168301</v>
      </c>
      <c r="Z93">
        <v>3324.84798601683</v>
      </c>
      <c r="AA93">
        <v>4.73719444444444</v>
      </c>
      <c r="AB93">
        <v>-74.069472222222203</v>
      </c>
      <c r="AC93">
        <v>2555</v>
      </c>
      <c r="AD93">
        <v>0</v>
      </c>
      <c r="AE93" t="s">
        <v>80</v>
      </c>
      <c r="AF93" t="s">
        <v>107</v>
      </c>
      <c r="AG93" t="s">
        <v>82</v>
      </c>
      <c r="AH93" t="s">
        <v>83</v>
      </c>
      <c r="AI93" t="s">
        <v>121</v>
      </c>
      <c r="AJ93">
        <v>0.80666196076680796</v>
      </c>
      <c r="AK93">
        <v>5.51049313668985</v>
      </c>
      <c r="AL93">
        <v>1.2111977997936001</v>
      </c>
      <c r="AM93">
        <v>0.16093809442993601</v>
      </c>
      <c r="AN93">
        <v>3.3613442481159401</v>
      </c>
      <c r="AO93">
        <v>2.13765266243295E-4</v>
      </c>
      <c r="AP93">
        <v>2.13765266243295E-4</v>
      </c>
      <c r="AQ93">
        <v>0</v>
      </c>
      <c r="AR93">
        <v>2</v>
      </c>
      <c r="AS93">
        <v>0</v>
      </c>
      <c r="AT93">
        <v>0</v>
      </c>
      <c r="AU93">
        <v>0</v>
      </c>
      <c r="AV93">
        <v>23</v>
      </c>
      <c r="AW93">
        <v>0</v>
      </c>
      <c r="AX93">
        <v>0</v>
      </c>
      <c r="AY93">
        <v>15.3</v>
      </c>
      <c r="AZ93">
        <v>9.8000000000000007</v>
      </c>
      <c r="BA93">
        <v>29.7</v>
      </c>
      <c r="BB93">
        <v>564</v>
      </c>
      <c r="BC93">
        <v>68</v>
      </c>
      <c r="BD93">
        <v>1.8</v>
      </c>
      <c r="BE93">
        <v>43</v>
      </c>
      <c r="BF93">
        <v>25.4</v>
      </c>
      <c r="BG93">
        <v>162</v>
      </c>
      <c r="BH93">
        <v>9.1</v>
      </c>
      <c r="BI93">
        <v>9.1999999999999993</v>
      </c>
      <c r="BJ93">
        <v>18.3</v>
      </c>
      <c r="BK93">
        <v>0.34</v>
      </c>
      <c r="BL93">
        <v>7.3</v>
      </c>
      <c r="BM93">
        <v>0.9</v>
      </c>
      <c r="BN93">
        <v>7.5</v>
      </c>
      <c r="BO93">
        <v>2.9</v>
      </c>
      <c r="BP93">
        <f t="shared" si="2"/>
        <v>8.3128491687978752</v>
      </c>
      <c r="BQ93">
        <f t="shared" si="3"/>
        <v>27.422139392133055</v>
      </c>
    </row>
    <row r="94" spans="1:69" hidden="1" x14ac:dyDescent="0.2">
      <c r="A94" t="s">
        <v>2311</v>
      </c>
      <c r="B94" t="s">
        <v>68</v>
      </c>
      <c r="C94" t="s">
        <v>1956</v>
      </c>
      <c r="D94" t="s">
        <v>70</v>
      </c>
      <c r="E94" t="s">
        <v>548</v>
      </c>
      <c r="F94">
        <v>6</v>
      </c>
      <c r="G94">
        <v>368.63</v>
      </c>
      <c r="H94">
        <v>4</v>
      </c>
      <c r="I94">
        <v>5</v>
      </c>
      <c r="J94">
        <v>2</v>
      </c>
      <c r="K94" t="s">
        <v>110</v>
      </c>
      <c r="L94" t="s">
        <v>162</v>
      </c>
      <c r="M94" s="4">
        <v>1600000000</v>
      </c>
      <c r="N94">
        <v>0</v>
      </c>
      <c r="O94">
        <v>4.7194099429999996</v>
      </c>
      <c r="P94">
        <v>-74.078300479999996</v>
      </c>
      <c r="Q94" t="s">
        <v>2312</v>
      </c>
      <c r="R94">
        <v>4340395.5190000003</v>
      </c>
      <c r="S94">
        <v>0</v>
      </c>
      <c r="T94" t="s">
        <v>117</v>
      </c>
      <c r="U94" t="s">
        <v>118</v>
      </c>
      <c r="V94" t="s">
        <v>77</v>
      </c>
      <c r="W94" t="s">
        <v>119</v>
      </c>
      <c r="X94" t="s">
        <v>120</v>
      </c>
      <c r="Y94">
        <v>2.2087791346439398</v>
      </c>
      <c r="Z94">
        <v>2208.7791346439399</v>
      </c>
      <c r="AA94">
        <v>4.73719444444444</v>
      </c>
      <c r="AB94">
        <v>-74.069472222222203</v>
      </c>
      <c r="AC94">
        <v>2555</v>
      </c>
      <c r="AD94">
        <v>0</v>
      </c>
      <c r="AE94" t="s">
        <v>80</v>
      </c>
      <c r="AF94" t="s">
        <v>107</v>
      </c>
      <c r="AG94" t="s">
        <v>82</v>
      </c>
      <c r="AH94" t="s">
        <v>83</v>
      </c>
      <c r="AI94" t="s">
        <v>121</v>
      </c>
      <c r="AJ94">
        <v>0.447729470370413</v>
      </c>
      <c r="AK94">
        <v>5.2807561243603303</v>
      </c>
      <c r="AL94">
        <v>0.81392840468452399</v>
      </c>
      <c r="AM94">
        <v>0.32177878969262202</v>
      </c>
      <c r="AN94">
        <v>2.5529341567761201</v>
      </c>
      <c r="AO94">
        <v>0.116705588775841</v>
      </c>
      <c r="AP94">
        <v>0.116705588775841</v>
      </c>
      <c r="AQ94">
        <v>1</v>
      </c>
      <c r="AR94">
        <v>2</v>
      </c>
      <c r="AS94">
        <v>0</v>
      </c>
      <c r="AT94">
        <v>0</v>
      </c>
      <c r="AU94">
        <v>1</v>
      </c>
      <c r="AV94">
        <v>19</v>
      </c>
      <c r="AW94">
        <v>0</v>
      </c>
      <c r="AX94">
        <v>0</v>
      </c>
      <c r="AY94">
        <v>15.3</v>
      </c>
      <c r="AZ94">
        <v>9.8000000000000007</v>
      </c>
      <c r="BA94">
        <v>29.7</v>
      </c>
      <c r="BB94">
        <v>564</v>
      </c>
      <c r="BC94">
        <v>68</v>
      </c>
      <c r="BD94">
        <v>1.8</v>
      </c>
      <c r="BE94">
        <v>43</v>
      </c>
      <c r="BF94">
        <v>25.4</v>
      </c>
      <c r="BG94">
        <v>162</v>
      </c>
      <c r="BH94">
        <v>9.1</v>
      </c>
      <c r="BI94">
        <v>9.1999999999999993</v>
      </c>
      <c r="BJ94">
        <v>18.3</v>
      </c>
      <c r="BK94">
        <v>0.34</v>
      </c>
      <c r="BL94">
        <v>7.3</v>
      </c>
      <c r="BM94">
        <v>0.9</v>
      </c>
      <c r="BN94">
        <v>7.5</v>
      </c>
      <c r="BO94">
        <v>2.9</v>
      </c>
      <c r="BP94">
        <f t="shared" si="2"/>
        <v>8.7850184210450237</v>
      </c>
      <c r="BQ94">
        <f t="shared" si="3"/>
        <v>28.166585008299798</v>
      </c>
    </row>
    <row r="95" spans="1:69" hidden="1" x14ac:dyDescent="0.2">
      <c r="A95" t="s">
        <v>2074</v>
      </c>
      <c r="B95" t="s">
        <v>68</v>
      </c>
      <c r="C95" t="s">
        <v>1956</v>
      </c>
      <c r="D95" t="s">
        <v>70</v>
      </c>
      <c r="E95" t="s">
        <v>548</v>
      </c>
      <c r="F95">
        <v>6</v>
      </c>
      <c r="G95">
        <v>368</v>
      </c>
      <c r="H95">
        <v>4</v>
      </c>
      <c r="I95">
        <v>4</v>
      </c>
      <c r="J95">
        <v>3</v>
      </c>
      <c r="K95" t="s">
        <v>110</v>
      </c>
      <c r="L95" t="s">
        <v>162</v>
      </c>
      <c r="M95" s="4">
        <v>1850000000</v>
      </c>
      <c r="N95">
        <v>0</v>
      </c>
      <c r="O95">
        <v>4.7209057809999999</v>
      </c>
      <c r="P95">
        <v>-74.079124449999995</v>
      </c>
      <c r="Q95" t="s">
        <v>2075</v>
      </c>
      <c r="R95">
        <v>5027173.9129999997</v>
      </c>
      <c r="S95">
        <v>0</v>
      </c>
      <c r="T95" t="s">
        <v>117</v>
      </c>
      <c r="U95" t="s">
        <v>118</v>
      </c>
      <c r="V95" t="s">
        <v>77</v>
      </c>
      <c r="W95" t="s">
        <v>119</v>
      </c>
      <c r="X95" t="s">
        <v>120</v>
      </c>
      <c r="Y95">
        <v>2.10583058365195</v>
      </c>
      <c r="Z95">
        <v>2105.8305836519498</v>
      </c>
      <c r="AA95">
        <v>4.73719444444444</v>
      </c>
      <c r="AB95">
        <v>-74.069472222222203</v>
      </c>
      <c r="AC95">
        <v>2555</v>
      </c>
      <c r="AD95">
        <v>0</v>
      </c>
      <c r="AE95" t="s">
        <v>80</v>
      </c>
      <c r="AF95" t="s">
        <v>107</v>
      </c>
      <c r="AG95" t="s">
        <v>82</v>
      </c>
      <c r="AH95" t="s">
        <v>83</v>
      </c>
      <c r="AI95" t="s">
        <v>121</v>
      </c>
      <c r="AJ95">
        <v>0.49089883547554403</v>
      </c>
      <c r="AK95">
        <v>5.1594994302809196</v>
      </c>
      <c r="AL95">
        <v>0.964925159542254</v>
      </c>
      <c r="AM95">
        <v>0.50206283400047802</v>
      </c>
      <c r="AN95">
        <v>2.3679417310072601</v>
      </c>
      <c r="AO95">
        <v>5.6942108278335402E-2</v>
      </c>
      <c r="AP95">
        <v>5.6942108278335402E-2</v>
      </c>
      <c r="AQ95">
        <v>1</v>
      </c>
      <c r="AR95">
        <v>2</v>
      </c>
      <c r="AS95">
        <v>0</v>
      </c>
      <c r="AT95">
        <v>0</v>
      </c>
      <c r="AU95">
        <v>1</v>
      </c>
      <c r="AV95">
        <v>11</v>
      </c>
      <c r="AW95">
        <v>0</v>
      </c>
      <c r="AX95">
        <v>0</v>
      </c>
      <c r="AY95">
        <v>15.3</v>
      </c>
      <c r="AZ95">
        <v>9.8000000000000007</v>
      </c>
      <c r="BA95">
        <v>29.7</v>
      </c>
      <c r="BB95">
        <v>564</v>
      </c>
      <c r="BC95">
        <v>68</v>
      </c>
      <c r="BD95">
        <v>1.8</v>
      </c>
      <c r="BE95">
        <v>43</v>
      </c>
      <c r="BF95">
        <v>25.4</v>
      </c>
      <c r="BG95">
        <v>162</v>
      </c>
      <c r="BH95">
        <v>9.1</v>
      </c>
      <c r="BI95">
        <v>9.1999999999999993</v>
      </c>
      <c r="BJ95">
        <v>18.3</v>
      </c>
      <c r="BK95">
        <v>0.34</v>
      </c>
      <c r="BL95">
        <v>7.3</v>
      </c>
      <c r="BM95">
        <v>0.9</v>
      </c>
      <c r="BN95">
        <v>7.5</v>
      </c>
      <c r="BO95">
        <v>2.9</v>
      </c>
      <c r="BP95">
        <f t="shared" si="2"/>
        <v>8.8299007263681553</v>
      </c>
      <c r="BQ95">
        <f t="shared" si="3"/>
        <v>28.236264071867907</v>
      </c>
    </row>
    <row r="96" spans="1:69" hidden="1" x14ac:dyDescent="0.2">
      <c r="A96" t="s">
        <v>2019</v>
      </c>
      <c r="B96" t="s">
        <v>68</v>
      </c>
      <c r="C96" t="s">
        <v>1956</v>
      </c>
      <c r="D96" t="s">
        <v>70</v>
      </c>
      <c r="E96" t="s">
        <v>267</v>
      </c>
      <c r="F96">
        <v>6</v>
      </c>
      <c r="G96">
        <v>361.91</v>
      </c>
      <c r="H96">
        <v>4</v>
      </c>
      <c r="I96">
        <v>4</v>
      </c>
      <c r="J96">
        <v>3</v>
      </c>
      <c r="K96" t="s">
        <v>110</v>
      </c>
      <c r="L96" t="s">
        <v>124</v>
      </c>
      <c r="M96" s="4">
        <v>2100000000</v>
      </c>
      <c r="N96">
        <v>0</v>
      </c>
      <c r="O96">
        <v>4.8192005160000004</v>
      </c>
      <c r="P96">
        <v>-74.041084290000001</v>
      </c>
      <c r="Q96" t="s">
        <v>2020</v>
      </c>
      <c r="R96">
        <v>5802547.5949999997</v>
      </c>
      <c r="S96">
        <v>0</v>
      </c>
      <c r="T96" t="s">
        <v>151</v>
      </c>
      <c r="U96" t="s">
        <v>152</v>
      </c>
      <c r="V96" t="s">
        <v>77</v>
      </c>
      <c r="W96" t="s">
        <v>119</v>
      </c>
      <c r="X96" t="s">
        <v>153</v>
      </c>
      <c r="Y96">
        <v>3.9608536790384101</v>
      </c>
      <c r="Z96">
        <v>3960.8536790384101</v>
      </c>
      <c r="AA96">
        <v>4.7837500000000004</v>
      </c>
      <c r="AB96">
        <v>-74.044138888888895</v>
      </c>
      <c r="AC96">
        <v>2580</v>
      </c>
      <c r="AD96">
        <v>0</v>
      </c>
      <c r="AE96" t="s">
        <v>154</v>
      </c>
      <c r="AF96" t="s">
        <v>107</v>
      </c>
      <c r="AG96" t="s">
        <v>82</v>
      </c>
      <c r="AH96" t="s">
        <v>83</v>
      </c>
      <c r="AI96" t="s">
        <v>121</v>
      </c>
      <c r="AJ96">
        <v>5.5746097397625398</v>
      </c>
      <c r="AK96">
        <v>1.07227956348163</v>
      </c>
      <c r="AL96">
        <v>2.21721150407698</v>
      </c>
      <c r="AM96">
        <v>4.6239717682486399</v>
      </c>
      <c r="AN96">
        <v>8.7289186934471701</v>
      </c>
      <c r="AO96">
        <v>2.0650607888673699E-2</v>
      </c>
      <c r="AP96">
        <v>2.0650607888673699E-2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15.3</v>
      </c>
      <c r="AZ96">
        <v>9.8000000000000007</v>
      </c>
      <c r="BA96">
        <v>29.7</v>
      </c>
      <c r="BB96">
        <v>564</v>
      </c>
      <c r="BC96">
        <v>68</v>
      </c>
      <c r="BD96">
        <v>1.8</v>
      </c>
      <c r="BE96">
        <v>43</v>
      </c>
      <c r="BF96">
        <v>25.4</v>
      </c>
      <c r="BG96">
        <v>162</v>
      </c>
      <c r="BH96">
        <v>9.1</v>
      </c>
      <c r="BI96">
        <v>9.1999999999999993</v>
      </c>
      <c r="BJ96">
        <v>18.3</v>
      </c>
      <c r="BK96">
        <v>0.34</v>
      </c>
      <c r="BL96">
        <v>7.3</v>
      </c>
      <c r="BM96">
        <v>0.9</v>
      </c>
      <c r="BN96">
        <v>7.5</v>
      </c>
      <c r="BO96">
        <v>2.9</v>
      </c>
      <c r="BP96">
        <f t="shared" si="2"/>
        <v>8.0552183895984015</v>
      </c>
      <c r="BQ96">
        <f t="shared" si="3"/>
        <v>27.006742512438898</v>
      </c>
    </row>
    <row r="97" spans="1:69" hidden="1" x14ac:dyDescent="0.2">
      <c r="A97" t="s">
        <v>3019</v>
      </c>
      <c r="B97" t="s">
        <v>68</v>
      </c>
      <c r="C97" t="s">
        <v>1956</v>
      </c>
      <c r="D97" t="s">
        <v>70</v>
      </c>
      <c r="E97" t="s">
        <v>2063</v>
      </c>
      <c r="F97">
        <v>1</v>
      </c>
      <c r="G97">
        <v>360</v>
      </c>
      <c r="H97">
        <v>4</v>
      </c>
      <c r="I97">
        <v>5</v>
      </c>
      <c r="J97">
        <v>4</v>
      </c>
      <c r="K97" t="s">
        <v>110</v>
      </c>
      <c r="L97" t="s">
        <v>162</v>
      </c>
      <c r="M97" s="4">
        <v>2300000000</v>
      </c>
      <c r="N97">
        <v>0</v>
      </c>
      <c r="O97">
        <v>4.8143830300000001</v>
      </c>
      <c r="P97">
        <v>-74.059799190000007</v>
      </c>
      <c r="Q97" t="s">
        <v>3020</v>
      </c>
      <c r="R97">
        <v>6388888.8890000004</v>
      </c>
      <c r="S97">
        <v>0</v>
      </c>
      <c r="T97" t="s">
        <v>151</v>
      </c>
      <c r="U97" t="s">
        <v>152</v>
      </c>
      <c r="V97" t="s">
        <v>77</v>
      </c>
      <c r="W97" t="s">
        <v>119</v>
      </c>
      <c r="X97" t="s">
        <v>153</v>
      </c>
      <c r="Y97">
        <v>3.8270452877942298</v>
      </c>
      <c r="Z97">
        <v>3827.0452877942298</v>
      </c>
      <c r="AA97">
        <v>4.7837500000000004</v>
      </c>
      <c r="AB97">
        <v>-74.044138888888895</v>
      </c>
      <c r="AC97">
        <v>2580</v>
      </c>
      <c r="AD97">
        <v>0</v>
      </c>
      <c r="AE97" t="s">
        <v>154</v>
      </c>
      <c r="AF97" t="s">
        <v>107</v>
      </c>
      <c r="AG97" t="s">
        <v>82</v>
      </c>
      <c r="AH97" t="s">
        <v>83</v>
      </c>
      <c r="AI97" t="s">
        <v>121</v>
      </c>
      <c r="AJ97">
        <v>5.3470994980178101</v>
      </c>
      <c r="AK97">
        <v>1.1389309103680401</v>
      </c>
      <c r="AL97">
        <v>2.1219822472616499</v>
      </c>
      <c r="AM97">
        <v>3.2586074969266501</v>
      </c>
      <c r="AN97">
        <v>8.54567832024496</v>
      </c>
      <c r="AO97">
        <v>1.37558930816022</v>
      </c>
      <c r="AP97">
        <v>1.37558930816022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15.3</v>
      </c>
      <c r="AZ97">
        <v>9.8000000000000007</v>
      </c>
      <c r="BA97">
        <v>29.7</v>
      </c>
      <c r="BB97">
        <v>564</v>
      </c>
      <c r="BC97">
        <v>68</v>
      </c>
      <c r="BD97">
        <v>1.8</v>
      </c>
      <c r="BE97">
        <v>43</v>
      </c>
      <c r="BF97">
        <v>25.4</v>
      </c>
      <c r="BG97">
        <v>162</v>
      </c>
      <c r="BH97">
        <v>9.1</v>
      </c>
      <c r="BI97">
        <v>9.1999999999999993</v>
      </c>
      <c r="BJ97">
        <v>18.3</v>
      </c>
      <c r="BK97">
        <v>0.34</v>
      </c>
      <c r="BL97">
        <v>7.3</v>
      </c>
      <c r="BM97">
        <v>0.9</v>
      </c>
      <c r="BN97">
        <v>7.5</v>
      </c>
      <c r="BO97">
        <v>2.9</v>
      </c>
      <c r="BP97">
        <f t="shared" si="2"/>
        <v>8.1087493382091296</v>
      </c>
      <c r="BQ97">
        <f t="shared" si="3"/>
        <v>27.093611413676744</v>
      </c>
    </row>
    <row r="98" spans="1:69" hidden="1" x14ac:dyDescent="0.2">
      <c r="A98" t="s">
        <v>2447</v>
      </c>
      <c r="B98" t="s">
        <v>68</v>
      </c>
      <c r="C98" t="s">
        <v>1956</v>
      </c>
      <c r="D98" t="s">
        <v>70</v>
      </c>
      <c r="E98" t="s">
        <v>267</v>
      </c>
      <c r="F98">
        <v>6</v>
      </c>
      <c r="G98">
        <v>360</v>
      </c>
      <c r="H98">
        <v>3</v>
      </c>
      <c r="I98">
        <v>5</v>
      </c>
      <c r="J98">
        <v>4</v>
      </c>
      <c r="K98" t="s">
        <v>110</v>
      </c>
      <c r="L98" t="s">
        <v>124</v>
      </c>
      <c r="M98" s="4">
        <v>1900000000</v>
      </c>
      <c r="N98">
        <v>0</v>
      </c>
      <c r="O98">
        <v>4.8136811140000004</v>
      </c>
      <c r="P98">
        <v>-74.055765379999997</v>
      </c>
      <c r="Q98" t="s">
        <v>2448</v>
      </c>
      <c r="R98">
        <v>5277777.7779999999</v>
      </c>
      <c r="S98">
        <v>0</v>
      </c>
      <c r="T98" t="s">
        <v>151</v>
      </c>
      <c r="U98" t="s">
        <v>152</v>
      </c>
      <c r="V98" t="s">
        <v>77</v>
      </c>
      <c r="W98" t="s">
        <v>119</v>
      </c>
      <c r="X98" t="s">
        <v>153</v>
      </c>
      <c r="Y98">
        <v>3.5728196301602999</v>
      </c>
      <c r="Z98">
        <v>3572.8196301603002</v>
      </c>
      <c r="AA98">
        <v>4.7837500000000004</v>
      </c>
      <c r="AB98">
        <v>-74.044138888888895</v>
      </c>
      <c r="AC98">
        <v>2580</v>
      </c>
      <c r="AD98">
        <v>0</v>
      </c>
      <c r="AE98" t="s">
        <v>154</v>
      </c>
      <c r="AF98" t="s">
        <v>107</v>
      </c>
      <c r="AG98" t="s">
        <v>82</v>
      </c>
      <c r="AH98" t="s">
        <v>83</v>
      </c>
      <c r="AI98" t="s">
        <v>121</v>
      </c>
      <c r="AJ98">
        <v>5.1388017551958702</v>
      </c>
      <c r="AK98">
        <v>1.2899273188831499</v>
      </c>
      <c r="AL98">
        <v>1.7888133558371799</v>
      </c>
      <c r="AM98">
        <v>3.5175728739640899</v>
      </c>
      <c r="AN98">
        <v>8.5979644772107093</v>
      </c>
      <c r="AO98">
        <v>1.2207187684043099</v>
      </c>
      <c r="AP98">
        <v>1.2207187684043099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15.3</v>
      </c>
      <c r="AZ98">
        <v>9.8000000000000007</v>
      </c>
      <c r="BA98">
        <v>29.7</v>
      </c>
      <c r="BB98">
        <v>564</v>
      </c>
      <c r="BC98">
        <v>68</v>
      </c>
      <c r="BD98">
        <v>1.8</v>
      </c>
      <c r="BE98">
        <v>43</v>
      </c>
      <c r="BF98">
        <v>25.4</v>
      </c>
      <c r="BG98">
        <v>162</v>
      </c>
      <c r="BH98">
        <v>9.1</v>
      </c>
      <c r="BI98">
        <v>9.1999999999999993</v>
      </c>
      <c r="BJ98">
        <v>18.3</v>
      </c>
      <c r="BK98">
        <v>0.34</v>
      </c>
      <c r="BL98">
        <v>7.3</v>
      </c>
      <c r="BM98">
        <v>0.9</v>
      </c>
      <c r="BN98">
        <v>7.5</v>
      </c>
      <c r="BO98">
        <v>2.9</v>
      </c>
      <c r="BP98">
        <f t="shared" si="2"/>
        <v>8.2114359767287777</v>
      </c>
      <c r="BQ98">
        <f t="shared" si="3"/>
        <v>27.259426139871966</v>
      </c>
    </row>
    <row r="99" spans="1:69" hidden="1" x14ac:dyDescent="0.2">
      <c r="A99" t="s">
        <v>2594</v>
      </c>
      <c r="B99" t="s">
        <v>68</v>
      </c>
      <c r="C99" t="s">
        <v>1956</v>
      </c>
      <c r="D99" t="s">
        <v>70</v>
      </c>
      <c r="E99" t="s">
        <v>1927</v>
      </c>
      <c r="F99">
        <v>3</v>
      </c>
      <c r="G99">
        <v>360</v>
      </c>
      <c r="H99">
        <v>5</v>
      </c>
      <c r="I99">
        <v>5</v>
      </c>
      <c r="J99">
        <v>1</v>
      </c>
      <c r="K99" t="s">
        <v>110</v>
      </c>
      <c r="L99" t="s">
        <v>124</v>
      </c>
      <c r="M99" s="4">
        <v>780000000</v>
      </c>
      <c r="N99">
        <v>0</v>
      </c>
      <c r="O99">
        <v>4.7314109799999997</v>
      </c>
      <c r="P99">
        <v>-74.088623049999995</v>
      </c>
      <c r="Q99" t="s">
        <v>2595</v>
      </c>
      <c r="R99">
        <v>2166666.6669999999</v>
      </c>
      <c r="S99">
        <v>0</v>
      </c>
      <c r="T99" t="s">
        <v>117</v>
      </c>
      <c r="U99" t="s">
        <v>118</v>
      </c>
      <c r="V99" t="s">
        <v>77</v>
      </c>
      <c r="W99" t="s">
        <v>119</v>
      </c>
      <c r="X99" t="s">
        <v>120</v>
      </c>
      <c r="Y99">
        <v>2.2199917614148701</v>
      </c>
      <c r="Z99">
        <v>2219.9917614148699</v>
      </c>
      <c r="AA99">
        <v>4.73719444444444</v>
      </c>
      <c r="AB99">
        <v>-74.069472222222203</v>
      </c>
      <c r="AC99">
        <v>2555</v>
      </c>
      <c r="AD99">
        <v>0</v>
      </c>
      <c r="AE99" t="s">
        <v>80</v>
      </c>
      <c r="AF99" t="s">
        <v>107</v>
      </c>
      <c r="AG99" t="s">
        <v>82</v>
      </c>
      <c r="AH99" t="s">
        <v>83</v>
      </c>
      <c r="AI99" t="s">
        <v>121</v>
      </c>
      <c r="AJ99">
        <v>0.85112822422374301</v>
      </c>
      <c r="AK99">
        <v>4.0305546157554604</v>
      </c>
      <c r="AL99">
        <v>2.4956713608746002</v>
      </c>
      <c r="AM99">
        <v>0.23048679096097899</v>
      </c>
      <c r="AN99">
        <v>1.16483603477638</v>
      </c>
      <c r="AO99">
        <v>0.18506900910951399</v>
      </c>
      <c r="AP99">
        <v>0.18506900910951399</v>
      </c>
      <c r="AQ99">
        <v>0</v>
      </c>
      <c r="AR99">
        <v>2</v>
      </c>
      <c r="AS99">
        <v>0</v>
      </c>
      <c r="AT99">
        <v>0</v>
      </c>
      <c r="AU99">
        <v>0</v>
      </c>
      <c r="AV99">
        <v>21</v>
      </c>
      <c r="AW99">
        <v>0</v>
      </c>
      <c r="AX99">
        <v>0</v>
      </c>
      <c r="AY99">
        <v>15.3</v>
      </c>
      <c r="AZ99">
        <v>9.8000000000000007</v>
      </c>
      <c r="BA99">
        <v>29.7</v>
      </c>
      <c r="BB99">
        <v>564</v>
      </c>
      <c r="BC99">
        <v>68</v>
      </c>
      <c r="BD99">
        <v>1.8</v>
      </c>
      <c r="BE99">
        <v>43</v>
      </c>
      <c r="BF99">
        <v>25.4</v>
      </c>
      <c r="BG99">
        <v>162</v>
      </c>
      <c r="BH99">
        <v>9.1</v>
      </c>
      <c r="BI99">
        <v>9.1999999999999993</v>
      </c>
      <c r="BJ99">
        <v>18.3</v>
      </c>
      <c r="BK99">
        <v>0.34</v>
      </c>
      <c r="BL99">
        <v>7.3</v>
      </c>
      <c r="BM99">
        <v>0.9</v>
      </c>
      <c r="BN99">
        <v>7.5</v>
      </c>
      <c r="BO99">
        <v>2.9</v>
      </c>
      <c r="BP99">
        <f t="shared" si="2"/>
        <v>8.7801438688492048</v>
      </c>
      <c r="BQ99">
        <f t="shared" si="3"/>
        <v>28.1590063143477</v>
      </c>
    </row>
    <row r="100" spans="1:69" hidden="1" x14ac:dyDescent="0.2">
      <c r="A100" t="s">
        <v>2078</v>
      </c>
      <c r="B100" t="s">
        <v>68</v>
      </c>
      <c r="C100" t="s">
        <v>1956</v>
      </c>
      <c r="D100" t="s">
        <v>70</v>
      </c>
      <c r="E100" t="s">
        <v>548</v>
      </c>
      <c r="F100">
        <v>6</v>
      </c>
      <c r="G100">
        <v>359</v>
      </c>
      <c r="H100">
        <v>3</v>
      </c>
      <c r="I100">
        <v>5</v>
      </c>
      <c r="J100">
        <v>2</v>
      </c>
      <c r="K100" t="s">
        <v>110</v>
      </c>
      <c r="L100" t="s">
        <v>162</v>
      </c>
      <c r="M100" s="4">
        <v>1300000000</v>
      </c>
      <c r="N100">
        <v>0</v>
      </c>
      <c r="O100">
        <v>4.7209057809999999</v>
      </c>
      <c r="P100">
        <v>-74.079124449999995</v>
      </c>
      <c r="Q100" t="s">
        <v>2079</v>
      </c>
      <c r="R100">
        <v>3621169.9160000002</v>
      </c>
      <c r="S100">
        <v>0</v>
      </c>
      <c r="T100" t="s">
        <v>117</v>
      </c>
      <c r="U100" t="s">
        <v>118</v>
      </c>
      <c r="V100" t="s">
        <v>77</v>
      </c>
      <c r="W100" t="s">
        <v>119</v>
      </c>
      <c r="X100" t="s">
        <v>120</v>
      </c>
      <c r="Y100">
        <v>2.10583058365195</v>
      </c>
      <c r="Z100">
        <v>2105.8305836519498</v>
      </c>
      <c r="AA100">
        <v>4.73719444444444</v>
      </c>
      <c r="AB100">
        <v>-74.069472222222203</v>
      </c>
      <c r="AC100">
        <v>2555</v>
      </c>
      <c r="AD100">
        <v>0</v>
      </c>
      <c r="AE100" t="s">
        <v>80</v>
      </c>
      <c r="AF100" t="s">
        <v>107</v>
      </c>
      <c r="AG100" t="s">
        <v>82</v>
      </c>
      <c r="AH100" t="s">
        <v>83</v>
      </c>
      <c r="AI100" t="s">
        <v>121</v>
      </c>
      <c r="AJ100">
        <v>0.49089883547554403</v>
      </c>
      <c r="AK100">
        <v>5.1594994302809196</v>
      </c>
      <c r="AL100">
        <v>0.964925159542254</v>
      </c>
      <c r="AM100">
        <v>0.50206283400047802</v>
      </c>
      <c r="AN100">
        <v>2.3679417310072601</v>
      </c>
      <c r="AO100">
        <v>5.6942108278335402E-2</v>
      </c>
      <c r="AP100">
        <v>5.6942108278335402E-2</v>
      </c>
      <c r="AQ100">
        <v>1</v>
      </c>
      <c r="AR100">
        <v>2</v>
      </c>
      <c r="AS100">
        <v>0</v>
      </c>
      <c r="AT100">
        <v>0</v>
      </c>
      <c r="AU100">
        <v>1</v>
      </c>
      <c r="AV100">
        <v>11</v>
      </c>
      <c r="AW100">
        <v>0</v>
      </c>
      <c r="AX100">
        <v>0</v>
      </c>
      <c r="AY100">
        <v>15.3</v>
      </c>
      <c r="AZ100">
        <v>9.8000000000000007</v>
      </c>
      <c r="BA100">
        <v>29.7</v>
      </c>
      <c r="BB100">
        <v>564</v>
      </c>
      <c r="BC100">
        <v>68</v>
      </c>
      <c r="BD100">
        <v>1.8</v>
      </c>
      <c r="BE100">
        <v>43</v>
      </c>
      <c r="BF100">
        <v>25.4</v>
      </c>
      <c r="BG100">
        <v>162</v>
      </c>
      <c r="BH100">
        <v>9.1</v>
      </c>
      <c r="BI100">
        <v>9.1999999999999993</v>
      </c>
      <c r="BJ100">
        <v>18.3</v>
      </c>
      <c r="BK100">
        <v>0.34</v>
      </c>
      <c r="BL100">
        <v>7.3</v>
      </c>
      <c r="BM100">
        <v>0.9</v>
      </c>
      <c r="BN100">
        <v>7.5</v>
      </c>
      <c r="BO100">
        <v>2.9</v>
      </c>
      <c r="BP100">
        <f t="shared" si="2"/>
        <v>8.8299007263681553</v>
      </c>
      <c r="BQ100">
        <f t="shared" si="3"/>
        <v>28.236264071867907</v>
      </c>
    </row>
    <row r="101" spans="1:69" hidden="1" x14ac:dyDescent="0.2">
      <c r="A101" t="s">
        <v>565</v>
      </c>
      <c r="B101" t="s">
        <v>68</v>
      </c>
      <c r="C101" t="s">
        <v>69</v>
      </c>
      <c r="D101" t="s">
        <v>70</v>
      </c>
      <c r="E101" t="s">
        <v>349</v>
      </c>
      <c r="F101">
        <v>6</v>
      </c>
      <c r="G101">
        <v>356</v>
      </c>
      <c r="H101">
        <v>4</v>
      </c>
      <c r="I101">
        <v>5</v>
      </c>
      <c r="J101">
        <v>4</v>
      </c>
      <c r="K101" t="s">
        <v>110</v>
      </c>
      <c r="L101" t="s">
        <v>124</v>
      </c>
      <c r="M101" s="4">
        <v>3500000000</v>
      </c>
      <c r="N101">
        <v>0</v>
      </c>
      <c r="O101">
        <v>4.7205700000000004</v>
      </c>
      <c r="P101">
        <v>-74.07687</v>
      </c>
      <c r="Q101" t="s">
        <v>566</v>
      </c>
      <c r="R101">
        <v>9831460.6740000006</v>
      </c>
      <c r="S101">
        <v>0</v>
      </c>
      <c r="T101" t="s">
        <v>117</v>
      </c>
      <c r="U101" t="s">
        <v>118</v>
      </c>
      <c r="V101" t="s">
        <v>77</v>
      </c>
      <c r="W101" t="s">
        <v>119</v>
      </c>
      <c r="X101" t="s">
        <v>120</v>
      </c>
      <c r="Y101">
        <v>2.0244462203913201</v>
      </c>
      <c r="Z101">
        <v>2024.4462203913199</v>
      </c>
      <c r="AA101">
        <v>4.73719444444444</v>
      </c>
      <c r="AB101">
        <v>-74.069472222222203</v>
      </c>
      <c r="AC101">
        <v>2555</v>
      </c>
      <c r="AD101">
        <v>0</v>
      </c>
      <c r="AE101" t="s">
        <v>80</v>
      </c>
      <c r="AF101" t="s">
        <v>107</v>
      </c>
      <c r="AG101" t="s">
        <v>82</v>
      </c>
      <c r="AH101" t="s">
        <v>83</v>
      </c>
      <c r="AI101" t="s">
        <v>121</v>
      </c>
      <c r="AJ101">
        <v>0.25140559541843399</v>
      </c>
      <c r="AK101">
        <v>5.4120857541485297</v>
      </c>
      <c r="AL101">
        <v>0.73105897818142995</v>
      </c>
      <c r="AM101">
        <v>0.46298250640330701</v>
      </c>
      <c r="AN101">
        <v>2.4863885729058901</v>
      </c>
      <c r="AO101">
        <v>5.43083916286232E-2</v>
      </c>
      <c r="AP101">
        <v>5.43083916286232E-2</v>
      </c>
      <c r="AQ101">
        <v>1</v>
      </c>
      <c r="AR101">
        <v>2</v>
      </c>
      <c r="AS101">
        <v>0</v>
      </c>
      <c r="AT101">
        <v>0</v>
      </c>
      <c r="AU101">
        <v>1</v>
      </c>
      <c r="AV101">
        <v>24</v>
      </c>
      <c r="AW101">
        <v>0</v>
      </c>
      <c r="AX101">
        <v>0</v>
      </c>
      <c r="AY101">
        <v>15.3</v>
      </c>
      <c r="AZ101">
        <v>9.8000000000000007</v>
      </c>
      <c r="BA101">
        <v>29.7</v>
      </c>
      <c r="BB101">
        <v>564</v>
      </c>
      <c r="BC101">
        <v>68</v>
      </c>
      <c r="BD101">
        <v>1.8</v>
      </c>
      <c r="BE101">
        <v>43</v>
      </c>
      <c r="BF101">
        <v>25.4</v>
      </c>
      <c r="BG101">
        <v>162</v>
      </c>
      <c r="BH101">
        <v>9.1</v>
      </c>
      <c r="BI101">
        <v>9.1999999999999993</v>
      </c>
      <c r="BJ101">
        <v>18.3</v>
      </c>
      <c r="BK101">
        <v>0.34</v>
      </c>
      <c r="BL101">
        <v>7.3</v>
      </c>
      <c r="BM101">
        <v>0.9</v>
      </c>
      <c r="BN101">
        <v>7.5</v>
      </c>
      <c r="BO101">
        <v>2.9</v>
      </c>
      <c r="BP101">
        <f t="shared" si="2"/>
        <v>8.865543957494296</v>
      </c>
      <c r="BQ101">
        <f t="shared" si="3"/>
        <v>28.291469737788692</v>
      </c>
    </row>
    <row r="102" spans="1:69" hidden="1" x14ac:dyDescent="0.2">
      <c r="A102" t="s">
        <v>2360</v>
      </c>
      <c r="B102" t="s">
        <v>68</v>
      </c>
      <c r="C102" t="s">
        <v>1956</v>
      </c>
      <c r="D102" t="s">
        <v>70</v>
      </c>
      <c r="E102" t="s">
        <v>1517</v>
      </c>
      <c r="F102">
        <v>5</v>
      </c>
      <c r="G102">
        <v>354</v>
      </c>
      <c r="H102">
        <v>4</v>
      </c>
      <c r="I102">
        <v>3</v>
      </c>
      <c r="J102">
        <v>4</v>
      </c>
      <c r="K102" t="s">
        <v>110</v>
      </c>
      <c r="L102" t="s">
        <v>162</v>
      </c>
      <c r="M102" s="4">
        <v>1325700000</v>
      </c>
      <c r="N102">
        <v>0</v>
      </c>
      <c r="O102">
        <v>4.709886</v>
      </c>
      <c r="P102">
        <v>-74.075916000000007</v>
      </c>
      <c r="Q102" t="s">
        <v>2361</v>
      </c>
      <c r="R102">
        <v>3744915.2540000002</v>
      </c>
      <c r="S102">
        <v>0</v>
      </c>
      <c r="T102" t="s">
        <v>117</v>
      </c>
      <c r="U102" t="s">
        <v>118</v>
      </c>
      <c r="V102" t="s">
        <v>77</v>
      </c>
      <c r="W102" t="s">
        <v>119</v>
      </c>
      <c r="X102" t="s">
        <v>120</v>
      </c>
      <c r="Y102">
        <v>3.1228874001253599</v>
      </c>
      <c r="Z102">
        <v>3122.8874001253598</v>
      </c>
      <c r="AA102">
        <v>4.73719444444444</v>
      </c>
      <c r="AB102">
        <v>-74.069472222222203</v>
      </c>
      <c r="AC102">
        <v>2555</v>
      </c>
      <c r="AD102">
        <v>0</v>
      </c>
      <c r="AE102" t="s">
        <v>80</v>
      </c>
      <c r="AF102" t="s">
        <v>107</v>
      </c>
      <c r="AG102" t="s">
        <v>82</v>
      </c>
      <c r="AH102" t="s">
        <v>83</v>
      </c>
      <c r="AI102" t="s">
        <v>121</v>
      </c>
      <c r="AJ102">
        <v>0.46341046087646198</v>
      </c>
      <c r="AK102">
        <v>5.5931852409450196</v>
      </c>
      <c r="AL102">
        <v>0.917316919133214</v>
      </c>
      <c r="AM102">
        <v>0.10688204009369701</v>
      </c>
      <c r="AN102">
        <v>3.6366247583339102</v>
      </c>
      <c r="AO102">
        <v>0.33130114681030798</v>
      </c>
      <c r="AP102">
        <v>0.33130114681030798</v>
      </c>
      <c r="AQ102">
        <v>1</v>
      </c>
      <c r="AR102">
        <v>2</v>
      </c>
      <c r="AS102">
        <v>0</v>
      </c>
      <c r="AT102">
        <v>0</v>
      </c>
      <c r="AU102">
        <v>1</v>
      </c>
      <c r="AV102">
        <v>31</v>
      </c>
      <c r="AW102">
        <v>0</v>
      </c>
      <c r="AX102">
        <v>0</v>
      </c>
      <c r="AY102">
        <v>15.3</v>
      </c>
      <c r="AZ102">
        <v>9.8000000000000007</v>
      </c>
      <c r="BA102">
        <v>29.7</v>
      </c>
      <c r="BB102">
        <v>564</v>
      </c>
      <c r="BC102">
        <v>68</v>
      </c>
      <c r="BD102">
        <v>1.8</v>
      </c>
      <c r="BE102">
        <v>43</v>
      </c>
      <c r="BF102">
        <v>25.4</v>
      </c>
      <c r="BG102">
        <v>162</v>
      </c>
      <c r="BH102">
        <v>9.1</v>
      </c>
      <c r="BI102">
        <v>9.1999999999999993</v>
      </c>
      <c r="BJ102">
        <v>18.3</v>
      </c>
      <c r="BK102">
        <v>0.34</v>
      </c>
      <c r="BL102">
        <v>7.3</v>
      </c>
      <c r="BM102">
        <v>0.9</v>
      </c>
      <c r="BN102">
        <v>7.5</v>
      </c>
      <c r="BO102">
        <v>2.9</v>
      </c>
      <c r="BP102">
        <f t="shared" si="2"/>
        <v>8.3963699141792727</v>
      </c>
      <c r="BQ102">
        <f t="shared" si="3"/>
        <v>27.555378632286519</v>
      </c>
    </row>
    <row r="103" spans="1:69" hidden="1" x14ac:dyDescent="0.2">
      <c r="A103" t="s">
        <v>2815</v>
      </c>
      <c r="B103" t="s">
        <v>68</v>
      </c>
      <c r="C103" t="s">
        <v>1956</v>
      </c>
      <c r="D103" t="s">
        <v>70</v>
      </c>
      <c r="E103" t="s">
        <v>2816</v>
      </c>
      <c r="F103">
        <v>5</v>
      </c>
      <c r="G103">
        <v>353</v>
      </c>
      <c r="H103">
        <v>4</v>
      </c>
      <c r="I103">
        <v>4</v>
      </c>
      <c r="J103">
        <v>4</v>
      </c>
      <c r="K103" t="s">
        <v>110</v>
      </c>
      <c r="L103" t="s">
        <v>162</v>
      </c>
      <c r="M103" s="4">
        <v>1650000000</v>
      </c>
      <c r="N103">
        <v>0</v>
      </c>
      <c r="O103">
        <v>4.81175</v>
      </c>
      <c r="P103">
        <v>-74.030779999999993</v>
      </c>
      <c r="Q103" t="s">
        <v>2817</v>
      </c>
      <c r="R103">
        <v>4674220.9630000005</v>
      </c>
      <c r="S103">
        <v>0</v>
      </c>
      <c r="T103" t="s">
        <v>151</v>
      </c>
      <c r="U103" t="s">
        <v>152</v>
      </c>
      <c r="V103" t="s">
        <v>77</v>
      </c>
      <c r="W103" t="s">
        <v>119</v>
      </c>
      <c r="X103" t="s">
        <v>153</v>
      </c>
      <c r="Y103">
        <v>3.45128394434477</v>
      </c>
      <c r="Z103">
        <v>3451.2839443447701</v>
      </c>
      <c r="AA103">
        <v>4.7837500000000004</v>
      </c>
      <c r="AB103">
        <v>-74.044138888888895</v>
      </c>
      <c r="AC103">
        <v>2580</v>
      </c>
      <c r="AD103">
        <v>0</v>
      </c>
      <c r="AE103" t="s">
        <v>154</v>
      </c>
      <c r="AF103" t="s">
        <v>107</v>
      </c>
      <c r="AG103" t="s">
        <v>82</v>
      </c>
      <c r="AH103" t="s">
        <v>83</v>
      </c>
      <c r="AI103" t="s">
        <v>108</v>
      </c>
      <c r="AJ103">
        <v>4.9518365548356096</v>
      </c>
      <c r="AK103">
        <v>2.4355095831866298</v>
      </c>
      <c r="AL103">
        <v>2.2198037147745802</v>
      </c>
      <c r="AM103">
        <v>4.0615552076484498</v>
      </c>
      <c r="AN103">
        <v>7.7722581283282999</v>
      </c>
      <c r="AO103">
        <v>1.03476224458998</v>
      </c>
      <c r="AP103">
        <v>1.03476224458998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15.3</v>
      </c>
      <c r="AZ103">
        <v>9.8000000000000007</v>
      </c>
      <c r="BA103">
        <v>29.7</v>
      </c>
      <c r="BB103">
        <v>564</v>
      </c>
      <c r="BC103">
        <v>68</v>
      </c>
      <c r="BD103">
        <v>1.8</v>
      </c>
      <c r="BE103">
        <v>43</v>
      </c>
      <c r="BF103">
        <v>25.4</v>
      </c>
      <c r="BG103">
        <v>162</v>
      </c>
      <c r="BH103">
        <v>9.1</v>
      </c>
      <c r="BI103">
        <v>9.1999999999999993</v>
      </c>
      <c r="BJ103">
        <v>18.3</v>
      </c>
      <c r="BK103">
        <v>0.34</v>
      </c>
      <c r="BL103">
        <v>7.3</v>
      </c>
      <c r="BM103">
        <v>0.9</v>
      </c>
      <c r="BN103">
        <v>7.5</v>
      </c>
      <c r="BO103">
        <v>2.9</v>
      </c>
      <c r="BP103">
        <f t="shared" si="2"/>
        <v>8.2609850050684805</v>
      </c>
      <c r="BQ103">
        <f t="shared" si="3"/>
        <v>27.339054048225197</v>
      </c>
    </row>
    <row r="104" spans="1:69" hidden="1" x14ac:dyDescent="0.2">
      <c r="A104" t="s">
        <v>2257</v>
      </c>
      <c r="B104" t="s">
        <v>68</v>
      </c>
      <c r="C104" t="s">
        <v>1956</v>
      </c>
      <c r="D104" t="s">
        <v>70</v>
      </c>
      <c r="E104" t="s">
        <v>2258</v>
      </c>
      <c r="F104">
        <v>5</v>
      </c>
      <c r="G104">
        <v>348</v>
      </c>
      <c r="H104">
        <v>3</v>
      </c>
      <c r="I104">
        <v>4</v>
      </c>
      <c r="J104">
        <v>3</v>
      </c>
      <c r="K104" t="s">
        <v>110</v>
      </c>
      <c r="L104" t="s">
        <v>162</v>
      </c>
      <c r="M104" s="4">
        <v>1800000000</v>
      </c>
      <c r="N104">
        <v>0</v>
      </c>
      <c r="O104">
        <v>4.7007859999999999</v>
      </c>
      <c r="P104">
        <v>-74.068066999999999</v>
      </c>
      <c r="Q104" t="s">
        <v>2259</v>
      </c>
      <c r="R104">
        <v>5172413.7929999996</v>
      </c>
      <c r="S104">
        <v>0</v>
      </c>
      <c r="T104" t="s">
        <v>117</v>
      </c>
      <c r="U104" t="s">
        <v>118</v>
      </c>
      <c r="V104" t="s">
        <v>77</v>
      </c>
      <c r="W104" t="s">
        <v>119</v>
      </c>
      <c r="X104" t="s">
        <v>120</v>
      </c>
      <c r="Y104">
        <v>4.0559667199419396</v>
      </c>
      <c r="Z104">
        <v>4055.96671994194</v>
      </c>
      <c r="AA104">
        <v>4.73719444444444</v>
      </c>
      <c r="AB104">
        <v>-74.069472222222203</v>
      </c>
      <c r="AC104">
        <v>2555</v>
      </c>
      <c r="AD104">
        <v>0</v>
      </c>
      <c r="AE104" t="s">
        <v>80</v>
      </c>
      <c r="AF104" t="s">
        <v>107</v>
      </c>
      <c r="AG104" t="s">
        <v>82</v>
      </c>
      <c r="AH104" t="s">
        <v>83</v>
      </c>
      <c r="AI104" t="s">
        <v>121</v>
      </c>
      <c r="AJ104">
        <v>0.26070513836992798</v>
      </c>
      <c r="AK104">
        <v>4.2917775191171499</v>
      </c>
      <c r="AL104">
        <v>0.36933828056533502</v>
      </c>
      <c r="AM104">
        <v>8.4626678531046703E-2</v>
      </c>
      <c r="AN104">
        <v>3.3504873662683998</v>
      </c>
      <c r="AO104">
        <v>0.44167263386300798</v>
      </c>
      <c r="AP104">
        <v>0.44167263386300798</v>
      </c>
      <c r="AQ104">
        <v>1</v>
      </c>
      <c r="AR104">
        <v>3</v>
      </c>
      <c r="AS104">
        <v>0</v>
      </c>
      <c r="AT104">
        <v>0</v>
      </c>
      <c r="AU104">
        <v>1</v>
      </c>
      <c r="AV104">
        <v>45</v>
      </c>
      <c r="AW104">
        <v>0</v>
      </c>
      <c r="AX104">
        <v>0</v>
      </c>
      <c r="AY104">
        <v>15.3</v>
      </c>
      <c r="AZ104">
        <v>9.8000000000000007</v>
      </c>
      <c r="BA104">
        <v>29.7</v>
      </c>
      <c r="BB104">
        <v>564</v>
      </c>
      <c r="BC104">
        <v>68</v>
      </c>
      <c r="BD104">
        <v>1.8</v>
      </c>
      <c r="BE104">
        <v>43</v>
      </c>
      <c r="BF104">
        <v>25.4</v>
      </c>
      <c r="BG104">
        <v>162</v>
      </c>
      <c r="BH104">
        <v>9.1</v>
      </c>
      <c r="BI104">
        <v>9.1999999999999993</v>
      </c>
      <c r="BJ104">
        <v>18.3</v>
      </c>
      <c r="BK104">
        <v>0.34</v>
      </c>
      <c r="BL104">
        <v>7.3</v>
      </c>
      <c r="BM104">
        <v>0.9</v>
      </c>
      <c r="BN104">
        <v>7.5</v>
      </c>
      <c r="BO104">
        <v>2.9</v>
      </c>
      <c r="BP104">
        <f t="shared" si="2"/>
        <v>8.0173827886485576</v>
      </c>
      <c r="BQ104">
        <f t="shared" si="3"/>
        <v>26.94516418028109</v>
      </c>
    </row>
    <row r="105" spans="1:69" hidden="1" x14ac:dyDescent="0.2">
      <c r="A105" t="s">
        <v>3084</v>
      </c>
      <c r="B105" t="s">
        <v>68</v>
      </c>
      <c r="C105" t="s">
        <v>1956</v>
      </c>
      <c r="D105" t="s">
        <v>70</v>
      </c>
      <c r="E105" t="s">
        <v>267</v>
      </c>
      <c r="F105">
        <v>6</v>
      </c>
      <c r="G105">
        <v>343</v>
      </c>
      <c r="H105">
        <v>4</v>
      </c>
      <c r="I105">
        <v>4</v>
      </c>
      <c r="J105">
        <v>4</v>
      </c>
      <c r="K105" t="s">
        <v>110</v>
      </c>
      <c r="L105" t="s">
        <v>124</v>
      </c>
      <c r="M105" s="4">
        <v>2200000000</v>
      </c>
      <c r="N105">
        <v>0</v>
      </c>
      <c r="O105">
        <v>4.8208700000000002</v>
      </c>
      <c r="P105">
        <v>-74.051919999999996</v>
      </c>
      <c r="Q105" t="s">
        <v>3085</v>
      </c>
      <c r="R105">
        <v>6413994.1689999998</v>
      </c>
      <c r="S105">
        <v>0</v>
      </c>
      <c r="T105" t="s">
        <v>151</v>
      </c>
      <c r="U105" t="s">
        <v>152</v>
      </c>
      <c r="V105" t="s">
        <v>77</v>
      </c>
      <c r="W105" t="s">
        <v>119</v>
      </c>
      <c r="X105" t="s">
        <v>153</v>
      </c>
      <c r="Y105">
        <v>4.2213662253640098</v>
      </c>
      <c r="Z105">
        <v>4221.3662253640096</v>
      </c>
      <c r="AA105">
        <v>4.7837500000000004</v>
      </c>
      <c r="AB105">
        <v>-74.044138888888895</v>
      </c>
      <c r="AC105">
        <v>2580</v>
      </c>
      <c r="AD105">
        <v>0</v>
      </c>
      <c r="AE105" t="s">
        <v>154</v>
      </c>
      <c r="AF105" t="s">
        <v>107</v>
      </c>
      <c r="AG105" t="s">
        <v>82</v>
      </c>
      <c r="AH105" t="s">
        <v>83</v>
      </c>
      <c r="AI105" t="s">
        <v>121</v>
      </c>
      <c r="AJ105">
        <v>5.8262524249284198</v>
      </c>
      <c r="AK105">
        <v>0.67591135269041203</v>
      </c>
      <c r="AL105">
        <v>2.36277842263544</v>
      </c>
      <c r="AM105">
        <v>4.3777816396227998</v>
      </c>
      <c r="AN105">
        <v>9.20115575060019</v>
      </c>
      <c r="AO105">
        <v>0.32336245433010302</v>
      </c>
      <c r="AP105">
        <v>0.32336245433010302</v>
      </c>
      <c r="AQ105">
        <v>0</v>
      </c>
      <c r="AR105">
        <v>0</v>
      </c>
      <c r="AS105">
        <v>0</v>
      </c>
      <c r="AT105">
        <v>1</v>
      </c>
      <c r="AU105">
        <v>0</v>
      </c>
      <c r="AV105">
        <v>0</v>
      </c>
      <c r="AW105">
        <v>0</v>
      </c>
      <c r="AX105">
        <v>0</v>
      </c>
      <c r="AY105">
        <v>15.3</v>
      </c>
      <c r="AZ105">
        <v>9.8000000000000007</v>
      </c>
      <c r="BA105">
        <v>29.7</v>
      </c>
      <c r="BB105">
        <v>564</v>
      </c>
      <c r="BC105">
        <v>68</v>
      </c>
      <c r="BD105">
        <v>1.8</v>
      </c>
      <c r="BE105">
        <v>43</v>
      </c>
      <c r="BF105">
        <v>25.4</v>
      </c>
      <c r="BG105">
        <v>162</v>
      </c>
      <c r="BH105">
        <v>9.1</v>
      </c>
      <c r="BI105">
        <v>9.1999999999999993</v>
      </c>
      <c r="BJ105">
        <v>18.3</v>
      </c>
      <c r="BK105">
        <v>0.34</v>
      </c>
      <c r="BL105">
        <v>7.3</v>
      </c>
      <c r="BM105">
        <v>0.9</v>
      </c>
      <c r="BN105">
        <v>7.5</v>
      </c>
      <c r="BO105">
        <v>2.9</v>
      </c>
      <c r="BP105">
        <f t="shared" si="2"/>
        <v>7.9520102435084734</v>
      </c>
      <c r="BQ105">
        <f t="shared" si="3"/>
        <v>26.838414991718711</v>
      </c>
    </row>
    <row r="106" spans="1:69" hidden="1" x14ac:dyDescent="0.2">
      <c r="A106" t="s">
        <v>550</v>
      </c>
      <c r="B106" t="s">
        <v>68</v>
      </c>
      <c r="C106" t="s">
        <v>69</v>
      </c>
      <c r="D106" t="s">
        <v>70</v>
      </c>
      <c r="E106" t="s">
        <v>349</v>
      </c>
      <c r="F106">
        <v>6</v>
      </c>
      <c r="G106">
        <v>341.23</v>
      </c>
      <c r="H106">
        <v>3</v>
      </c>
      <c r="I106">
        <v>5</v>
      </c>
      <c r="J106">
        <v>4</v>
      </c>
      <c r="K106" t="s">
        <v>110</v>
      </c>
      <c r="L106" t="s">
        <v>133</v>
      </c>
      <c r="M106" s="4">
        <v>3500000000</v>
      </c>
      <c r="N106">
        <v>0</v>
      </c>
      <c r="O106">
        <v>4.7245939999999997</v>
      </c>
      <c r="P106">
        <v>-74.077755999999994</v>
      </c>
      <c r="Q106" t="s">
        <v>551</v>
      </c>
      <c r="R106">
        <v>10257011.4</v>
      </c>
      <c r="S106">
        <v>0</v>
      </c>
      <c r="T106" t="s">
        <v>117</v>
      </c>
      <c r="U106" t="s">
        <v>118</v>
      </c>
      <c r="V106" t="s">
        <v>77</v>
      </c>
      <c r="W106" t="s">
        <v>119</v>
      </c>
      <c r="X106" t="s">
        <v>120</v>
      </c>
      <c r="Y106">
        <v>1.6769216112958401</v>
      </c>
      <c r="Z106">
        <v>1676.92161129584</v>
      </c>
      <c r="AA106">
        <v>4.73719444444444</v>
      </c>
      <c r="AB106">
        <v>-74.069472222222203</v>
      </c>
      <c r="AC106">
        <v>2555</v>
      </c>
      <c r="AD106">
        <v>0</v>
      </c>
      <c r="AE106" t="s">
        <v>80</v>
      </c>
      <c r="AF106" t="s">
        <v>107</v>
      </c>
      <c r="AG106" t="s">
        <v>82</v>
      </c>
      <c r="AH106" t="s">
        <v>83</v>
      </c>
      <c r="AI106" t="s">
        <v>121</v>
      </c>
      <c r="AJ106">
        <v>0.46161353433427399</v>
      </c>
      <c r="AK106">
        <v>5.2539618595607998</v>
      </c>
      <c r="AL106">
        <v>1.1073041562811199</v>
      </c>
      <c r="AM106">
        <v>0.76951546069237198</v>
      </c>
      <c r="AN106">
        <v>2.03884569634244</v>
      </c>
      <c r="AO106">
        <v>3.8906724229921197E-2</v>
      </c>
      <c r="AP106">
        <v>3.8906724229921197E-2</v>
      </c>
      <c r="AQ106">
        <v>2</v>
      </c>
      <c r="AR106">
        <v>2</v>
      </c>
      <c r="AS106">
        <v>0</v>
      </c>
      <c r="AT106">
        <v>0</v>
      </c>
      <c r="AU106">
        <v>0</v>
      </c>
      <c r="AV106">
        <v>5</v>
      </c>
      <c r="AW106">
        <v>0</v>
      </c>
      <c r="AX106">
        <v>0</v>
      </c>
      <c r="AY106">
        <v>15.3</v>
      </c>
      <c r="AZ106">
        <v>9.8000000000000007</v>
      </c>
      <c r="BA106">
        <v>29.7</v>
      </c>
      <c r="BB106">
        <v>564</v>
      </c>
      <c r="BC106">
        <v>68</v>
      </c>
      <c r="BD106">
        <v>1.8</v>
      </c>
      <c r="BE106">
        <v>43</v>
      </c>
      <c r="BF106">
        <v>25.4</v>
      </c>
      <c r="BG106">
        <v>162</v>
      </c>
      <c r="BH106">
        <v>9.1</v>
      </c>
      <c r="BI106">
        <v>9.1999999999999993</v>
      </c>
      <c r="BJ106">
        <v>18.3</v>
      </c>
      <c r="BK106">
        <v>0.34</v>
      </c>
      <c r="BL106">
        <v>7.3</v>
      </c>
      <c r="BM106">
        <v>0.9</v>
      </c>
      <c r="BN106">
        <v>7.5</v>
      </c>
      <c r="BO106">
        <v>2.9</v>
      </c>
      <c r="BP106">
        <f t="shared" si="2"/>
        <v>9.0193725170491756</v>
      </c>
      <c r="BQ106">
        <f t="shared" si="3"/>
        <v>28.52842410087873</v>
      </c>
    </row>
    <row r="107" spans="1:69" hidden="1" x14ac:dyDescent="0.2">
      <c r="A107" t="s">
        <v>2929</v>
      </c>
      <c r="B107" t="s">
        <v>68</v>
      </c>
      <c r="C107" t="s">
        <v>1956</v>
      </c>
      <c r="D107" t="s">
        <v>70</v>
      </c>
      <c r="E107" t="s">
        <v>349</v>
      </c>
      <c r="F107">
        <v>6</v>
      </c>
      <c r="G107">
        <v>341</v>
      </c>
      <c r="H107">
        <v>4</v>
      </c>
      <c r="I107">
        <v>5</v>
      </c>
      <c r="J107">
        <v>2</v>
      </c>
      <c r="K107" t="s">
        <v>110</v>
      </c>
      <c r="L107" t="s">
        <v>162</v>
      </c>
      <c r="M107" s="4">
        <v>1870000000</v>
      </c>
      <c r="N107">
        <v>0</v>
      </c>
      <c r="O107">
        <v>4.7201000000000004</v>
      </c>
      <c r="P107">
        <v>-74.079409999999996</v>
      </c>
      <c r="Q107" t="s">
        <v>2930</v>
      </c>
      <c r="R107">
        <v>5483870.9680000003</v>
      </c>
      <c r="S107">
        <v>0</v>
      </c>
      <c r="T107" t="s">
        <v>117</v>
      </c>
      <c r="U107" t="s">
        <v>118</v>
      </c>
      <c r="V107" t="s">
        <v>77</v>
      </c>
      <c r="W107" t="s">
        <v>119</v>
      </c>
      <c r="X107" t="s">
        <v>120</v>
      </c>
      <c r="Y107">
        <v>2.1992525662660198</v>
      </c>
      <c r="Z107">
        <v>2199.25256626602</v>
      </c>
      <c r="AA107">
        <v>4.73719444444444</v>
      </c>
      <c r="AB107">
        <v>-74.069472222222203</v>
      </c>
      <c r="AC107">
        <v>2555</v>
      </c>
      <c r="AD107">
        <v>0</v>
      </c>
      <c r="AE107" t="s">
        <v>80</v>
      </c>
      <c r="AF107" t="s">
        <v>107</v>
      </c>
      <c r="AG107" t="s">
        <v>82</v>
      </c>
      <c r="AH107" t="s">
        <v>83</v>
      </c>
      <c r="AI107" t="s">
        <v>121</v>
      </c>
      <c r="AJ107">
        <v>0.53666366477711103</v>
      </c>
      <c r="AK107">
        <v>5.14498720275758</v>
      </c>
      <c r="AL107">
        <v>0.95620920276868604</v>
      </c>
      <c r="AM107">
        <v>0.42778640793246903</v>
      </c>
      <c r="AN107">
        <v>2.4446453179609402</v>
      </c>
      <c r="AO107">
        <v>4.9756466825124001E-3</v>
      </c>
      <c r="AP107">
        <v>4.9756466825124001E-3</v>
      </c>
      <c r="AQ107">
        <v>0</v>
      </c>
      <c r="AR107">
        <v>2</v>
      </c>
      <c r="AS107">
        <v>0</v>
      </c>
      <c r="AT107">
        <v>0</v>
      </c>
      <c r="AU107">
        <v>1</v>
      </c>
      <c r="AV107">
        <v>11</v>
      </c>
      <c r="AW107">
        <v>0</v>
      </c>
      <c r="AX107">
        <v>0</v>
      </c>
      <c r="AY107">
        <v>15.3</v>
      </c>
      <c r="AZ107">
        <v>9.8000000000000007</v>
      </c>
      <c r="BA107">
        <v>29.7</v>
      </c>
      <c r="BB107">
        <v>564</v>
      </c>
      <c r="BC107">
        <v>68</v>
      </c>
      <c r="BD107">
        <v>1.8</v>
      </c>
      <c r="BE107">
        <v>43</v>
      </c>
      <c r="BF107">
        <v>25.4</v>
      </c>
      <c r="BG107">
        <v>162</v>
      </c>
      <c r="BH107">
        <v>9.1</v>
      </c>
      <c r="BI107">
        <v>9.1999999999999993</v>
      </c>
      <c r="BJ107">
        <v>18.3</v>
      </c>
      <c r="BK107">
        <v>0.34</v>
      </c>
      <c r="BL107">
        <v>7.3</v>
      </c>
      <c r="BM107">
        <v>0.9</v>
      </c>
      <c r="BN107">
        <v>7.5</v>
      </c>
      <c r="BO107">
        <v>2.9</v>
      </c>
      <c r="BP107">
        <f t="shared" si="2"/>
        <v>8.7891621063721246</v>
      </c>
      <c r="BQ107">
        <f t="shared" si="3"/>
        <v>28.173025686115729</v>
      </c>
    </row>
    <row r="108" spans="1:69" hidden="1" x14ac:dyDescent="0.2">
      <c r="A108" t="s">
        <v>3053</v>
      </c>
      <c r="B108" t="s">
        <v>68</v>
      </c>
      <c r="C108" t="s">
        <v>1956</v>
      </c>
      <c r="D108" t="s">
        <v>70</v>
      </c>
      <c r="E108" t="s">
        <v>1517</v>
      </c>
      <c r="F108">
        <v>5</v>
      </c>
      <c r="G108">
        <v>338</v>
      </c>
      <c r="H108">
        <v>5</v>
      </c>
      <c r="I108">
        <v>4</v>
      </c>
      <c r="J108">
        <v>2</v>
      </c>
      <c r="K108" t="s">
        <v>110</v>
      </c>
      <c r="L108" t="s">
        <v>162</v>
      </c>
      <c r="M108" s="4">
        <v>1350000000</v>
      </c>
      <c r="N108">
        <v>0</v>
      </c>
      <c r="O108">
        <v>4.7101435660000002</v>
      </c>
      <c r="P108">
        <v>-74.071945189999994</v>
      </c>
      <c r="Q108" t="s">
        <v>3054</v>
      </c>
      <c r="R108">
        <v>3994082.84</v>
      </c>
      <c r="S108">
        <v>0</v>
      </c>
      <c r="T108" t="s">
        <v>117</v>
      </c>
      <c r="U108" t="s">
        <v>118</v>
      </c>
      <c r="V108" t="s">
        <v>77</v>
      </c>
      <c r="W108" t="s">
        <v>119</v>
      </c>
      <c r="X108" t="s">
        <v>120</v>
      </c>
      <c r="Y108">
        <v>3.02376221408558</v>
      </c>
      <c r="Z108">
        <v>3023.7622140855801</v>
      </c>
      <c r="AA108">
        <v>4.73719444444444</v>
      </c>
      <c r="AB108">
        <v>-74.069472222222203</v>
      </c>
      <c r="AC108">
        <v>2555</v>
      </c>
      <c r="AD108">
        <v>0</v>
      </c>
      <c r="AE108" t="s">
        <v>80</v>
      </c>
      <c r="AF108" t="s">
        <v>107</v>
      </c>
      <c r="AG108" t="s">
        <v>82</v>
      </c>
      <c r="AH108" t="s">
        <v>83</v>
      </c>
      <c r="AI108" t="s">
        <v>121</v>
      </c>
      <c r="AJ108">
        <v>0.209182504731345</v>
      </c>
      <c r="AK108">
        <v>5.1979461068115302</v>
      </c>
      <c r="AL108">
        <v>0.74365029550908102</v>
      </c>
      <c r="AM108">
        <v>0.19177482513169899</v>
      </c>
      <c r="AN108">
        <v>3.76012600044877</v>
      </c>
      <c r="AO108">
        <v>0.45536654131785598</v>
      </c>
      <c r="AP108">
        <v>0.45536654131785598</v>
      </c>
      <c r="AQ108">
        <v>2</v>
      </c>
      <c r="AR108">
        <v>2</v>
      </c>
      <c r="AS108">
        <v>0</v>
      </c>
      <c r="AT108">
        <v>0</v>
      </c>
      <c r="AU108">
        <v>1</v>
      </c>
      <c r="AV108">
        <v>38</v>
      </c>
      <c r="AW108">
        <v>0</v>
      </c>
      <c r="AX108">
        <v>0</v>
      </c>
      <c r="AY108">
        <v>15.3</v>
      </c>
      <c r="AZ108">
        <v>9.8000000000000007</v>
      </c>
      <c r="BA108">
        <v>29.7</v>
      </c>
      <c r="BB108">
        <v>564</v>
      </c>
      <c r="BC108">
        <v>68</v>
      </c>
      <c r="BD108">
        <v>1.8</v>
      </c>
      <c r="BE108">
        <v>43</v>
      </c>
      <c r="BF108">
        <v>25.4</v>
      </c>
      <c r="BG108">
        <v>162</v>
      </c>
      <c r="BH108">
        <v>9.1</v>
      </c>
      <c r="BI108">
        <v>9.1999999999999993</v>
      </c>
      <c r="BJ108">
        <v>18.3</v>
      </c>
      <c r="BK108">
        <v>0.34</v>
      </c>
      <c r="BL108">
        <v>7.3</v>
      </c>
      <c r="BM108">
        <v>0.9</v>
      </c>
      <c r="BN108">
        <v>7.5</v>
      </c>
      <c r="BO108">
        <v>2.9</v>
      </c>
      <c r="BP108">
        <f t="shared" si="2"/>
        <v>8.437669594447323</v>
      </c>
      <c r="BQ108">
        <f t="shared" si="3"/>
        <v>27.62101104002701</v>
      </c>
    </row>
    <row r="109" spans="1:69" hidden="1" x14ac:dyDescent="0.2">
      <c r="A109" t="s">
        <v>2860</v>
      </c>
      <c r="B109" t="s">
        <v>68</v>
      </c>
      <c r="C109" t="s">
        <v>1956</v>
      </c>
      <c r="D109" t="s">
        <v>70</v>
      </c>
      <c r="E109" t="s">
        <v>548</v>
      </c>
      <c r="F109">
        <v>6</v>
      </c>
      <c r="G109">
        <v>337</v>
      </c>
      <c r="H109">
        <v>5</v>
      </c>
      <c r="I109">
        <v>4</v>
      </c>
      <c r="J109">
        <v>4</v>
      </c>
      <c r="K109" t="s">
        <v>110</v>
      </c>
      <c r="L109" t="s">
        <v>162</v>
      </c>
      <c r="M109" s="4">
        <v>1800000000</v>
      </c>
      <c r="N109">
        <v>0</v>
      </c>
      <c r="O109">
        <v>4.7221727370000002</v>
      </c>
      <c r="P109">
        <v>-74.075866700000006</v>
      </c>
      <c r="Q109" t="s">
        <v>2861</v>
      </c>
      <c r="R109">
        <v>5341246.2910000002</v>
      </c>
      <c r="S109">
        <v>0</v>
      </c>
      <c r="T109" t="s">
        <v>117</v>
      </c>
      <c r="U109" t="s">
        <v>118</v>
      </c>
      <c r="V109" t="s">
        <v>77</v>
      </c>
      <c r="W109" t="s">
        <v>119</v>
      </c>
      <c r="X109" t="s">
        <v>120</v>
      </c>
      <c r="Y109">
        <v>1.8164634169148499</v>
      </c>
      <c r="Z109">
        <v>1816.4634169148501</v>
      </c>
      <c r="AA109">
        <v>4.73719444444444</v>
      </c>
      <c r="AB109">
        <v>-74.069472222222203</v>
      </c>
      <c r="AC109">
        <v>2555</v>
      </c>
      <c r="AD109">
        <v>0</v>
      </c>
      <c r="AE109" t="s">
        <v>80</v>
      </c>
      <c r="AF109" t="s">
        <v>107</v>
      </c>
      <c r="AG109" t="s">
        <v>82</v>
      </c>
      <c r="AH109" t="s">
        <v>83</v>
      </c>
      <c r="AI109" t="s">
        <v>121</v>
      </c>
      <c r="AJ109">
        <v>0.16253310041385099</v>
      </c>
      <c r="AK109">
        <v>5.4938375675169704</v>
      </c>
      <c r="AL109">
        <v>0.76761692685335803</v>
      </c>
      <c r="AM109">
        <v>0.44730174689859398</v>
      </c>
      <c r="AN109">
        <v>2.3702489173925301</v>
      </c>
      <c r="AO109">
        <v>0.25666886689603202</v>
      </c>
      <c r="AP109">
        <v>0.25666886689603202</v>
      </c>
      <c r="AQ109">
        <v>1</v>
      </c>
      <c r="AR109">
        <v>2</v>
      </c>
      <c r="AS109">
        <v>0</v>
      </c>
      <c r="AT109">
        <v>0</v>
      </c>
      <c r="AU109">
        <v>1</v>
      </c>
      <c r="AV109">
        <v>22</v>
      </c>
      <c r="AW109">
        <v>0</v>
      </c>
      <c r="AX109">
        <v>0</v>
      </c>
      <c r="AY109">
        <v>15.3</v>
      </c>
      <c r="AZ109">
        <v>9.8000000000000007</v>
      </c>
      <c r="BA109">
        <v>29.7</v>
      </c>
      <c r="BB109">
        <v>564</v>
      </c>
      <c r="BC109">
        <v>68</v>
      </c>
      <c r="BD109">
        <v>1.8</v>
      </c>
      <c r="BE109">
        <v>43</v>
      </c>
      <c r="BF109">
        <v>25.4</v>
      </c>
      <c r="BG109">
        <v>162</v>
      </c>
      <c r="BH109">
        <v>9.1</v>
      </c>
      <c r="BI109">
        <v>9.1999999999999993</v>
      </c>
      <c r="BJ109">
        <v>18.3</v>
      </c>
      <c r="BK109">
        <v>0.34</v>
      </c>
      <c r="BL109">
        <v>7.3</v>
      </c>
      <c r="BM109">
        <v>0.9</v>
      </c>
      <c r="BN109">
        <v>7.5</v>
      </c>
      <c r="BO109">
        <v>2.9</v>
      </c>
      <c r="BP109">
        <f t="shared" si="2"/>
        <v>8.9572874978565515</v>
      </c>
      <c r="BQ109">
        <f t="shared" si="3"/>
        <v>28.433042119861884</v>
      </c>
    </row>
    <row r="110" spans="1:69" hidden="1" x14ac:dyDescent="0.2">
      <c r="A110" t="s">
        <v>2870</v>
      </c>
      <c r="B110" t="s">
        <v>68</v>
      </c>
      <c r="C110" t="s">
        <v>1956</v>
      </c>
      <c r="D110" t="s">
        <v>70</v>
      </c>
      <c r="E110" t="s">
        <v>548</v>
      </c>
      <c r="F110">
        <v>6</v>
      </c>
      <c r="G110">
        <v>337</v>
      </c>
      <c r="H110">
        <v>5</v>
      </c>
      <c r="I110">
        <v>4</v>
      </c>
      <c r="J110">
        <v>4</v>
      </c>
      <c r="K110" t="s">
        <v>110</v>
      </c>
      <c r="L110" t="s">
        <v>162</v>
      </c>
      <c r="M110" s="4">
        <v>1800000000</v>
      </c>
      <c r="N110">
        <v>0</v>
      </c>
      <c r="O110">
        <v>4.7219457629999999</v>
      </c>
      <c r="P110">
        <v>-74.074043270000004</v>
      </c>
      <c r="Q110" t="s">
        <v>2871</v>
      </c>
      <c r="R110">
        <v>5341246.2910000002</v>
      </c>
      <c r="S110">
        <v>0</v>
      </c>
      <c r="T110" t="s">
        <v>117</v>
      </c>
      <c r="U110" t="s">
        <v>118</v>
      </c>
      <c r="V110" t="s">
        <v>77</v>
      </c>
      <c r="W110" t="s">
        <v>119</v>
      </c>
      <c r="X110" t="s">
        <v>120</v>
      </c>
      <c r="Y110">
        <v>1.77160593668483</v>
      </c>
      <c r="Z110">
        <v>1771.6059366848301</v>
      </c>
      <c r="AA110">
        <v>4.73719444444444</v>
      </c>
      <c r="AB110">
        <v>-74.069472222222203</v>
      </c>
      <c r="AC110">
        <v>2555</v>
      </c>
      <c r="AD110">
        <v>0</v>
      </c>
      <c r="AE110" t="s">
        <v>80</v>
      </c>
      <c r="AF110" t="s">
        <v>107</v>
      </c>
      <c r="AG110" t="s">
        <v>82</v>
      </c>
      <c r="AH110" t="s">
        <v>83</v>
      </c>
      <c r="AI110" t="s">
        <v>121</v>
      </c>
      <c r="AJ110">
        <v>0.105431012233975</v>
      </c>
      <c r="AK110">
        <v>5.5691473596653198</v>
      </c>
      <c r="AL110">
        <v>0.63382393406960102</v>
      </c>
      <c r="AM110">
        <v>0.26591491035985299</v>
      </c>
      <c r="AN110">
        <v>2.4879029035767002</v>
      </c>
      <c r="AO110">
        <v>0.21085573190771301</v>
      </c>
      <c r="AP110">
        <v>0.21085573190771301</v>
      </c>
      <c r="AQ110">
        <v>1</v>
      </c>
      <c r="AR110">
        <v>2</v>
      </c>
      <c r="AS110">
        <v>0</v>
      </c>
      <c r="AT110">
        <v>0</v>
      </c>
      <c r="AU110">
        <v>1</v>
      </c>
      <c r="AV110">
        <v>26</v>
      </c>
      <c r="AW110">
        <v>0</v>
      </c>
      <c r="AX110">
        <v>0</v>
      </c>
      <c r="AY110">
        <v>15.3</v>
      </c>
      <c r="AZ110">
        <v>9.8000000000000007</v>
      </c>
      <c r="BA110">
        <v>29.7</v>
      </c>
      <c r="BB110">
        <v>564</v>
      </c>
      <c r="BC110">
        <v>68</v>
      </c>
      <c r="BD110">
        <v>1.8</v>
      </c>
      <c r="BE110">
        <v>43</v>
      </c>
      <c r="BF110">
        <v>25.4</v>
      </c>
      <c r="BG110">
        <v>162</v>
      </c>
      <c r="BH110">
        <v>9.1</v>
      </c>
      <c r="BI110">
        <v>9.1999999999999993</v>
      </c>
      <c r="BJ110">
        <v>18.3</v>
      </c>
      <c r="BK110">
        <v>0.34</v>
      </c>
      <c r="BL110">
        <v>7.3</v>
      </c>
      <c r="BM110">
        <v>0.9</v>
      </c>
      <c r="BN110">
        <v>7.5</v>
      </c>
      <c r="BO110">
        <v>2.9</v>
      </c>
      <c r="BP110">
        <f t="shared" si="2"/>
        <v>8.9771987622812457</v>
      </c>
      <c r="BQ110">
        <f t="shared" si="3"/>
        <v>28.463669034052653</v>
      </c>
    </row>
    <row r="111" spans="1:69" hidden="1" x14ac:dyDescent="0.2">
      <c r="A111" t="s">
        <v>2618</v>
      </c>
      <c r="B111" t="s">
        <v>68</v>
      </c>
      <c r="C111" t="s">
        <v>1956</v>
      </c>
      <c r="D111" t="s">
        <v>70</v>
      </c>
      <c r="E111" t="s">
        <v>1517</v>
      </c>
      <c r="F111">
        <v>5</v>
      </c>
      <c r="G111">
        <v>335</v>
      </c>
      <c r="H111">
        <v>4</v>
      </c>
      <c r="I111">
        <v>3</v>
      </c>
      <c r="J111">
        <v>3</v>
      </c>
      <c r="K111" t="s">
        <v>110</v>
      </c>
      <c r="L111" t="s">
        <v>162</v>
      </c>
      <c r="M111" s="4">
        <v>1080000000</v>
      </c>
      <c r="N111">
        <v>0</v>
      </c>
      <c r="O111">
        <v>4.70547</v>
      </c>
      <c r="P111">
        <v>-74.0735952</v>
      </c>
      <c r="Q111" t="s">
        <v>2619</v>
      </c>
      <c r="R111">
        <v>3223880.5970000001</v>
      </c>
      <c r="S111">
        <v>0</v>
      </c>
      <c r="T111" t="s">
        <v>117</v>
      </c>
      <c r="U111" t="s">
        <v>118</v>
      </c>
      <c r="V111" t="s">
        <v>77</v>
      </c>
      <c r="W111" t="s">
        <v>119</v>
      </c>
      <c r="X111" t="s">
        <v>120</v>
      </c>
      <c r="Y111">
        <v>3.56104796894072</v>
      </c>
      <c r="Z111">
        <v>3561.0479689407198</v>
      </c>
      <c r="AA111">
        <v>4.73719444444444</v>
      </c>
      <c r="AB111">
        <v>-74.069472222222203</v>
      </c>
      <c r="AC111">
        <v>2555</v>
      </c>
      <c r="AD111">
        <v>0</v>
      </c>
      <c r="AE111" t="s">
        <v>80</v>
      </c>
      <c r="AF111" t="s">
        <v>107</v>
      </c>
      <c r="AG111" t="s">
        <v>82</v>
      </c>
      <c r="AH111" t="s">
        <v>83</v>
      </c>
      <c r="AI111" t="s">
        <v>121</v>
      </c>
      <c r="AJ111">
        <v>0.300375644093059</v>
      </c>
      <c r="AK111">
        <v>5.0918384261078904</v>
      </c>
      <c r="AL111">
        <v>0.95344776088000904</v>
      </c>
      <c r="AM111">
        <v>0.17673923577885101</v>
      </c>
      <c r="AN111">
        <v>3.6166911841921099</v>
      </c>
      <c r="AO111">
        <v>6.3432783328131695E-2</v>
      </c>
      <c r="AP111">
        <v>6.3432783328131695E-2</v>
      </c>
      <c r="AQ111">
        <v>1</v>
      </c>
      <c r="AR111">
        <v>3</v>
      </c>
      <c r="AS111">
        <v>0</v>
      </c>
      <c r="AT111">
        <v>0</v>
      </c>
      <c r="AU111">
        <v>1</v>
      </c>
      <c r="AV111">
        <v>55</v>
      </c>
      <c r="AW111">
        <v>0</v>
      </c>
      <c r="AX111">
        <v>0</v>
      </c>
      <c r="AY111">
        <v>15.3</v>
      </c>
      <c r="AZ111">
        <v>9.8000000000000007</v>
      </c>
      <c r="BA111">
        <v>29.7</v>
      </c>
      <c r="BB111">
        <v>564</v>
      </c>
      <c r="BC111">
        <v>68</v>
      </c>
      <c r="BD111">
        <v>1.8</v>
      </c>
      <c r="BE111">
        <v>43</v>
      </c>
      <c r="BF111">
        <v>25.4</v>
      </c>
      <c r="BG111">
        <v>162</v>
      </c>
      <c r="BH111">
        <v>9.1</v>
      </c>
      <c r="BI111">
        <v>9.1999999999999993</v>
      </c>
      <c r="BJ111">
        <v>18.3</v>
      </c>
      <c r="BK111">
        <v>0.34</v>
      </c>
      <c r="BL111">
        <v>7.3</v>
      </c>
      <c r="BM111">
        <v>0.9</v>
      </c>
      <c r="BN111">
        <v>7.5</v>
      </c>
      <c r="BO111">
        <v>2.9</v>
      </c>
      <c r="BP111">
        <f t="shared" si="2"/>
        <v>8.2162221520398973</v>
      </c>
      <c r="BQ111">
        <f t="shared" si="3"/>
        <v>27.267128557373137</v>
      </c>
    </row>
    <row r="112" spans="1:69" hidden="1" x14ac:dyDescent="0.2">
      <c r="A112" t="s">
        <v>2466</v>
      </c>
      <c r="B112" t="s">
        <v>68</v>
      </c>
      <c r="C112" t="s">
        <v>1956</v>
      </c>
      <c r="D112" t="s">
        <v>70</v>
      </c>
      <c r="E112" t="s">
        <v>349</v>
      </c>
      <c r="F112">
        <v>6</v>
      </c>
      <c r="G112">
        <v>333.33</v>
      </c>
      <c r="H112">
        <v>3</v>
      </c>
      <c r="I112">
        <v>4</v>
      </c>
      <c r="J112">
        <v>3</v>
      </c>
      <c r="K112" t="s">
        <v>110</v>
      </c>
      <c r="L112" t="s">
        <v>133</v>
      </c>
      <c r="M112" s="4">
        <v>2950000000</v>
      </c>
      <c r="N112">
        <v>0</v>
      </c>
      <c r="O112">
        <v>4.7286679999999999</v>
      </c>
      <c r="P112">
        <v>-74.084076999999994</v>
      </c>
      <c r="Q112" t="s">
        <v>2467</v>
      </c>
      <c r="R112">
        <v>8850088.5010000002</v>
      </c>
      <c r="S112">
        <v>0</v>
      </c>
      <c r="T112" t="s">
        <v>117</v>
      </c>
      <c r="U112" t="s">
        <v>118</v>
      </c>
      <c r="V112" t="s">
        <v>77</v>
      </c>
      <c r="W112" t="s">
        <v>119</v>
      </c>
      <c r="X112" t="s">
        <v>120</v>
      </c>
      <c r="Y112">
        <v>1.87779721149487</v>
      </c>
      <c r="Z112">
        <v>1877.79721149487</v>
      </c>
      <c r="AA112">
        <v>4.73719444444444</v>
      </c>
      <c r="AB112">
        <v>-74.069472222222203</v>
      </c>
      <c r="AC112">
        <v>2555</v>
      </c>
      <c r="AD112">
        <v>0</v>
      </c>
      <c r="AE112" t="s">
        <v>80</v>
      </c>
      <c r="AF112" t="s">
        <v>107</v>
      </c>
      <c r="AG112" t="s">
        <v>82</v>
      </c>
      <c r="AH112" t="s">
        <v>83</v>
      </c>
      <c r="AI112" t="s">
        <v>121</v>
      </c>
      <c r="AJ112">
        <v>0.82995691684837603</v>
      </c>
      <c r="AK112">
        <v>4.5286400734216903</v>
      </c>
      <c r="AL112">
        <v>1.91720272153755</v>
      </c>
      <c r="AM112">
        <v>0.47216729178773298</v>
      </c>
      <c r="AN112">
        <v>1.41521581217115</v>
      </c>
      <c r="AO112">
        <v>1.3670074129372401E-4</v>
      </c>
      <c r="AP112">
        <v>1.3670074129372401E-4</v>
      </c>
      <c r="AQ112">
        <v>0</v>
      </c>
      <c r="AR112">
        <v>1</v>
      </c>
      <c r="AS112">
        <v>0</v>
      </c>
      <c r="AT112">
        <v>0</v>
      </c>
      <c r="AU112">
        <v>0</v>
      </c>
      <c r="AV112">
        <v>7</v>
      </c>
      <c r="AW112">
        <v>0</v>
      </c>
      <c r="AX112">
        <v>0</v>
      </c>
      <c r="AY112">
        <v>15.3</v>
      </c>
      <c r="AZ112">
        <v>9.8000000000000007</v>
      </c>
      <c r="BA112">
        <v>29.7</v>
      </c>
      <c r="BB112">
        <v>564</v>
      </c>
      <c r="BC112">
        <v>68</v>
      </c>
      <c r="BD112">
        <v>1.8</v>
      </c>
      <c r="BE112">
        <v>43</v>
      </c>
      <c r="BF112">
        <v>25.4</v>
      </c>
      <c r="BG112">
        <v>162</v>
      </c>
      <c r="BH112">
        <v>9.1</v>
      </c>
      <c r="BI112">
        <v>9.1999999999999993</v>
      </c>
      <c r="BJ112">
        <v>18.3</v>
      </c>
      <c r="BK112">
        <v>0.34</v>
      </c>
      <c r="BL112">
        <v>7.3</v>
      </c>
      <c r="BM112">
        <v>0.9</v>
      </c>
      <c r="BN112">
        <v>7.5</v>
      </c>
      <c r="BO112">
        <v>2.9</v>
      </c>
      <c r="BP112">
        <f t="shared" si="2"/>
        <v>8.930134208363258</v>
      </c>
      <c r="BQ112">
        <f t="shared" si="3"/>
        <v>28.391219156594278</v>
      </c>
    </row>
    <row r="113" spans="1:69" hidden="1" x14ac:dyDescent="0.2">
      <c r="A113" t="s">
        <v>2790</v>
      </c>
      <c r="B113" t="s">
        <v>68</v>
      </c>
      <c r="C113" t="s">
        <v>1956</v>
      </c>
      <c r="D113" t="s">
        <v>70</v>
      </c>
      <c r="E113" t="s">
        <v>267</v>
      </c>
      <c r="F113">
        <v>6</v>
      </c>
      <c r="G113">
        <v>333</v>
      </c>
      <c r="H113">
        <v>4</v>
      </c>
      <c r="I113">
        <v>5</v>
      </c>
      <c r="J113">
        <v>4</v>
      </c>
      <c r="K113" t="s">
        <v>110</v>
      </c>
      <c r="L113" t="s">
        <v>162</v>
      </c>
      <c r="M113" s="4">
        <v>2980000000</v>
      </c>
      <c r="N113">
        <v>0</v>
      </c>
      <c r="O113">
        <v>4.8177399999999997</v>
      </c>
      <c r="P113">
        <v>-74.047229999999999</v>
      </c>
      <c r="Q113" t="s">
        <v>2791</v>
      </c>
      <c r="R113">
        <v>8948948.9489999991</v>
      </c>
      <c r="S113">
        <v>0</v>
      </c>
      <c r="T113" t="s">
        <v>151</v>
      </c>
      <c r="U113" t="s">
        <v>152</v>
      </c>
      <c r="V113" t="s">
        <v>77</v>
      </c>
      <c r="W113" t="s">
        <v>119</v>
      </c>
      <c r="X113" t="s">
        <v>153</v>
      </c>
      <c r="Y113">
        <v>3.7992547065598998</v>
      </c>
      <c r="Z113">
        <v>3799.2547065599001</v>
      </c>
      <c r="AA113">
        <v>4.7837500000000004</v>
      </c>
      <c r="AB113">
        <v>-74.044138888888895</v>
      </c>
      <c r="AC113">
        <v>2580</v>
      </c>
      <c r="AD113">
        <v>0</v>
      </c>
      <c r="AE113" t="s">
        <v>154</v>
      </c>
      <c r="AF113" t="s">
        <v>107</v>
      </c>
      <c r="AG113" t="s">
        <v>82</v>
      </c>
      <c r="AH113" t="s">
        <v>83</v>
      </c>
      <c r="AI113" t="s">
        <v>121</v>
      </c>
      <c r="AJ113">
        <v>5.4215650193401999</v>
      </c>
      <c r="AK113">
        <v>1.0706398780751201</v>
      </c>
      <c r="AL113">
        <v>1.95467676980362</v>
      </c>
      <c r="AM113">
        <v>4.4662901491804501</v>
      </c>
      <c r="AN113">
        <v>8.7225067653632493</v>
      </c>
      <c r="AO113">
        <v>0.32100648481090899</v>
      </c>
      <c r="AP113">
        <v>0.32100648481090899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15.3</v>
      </c>
      <c r="AZ113">
        <v>9.8000000000000007</v>
      </c>
      <c r="BA113">
        <v>29.7</v>
      </c>
      <c r="BB113">
        <v>564</v>
      </c>
      <c r="BC113">
        <v>68</v>
      </c>
      <c r="BD113">
        <v>1.8</v>
      </c>
      <c r="BE113">
        <v>43</v>
      </c>
      <c r="BF113">
        <v>25.4</v>
      </c>
      <c r="BG113">
        <v>162</v>
      </c>
      <c r="BH113">
        <v>9.1</v>
      </c>
      <c r="BI113">
        <v>9.1999999999999993</v>
      </c>
      <c r="BJ113">
        <v>18.3</v>
      </c>
      <c r="BK113">
        <v>0.34</v>
      </c>
      <c r="BL113">
        <v>7.3</v>
      </c>
      <c r="BM113">
        <v>0.9</v>
      </c>
      <c r="BN113">
        <v>7.5</v>
      </c>
      <c r="BO113">
        <v>2.9</v>
      </c>
      <c r="BP113">
        <f t="shared" si="2"/>
        <v>8.1199116835294713</v>
      </c>
      <c r="BQ113">
        <f t="shared" si="3"/>
        <v>27.111688174385019</v>
      </c>
    </row>
    <row r="114" spans="1:69" hidden="1" x14ac:dyDescent="0.2">
      <c r="A114" t="s">
        <v>2530</v>
      </c>
      <c r="B114" t="s">
        <v>68</v>
      </c>
      <c r="C114" t="s">
        <v>1956</v>
      </c>
      <c r="D114" t="s">
        <v>70</v>
      </c>
      <c r="E114" t="s">
        <v>267</v>
      </c>
      <c r="F114">
        <v>6</v>
      </c>
      <c r="G114">
        <v>330</v>
      </c>
      <c r="H114">
        <v>4</v>
      </c>
      <c r="I114">
        <v>5</v>
      </c>
      <c r="J114">
        <v>4</v>
      </c>
      <c r="K114" t="s">
        <v>110</v>
      </c>
      <c r="L114" t="s">
        <v>124</v>
      </c>
      <c r="M114" s="4">
        <v>2500000000</v>
      </c>
      <c r="N114">
        <v>0</v>
      </c>
      <c r="O114">
        <v>4.8174900000000003</v>
      </c>
      <c r="P114">
        <v>-74.048879999999997</v>
      </c>
      <c r="Q114" t="s">
        <v>2531</v>
      </c>
      <c r="R114">
        <v>7575757.5760000004</v>
      </c>
      <c r="S114">
        <v>0</v>
      </c>
      <c r="T114" t="s">
        <v>151</v>
      </c>
      <c r="U114" t="s">
        <v>152</v>
      </c>
      <c r="V114" t="s">
        <v>77</v>
      </c>
      <c r="W114" t="s">
        <v>119</v>
      </c>
      <c r="X114" t="s">
        <v>153</v>
      </c>
      <c r="Y114">
        <v>3.7925625865066901</v>
      </c>
      <c r="Z114">
        <v>3792.56258650669</v>
      </c>
      <c r="AA114">
        <v>4.7837500000000004</v>
      </c>
      <c r="AB114">
        <v>-74.044138888888895</v>
      </c>
      <c r="AC114">
        <v>2580</v>
      </c>
      <c r="AD114">
        <v>0</v>
      </c>
      <c r="AE114" t="s">
        <v>154</v>
      </c>
      <c r="AF114" t="s">
        <v>107</v>
      </c>
      <c r="AG114" t="s">
        <v>82</v>
      </c>
      <c r="AH114" t="s">
        <v>83</v>
      </c>
      <c r="AI114" t="s">
        <v>121</v>
      </c>
      <c r="AJ114">
        <v>5.4108421686627199</v>
      </c>
      <c r="AK114">
        <v>1.1038505888488399</v>
      </c>
      <c r="AL114">
        <v>1.9375094107936499</v>
      </c>
      <c r="AM114">
        <v>4.3701942660085704</v>
      </c>
      <c r="AN114">
        <v>8.7454253295073592</v>
      </c>
      <c r="AO114">
        <v>0.44544975947863402</v>
      </c>
      <c r="AP114">
        <v>0.44544975947863402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15.3</v>
      </c>
      <c r="AZ114">
        <v>9.8000000000000007</v>
      </c>
      <c r="BA114">
        <v>29.7</v>
      </c>
      <c r="BB114">
        <v>564</v>
      </c>
      <c r="BC114">
        <v>68</v>
      </c>
      <c r="BD114">
        <v>1.8</v>
      </c>
      <c r="BE114">
        <v>43</v>
      </c>
      <c r="BF114">
        <v>25.4</v>
      </c>
      <c r="BG114">
        <v>162</v>
      </c>
      <c r="BH114">
        <v>9.1</v>
      </c>
      <c r="BI114">
        <v>9.1999999999999993</v>
      </c>
      <c r="BJ114">
        <v>18.3</v>
      </c>
      <c r="BK114">
        <v>0.34</v>
      </c>
      <c r="BL114">
        <v>7.3</v>
      </c>
      <c r="BM114">
        <v>0.9</v>
      </c>
      <c r="BN114">
        <v>7.5</v>
      </c>
      <c r="BO114">
        <v>2.9</v>
      </c>
      <c r="BP114">
        <f t="shared" si="2"/>
        <v>8.122601930568889</v>
      </c>
      <c r="BQ114">
        <f t="shared" si="3"/>
        <v>27.116042956218926</v>
      </c>
    </row>
    <row r="115" spans="1:69" hidden="1" x14ac:dyDescent="0.2">
      <c r="A115" t="s">
        <v>2583</v>
      </c>
      <c r="B115" t="s">
        <v>68</v>
      </c>
      <c r="C115" t="s">
        <v>1956</v>
      </c>
      <c r="D115" t="s">
        <v>70</v>
      </c>
      <c r="E115" t="s">
        <v>1724</v>
      </c>
      <c r="F115">
        <v>5</v>
      </c>
      <c r="G115">
        <v>330</v>
      </c>
      <c r="H115">
        <v>3</v>
      </c>
      <c r="I115">
        <v>3</v>
      </c>
      <c r="J115">
        <v>4</v>
      </c>
      <c r="K115" t="s">
        <v>110</v>
      </c>
      <c r="L115" t="s">
        <v>162</v>
      </c>
      <c r="M115" s="4">
        <v>1900000000</v>
      </c>
      <c r="N115">
        <v>0</v>
      </c>
      <c r="O115">
        <v>4.7643437390000001</v>
      </c>
      <c r="P115">
        <v>-74.076255799999998</v>
      </c>
      <c r="Q115" t="s">
        <v>2584</v>
      </c>
      <c r="R115">
        <v>5757575.7580000004</v>
      </c>
      <c r="S115">
        <v>0</v>
      </c>
      <c r="T115" t="s">
        <v>119</v>
      </c>
      <c r="U115" t="s">
        <v>787</v>
      </c>
      <c r="V115" t="s">
        <v>77</v>
      </c>
      <c r="W115" t="s">
        <v>119</v>
      </c>
      <c r="X115" t="s">
        <v>788</v>
      </c>
      <c r="Y115">
        <v>1.9395495332079999</v>
      </c>
      <c r="Z115">
        <v>1939.549533208</v>
      </c>
      <c r="AA115">
        <v>4.7612472222222202</v>
      </c>
      <c r="AB115">
        <v>-74.093461111111097</v>
      </c>
      <c r="AC115">
        <v>2571</v>
      </c>
      <c r="AD115">
        <v>6</v>
      </c>
      <c r="AE115" t="s">
        <v>154</v>
      </c>
      <c r="AF115" t="s">
        <v>107</v>
      </c>
      <c r="AG115" t="s">
        <v>82</v>
      </c>
      <c r="AH115" t="s">
        <v>83</v>
      </c>
      <c r="AI115" t="s">
        <v>121</v>
      </c>
      <c r="AJ115">
        <v>2.7830624955013601</v>
      </c>
      <c r="AK115">
        <v>3.16327815662933</v>
      </c>
      <c r="AL115">
        <v>2.7987794713454099</v>
      </c>
      <c r="AM115">
        <v>0.67274370955684304</v>
      </c>
      <c r="AN115">
        <v>2.7256945432131001</v>
      </c>
      <c r="AO115">
        <v>0.75288375622502202</v>
      </c>
      <c r="AP115">
        <v>0.75288375622502202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2</v>
      </c>
      <c r="AW115">
        <v>0</v>
      </c>
      <c r="AX115">
        <v>0</v>
      </c>
      <c r="AY115">
        <v>15.3</v>
      </c>
      <c r="AZ115">
        <v>9.8000000000000007</v>
      </c>
      <c r="BA115">
        <v>29.7</v>
      </c>
      <c r="BB115">
        <v>564</v>
      </c>
      <c r="BC115">
        <v>68</v>
      </c>
      <c r="BD115">
        <v>1.8</v>
      </c>
      <c r="BE115">
        <v>43</v>
      </c>
      <c r="BF115">
        <v>25.4</v>
      </c>
      <c r="BG115">
        <v>162</v>
      </c>
      <c r="BH115">
        <v>9.1</v>
      </c>
      <c r="BI115">
        <v>9.1999999999999993</v>
      </c>
      <c r="BJ115">
        <v>18.3</v>
      </c>
      <c r="BK115">
        <v>0.34</v>
      </c>
      <c r="BL115">
        <v>7.3</v>
      </c>
      <c r="BM115">
        <v>0.9</v>
      </c>
      <c r="BN115">
        <v>7.5</v>
      </c>
      <c r="BO115">
        <v>2.9</v>
      </c>
      <c r="BP115">
        <f t="shared" si="2"/>
        <v>8.9028787881823597</v>
      </c>
      <c r="BQ115">
        <f t="shared" si="3"/>
        <v>28.349172952918337</v>
      </c>
    </row>
    <row r="116" spans="1:69" hidden="1" x14ac:dyDescent="0.2">
      <c r="A116" t="s">
        <v>3575</v>
      </c>
      <c r="B116" t="s">
        <v>68</v>
      </c>
      <c r="C116" t="s">
        <v>3294</v>
      </c>
      <c r="D116" t="s">
        <v>70</v>
      </c>
      <c r="E116" t="s">
        <v>3576</v>
      </c>
      <c r="F116">
        <v>5</v>
      </c>
      <c r="G116">
        <v>330</v>
      </c>
      <c r="H116">
        <v>4</v>
      </c>
      <c r="I116">
        <v>5</v>
      </c>
      <c r="J116">
        <v>3</v>
      </c>
      <c r="K116" t="s">
        <v>110</v>
      </c>
      <c r="L116" t="s">
        <v>111</v>
      </c>
      <c r="M116" s="4">
        <v>1800000000</v>
      </c>
      <c r="N116">
        <v>0</v>
      </c>
      <c r="O116">
        <v>4.7161943109999998</v>
      </c>
      <c r="P116">
        <v>-74.081050860000005</v>
      </c>
      <c r="Q116" t="s">
        <v>3577</v>
      </c>
      <c r="R116">
        <v>5454545.4550000001</v>
      </c>
      <c r="S116">
        <v>0</v>
      </c>
      <c r="T116" t="s">
        <v>117</v>
      </c>
      <c r="U116" t="s">
        <v>118</v>
      </c>
      <c r="V116" t="s">
        <v>77</v>
      </c>
      <c r="W116" t="s">
        <v>119</v>
      </c>
      <c r="X116" t="s">
        <v>120</v>
      </c>
      <c r="Y116">
        <v>2.6673974090976098</v>
      </c>
      <c r="Z116">
        <v>2667.3974090976099</v>
      </c>
      <c r="AA116">
        <v>4.73719444444444</v>
      </c>
      <c r="AB116">
        <v>-74.069472222222203</v>
      </c>
      <c r="AC116">
        <v>2555</v>
      </c>
      <c r="AD116">
        <v>0</v>
      </c>
      <c r="AE116" t="s">
        <v>80</v>
      </c>
      <c r="AF116" t="s">
        <v>107</v>
      </c>
      <c r="AG116" t="s">
        <v>82</v>
      </c>
      <c r="AH116" t="s">
        <v>83</v>
      </c>
      <c r="AI116" t="s">
        <v>121</v>
      </c>
      <c r="AJ116">
        <v>0.89905984710588405</v>
      </c>
      <c r="AK116">
        <v>5.05454237051035</v>
      </c>
      <c r="AL116">
        <v>1.07067158629172</v>
      </c>
      <c r="AM116">
        <v>0.34670785717901298</v>
      </c>
      <c r="AN116">
        <v>2.8268354380279601</v>
      </c>
      <c r="AO116">
        <v>0.42715868298606902</v>
      </c>
      <c r="AP116">
        <v>0.42715868298606902</v>
      </c>
      <c r="AQ116">
        <v>0</v>
      </c>
      <c r="AR116">
        <v>1</v>
      </c>
      <c r="AS116">
        <v>0</v>
      </c>
      <c r="AT116">
        <v>0</v>
      </c>
      <c r="AU116">
        <v>0</v>
      </c>
      <c r="AV116">
        <v>10</v>
      </c>
      <c r="AW116">
        <v>0</v>
      </c>
      <c r="AX116">
        <v>0</v>
      </c>
      <c r="AY116">
        <v>15.3</v>
      </c>
      <c r="AZ116">
        <v>9.8000000000000007</v>
      </c>
      <c r="BA116">
        <v>29.7</v>
      </c>
      <c r="BB116">
        <v>564</v>
      </c>
      <c r="BC116">
        <v>68</v>
      </c>
      <c r="BD116">
        <v>1.8</v>
      </c>
      <c r="BE116">
        <v>43</v>
      </c>
      <c r="BF116">
        <v>25.4</v>
      </c>
      <c r="BG116">
        <v>162</v>
      </c>
      <c r="BH116">
        <v>9.1</v>
      </c>
      <c r="BI116">
        <v>9.1999999999999993</v>
      </c>
      <c r="BJ116">
        <v>18.3</v>
      </c>
      <c r="BK116">
        <v>0.34</v>
      </c>
      <c r="BL116">
        <v>7.3</v>
      </c>
      <c r="BM116">
        <v>0.9</v>
      </c>
      <c r="BN116">
        <v>7.5</v>
      </c>
      <c r="BO116">
        <v>2.9</v>
      </c>
      <c r="BP116">
        <f t="shared" si="2"/>
        <v>8.5878311092768751</v>
      </c>
      <c r="BQ116">
        <f t="shared" si="3"/>
        <v>27.858259908676768</v>
      </c>
    </row>
    <row r="117" spans="1:69" hidden="1" x14ac:dyDescent="0.2">
      <c r="A117" t="s">
        <v>2165</v>
      </c>
      <c r="B117" t="s">
        <v>68</v>
      </c>
      <c r="C117" t="s">
        <v>1956</v>
      </c>
      <c r="D117" t="s">
        <v>70</v>
      </c>
      <c r="E117" t="s">
        <v>567</v>
      </c>
      <c r="F117">
        <v>6</v>
      </c>
      <c r="G117">
        <v>326.68</v>
      </c>
      <c r="H117">
        <v>3</v>
      </c>
      <c r="I117">
        <v>5</v>
      </c>
      <c r="J117">
        <v>4</v>
      </c>
      <c r="K117" t="s">
        <v>110</v>
      </c>
      <c r="L117" t="s">
        <v>162</v>
      </c>
      <c r="M117" s="4">
        <v>2200000000</v>
      </c>
      <c r="N117">
        <v>0</v>
      </c>
      <c r="O117">
        <v>4.721654</v>
      </c>
      <c r="P117">
        <v>-74.081587999999996</v>
      </c>
      <c r="Q117" t="s">
        <v>2166</v>
      </c>
      <c r="R117">
        <v>6734419.0029999996</v>
      </c>
      <c r="S117">
        <v>0</v>
      </c>
      <c r="T117" t="s">
        <v>117</v>
      </c>
      <c r="U117" t="s">
        <v>118</v>
      </c>
      <c r="V117" t="s">
        <v>77</v>
      </c>
      <c r="W117" t="s">
        <v>119</v>
      </c>
      <c r="X117" t="s">
        <v>120</v>
      </c>
      <c r="Y117">
        <v>2.1907596120739301</v>
      </c>
      <c r="Z117">
        <v>2190.7596120739299</v>
      </c>
      <c r="AA117">
        <v>4.73719444444444</v>
      </c>
      <c r="AB117">
        <v>-74.069472222222203</v>
      </c>
      <c r="AC117">
        <v>2555</v>
      </c>
      <c r="AD117">
        <v>0</v>
      </c>
      <c r="AE117" t="s">
        <v>80</v>
      </c>
      <c r="AF117" t="s">
        <v>107</v>
      </c>
      <c r="AG117" t="s">
        <v>82</v>
      </c>
      <c r="AH117" t="s">
        <v>83</v>
      </c>
      <c r="AI117" t="s">
        <v>121</v>
      </c>
      <c r="AJ117">
        <v>0.76361562546694395</v>
      </c>
      <c r="AK117">
        <v>4.8761262019993099</v>
      </c>
      <c r="AL117">
        <v>1.24638955608228</v>
      </c>
      <c r="AM117">
        <v>0.69666971174547798</v>
      </c>
      <c r="AN117">
        <v>2.22239909681721</v>
      </c>
      <c r="AO117">
        <v>9.7205584613891199E-2</v>
      </c>
      <c r="AP117">
        <v>9.7205584613891199E-2</v>
      </c>
      <c r="AQ117">
        <v>0</v>
      </c>
      <c r="AR117">
        <v>2</v>
      </c>
      <c r="AS117">
        <v>0</v>
      </c>
      <c r="AT117">
        <v>0</v>
      </c>
      <c r="AU117">
        <v>0</v>
      </c>
      <c r="AV117">
        <v>1</v>
      </c>
      <c r="AW117">
        <v>0</v>
      </c>
      <c r="AX117">
        <v>0</v>
      </c>
      <c r="AY117">
        <v>15.3</v>
      </c>
      <c r="AZ117">
        <v>9.8000000000000007</v>
      </c>
      <c r="BA117">
        <v>29.7</v>
      </c>
      <c r="BB117">
        <v>564</v>
      </c>
      <c r="BC117">
        <v>68</v>
      </c>
      <c r="BD117">
        <v>1.8</v>
      </c>
      <c r="BE117">
        <v>43</v>
      </c>
      <c r="BF117">
        <v>25.4</v>
      </c>
      <c r="BG117">
        <v>162</v>
      </c>
      <c r="BH117">
        <v>9.1</v>
      </c>
      <c r="BI117">
        <v>9.1999999999999993</v>
      </c>
      <c r="BJ117">
        <v>18.3</v>
      </c>
      <c r="BK117">
        <v>0.34</v>
      </c>
      <c r="BL117">
        <v>7.3</v>
      </c>
      <c r="BM117">
        <v>0.9</v>
      </c>
      <c r="BN117">
        <v>7.5</v>
      </c>
      <c r="BO117">
        <v>2.9</v>
      </c>
      <c r="BP117">
        <f t="shared" si="2"/>
        <v>8.7928578577491461</v>
      </c>
      <c r="BQ117">
        <f t="shared" si="3"/>
        <v>28.178768804606865</v>
      </c>
    </row>
    <row r="118" spans="1:69" hidden="1" x14ac:dyDescent="0.2">
      <c r="A118" t="s">
        <v>2904</v>
      </c>
      <c r="B118" t="s">
        <v>68</v>
      </c>
      <c r="C118" t="s">
        <v>1956</v>
      </c>
      <c r="D118" t="s">
        <v>70</v>
      </c>
      <c r="E118" t="s">
        <v>1517</v>
      </c>
      <c r="F118">
        <v>5</v>
      </c>
      <c r="G118">
        <v>325</v>
      </c>
      <c r="H118">
        <v>5</v>
      </c>
      <c r="I118">
        <v>5</v>
      </c>
      <c r="J118">
        <v>3</v>
      </c>
      <c r="K118" t="s">
        <v>110</v>
      </c>
      <c r="L118" t="s">
        <v>162</v>
      </c>
      <c r="M118" s="4">
        <v>2100000000</v>
      </c>
      <c r="N118">
        <v>0</v>
      </c>
      <c r="O118">
        <v>4.7089499999999997</v>
      </c>
      <c r="P118">
        <v>-74.077349999999996</v>
      </c>
      <c r="Q118" t="s">
        <v>2905</v>
      </c>
      <c r="R118">
        <v>6461538.4620000003</v>
      </c>
      <c r="S118">
        <v>0</v>
      </c>
      <c r="T118" t="s">
        <v>117</v>
      </c>
      <c r="U118" t="s">
        <v>118</v>
      </c>
      <c r="V118" t="s">
        <v>77</v>
      </c>
      <c r="W118" t="s">
        <v>119</v>
      </c>
      <c r="X118" t="s">
        <v>120</v>
      </c>
      <c r="Y118">
        <v>3.2633651344820902</v>
      </c>
      <c r="Z118">
        <v>3263.3651344820901</v>
      </c>
      <c r="AA118">
        <v>4.73719444444444</v>
      </c>
      <c r="AB118">
        <v>-74.069472222222203</v>
      </c>
      <c r="AC118">
        <v>2555</v>
      </c>
      <c r="AD118">
        <v>0</v>
      </c>
      <c r="AE118" t="s">
        <v>80</v>
      </c>
      <c r="AF118" t="s">
        <v>107</v>
      </c>
      <c r="AG118" t="s">
        <v>82</v>
      </c>
      <c r="AH118" t="s">
        <v>83</v>
      </c>
      <c r="AI118" t="s">
        <v>121</v>
      </c>
      <c r="AJ118">
        <v>0.65293921648012099</v>
      </c>
      <c r="AK118">
        <v>5.6553608201175498</v>
      </c>
      <c r="AL118">
        <v>1.0933188166346699</v>
      </c>
      <c r="AM118">
        <v>0.169607293711899</v>
      </c>
      <c r="AN118">
        <v>3.5023202317509798</v>
      </c>
      <c r="AO118">
        <v>0.16753705672524399</v>
      </c>
      <c r="AP118">
        <v>0.16753705672524399</v>
      </c>
      <c r="AQ118">
        <v>0</v>
      </c>
      <c r="AR118">
        <v>2</v>
      </c>
      <c r="AS118">
        <v>0</v>
      </c>
      <c r="AT118">
        <v>0</v>
      </c>
      <c r="AU118">
        <v>0</v>
      </c>
      <c r="AV118">
        <v>31</v>
      </c>
      <c r="AW118">
        <v>0</v>
      </c>
      <c r="AX118">
        <v>0</v>
      </c>
      <c r="AY118">
        <v>15.3</v>
      </c>
      <c r="AZ118">
        <v>9.8000000000000007</v>
      </c>
      <c r="BA118">
        <v>29.7</v>
      </c>
      <c r="BB118">
        <v>564</v>
      </c>
      <c r="BC118">
        <v>68</v>
      </c>
      <c r="BD118">
        <v>1.8</v>
      </c>
      <c r="BE118">
        <v>43</v>
      </c>
      <c r="BF118">
        <v>25.4</v>
      </c>
      <c r="BG118">
        <v>162</v>
      </c>
      <c r="BH118">
        <v>9.1</v>
      </c>
      <c r="BI118">
        <v>9.1999999999999993</v>
      </c>
      <c r="BJ118">
        <v>18.3</v>
      </c>
      <c r="BK118">
        <v>0.34</v>
      </c>
      <c r="BL118">
        <v>7.3</v>
      </c>
      <c r="BM118">
        <v>0.9</v>
      </c>
      <c r="BN118">
        <v>7.5</v>
      </c>
      <c r="BO118">
        <v>2.9</v>
      </c>
      <c r="BP118">
        <f t="shared" si="2"/>
        <v>8.3381870406229446</v>
      </c>
      <c r="BQ118">
        <f t="shared" si="3"/>
        <v>27.462633052574439</v>
      </c>
    </row>
    <row r="119" spans="1:69" hidden="1" x14ac:dyDescent="0.2">
      <c r="A119" t="s">
        <v>2927</v>
      </c>
      <c r="B119" t="s">
        <v>68</v>
      </c>
      <c r="C119" t="s">
        <v>1956</v>
      </c>
      <c r="D119" t="s">
        <v>70</v>
      </c>
      <c r="E119" t="s">
        <v>1517</v>
      </c>
      <c r="F119">
        <v>5</v>
      </c>
      <c r="G119">
        <v>325</v>
      </c>
      <c r="H119">
        <v>5</v>
      </c>
      <c r="I119">
        <v>5</v>
      </c>
      <c r="J119">
        <v>3</v>
      </c>
      <c r="K119" t="s">
        <v>110</v>
      </c>
      <c r="L119" t="s">
        <v>162</v>
      </c>
      <c r="M119" s="4">
        <v>2000000000</v>
      </c>
      <c r="N119">
        <v>0</v>
      </c>
      <c r="O119">
        <v>4.7089499999999997</v>
      </c>
      <c r="P119">
        <v>-74.077349999999996</v>
      </c>
      <c r="Q119" t="s">
        <v>2928</v>
      </c>
      <c r="R119">
        <v>6153846.1540000001</v>
      </c>
      <c r="S119">
        <v>0</v>
      </c>
      <c r="T119" t="s">
        <v>117</v>
      </c>
      <c r="U119" t="s">
        <v>118</v>
      </c>
      <c r="V119" t="s">
        <v>77</v>
      </c>
      <c r="W119" t="s">
        <v>119</v>
      </c>
      <c r="X119" t="s">
        <v>120</v>
      </c>
      <c r="Y119">
        <v>3.2633651344820902</v>
      </c>
      <c r="Z119">
        <v>3263.3651344820901</v>
      </c>
      <c r="AA119">
        <v>4.73719444444444</v>
      </c>
      <c r="AB119">
        <v>-74.069472222222203</v>
      </c>
      <c r="AC119">
        <v>2555</v>
      </c>
      <c r="AD119">
        <v>0</v>
      </c>
      <c r="AE119" t="s">
        <v>80</v>
      </c>
      <c r="AF119" t="s">
        <v>107</v>
      </c>
      <c r="AG119" t="s">
        <v>82</v>
      </c>
      <c r="AH119" t="s">
        <v>83</v>
      </c>
      <c r="AI119" t="s">
        <v>121</v>
      </c>
      <c r="AJ119">
        <v>0.65293921648012099</v>
      </c>
      <c r="AK119">
        <v>5.6553608201175498</v>
      </c>
      <c r="AL119">
        <v>1.0933188166346699</v>
      </c>
      <c r="AM119">
        <v>0.169607293711899</v>
      </c>
      <c r="AN119">
        <v>3.5023202317509798</v>
      </c>
      <c r="AO119">
        <v>0.16753705672524399</v>
      </c>
      <c r="AP119">
        <v>0.16753705672524399</v>
      </c>
      <c r="AQ119">
        <v>0</v>
      </c>
      <c r="AR119">
        <v>2</v>
      </c>
      <c r="AS119">
        <v>0</v>
      </c>
      <c r="AT119">
        <v>0</v>
      </c>
      <c r="AU119">
        <v>0</v>
      </c>
      <c r="AV119">
        <v>31</v>
      </c>
      <c r="AW119">
        <v>0</v>
      </c>
      <c r="AX119">
        <v>0</v>
      </c>
      <c r="AY119">
        <v>15.3</v>
      </c>
      <c r="AZ119">
        <v>9.8000000000000007</v>
      </c>
      <c r="BA119">
        <v>29.7</v>
      </c>
      <c r="BB119">
        <v>564</v>
      </c>
      <c r="BC119">
        <v>68</v>
      </c>
      <c r="BD119">
        <v>1.8</v>
      </c>
      <c r="BE119">
        <v>43</v>
      </c>
      <c r="BF119">
        <v>25.4</v>
      </c>
      <c r="BG119">
        <v>162</v>
      </c>
      <c r="BH119">
        <v>9.1</v>
      </c>
      <c r="BI119">
        <v>9.1999999999999993</v>
      </c>
      <c r="BJ119">
        <v>18.3</v>
      </c>
      <c r="BK119">
        <v>0.34</v>
      </c>
      <c r="BL119">
        <v>7.3</v>
      </c>
      <c r="BM119">
        <v>0.9</v>
      </c>
      <c r="BN119">
        <v>7.5</v>
      </c>
      <c r="BO119">
        <v>2.9</v>
      </c>
      <c r="BP119">
        <f t="shared" si="2"/>
        <v>8.3381870406229446</v>
      </c>
      <c r="BQ119">
        <f t="shared" si="3"/>
        <v>27.462633052574439</v>
      </c>
    </row>
    <row r="120" spans="1:69" hidden="1" x14ac:dyDescent="0.2">
      <c r="A120" t="s">
        <v>2472</v>
      </c>
      <c r="B120" t="s">
        <v>68</v>
      </c>
      <c r="C120" t="s">
        <v>1956</v>
      </c>
      <c r="D120" t="s">
        <v>70</v>
      </c>
      <c r="E120" t="s">
        <v>2473</v>
      </c>
      <c r="F120">
        <v>5</v>
      </c>
      <c r="G120">
        <v>323</v>
      </c>
      <c r="H120">
        <v>4</v>
      </c>
      <c r="I120">
        <v>5</v>
      </c>
      <c r="J120">
        <v>4</v>
      </c>
      <c r="K120" t="s">
        <v>110</v>
      </c>
      <c r="L120" t="s">
        <v>133</v>
      </c>
      <c r="M120" s="4">
        <v>2680000000</v>
      </c>
      <c r="N120">
        <v>0</v>
      </c>
      <c r="O120">
        <v>4.7660517689999997</v>
      </c>
      <c r="P120">
        <v>-74.06549072</v>
      </c>
      <c r="Q120" t="s">
        <v>2474</v>
      </c>
      <c r="R120">
        <v>8297213.6220000004</v>
      </c>
      <c r="S120">
        <v>0</v>
      </c>
      <c r="T120" t="s">
        <v>151</v>
      </c>
      <c r="U120" t="s">
        <v>152</v>
      </c>
      <c r="V120" t="s">
        <v>77</v>
      </c>
      <c r="W120" t="s">
        <v>119</v>
      </c>
      <c r="X120" t="s">
        <v>153</v>
      </c>
      <c r="Y120">
        <v>3.0808945253048101</v>
      </c>
      <c r="Z120">
        <v>3080.89452530481</v>
      </c>
      <c r="AA120">
        <v>4.7837500000000004</v>
      </c>
      <c r="AB120">
        <v>-74.044138888888895</v>
      </c>
      <c r="AC120">
        <v>2580</v>
      </c>
      <c r="AD120">
        <v>0</v>
      </c>
      <c r="AE120" t="s">
        <v>154</v>
      </c>
      <c r="AF120" t="s">
        <v>107</v>
      </c>
      <c r="AG120" t="s">
        <v>82</v>
      </c>
      <c r="AH120" t="s">
        <v>83</v>
      </c>
      <c r="AI120" t="s">
        <v>121</v>
      </c>
      <c r="AJ120">
        <v>2.3526421576834</v>
      </c>
      <c r="AK120">
        <v>3.7349416723084201</v>
      </c>
      <c r="AL120">
        <v>1.9310339301520301</v>
      </c>
      <c r="AM120">
        <v>0.44068902742477201</v>
      </c>
      <c r="AN120">
        <v>3.4989583464927998</v>
      </c>
      <c r="AO120">
        <v>7.5407375780519202E-3</v>
      </c>
      <c r="AP120">
        <v>7.5407375780519202E-3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5</v>
      </c>
      <c r="AW120">
        <v>0</v>
      </c>
      <c r="AX120">
        <v>1</v>
      </c>
      <c r="AY120">
        <v>15.3</v>
      </c>
      <c r="AZ120">
        <v>9.8000000000000007</v>
      </c>
      <c r="BA120">
        <v>29.7</v>
      </c>
      <c r="BB120">
        <v>564</v>
      </c>
      <c r="BC120">
        <v>68</v>
      </c>
      <c r="BD120">
        <v>1.8</v>
      </c>
      <c r="BE120">
        <v>43</v>
      </c>
      <c r="BF120">
        <v>25.4</v>
      </c>
      <c r="BG120">
        <v>162</v>
      </c>
      <c r="BH120">
        <v>9.1</v>
      </c>
      <c r="BI120">
        <v>9.1999999999999993</v>
      </c>
      <c r="BJ120">
        <v>18.3</v>
      </c>
      <c r="BK120">
        <v>0.34</v>
      </c>
      <c r="BL120">
        <v>7.3</v>
      </c>
      <c r="BM120">
        <v>0.9</v>
      </c>
      <c r="BN120">
        <v>7.5</v>
      </c>
      <c r="BO120">
        <v>2.9</v>
      </c>
      <c r="BP120">
        <f t="shared" si="2"/>
        <v>8.4138411578475498</v>
      </c>
      <c r="BQ120">
        <f t="shared" si="3"/>
        <v>27.583163740826638</v>
      </c>
    </row>
    <row r="121" spans="1:69" hidden="1" x14ac:dyDescent="0.2">
      <c r="A121" t="s">
        <v>3065</v>
      </c>
      <c r="B121" t="s">
        <v>68</v>
      </c>
      <c r="C121" t="s">
        <v>1956</v>
      </c>
      <c r="D121" t="s">
        <v>70</v>
      </c>
      <c r="E121" t="s">
        <v>492</v>
      </c>
      <c r="F121">
        <v>5</v>
      </c>
      <c r="G121">
        <v>322</v>
      </c>
      <c r="H121">
        <v>5</v>
      </c>
      <c r="I121">
        <v>5</v>
      </c>
      <c r="J121">
        <v>0</v>
      </c>
      <c r="K121" t="s">
        <v>110</v>
      </c>
      <c r="L121" t="s">
        <v>162</v>
      </c>
      <c r="M121" s="4">
        <v>1490000000</v>
      </c>
      <c r="N121">
        <v>0</v>
      </c>
      <c r="O121">
        <v>4.7139338449999997</v>
      </c>
      <c r="P121">
        <v>-74.072554710000006</v>
      </c>
      <c r="Q121" t="s">
        <v>3066</v>
      </c>
      <c r="R121">
        <v>4627329.193</v>
      </c>
      <c r="S121">
        <v>0</v>
      </c>
      <c r="T121" t="s">
        <v>117</v>
      </c>
      <c r="U121" t="s">
        <v>118</v>
      </c>
      <c r="V121" t="s">
        <v>77</v>
      </c>
      <c r="W121" t="s">
        <v>119</v>
      </c>
      <c r="X121" t="s">
        <v>120</v>
      </c>
      <c r="Y121">
        <v>2.6118426217266402</v>
      </c>
      <c r="Z121">
        <v>2611.8426217266401</v>
      </c>
      <c r="AA121">
        <v>4.73719444444444</v>
      </c>
      <c r="AB121">
        <v>-74.069472222222203</v>
      </c>
      <c r="AC121">
        <v>2555</v>
      </c>
      <c r="AD121">
        <v>0</v>
      </c>
      <c r="AE121" t="s">
        <v>80</v>
      </c>
      <c r="AF121" t="s">
        <v>107</v>
      </c>
      <c r="AG121" t="s">
        <v>82</v>
      </c>
      <c r="AH121" t="s">
        <v>83</v>
      </c>
      <c r="AI121" t="s">
        <v>121</v>
      </c>
      <c r="AJ121">
        <v>0.215334190816345</v>
      </c>
      <c r="AK121">
        <v>5.2901965394635502</v>
      </c>
      <c r="AL121">
        <v>0.34627411793887602</v>
      </c>
      <c r="AM121">
        <v>5.51259600993486E-2</v>
      </c>
      <c r="AN121">
        <v>3.3501031159591701</v>
      </c>
      <c r="AO121">
        <v>5.3120154681302399E-2</v>
      </c>
      <c r="AP121">
        <v>5.3120154681302399E-2</v>
      </c>
      <c r="AQ121">
        <v>1</v>
      </c>
      <c r="AR121">
        <v>3</v>
      </c>
      <c r="AS121">
        <v>0</v>
      </c>
      <c r="AT121">
        <v>0</v>
      </c>
      <c r="AU121">
        <v>1</v>
      </c>
      <c r="AV121">
        <v>44</v>
      </c>
      <c r="AW121">
        <v>0</v>
      </c>
      <c r="AX121">
        <v>0</v>
      </c>
      <c r="AY121">
        <v>15.3</v>
      </c>
      <c r="AZ121">
        <v>9.8000000000000007</v>
      </c>
      <c r="BA121">
        <v>29.7</v>
      </c>
      <c r="BB121">
        <v>564</v>
      </c>
      <c r="BC121">
        <v>68</v>
      </c>
      <c r="BD121">
        <v>1.8</v>
      </c>
      <c r="BE121">
        <v>43</v>
      </c>
      <c r="BF121">
        <v>25.4</v>
      </c>
      <c r="BG121">
        <v>162</v>
      </c>
      <c r="BH121">
        <v>9.1</v>
      </c>
      <c r="BI121">
        <v>9.1999999999999993</v>
      </c>
      <c r="BJ121">
        <v>18.3</v>
      </c>
      <c r="BK121">
        <v>0.34</v>
      </c>
      <c r="BL121">
        <v>7.3</v>
      </c>
      <c r="BM121">
        <v>0.9</v>
      </c>
      <c r="BN121">
        <v>7.5</v>
      </c>
      <c r="BO121">
        <v>2.9</v>
      </c>
      <c r="BP121">
        <f t="shared" si="2"/>
        <v>8.6114798198982143</v>
      </c>
      <c r="BQ121">
        <f t="shared" si="3"/>
        <v>27.895428514836645</v>
      </c>
    </row>
    <row r="122" spans="1:69" hidden="1" x14ac:dyDescent="0.2">
      <c r="A122" t="s">
        <v>2217</v>
      </c>
      <c r="B122" t="s">
        <v>68</v>
      </c>
      <c r="C122" t="s">
        <v>1956</v>
      </c>
      <c r="D122" t="s">
        <v>70</v>
      </c>
      <c r="E122" t="s">
        <v>349</v>
      </c>
      <c r="F122">
        <v>5</v>
      </c>
      <c r="G122">
        <v>321.51</v>
      </c>
      <c r="H122">
        <v>3</v>
      </c>
      <c r="I122">
        <v>4</v>
      </c>
      <c r="J122">
        <v>2</v>
      </c>
      <c r="K122" t="s">
        <v>110</v>
      </c>
      <c r="L122" t="s">
        <v>124</v>
      </c>
      <c r="M122" s="4">
        <v>2300000000</v>
      </c>
      <c r="N122">
        <v>0</v>
      </c>
      <c r="O122">
        <v>4.7292680000000002</v>
      </c>
      <c r="P122">
        <v>-74.073453000000001</v>
      </c>
      <c r="Q122" t="s">
        <v>2218</v>
      </c>
      <c r="R122">
        <v>7153743.2740000002</v>
      </c>
      <c r="S122">
        <v>0</v>
      </c>
      <c r="T122" t="s">
        <v>117</v>
      </c>
      <c r="U122" t="s">
        <v>118</v>
      </c>
      <c r="V122" t="s">
        <v>77</v>
      </c>
      <c r="W122" t="s">
        <v>119</v>
      </c>
      <c r="X122" t="s">
        <v>120</v>
      </c>
      <c r="Y122">
        <v>0.98671535818298495</v>
      </c>
      <c r="Z122">
        <v>986.71535818298503</v>
      </c>
      <c r="AA122">
        <v>4.73719444444444</v>
      </c>
      <c r="AB122">
        <v>-74.069472222222203</v>
      </c>
      <c r="AC122">
        <v>2555</v>
      </c>
      <c r="AD122">
        <v>0</v>
      </c>
      <c r="AE122" t="s">
        <v>80</v>
      </c>
      <c r="AF122" t="s">
        <v>107</v>
      </c>
      <c r="AG122" t="s">
        <v>82</v>
      </c>
      <c r="AH122" t="s">
        <v>83</v>
      </c>
      <c r="AI122" t="s">
        <v>121</v>
      </c>
      <c r="AJ122">
        <v>0.24483616424368199</v>
      </c>
      <c r="AK122">
        <v>5.6320119510179296</v>
      </c>
      <c r="AL122">
        <v>1.3906065693259599</v>
      </c>
      <c r="AM122">
        <v>0.58175584030467897</v>
      </c>
      <c r="AN122">
        <v>1.8789094535705699</v>
      </c>
      <c r="AO122">
        <v>0.2494078032724</v>
      </c>
      <c r="AP122">
        <v>0.2494078032724</v>
      </c>
      <c r="AQ122">
        <v>1</v>
      </c>
      <c r="AR122">
        <v>2</v>
      </c>
      <c r="AS122">
        <v>0</v>
      </c>
      <c r="AT122">
        <v>0</v>
      </c>
      <c r="AU122">
        <v>0</v>
      </c>
      <c r="AV122">
        <v>10</v>
      </c>
      <c r="AW122">
        <v>0</v>
      </c>
      <c r="AX122">
        <v>0</v>
      </c>
      <c r="AY122">
        <v>15.3</v>
      </c>
      <c r="AZ122">
        <v>9.8000000000000007</v>
      </c>
      <c r="BA122">
        <v>29.7</v>
      </c>
      <c r="BB122">
        <v>564</v>
      </c>
      <c r="BC122">
        <v>68</v>
      </c>
      <c r="BD122">
        <v>1.8</v>
      </c>
      <c r="BE122">
        <v>43</v>
      </c>
      <c r="BF122">
        <v>25.4</v>
      </c>
      <c r="BG122">
        <v>162</v>
      </c>
      <c r="BH122">
        <v>9.1</v>
      </c>
      <c r="BI122">
        <v>9.1999999999999993</v>
      </c>
      <c r="BJ122">
        <v>18.3</v>
      </c>
      <c r="BK122">
        <v>0.34</v>
      </c>
      <c r="BL122">
        <v>7.3</v>
      </c>
      <c r="BM122">
        <v>0.9</v>
      </c>
      <c r="BN122">
        <v>7.5</v>
      </c>
      <c r="BO122">
        <v>2.9</v>
      </c>
      <c r="BP122">
        <f t="shared" si="2"/>
        <v>9.3328457161723097</v>
      </c>
      <c r="BQ122">
        <f t="shared" si="3"/>
        <v>29.004931788854481</v>
      </c>
    </row>
    <row r="123" spans="1:69" hidden="1" x14ac:dyDescent="0.2">
      <c r="A123" t="s">
        <v>552</v>
      </c>
      <c r="B123" t="s">
        <v>68</v>
      </c>
      <c r="C123" t="s">
        <v>69</v>
      </c>
      <c r="D123" t="s">
        <v>70</v>
      </c>
      <c r="E123" t="s">
        <v>349</v>
      </c>
      <c r="F123">
        <v>6</v>
      </c>
      <c r="G123">
        <v>321.37</v>
      </c>
      <c r="H123">
        <v>3</v>
      </c>
      <c r="I123">
        <v>4</v>
      </c>
      <c r="J123">
        <v>4</v>
      </c>
      <c r="K123" t="s">
        <v>110</v>
      </c>
      <c r="L123" t="s">
        <v>124</v>
      </c>
      <c r="M123" s="4">
        <v>2500000000</v>
      </c>
      <c r="N123">
        <v>0</v>
      </c>
      <c r="O123">
        <v>4.7333980000000002</v>
      </c>
      <c r="P123">
        <v>-74.074433999999997</v>
      </c>
      <c r="Q123" t="s">
        <v>553</v>
      </c>
      <c r="R123">
        <v>7779195.3200000003</v>
      </c>
      <c r="S123">
        <v>0</v>
      </c>
      <c r="T123" t="s">
        <v>117</v>
      </c>
      <c r="U123" t="s">
        <v>118</v>
      </c>
      <c r="V123" t="s">
        <v>77</v>
      </c>
      <c r="W123" t="s">
        <v>119</v>
      </c>
      <c r="X123" t="s">
        <v>120</v>
      </c>
      <c r="Y123">
        <v>0.69398084157348305</v>
      </c>
      <c r="Z123">
        <v>693.98084157348296</v>
      </c>
      <c r="AA123">
        <v>4.73719444444444</v>
      </c>
      <c r="AB123">
        <v>-74.069472222222203</v>
      </c>
      <c r="AC123">
        <v>2555</v>
      </c>
      <c r="AD123">
        <v>0</v>
      </c>
      <c r="AE123" t="s">
        <v>80</v>
      </c>
      <c r="AF123" t="s">
        <v>107</v>
      </c>
      <c r="AG123" t="s">
        <v>82</v>
      </c>
      <c r="AH123" t="s">
        <v>83</v>
      </c>
      <c r="AI123" t="s">
        <v>121</v>
      </c>
      <c r="AJ123">
        <v>0.657467733343292</v>
      </c>
      <c r="AK123">
        <v>5.3604673285971396</v>
      </c>
      <c r="AL123">
        <v>1.8589247979500501</v>
      </c>
      <c r="AM123">
        <v>0.74057456081265305</v>
      </c>
      <c r="AN123">
        <v>1.4963821966073201</v>
      </c>
      <c r="AO123">
        <v>2.3867656499286401E-2</v>
      </c>
      <c r="AP123">
        <v>2.3867656499286401E-2</v>
      </c>
      <c r="AQ123">
        <v>0</v>
      </c>
      <c r="AR123">
        <v>2</v>
      </c>
      <c r="AS123">
        <v>0</v>
      </c>
      <c r="AT123">
        <v>0</v>
      </c>
      <c r="AU123">
        <v>0</v>
      </c>
      <c r="AV123">
        <v>9</v>
      </c>
      <c r="AW123">
        <v>0</v>
      </c>
      <c r="AX123">
        <v>0</v>
      </c>
      <c r="AY123">
        <v>15.3</v>
      </c>
      <c r="AZ123">
        <v>9.8000000000000007</v>
      </c>
      <c r="BA123">
        <v>29.7</v>
      </c>
      <c r="BB123">
        <v>564</v>
      </c>
      <c r="BC123">
        <v>68</v>
      </c>
      <c r="BD123">
        <v>1.8</v>
      </c>
      <c r="BE123">
        <v>43</v>
      </c>
      <c r="BF123">
        <v>25.4</v>
      </c>
      <c r="BG123">
        <v>162</v>
      </c>
      <c r="BH123">
        <v>9.1</v>
      </c>
      <c r="BI123">
        <v>9.1999999999999993</v>
      </c>
      <c r="BJ123">
        <v>18.3</v>
      </c>
      <c r="BK123">
        <v>0.34</v>
      </c>
      <c r="BL123">
        <v>7.3</v>
      </c>
      <c r="BM123">
        <v>0.9</v>
      </c>
      <c r="BN123">
        <v>7.5</v>
      </c>
      <c r="BO123">
        <v>2.9</v>
      </c>
      <c r="BP123">
        <f t="shared" si="2"/>
        <v>9.4690665579985041</v>
      </c>
      <c r="BQ123">
        <f t="shared" si="3"/>
        <v>29.209427174477142</v>
      </c>
    </row>
    <row r="124" spans="1:69" hidden="1" x14ac:dyDescent="0.2">
      <c r="A124" t="s">
        <v>3128</v>
      </c>
      <c r="B124" t="s">
        <v>68</v>
      </c>
      <c r="C124" t="s">
        <v>1956</v>
      </c>
      <c r="D124" t="s">
        <v>70</v>
      </c>
      <c r="E124" t="s">
        <v>267</v>
      </c>
      <c r="F124">
        <v>6</v>
      </c>
      <c r="G124">
        <v>320</v>
      </c>
      <c r="H124">
        <v>3</v>
      </c>
      <c r="I124">
        <v>4</v>
      </c>
      <c r="J124">
        <v>4</v>
      </c>
      <c r="K124" t="s">
        <v>110</v>
      </c>
      <c r="L124" t="s">
        <v>162</v>
      </c>
      <c r="M124" s="4">
        <v>2500000000</v>
      </c>
      <c r="N124">
        <v>0</v>
      </c>
      <c r="O124">
        <v>4.8154199999999996</v>
      </c>
      <c r="P124">
        <v>-74.041520000000006</v>
      </c>
      <c r="Q124" t="s">
        <v>3129</v>
      </c>
      <c r="R124">
        <v>7812500</v>
      </c>
      <c r="S124">
        <v>0</v>
      </c>
      <c r="T124" t="s">
        <v>151</v>
      </c>
      <c r="U124" t="s">
        <v>152</v>
      </c>
      <c r="V124" t="s">
        <v>77</v>
      </c>
      <c r="W124" t="s">
        <v>119</v>
      </c>
      <c r="X124" t="s">
        <v>153</v>
      </c>
      <c r="Y124">
        <v>3.5374375282619499</v>
      </c>
      <c r="Z124">
        <v>3537.4375282619499</v>
      </c>
      <c r="AA124">
        <v>4.7837500000000004</v>
      </c>
      <c r="AB124">
        <v>-74.044138888888895</v>
      </c>
      <c r="AC124">
        <v>2580</v>
      </c>
      <c r="AD124">
        <v>0</v>
      </c>
      <c r="AE124" t="s">
        <v>154</v>
      </c>
      <c r="AF124" t="s">
        <v>107</v>
      </c>
      <c r="AG124" t="s">
        <v>82</v>
      </c>
      <c r="AH124" t="s">
        <v>83</v>
      </c>
      <c r="AI124" t="s">
        <v>121</v>
      </c>
      <c r="AJ124">
        <v>5.1550133358738801</v>
      </c>
      <c r="AK124">
        <v>1.4247411305667901</v>
      </c>
      <c r="AL124">
        <v>1.80578132536789</v>
      </c>
      <c r="AM124">
        <v>4.2038880721100202</v>
      </c>
      <c r="AN124">
        <v>8.3278522121015293</v>
      </c>
      <c r="AO124">
        <v>9.8726092636697502E-2</v>
      </c>
      <c r="AP124">
        <v>9.8726092636697502E-2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15.3</v>
      </c>
      <c r="AZ124">
        <v>9.8000000000000007</v>
      </c>
      <c r="BA124">
        <v>29.7</v>
      </c>
      <c r="BB124">
        <v>564</v>
      </c>
      <c r="BC124">
        <v>68</v>
      </c>
      <c r="BD124">
        <v>1.8</v>
      </c>
      <c r="BE124">
        <v>43</v>
      </c>
      <c r="BF124">
        <v>25.4</v>
      </c>
      <c r="BG124">
        <v>162</v>
      </c>
      <c r="BH124">
        <v>9.1</v>
      </c>
      <c r="BI124">
        <v>9.1999999999999993</v>
      </c>
      <c r="BJ124">
        <v>18.3</v>
      </c>
      <c r="BK124">
        <v>0.34</v>
      </c>
      <c r="BL124">
        <v>7.3</v>
      </c>
      <c r="BM124">
        <v>0.9</v>
      </c>
      <c r="BN124">
        <v>7.5</v>
      </c>
      <c r="BO124">
        <v>2.9</v>
      </c>
      <c r="BP124">
        <f t="shared" si="2"/>
        <v>8.225830202464655</v>
      </c>
      <c r="BQ124">
        <f t="shared" si="3"/>
        <v>27.282583869951299</v>
      </c>
    </row>
    <row r="125" spans="1:69" hidden="1" x14ac:dyDescent="0.2">
      <c r="A125" t="s">
        <v>2427</v>
      </c>
      <c r="B125" t="s">
        <v>68</v>
      </c>
      <c r="C125" t="s">
        <v>1956</v>
      </c>
      <c r="D125" t="s">
        <v>70</v>
      </c>
      <c r="E125" t="s">
        <v>548</v>
      </c>
      <c r="F125">
        <v>6</v>
      </c>
      <c r="G125">
        <v>318</v>
      </c>
      <c r="H125">
        <v>4</v>
      </c>
      <c r="I125">
        <v>5</v>
      </c>
      <c r="J125">
        <v>4</v>
      </c>
      <c r="K125" t="s">
        <v>110</v>
      </c>
      <c r="L125" t="s">
        <v>133</v>
      </c>
      <c r="M125" s="4">
        <v>1950000000</v>
      </c>
      <c r="N125">
        <v>0</v>
      </c>
      <c r="O125">
        <v>4.7204236999999996</v>
      </c>
      <c r="P125">
        <v>-74.07817</v>
      </c>
      <c r="Q125" t="s">
        <v>2428</v>
      </c>
      <c r="R125">
        <v>6132075.4720000001</v>
      </c>
      <c r="S125">
        <v>0</v>
      </c>
      <c r="T125" t="s">
        <v>117</v>
      </c>
      <c r="U125" t="s">
        <v>118</v>
      </c>
      <c r="V125" t="s">
        <v>77</v>
      </c>
      <c r="W125" t="s">
        <v>119</v>
      </c>
      <c r="X125" t="s">
        <v>120</v>
      </c>
      <c r="Y125">
        <v>2.1015370352171998</v>
      </c>
      <c r="Z125">
        <v>2101.5370352171999</v>
      </c>
      <c r="AA125">
        <v>4.73719444444444</v>
      </c>
      <c r="AB125">
        <v>-74.069472222222203</v>
      </c>
      <c r="AC125">
        <v>2555</v>
      </c>
      <c r="AD125">
        <v>0</v>
      </c>
      <c r="AE125" t="s">
        <v>80</v>
      </c>
      <c r="AF125" t="s">
        <v>107</v>
      </c>
      <c r="AG125" t="s">
        <v>82</v>
      </c>
      <c r="AH125" t="s">
        <v>83</v>
      </c>
      <c r="AI125" t="s">
        <v>121</v>
      </c>
      <c r="AJ125">
        <v>0.39461397356676198</v>
      </c>
      <c r="AK125">
        <v>5.2732057111618298</v>
      </c>
      <c r="AL125">
        <v>0.84646449700526705</v>
      </c>
      <c r="AM125">
        <v>0.43207944548499799</v>
      </c>
      <c r="AN125">
        <v>2.4510927825506399</v>
      </c>
      <c r="AO125">
        <v>5.6795571690429897E-3</v>
      </c>
      <c r="AP125">
        <v>5.6795571690429897E-3</v>
      </c>
      <c r="AQ125">
        <v>1</v>
      </c>
      <c r="AR125">
        <v>2</v>
      </c>
      <c r="AS125">
        <v>0</v>
      </c>
      <c r="AT125">
        <v>0</v>
      </c>
      <c r="AU125">
        <v>1</v>
      </c>
      <c r="AV125">
        <v>15</v>
      </c>
      <c r="AW125">
        <v>0</v>
      </c>
      <c r="AX125">
        <v>0</v>
      </c>
      <c r="AY125">
        <v>15.3</v>
      </c>
      <c r="AZ125">
        <v>9.8000000000000007</v>
      </c>
      <c r="BA125">
        <v>29.7</v>
      </c>
      <c r="BB125">
        <v>564</v>
      </c>
      <c r="BC125">
        <v>68</v>
      </c>
      <c r="BD125">
        <v>1.8</v>
      </c>
      <c r="BE125">
        <v>43</v>
      </c>
      <c r="BF125">
        <v>25.4</v>
      </c>
      <c r="BG125">
        <v>162</v>
      </c>
      <c r="BH125">
        <v>9.1</v>
      </c>
      <c r="BI125">
        <v>9.1999999999999993</v>
      </c>
      <c r="BJ125">
        <v>18.3</v>
      </c>
      <c r="BK125">
        <v>0.34</v>
      </c>
      <c r="BL125">
        <v>7.3</v>
      </c>
      <c r="BM125">
        <v>0.9</v>
      </c>
      <c r="BN125">
        <v>7.5</v>
      </c>
      <c r="BO125">
        <v>2.9</v>
      </c>
      <c r="BP125">
        <f t="shared" si="2"/>
        <v>8.8317775503213074</v>
      </c>
      <c r="BQ125">
        <f t="shared" si="3"/>
        <v>28.239173832201512</v>
      </c>
    </row>
    <row r="126" spans="1:69" hidden="1" x14ac:dyDescent="0.2">
      <c r="A126" t="s">
        <v>2468</v>
      </c>
      <c r="B126" t="s">
        <v>68</v>
      </c>
      <c r="C126" t="s">
        <v>1956</v>
      </c>
      <c r="D126" t="s">
        <v>70</v>
      </c>
      <c r="E126" t="s">
        <v>548</v>
      </c>
      <c r="F126">
        <v>5</v>
      </c>
      <c r="G126">
        <v>317</v>
      </c>
      <c r="H126">
        <v>4</v>
      </c>
      <c r="I126">
        <v>4</v>
      </c>
      <c r="J126">
        <v>4</v>
      </c>
      <c r="K126" t="s">
        <v>110</v>
      </c>
      <c r="L126" t="s">
        <v>162</v>
      </c>
      <c r="M126" s="4">
        <v>1600000000</v>
      </c>
      <c r="N126">
        <v>0</v>
      </c>
      <c r="O126">
        <v>4.7152592210000002</v>
      </c>
      <c r="P126">
        <v>-74.076857500000003</v>
      </c>
      <c r="Q126" t="s">
        <v>2469</v>
      </c>
      <c r="R126">
        <v>5047318.6119999997</v>
      </c>
      <c r="S126">
        <v>0</v>
      </c>
      <c r="T126" t="s">
        <v>117</v>
      </c>
      <c r="U126" t="s">
        <v>118</v>
      </c>
      <c r="V126" t="s">
        <v>77</v>
      </c>
      <c r="W126" t="s">
        <v>119</v>
      </c>
      <c r="X126" t="s">
        <v>120</v>
      </c>
      <c r="Y126">
        <v>2.5756118180956702</v>
      </c>
      <c r="Z126">
        <v>2575.6118180956701</v>
      </c>
      <c r="AA126">
        <v>4.73719444444444</v>
      </c>
      <c r="AB126">
        <v>-74.069472222222203</v>
      </c>
      <c r="AC126">
        <v>2555</v>
      </c>
      <c r="AD126">
        <v>0</v>
      </c>
      <c r="AE126" t="s">
        <v>80</v>
      </c>
      <c r="AF126" t="s">
        <v>107</v>
      </c>
      <c r="AG126" t="s">
        <v>82</v>
      </c>
      <c r="AH126" t="s">
        <v>83</v>
      </c>
      <c r="AI126" t="s">
        <v>121</v>
      </c>
      <c r="AJ126">
        <v>0.61981964414419799</v>
      </c>
      <c r="AK126">
        <v>5.5308027305163199</v>
      </c>
      <c r="AL126">
        <v>0.62840893820131305</v>
      </c>
      <c r="AM126">
        <v>0.18401910469817701</v>
      </c>
      <c r="AN126">
        <v>3.0386030288595798</v>
      </c>
      <c r="AO126">
        <v>6.3649209368380505E-2</v>
      </c>
      <c r="AP126">
        <v>6.3649209368380505E-2</v>
      </c>
      <c r="AQ126">
        <v>0</v>
      </c>
      <c r="AR126">
        <v>2</v>
      </c>
      <c r="AS126">
        <v>0</v>
      </c>
      <c r="AT126">
        <v>0</v>
      </c>
      <c r="AU126">
        <v>1</v>
      </c>
      <c r="AV126">
        <v>38</v>
      </c>
      <c r="AW126">
        <v>0</v>
      </c>
      <c r="AX126">
        <v>0</v>
      </c>
      <c r="AY126">
        <v>15.3</v>
      </c>
      <c r="AZ126">
        <v>9.8000000000000007</v>
      </c>
      <c r="BA126">
        <v>29.7</v>
      </c>
      <c r="BB126">
        <v>564</v>
      </c>
      <c r="BC126">
        <v>68</v>
      </c>
      <c r="BD126">
        <v>1.8</v>
      </c>
      <c r="BE126">
        <v>43</v>
      </c>
      <c r="BF126">
        <v>25.4</v>
      </c>
      <c r="BG126">
        <v>162</v>
      </c>
      <c r="BH126">
        <v>9.1</v>
      </c>
      <c r="BI126">
        <v>9.1999999999999993</v>
      </c>
      <c r="BJ126">
        <v>18.3</v>
      </c>
      <c r="BK126">
        <v>0.34</v>
      </c>
      <c r="BL126">
        <v>7.3</v>
      </c>
      <c r="BM126">
        <v>0.9</v>
      </c>
      <c r="BN126">
        <v>7.5</v>
      </c>
      <c r="BO126">
        <v>2.9</v>
      </c>
      <c r="BP126">
        <f t="shared" si="2"/>
        <v>8.6269377183432496</v>
      </c>
      <c r="BQ126">
        <f t="shared" si="3"/>
        <v>27.919695234766166</v>
      </c>
    </row>
    <row r="127" spans="1:69" hidden="1" x14ac:dyDescent="0.2">
      <c r="A127" t="s">
        <v>2176</v>
      </c>
      <c r="B127" t="s">
        <v>68</v>
      </c>
      <c r="C127" t="s">
        <v>1956</v>
      </c>
      <c r="D127" t="s">
        <v>70</v>
      </c>
      <c r="E127" t="s">
        <v>267</v>
      </c>
      <c r="F127">
        <v>6</v>
      </c>
      <c r="G127">
        <v>311.7</v>
      </c>
      <c r="H127">
        <v>3</v>
      </c>
      <c r="I127">
        <v>4</v>
      </c>
      <c r="J127">
        <v>3</v>
      </c>
      <c r="K127" t="s">
        <v>110</v>
      </c>
      <c r="L127" t="s">
        <v>124</v>
      </c>
      <c r="M127" s="4">
        <v>2490000000</v>
      </c>
      <c r="N127">
        <v>0</v>
      </c>
      <c r="O127">
        <v>4.8185691830000001</v>
      </c>
      <c r="P127">
        <v>-74.057525630000001</v>
      </c>
      <c r="Q127" t="s">
        <v>2177</v>
      </c>
      <c r="R127">
        <v>7988450.4330000002</v>
      </c>
      <c r="S127">
        <v>0</v>
      </c>
      <c r="T127" t="s">
        <v>151</v>
      </c>
      <c r="U127" t="s">
        <v>152</v>
      </c>
      <c r="V127" t="s">
        <v>77</v>
      </c>
      <c r="W127" t="s">
        <v>119</v>
      </c>
      <c r="X127" t="s">
        <v>153</v>
      </c>
      <c r="Y127">
        <v>4.1507766808306599</v>
      </c>
      <c r="Z127">
        <v>4150.7766808306596</v>
      </c>
      <c r="AA127">
        <v>4.7837500000000004</v>
      </c>
      <c r="AB127">
        <v>-74.044138888888895</v>
      </c>
      <c r="AC127">
        <v>2580</v>
      </c>
      <c r="AD127">
        <v>0</v>
      </c>
      <c r="AE127" t="s">
        <v>154</v>
      </c>
      <c r="AF127" t="s">
        <v>107</v>
      </c>
      <c r="AG127" t="s">
        <v>82</v>
      </c>
      <c r="AH127" t="s">
        <v>83</v>
      </c>
      <c r="AI127" t="s">
        <v>121</v>
      </c>
      <c r="AJ127">
        <v>5.7114883814053803</v>
      </c>
      <c r="AK127">
        <v>0.71729904876120898</v>
      </c>
      <c r="AL127">
        <v>2.3523496772779899</v>
      </c>
      <c r="AM127">
        <v>3.7740888512023001</v>
      </c>
      <c r="AN127">
        <v>9.0660441787769006</v>
      </c>
      <c r="AO127">
        <v>0.850910763329631</v>
      </c>
      <c r="AP127">
        <v>0.850910763329631</v>
      </c>
      <c r="AQ127">
        <v>0</v>
      </c>
      <c r="AR127">
        <v>0</v>
      </c>
      <c r="AS127">
        <v>0</v>
      </c>
      <c r="AT127">
        <v>1</v>
      </c>
      <c r="AU127">
        <v>0</v>
      </c>
      <c r="AV127">
        <v>0</v>
      </c>
      <c r="AW127">
        <v>0</v>
      </c>
      <c r="AX127">
        <v>0</v>
      </c>
      <c r="AY127">
        <v>15.3</v>
      </c>
      <c r="AZ127">
        <v>9.8000000000000007</v>
      </c>
      <c r="BA127">
        <v>29.7</v>
      </c>
      <c r="BB127">
        <v>564</v>
      </c>
      <c r="BC127">
        <v>68</v>
      </c>
      <c r="BD127">
        <v>1.8</v>
      </c>
      <c r="BE127">
        <v>43</v>
      </c>
      <c r="BF127">
        <v>25.4</v>
      </c>
      <c r="BG127">
        <v>162</v>
      </c>
      <c r="BH127">
        <v>9.1</v>
      </c>
      <c r="BI127">
        <v>9.1999999999999993</v>
      </c>
      <c r="BJ127">
        <v>18.3</v>
      </c>
      <c r="BK127">
        <v>0.34</v>
      </c>
      <c r="BL127">
        <v>7.3</v>
      </c>
      <c r="BM127">
        <v>0.9</v>
      </c>
      <c r="BN127">
        <v>7.5</v>
      </c>
      <c r="BO127">
        <v>2.9</v>
      </c>
      <c r="BP127">
        <f t="shared" si="2"/>
        <v>7.9798446190520096</v>
      </c>
      <c r="BQ127">
        <f t="shared" si="3"/>
        <v>26.883921804262808</v>
      </c>
    </row>
    <row r="128" spans="1:69" hidden="1" x14ac:dyDescent="0.2">
      <c r="A128" t="s">
        <v>2616</v>
      </c>
      <c r="B128" t="s">
        <v>68</v>
      </c>
      <c r="C128" t="s">
        <v>1956</v>
      </c>
      <c r="D128" t="s">
        <v>70</v>
      </c>
      <c r="E128" t="s">
        <v>548</v>
      </c>
      <c r="F128">
        <v>6</v>
      </c>
      <c r="G128">
        <v>310</v>
      </c>
      <c r="H128">
        <v>4</v>
      </c>
      <c r="I128">
        <v>4</v>
      </c>
      <c r="J128">
        <v>2</v>
      </c>
      <c r="K128" t="s">
        <v>110</v>
      </c>
      <c r="L128" t="s">
        <v>162</v>
      </c>
      <c r="M128" s="4">
        <v>1400000000</v>
      </c>
      <c r="N128">
        <v>0</v>
      </c>
      <c r="O128">
        <v>4.719013006</v>
      </c>
      <c r="P128">
        <v>-74.078213500000004</v>
      </c>
      <c r="Q128" t="s">
        <v>2617</v>
      </c>
      <c r="R128">
        <v>4516129.0319999997</v>
      </c>
      <c r="S128">
        <v>0</v>
      </c>
      <c r="T128" t="s">
        <v>117</v>
      </c>
      <c r="U128" t="s">
        <v>118</v>
      </c>
      <c r="V128" t="s">
        <v>77</v>
      </c>
      <c r="W128" t="s">
        <v>119</v>
      </c>
      <c r="X128" t="s">
        <v>120</v>
      </c>
      <c r="Y128">
        <v>2.2442834584674101</v>
      </c>
      <c r="Z128">
        <v>2244.2834584674101</v>
      </c>
      <c r="AA128">
        <v>4.73719444444444</v>
      </c>
      <c r="AB128">
        <v>-74.069472222222203</v>
      </c>
      <c r="AC128">
        <v>2555</v>
      </c>
      <c r="AD128">
        <v>0</v>
      </c>
      <c r="AE128" t="s">
        <v>80</v>
      </c>
      <c r="AF128" t="s">
        <v>107</v>
      </c>
      <c r="AG128" t="s">
        <v>82</v>
      </c>
      <c r="AH128" t="s">
        <v>83</v>
      </c>
      <c r="AI128" t="s">
        <v>121</v>
      </c>
      <c r="AJ128">
        <v>0.46131447406869902</v>
      </c>
      <c r="AK128">
        <v>5.2992353012716702</v>
      </c>
      <c r="AL128">
        <v>0.79055174449500798</v>
      </c>
      <c r="AM128">
        <v>0.277085996420598</v>
      </c>
      <c r="AN128">
        <v>2.5976577462667199</v>
      </c>
      <c r="AO128">
        <v>0.161050774057416</v>
      </c>
      <c r="AP128">
        <v>0.161050774057416</v>
      </c>
      <c r="AQ128">
        <v>1</v>
      </c>
      <c r="AR128">
        <v>1</v>
      </c>
      <c r="AS128">
        <v>0</v>
      </c>
      <c r="AT128">
        <v>0</v>
      </c>
      <c r="AU128">
        <v>1</v>
      </c>
      <c r="AV128">
        <v>26</v>
      </c>
      <c r="AW128">
        <v>0</v>
      </c>
      <c r="AX128">
        <v>0</v>
      </c>
      <c r="AY128">
        <v>15.3</v>
      </c>
      <c r="AZ128">
        <v>9.8000000000000007</v>
      </c>
      <c r="BA128">
        <v>29.7</v>
      </c>
      <c r="BB128">
        <v>564</v>
      </c>
      <c r="BC128">
        <v>68</v>
      </c>
      <c r="BD128">
        <v>1.8</v>
      </c>
      <c r="BE128">
        <v>43</v>
      </c>
      <c r="BF128">
        <v>25.4</v>
      </c>
      <c r="BG128">
        <v>162</v>
      </c>
      <c r="BH128">
        <v>9.1</v>
      </c>
      <c r="BI128">
        <v>9.1999999999999993</v>
      </c>
      <c r="BJ128">
        <v>18.3</v>
      </c>
      <c r="BK128">
        <v>0.34</v>
      </c>
      <c r="BL128">
        <v>7.3</v>
      </c>
      <c r="BM128">
        <v>0.9</v>
      </c>
      <c r="BN128">
        <v>7.5</v>
      </c>
      <c r="BO128">
        <v>2.9</v>
      </c>
      <c r="BP128">
        <f t="shared" si="2"/>
        <v>8.7695926262837869</v>
      </c>
      <c r="BQ128">
        <f t="shared" si="3"/>
        <v>28.142594377681547</v>
      </c>
    </row>
    <row r="129" spans="1:69" hidden="1" x14ac:dyDescent="0.2">
      <c r="A129" t="s">
        <v>2625</v>
      </c>
      <c r="B129" t="s">
        <v>68</v>
      </c>
      <c r="C129" t="s">
        <v>1956</v>
      </c>
      <c r="D129" t="s">
        <v>70</v>
      </c>
      <c r="E129" t="s">
        <v>2220</v>
      </c>
      <c r="F129">
        <v>4</v>
      </c>
      <c r="G129">
        <v>310</v>
      </c>
      <c r="H129">
        <v>4</v>
      </c>
      <c r="I129">
        <v>5</v>
      </c>
      <c r="J129">
        <v>3</v>
      </c>
      <c r="K129" t="s">
        <v>110</v>
      </c>
      <c r="L129" t="s">
        <v>111</v>
      </c>
      <c r="M129" s="4">
        <v>1200000000</v>
      </c>
      <c r="N129">
        <v>0</v>
      </c>
      <c r="O129">
        <v>4.6995886000000002</v>
      </c>
      <c r="P129">
        <v>-74.073932900000003</v>
      </c>
      <c r="Q129" t="s">
        <v>2626</v>
      </c>
      <c r="R129">
        <v>3870967.7420000001</v>
      </c>
      <c r="S129">
        <v>0</v>
      </c>
      <c r="T129" t="s">
        <v>117</v>
      </c>
      <c r="U129" t="s">
        <v>118</v>
      </c>
      <c r="V129" t="s">
        <v>77</v>
      </c>
      <c r="W129" t="s">
        <v>119</v>
      </c>
      <c r="X129" t="s">
        <v>120</v>
      </c>
      <c r="Y129">
        <v>4.2154128496127701</v>
      </c>
      <c r="Z129">
        <v>4215.4128496127696</v>
      </c>
      <c r="AA129">
        <v>4.73719444444444</v>
      </c>
      <c r="AB129">
        <v>-74.069472222222203</v>
      </c>
      <c r="AC129">
        <v>2555</v>
      </c>
      <c r="AD129">
        <v>0</v>
      </c>
      <c r="AE129" t="s">
        <v>80</v>
      </c>
      <c r="AF129" t="s">
        <v>107</v>
      </c>
      <c r="AG129" t="s">
        <v>82</v>
      </c>
      <c r="AH129" t="s">
        <v>83</v>
      </c>
      <c r="AI129" t="s">
        <v>121</v>
      </c>
      <c r="AJ129">
        <v>0.45500060162046302</v>
      </c>
      <c r="AK129">
        <v>4.7500669181062003</v>
      </c>
      <c r="AL129">
        <v>0.51736577516567706</v>
      </c>
      <c r="AM129">
        <v>3.2871227009701499E-2</v>
      </c>
      <c r="AN129">
        <v>2.9812235739851398</v>
      </c>
      <c r="AO129">
        <v>0.276519413147639</v>
      </c>
      <c r="AP129">
        <v>0.276519413147639</v>
      </c>
      <c r="AQ129">
        <v>1</v>
      </c>
      <c r="AR129">
        <v>2</v>
      </c>
      <c r="AS129">
        <v>0</v>
      </c>
      <c r="AT129">
        <v>0</v>
      </c>
      <c r="AU129">
        <v>1</v>
      </c>
      <c r="AV129">
        <v>42</v>
      </c>
      <c r="AW129">
        <v>0</v>
      </c>
      <c r="AX129">
        <v>0</v>
      </c>
      <c r="AY129">
        <v>15.3</v>
      </c>
      <c r="AZ129">
        <v>9.8000000000000007</v>
      </c>
      <c r="BA129">
        <v>29.7</v>
      </c>
      <c r="BB129">
        <v>564</v>
      </c>
      <c r="BC129">
        <v>68</v>
      </c>
      <c r="BD129">
        <v>1.8</v>
      </c>
      <c r="BE129">
        <v>43</v>
      </c>
      <c r="BF129">
        <v>25.4</v>
      </c>
      <c r="BG129">
        <v>162</v>
      </c>
      <c r="BH129">
        <v>9.1</v>
      </c>
      <c r="BI129">
        <v>9.1999999999999993</v>
      </c>
      <c r="BJ129">
        <v>18.3</v>
      </c>
      <c r="BK129">
        <v>0.34</v>
      </c>
      <c r="BL129">
        <v>7.3</v>
      </c>
      <c r="BM129">
        <v>0.9</v>
      </c>
      <c r="BN129">
        <v>7.5</v>
      </c>
      <c r="BO129">
        <v>2.9</v>
      </c>
      <c r="BP129">
        <f t="shared" si="2"/>
        <v>7.9543539834277173</v>
      </c>
      <c r="BQ129">
        <f t="shared" si="3"/>
        <v>26.842249965741004</v>
      </c>
    </row>
    <row r="130" spans="1:69" hidden="1" x14ac:dyDescent="0.2">
      <c r="A130" t="s">
        <v>2425</v>
      </c>
      <c r="B130" t="s">
        <v>68</v>
      </c>
      <c r="C130" t="s">
        <v>1956</v>
      </c>
      <c r="D130" t="s">
        <v>70</v>
      </c>
      <c r="E130" t="s">
        <v>483</v>
      </c>
      <c r="F130">
        <v>3</v>
      </c>
      <c r="G130">
        <v>310</v>
      </c>
      <c r="H130">
        <v>5</v>
      </c>
      <c r="I130">
        <v>5</v>
      </c>
      <c r="J130">
        <v>1</v>
      </c>
      <c r="K130" t="s">
        <v>110</v>
      </c>
      <c r="L130" t="s">
        <v>162</v>
      </c>
      <c r="M130" s="4">
        <v>890000000</v>
      </c>
      <c r="N130">
        <v>0</v>
      </c>
      <c r="O130">
        <v>4.7199296999999998</v>
      </c>
      <c r="P130">
        <v>-74.068825000000004</v>
      </c>
      <c r="Q130" t="s">
        <v>2426</v>
      </c>
      <c r="R130">
        <v>2870967.7420000001</v>
      </c>
      <c r="S130">
        <v>0</v>
      </c>
      <c r="T130" t="s">
        <v>117</v>
      </c>
      <c r="U130" t="s">
        <v>118</v>
      </c>
      <c r="V130" t="s">
        <v>77</v>
      </c>
      <c r="W130" t="s">
        <v>119</v>
      </c>
      <c r="X130" t="s">
        <v>120</v>
      </c>
      <c r="Y130">
        <v>1.9232433944115299</v>
      </c>
      <c r="Z130">
        <v>1923.2433944115301</v>
      </c>
      <c r="AA130">
        <v>4.73719444444444</v>
      </c>
      <c r="AB130">
        <v>-74.069472222222203</v>
      </c>
      <c r="AC130">
        <v>2555</v>
      </c>
      <c r="AD130">
        <v>0</v>
      </c>
      <c r="AE130" t="s">
        <v>80</v>
      </c>
      <c r="AF130" t="s">
        <v>107</v>
      </c>
      <c r="AG130" t="s">
        <v>82</v>
      </c>
      <c r="AH130" t="s">
        <v>83</v>
      </c>
      <c r="AI130" t="s">
        <v>121</v>
      </c>
      <c r="AJ130">
        <v>0.66920758075865105</v>
      </c>
      <c r="AK130">
        <v>4.9605754308093903</v>
      </c>
      <c r="AL130">
        <v>0.44527887969531199</v>
      </c>
      <c r="AM130">
        <v>5.61376876578491E-2</v>
      </c>
      <c r="AN130">
        <v>2.9963942022340899</v>
      </c>
      <c r="AO130">
        <v>0.18769730305815699</v>
      </c>
      <c r="AP130">
        <v>0.18769730305815699</v>
      </c>
      <c r="AQ130">
        <v>0</v>
      </c>
      <c r="AR130">
        <v>2</v>
      </c>
      <c r="AS130">
        <v>0</v>
      </c>
      <c r="AT130">
        <v>0</v>
      </c>
      <c r="AU130">
        <v>1</v>
      </c>
      <c r="AV130">
        <v>41</v>
      </c>
      <c r="AW130">
        <v>0</v>
      </c>
      <c r="AX130">
        <v>0</v>
      </c>
      <c r="AY130">
        <v>15.3</v>
      </c>
      <c r="AZ130">
        <v>9.8000000000000007</v>
      </c>
      <c r="BA130">
        <v>29.7</v>
      </c>
      <c r="BB130">
        <v>564</v>
      </c>
      <c r="BC130">
        <v>68</v>
      </c>
      <c r="BD130">
        <v>1.8</v>
      </c>
      <c r="BE130">
        <v>43</v>
      </c>
      <c r="BF130">
        <v>25.4</v>
      </c>
      <c r="BG130">
        <v>162</v>
      </c>
      <c r="BH130">
        <v>9.1</v>
      </c>
      <c r="BI130">
        <v>9.1999999999999993</v>
      </c>
      <c r="BJ130">
        <v>18.3</v>
      </c>
      <c r="BK130">
        <v>0.34</v>
      </c>
      <c r="BL130">
        <v>7.3</v>
      </c>
      <c r="BM130">
        <v>0.9</v>
      </c>
      <c r="BN130">
        <v>7.5</v>
      </c>
      <c r="BO130">
        <v>2.9</v>
      </c>
      <c r="BP130">
        <f t="shared" ref="BP130:BP193" si="4">+AZ130*EXP(-0.0495*Y130)</f>
        <v>8.9100676821356615</v>
      </c>
      <c r="BQ130">
        <f t="shared" ref="BQ130:BQ193" si="5">+BA130*EXP(-0.024*Y130)</f>
        <v>28.36026949725267</v>
      </c>
    </row>
    <row r="131" spans="1:69" hidden="1" x14ac:dyDescent="0.2">
      <c r="A131" t="s">
        <v>2567</v>
      </c>
      <c r="B131" t="s">
        <v>68</v>
      </c>
      <c r="C131" t="s">
        <v>1956</v>
      </c>
      <c r="D131" t="s">
        <v>70</v>
      </c>
      <c r="E131" t="s">
        <v>267</v>
      </c>
      <c r="F131">
        <v>6</v>
      </c>
      <c r="G131">
        <v>308</v>
      </c>
      <c r="H131">
        <v>4</v>
      </c>
      <c r="I131">
        <v>5</v>
      </c>
      <c r="J131">
        <v>4</v>
      </c>
      <c r="K131" t="s">
        <v>110</v>
      </c>
      <c r="L131" t="s">
        <v>124</v>
      </c>
      <c r="M131" s="4">
        <v>2500000000</v>
      </c>
      <c r="N131">
        <v>0</v>
      </c>
      <c r="O131">
        <v>4.8135906869999996</v>
      </c>
      <c r="P131">
        <v>-74.040249419999995</v>
      </c>
      <c r="Q131" t="s">
        <v>2568</v>
      </c>
      <c r="R131">
        <v>8116883.1169999996</v>
      </c>
      <c r="S131">
        <v>0</v>
      </c>
      <c r="T131" t="s">
        <v>151</v>
      </c>
      <c r="U131" t="s">
        <v>152</v>
      </c>
      <c r="V131" t="s">
        <v>77</v>
      </c>
      <c r="W131" t="s">
        <v>119</v>
      </c>
      <c r="X131" t="s">
        <v>153</v>
      </c>
      <c r="Y131">
        <v>3.3497525689807901</v>
      </c>
      <c r="Z131">
        <v>3349.7525689807899</v>
      </c>
      <c r="AA131">
        <v>4.7837500000000004</v>
      </c>
      <c r="AB131">
        <v>-74.044138888888895</v>
      </c>
      <c r="AC131">
        <v>2580</v>
      </c>
      <c r="AD131">
        <v>0</v>
      </c>
      <c r="AE131" t="s">
        <v>154</v>
      </c>
      <c r="AF131" t="s">
        <v>107</v>
      </c>
      <c r="AG131" t="s">
        <v>82</v>
      </c>
      <c r="AH131" t="s">
        <v>83</v>
      </c>
      <c r="AI131" t="s">
        <v>121</v>
      </c>
      <c r="AJ131">
        <v>4.9615235876087</v>
      </c>
      <c r="AK131">
        <v>1.66545216315207</v>
      </c>
      <c r="AL131">
        <v>1.6756811519707899</v>
      </c>
      <c r="AM131">
        <v>4.0141516902998804</v>
      </c>
      <c r="AN131">
        <v>8.1025123670467707</v>
      </c>
      <c r="AO131">
        <v>9.2115312205508105E-3</v>
      </c>
      <c r="AP131">
        <v>9.2115312205508105E-3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15.3</v>
      </c>
      <c r="AZ131">
        <v>9.8000000000000007</v>
      </c>
      <c r="BA131">
        <v>29.7</v>
      </c>
      <c r="BB131">
        <v>564</v>
      </c>
      <c r="BC131">
        <v>68</v>
      </c>
      <c r="BD131">
        <v>1.8</v>
      </c>
      <c r="BE131">
        <v>43</v>
      </c>
      <c r="BF131">
        <v>25.4</v>
      </c>
      <c r="BG131">
        <v>162</v>
      </c>
      <c r="BH131">
        <v>9.1</v>
      </c>
      <c r="BI131">
        <v>9.1999999999999993</v>
      </c>
      <c r="BJ131">
        <v>18.3</v>
      </c>
      <c r="BK131">
        <v>0.34</v>
      </c>
      <c r="BL131">
        <v>7.3</v>
      </c>
      <c r="BM131">
        <v>0.9</v>
      </c>
      <c r="BN131">
        <v>7.5</v>
      </c>
      <c r="BO131">
        <v>2.9</v>
      </c>
      <c r="BP131">
        <f t="shared" si="4"/>
        <v>8.3026075948139457</v>
      </c>
      <c r="BQ131">
        <f t="shared" si="5"/>
        <v>27.405753802843112</v>
      </c>
    </row>
    <row r="132" spans="1:69" hidden="1" x14ac:dyDescent="0.2">
      <c r="A132" t="s">
        <v>2189</v>
      </c>
      <c r="B132" t="s">
        <v>68</v>
      </c>
      <c r="C132" t="s">
        <v>1956</v>
      </c>
      <c r="D132" t="s">
        <v>70</v>
      </c>
      <c r="E132" t="s">
        <v>492</v>
      </c>
      <c r="F132">
        <v>4</v>
      </c>
      <c r="G132">
        <v>305</v>
      </c>
      <c r="H132">
        <v>4</v>
      </c>
      <c r="I132">
        <v>5</v>
      </c>
      <c r="J132">
        <v>2</v>
      </c>
      <c r="K132" t="s">
        <v>110</v>
      </c>
      <c r="L132" t="s">
        <v>115</v>
      </c>
      <c r="M132" s="4">
        <v>1290000000</v>
      </c>
      <c r="N132">
        <v>0</v>
      </c>
      <c r="O132">
        <v>4.7135996819999999</v>
      </c>
      <c r="P132">
        <v>-74.070625309999997</v>
      </c>
      <c r="Q132" t="s">
        <v>2190</v>
      </c>
      <c r="R132">
        <v>4229508.1969999997</v>
      </c>
      <c r="S132">
        <v>0</v>
      </c>
      <c r="T132" t="s">
        <v>117</v>
      </c>
      <c r="U132" t="s">
        <v>118</v>
      </c>
      <c r="V132" t="s">
        <v>77</v>
      </c>
      <c r="W132" t="s">
        <v>119</v>
      </c>
      <c r="X132" t="s">
        <v>120</v>
      </c>
      <c r="Y132">
        <v>2.6296703457645898</v>
      </c>
      <c r="Z132">
        <v>2629.6703457645899</v>
      </c>
      <c r="AA132">
        <v>4.73719444444444</v>
      </c>
      <c r="AB132">
        <v>-74.069472222222203</v>
      </c>
      <c r="AC132">
        <v>2555</v>
      </c>
      <c r="AD132">
        <v>0</v>
      </c>
      <c r="AE132" t="s">
        <v>80</v>
      </c>
      <c r="AF132" t="s">
        <v>107</v>
      </c>
      <c r="AG132" t="s">
        <v>82</v>
      </c>
      <c r="AH132" t="s">
        <v>83</v>
      </c>
      <c r="AI132" t="s">
        <v>121</v>
      </c>
      <c r="AJ132">
        <v>0.25686609243852698</v>
      </c>
      <c r="AK132">
        <v>5.0737011927387501</v>
      </c>
      <c r="AL132">
        <v>0.36994757914211301</v>
      </c>
      <c r="AM132">
        <v>5.37700267333154E-2</v>
      </c>
      <c r="AN132">
        <v>3.4784679345722802</v>
      </c>
      <c r="AO132">
        <v>0.26441432316727298</v>
      </c>
      <c r="AP132">
        <v>0.26441432316727298</v>
      </c>
      <c r="AQ132">
        <v>1</v>
      </c>
      <c r="AR132">
        <v>3</v>
      </c>
      <c r="AS132">
        <v>0</v>
      </c>
      <c r="AT132">
        <v>0</v>
      </c>
      <c r="AU132">
        <v>1</v>
      </c>
      <c r="AV132">
        <v>43</v>
      </c>
      <c r="AW132">
        <v>0</v>
      </c>
      <c r="AX132">
        <v>0</v>
      </c>
      <c r="AY132">
        <v>15.3</v>
      </c>
      <c r="AZ132">
        <v>9.8000000000000007</v>
      </c>
      <c r="BA132">
        <v>29.7</v>
      </c>
      <c r="BB132">
        <v>564</v>
      </c>
      <c r="BC132">
        <v>68</v>
      </c>
      <c r="BD132">
        <v>1.8</v>
      </c>
      <c r="BE132">
        <v>43</v>
      </c>
      <c r="BF132">
        <v>25.4</v>
      </c>
      <c r="BG132">
        <v>162</v>
      </c>
      <c r="BH132">
        <v>9.1</v>
      </c>
      <c r="BI132">
        <v>9.1999999999999993</v>
      </c>
      <c r="BJ132">
        <v>18.3</v>
      </c>
      <c r="BK132">
        <v>0.34</v>
      </c>
      <c r="BL132">
        <v>7.3</v>
      </c>
      <c r="BM132">
        <v>0.9</v>
      </c>
      <c r="BN132">
        <v>7.5</v>
      </c>
      <c r="BO132">
        <v>2.9</v>
      </c>
      <c r="BP132">
        <f t="shared" si="4"/>
        <v>8.603883779292552</v>
      </c>
      <c r="BQ132">
        <f t="shared" si="5"/>
        <v>27.883495579827972</v>
      </c>
    </row>
    <row r="133" spans="1:69" hidden="1" x14ac:dyDescent="0.2">
      <c r="A133" t="s">
        <v>2027</v>
      </c>
      <c r="B133" t="s">
        <v>68</v>
      </c>
      <c r="C133" t="s">
        <v>1956</v>
      </c>
      <c r="D133" t="s">
        <v>70</v>
      </c>
      <c r="E133" t="s">
        <v>1603</v>
      </c>
      <c r="F133">
        <v>4</v>
      </c>
      <c r="G133">
        <v>300.32</v>
      </c>
      <c r="H133">
        <v>4</v>
      </c>
      <c r="I133">
        <v>5</v>
      </c>
      <c r="J133">
        <v>4</v>
      </c>
      <c r="K133" t="s">
        <v>110</v>
      </c>
      <c r="L133" t="s">
        <v>162</v>
      </c>
      <c r="M133" s="4">
        <v>1650000000</v>
      </c>
      <c r="N133">
        <v>0</v>
      </c>
      <c r="O133">
        <v>4.7339725489999998</v>
      </c>
      <c r="P133">
        <v>-74.047119140000007</v>
      </c>
      <c r="Q133" t="s">
        <v>2028</v>
      </c>
      <c r="R133">
        <v>5494139.5839999998</v>
      </c>
      <c r="S133">
        <v>0</v>
      </c>
      <c r="T133" t="s">
        <v>117</v>
      </c>
      <c r="U133" t="s">
        <v>118</v>
      </c>
      <c r="V133" t="s">
        <v>77</v>
      </c>
      <c r="W133" t="s">
        <v>119</v>
      </c>
      <c r="X133" t="s">
        <v>120</v>
      </c>
      <c r="Y133">
        <v>2.5056416119549398</v>
      </c>
      <c r="Z133">
        <v>2505.6416119549399</v>
      </c>
      <c r="AA133">
        <v>4.73719444444444</v>
      </c>
      <c r="AB133">
        <v>-74.069472222222203</v>
      </c>
      <c r="AC133">
        <v>2555</v>
      </c>
      <c r="AD133">
        <v>0</v>
      </c>
      <c r="AE133" t="s">
        <v>80</v>
      </c>
      <c r="AF133" t="s">
        <v>107</v>
      </c>
      <c r="AG133" t="s">
        <v>82</v>
      </c>
      <c r="AH133" t="s">
        <v>83</v>
      </c>
      <c r="AI133" t="s">
        <v>108</v>
      </c>
      <c r="AJ133">
        <v>0.243334555521245</v>
      </c>
      <c r="AK133">
        <v>2.7891124861507102</v>
      </c>
      <c r="AL133">
        <v>0.80145152086729898</v>
      </c>
      <c r="AM133">
        <v>0.374186228864268</v>
      </c>
      <c r="AN133">
        <v>2.4099861662752802</v>
      </c>
      <c r="AO133">
        <v>0.29583870368426501</v>
      </c>
      <c r="AP133">
        <v>0.29583870368426501</v>
      </c>
      <c r="AQ133">
        <v>2</v>
      </c>
      <c r="AR133">
        <v>4</v>
      </c>
      <c r="AS133">
        <v>0</v>
      </c>
      <c r="AT133">
        <v>0</v>
      </c>
      <c r="AU133">
        <v>1</v>
      </c>
      <c r="AV133">
        <v>29</v>
      </c>
      <c r="AW133">
        <v>0</v>
      </c>
      <c r="AX133">
        <v>0</v>
      </c>
      <c r="AY133">
        <v>15.3</v>
      </c>
      <c r="AZ133">
        <v>9.8000000000000007</v>
      </c>
      <c r="BA133">
        <v>29.7</v>
      </c>
      <c r="BB133">
        <v>564</v>
      </c>
      <c r="BC133">
        <v>68</v>
      </c>
      <c r="BD133">
        <v>1.8</v>
      </c>
      <c r="BE133">
        <v>43</v>
      </c>
      <c r="BF133">
        <v>25.4</v>
      </c>
      <c r="BG133">
        <v>162</v>
      </c>
      <c r="BH133">
        <v>9.1</v>
      </c>
      <c r="BI133">
        <v>9.1999999999999993</v>
      </c>
      <c r="BJ133">
        <v>18.3</v>
      </c>
      <c r="BK133">
        <v>0.34</v>
      </c>
      <c r="BL133">
        <v>7.3</v>
      </c>
      <c r="BM133">
        <v>0.9</v>
      </c>
      <c r="BN133">
        <v>7.5</v>
      </c>
      <c r="BO133">
        <v>2.9</v>
      </c>
      <c r="BP133">
        <f t="shared" si="4"/>
        <v>8.6568691387568197</v>
      </c>
      <c r="BQ133">
        <f t="shared" si="5"/>
        <v>27.966619747495969</v>
      </c>
    </row>
    <row r="134" spans="1:69" hidden="1" x14ac:dyDescent="0.2">
      <c r="A134" t="s">
        <v>3229</v>
      </c>
      <c r="B134" t="s">
        <v>68</v>
      </c>
      <c r="C134" t="s">
        <v>1956</v>
      </c>
      <c r="D134" t="s">
        <v>70</v>
      </c>
      <c r="E134" t="s">
        <v>1724</v>
      </c>
      <c r="F134">
        <v>6</v>
      </c>
      <c r="G134">
        <v>300</v>
      </c>
      <c r="H134">
        <v>4</v>
      </c>
      <c r="I134">
        <v>5</v>
      </c>
      <c r="J134">
        <v>4</v>
      </c>
      <c r="K134" t="s">
        <v>110</v>
      </c>
      <c r="L134" t="s">
        <v>111</v>
      </c>
      <c r="M134" s="4">
        <v>2600000000</v>
      </c>
      <c r="N134">
        <v>0</v>
      </c>
      <c r="O134">
        <v>4.7618017000000004</v>
      </c>
      <c r="P134">
        <v>-74.062658999999996</v>
      </c>
      <c r="Q134" t="s">
        <v>3230</v>
      </c>
      <c r="R134">
        <v>8666666.6669999994</v>
      </c>
      <c r="S134">
        <v>0</v>
      </c>
      <c r="T134" t="s">
        <v>117</v>
      </c>
      <c r="U134" t="s">
        <v>118</v>
      </c>
      <c r="V134" t="s">
        <v>77</v>
      </c>
      <c r="W134" t="s">
        <v>119</v>
      </c>
      <c r="X134" t="s">
        <v>120</v>
      </c>
      <c r="Y134">
        <v>2.8416331249557198</v>
      </c>
      <c r="Z134">
        <v>2841.6331249557202</v>
      </c>
      <c r="AA134">
        <v>4.73719444444444</v>
      </c>
      <c r="AB134">
        <v>-74.069472222222203</v>
      </c>
      <c r="AC134">
        <v>2555</v>
      </c>
      <c r="AD134">
        <v>0</v>
      </c>
      <c r="AE134" t="s">
        <v>80</v>
      </c>
      <c r="AF134" t="s">
        <v>107</v>
      </c>
      <c r="AG134" t="s">
        <v>82</v>
      </c>
      <c r="AH134" t="s">
        <v>83</v>
      </c>
      <c r="AI134" t="s">
        <v>121</v>
      </c>
      <c r="AJ134">
        <v>2.0055900536215399</v>
      </c>
      <c r="AK134">
        <v>4.2949534803834801</v>
      </c>
      <c r="AL134">
        <v>1.37755148939758</v>
      </c>
      <c r="AM134">
        <v>0.28713461733330597</v>
      </c>
      <c r="AN134">
        <v>3.3740176590367899</v>
      </c>
      <c r="AO134">
        <v>0.198143004594697</v>
      </c>
      <c r="AP134">
        <v>0.198143004594697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6</v>
      </c>
      <c r="AW134">
        <v>0</v>
      </c>
      <c r="AX134">
        <v>1</v>
      </c>
      <c r="AY134">
        <v>15.3</v>
      </c>
      <c r="AZ134">
        <v>9.8000000000000007</v>
      </c>
      <c r="BA134">
        <v>29.7</v>
      </c>
      <c r="BB134">
        <v>564</v>
      </c>
      <c r="BC134">
        <v>68</v>
      </c>
      <c r="BD134">
        <v>1.8</v>
      </c>
      <c r="BE134">
        <v>43</v>
      </c>
      <c r="BF134">
        <v>25.4</v>
      </c>
      <c r="BG134">
        <v>162</v>
      </c>
      <c r="BH134">
        <v>9.1</v>
      </c>
      <c r="BI134">
        <v>9.1999999999999993</v>
      </c>
      <c r="BJ134">
        <v>18.3</v>
      </c>
      <c r="BK134">
        <v>0.34</v>
      </c>
      <c r="BL134">
        <v>7.3</v>
      </c>
      <c r="BM134">
        <v>0.9</v>
      </c>
      <c r="BN134">
        <v>7.5</v>
      </c>
      <c r="BO134">
        <v>2.9</v>
      </c>
      <c r="BP134">
        <f t="shared" si="4"/>
        <v>8.5140824038736582</v>
      </c>
      <c r="BQ134">
        <f t="shared" si="5"/>
        <v>27.742009445282015</v>
      </c>
    </row>
    <row r="135" spans="1:69" hidden="1" x14ac:dyDescent="0.2">
      <c r="A135" t="s">
        <v>3109</v>
      </c>
      <c r="B135" t="s">
        <v>68</v>
      </c>
      <c r="C135" t="s">
        <v>1956</v>
      </c>
      <c r="D135" t="s">
        <v>70</v>
      </c>
      <c r="E135" t="s">
        <v>1724</v>
      </c>
      <c r="F135">
        <v>5</v>
      </c>
      <c r="G135">
        <v>300</v>
      </c>
      <c r="H135">
        <v>4</v>
      </c>
      <c r="I135">
        <v>5</v>
      </c>
      <c r="J135">
        <v>3</v>
      </c>
      <c r="K135" t="s">
        <v>110</v>
      </c>
      <c r="L135" t="s">
        <v>162</v>
      </c>
      <c r="M135" s="4">
        <v>2050000000</v>
      </c>
      <c r="N135">
        <v>0</v>
      </c>
      <c r="O135">
        <v>4.7629700000000001</v>
      </c>
      <c r="P135">
        <v>-74.055639999999997</v>
      </c>
      <c r="Q135" t="s">
        <v>3110</v>
      </c>
      <c r="R135">
        <v>6833333.3329999996</v>
      </c>
      <c r="S135">
        <v>0</v>
      </c>
      <c r="T135" t="s">
        <v>151</v>
      </c>
      <c r="U135" t="s">
        <v>152</v>
      </c>
      <c r="V135" t="s">
        <v>77</v>
      </c>
      <c r="W135" t="s">
        <v>119</v>
      </c>
      <c r="X135" t="s">
        <v>153</v>
      </c>
      <c r="Y135">
        <v>2.6417407358737699</v>
      </c>
      <c r="Z135">
        <v>2641.7407358737701</v>
      </c>
      <c r="AA135">
        <v>4.7837500000000004</v>
      </c>
      <c r="AB135">
        <v>-74.044138888888895</v>
      </c>
      <c r="AC135">
        <v>2580</v>
      </c>
      <c r="AD135">
        <v>0</v>
      </c>
      <c r="AE135" t="s">
        <v>154</v>
      </c>
      <c r="AF135" t="s">
        <v>107</v>
      </c>
      <c r="AG135" t="s">
        <v>82</v>
      </c>
      <c r="AH135" t="s">
        <v>83</v>
      </c>
      <c r="AI135" t="s">
        <v>121</v>
      </c>
      <c r="AJ135">
        <v>1.24196586537255</v>
      </c>
      <c r="AK135">
        <v>3.6566685901732101</v>
      </c>
      <c r="AL135">
        <v>1.0863287911059201</v>
      </c>
      <c r="AM135">
        <v>0.61340499970792295</v>
      </c>
      <c r="AN135">
        <v>3.9852291388538599</v>
      </c>
      <c r="AO135">
        <v>0.35929596196202201</v>
      </c>
      <c r="AP135">
        <v>0.35929596196202201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7</v>
      </c>
      <c r="AW135">
        <v>0</v>
      </c>
      <c r="AX135">
        <v>1</v>
      </c>
      <c r="AY135">
        <v>15.3</v>
      </c>
      <c r="AZ135">
        <v>9.8000000000000007</v>
      </c>
      <c r="BA135">
        <v>29.7</v>
      </c>
      <c r="BB135">
        <v>564</v>
      </c>
      <c r="BC135">
        <v>68</v>
      </c>
      <c r="BD135">
        <v>1.8</v>
      </c>
      <c r="BE135">
        <v>43</v>
      </c>
      <c r="BF135">
        <v>25.4</v>
      </c>
      <c r="BG135">
        <v>162</v>
      </c>
      <c r="BH135">
        <v>9.1</v>
      </c>
      <c r="BI135">
        <v>9.1999999999999993</v>
      </c>
      <c r="BJ135">
        <v>18.3</v>
      </c>
      <c r="BK135">
        <v>0.34</v>
      </c>
      <c r="BL135">
        <v>7.3</v>
      </c>
      <c r="BM135">
        <v>0.9</v>
      </c>
      <c r="BN135">
        <v>7.5</v>
      </c>
      <c r="BO135">
        <v>2.9</v>
      </c>
      <c r="BP135">
        <f t="shared" si="4"/>
        <v>8.5987446291595528</v>
      </c>
      <c r="BQ135">
        <f t="shared" si="5"/>
        <v>27.875419197643307</v>
      </c>
    </row>
    <row r="136" spans="1:69" hidden="1" x14ac:dyDescent="0.2">
      <c r="A136" t="s">
        <v>1897</v>
      </c>
      <c r="B136" t="s">
        <v>68</v>
      </c>
      <c r="C136" t="s">
        <v>69</v>
      </c>
      <c r="D136" t="s">
        <v>70</v>
      </c>
      <c r="E136" t="s">
        <v>349</v>
      </c>
      <c r="F136">
        <v>6</v>
      </c>
      <c r="G136">
        <v>300</v>
      </c>
      <c r="H136">
        <v>3</v>
      </c>
      <c r="I136">
        <v>4</v>
      </c>
      <c r="J136">
        <v>3</v>
      </c>
      <c r="K136" t="s">
        <v>110</v>
      </c>
      <c r="L136" t="s">
        <v>162</v>
      </c>
      <c r="M136" s="4">
        <v>1580000000</v>
      </c>
      <c r="N136">
        <v>0</v>
      </c>
      <c r="O136">
        <v>4.7312846000000004</v>
      </c>
      <c r="P136">
        <v>-74.075659999999999</v>
      </c>
      <c r="Q136" t="s">
        <v>1898</v>
      </c>
      <c r="R136">
        <v>5266666.6670000004</v>
      </c>
      <c r="S136">
        <v>0</v>
      </c>
      <c r="T136" t="s">
        <v>117</v>
      </c>
      <c r="U136" t="s">
        <v>118</v>
      </c>
      <c r="V136" t="s">
        <v>77</v>
      </c>
      <c r="W136" t="s">
        <v>119</v>
      </c>
      <c r="X136" t="s">
        <v>120</v>
      </c>
      <c r="Y136">
        <v>0.95081468108450395</v>
      </c>
      <c r="Z136">
        <v>950.81468108450395</v>
      </c>
      <c r="AA136">
        <v>4.73719444444444</v>
      </c>
      <c r="AB136">
        <v>-74.069472222222203</v>
      </c>
      <c r="AC136">
        <v>2555</v>
      </c>
      <c r="AD136">
        <v>0</v>
      </c>
      <c r="AE136" t="s">
        <v>80</v>
      </c>
      <c r="AF136" t="s">
        <v>107</v>
      </c>
      <c r="AG136" t="s">
        <v>82</v>
      </c>
      <c r="AH136" t="s">
        <v>83</v>
      </c>
      <c r="AI136" t="s">
        <v>121</v>
      </c>
      <c r="AJ136">
        <v>0.43568507837493198</v>
      </c>
      <c r="AK136">
        <v>5.3934873163992796</v>
      </c>
      <c r="AL136">
        <v>1.66295745760988</v>
      </c>
      <c r="AM136">
        <v>0.85253139747212303</v>
      </c>
      <c r="AN136">
        <v>1.5485886135371101</v>
      </c>
      <c r="AO136">
        <v>2.3052357473437899E-2</v>
      </c>
      <c r="AP136">
        <v>2.3052357473437899E-2</v>
      </c>
      <c r="AQ136">
        <v>1</v>
      </c>
      <c r="AR136">
        <v>2</v>
      </c>
      <c r="AS136">
        <v>0</v>
      </c>
      <c r="AT136">
        <v>0</v>
      </c>
      <c r="AU136">
        <v>0</v>
      </c>
      <c r="AV136">
        <v>7</v>
      </c>
      <c r="AW136">
        <v>0</v>
      </c>
      <c r="AX136">
        <v>0</v>
      </c>
      <c r="AY136">
        <v>15.3</v>
      </c>
      <c r="AZ136">
        <v>9.8000000000000007</v>
      </c>
      <c r="BA136">
        <v>29.7</v>
      </c>
      <c r="BB136">
        <v>564</v>
      </c>
      <c r="BC136">
        <v>68</v>
      </c>
      <c r="BD136">
        <v>1.8</v>
      </c>
      <c r="BE136">
        <v>43</v>
      </c>
      <c r="BF136">
        <v>25.4</v>
      </c>
      <c r="BG136">
        <v>162</v>
      </c>
      <c r="BH136">
        <v>9.1</v>
      </c>
      <c r="BI136">
        <v>9.1999999999999993</v>
      </c>
      <c r="BJ136">
        <v>18.3</v>
      </c>
      <c r="BK136">
        <v>0.34</v>
      </c>
      <c r="BL136">
        <v>7.3</v>
      </c>
      <c r="BM136">
        <v>0.9</v>
      </c>
      <c r="BN136">
        <v>7.5</v>
      </c>
      <c r="BO136">
        <v>2.9</v>
      </c>
      <c r="BP136">
        <f t="shared" si="4"/>
        <v>9.349445707872599</v>
      </c>
      <c r="BQ136">
        <f t="shared" si="5"/>
        <v>29.029933678895073</v>
      </c>
    </row>
    <row r="137" spans="1:69" hidden="1" x14ac:dyDescent="0.2">
      <c r="A137" t="s">
        <v>1509</v>
      </c>
      <c r="B137" t="s">
        <v>68</v>
      </c>
      <c r="C137" t="s">
        <v>69</v>
      </c>
      <c r="D137" t="s">
        <v>70</v>
      </c>
      <c r="E137" t="s">
        <v>928</v>
      </c>
      <c r="F137">
        <v>4</v>
      </c>
      <c r="G137">
        <v>300</v>
      </c>
      <c r="H137">
        <v>5</v>
      </c>
      <c r="I137">
        <v>5</v>
      </c>
      <c r="J137">
        <v>2</v>
      </c>
      <c r="K137" t="s">
        <v>110</v>
      </c>
      <c r="L137" t="s">
        <v>124</v>
      </c>
      <c r="M137" s="4">
        <v>1300000000</v>
      </c>
      <c r="N137">
        <v>0</v>
      </c>
      <c r="O137">
        <v>4.7328262329999999</v>
      </c>
      <c r="P137">
        <v>-74.058204649999993</v>
      </c>
      <c r="Q137" t="s">
        <v>1510</v>
      </c>
      <c r="R137">
        <v>4333333.3329999996</v>
      </c>
      <c r="S137">
        <v>0</v>
      </c>
      <c r="T137" t="s">
        <v>117</v>
      </c>
      <c r="U137" t="s">
        <v>118</v>
      </c>
      <c r="V137" t="s">
        <v>77</v>
      </c>
      <c r="W137" t="s">
        <v>119</v>
      </c>
      <c r="X137" t="s">
        <v>120</v>
      </c>
      <c r="Y137">
        <v>1.3412698347972101</v>
      </c>
      <c r="Z137">
        <v>1341.26983479721</v>
      </c>
      <c r="AA137">
        <v>4.73719444444444</v>
      </c>
      <c r="AB137">
        <v>-74.069472222222203</v>
      </c>
      <c r="AC137">
        <v>2555</v>
      </c>
      <c r="AD137">
        <v>0</v>
      </c>
      <c r="AE137" t="s">
        <v>80</v>
      </c>
      <c r="AF137" t="s">
        <v>107</v>
      </c>
      <c r="AG137" t="s">
        <v>82</v>
      </c>
      <c r="AH137" t="s">
        <v>83</v>
      </c>
      <c r="AI137" t="s">
        <v>121</v>
      </c>
      <c r="AJ137">
        <v>0.95485769184195501</v>
      </c>
      <c r="AK137">
        <v>4.0145524395730403</v>
      </c>
      <c r="AL137">
        <v>2.0214605390835398</v>
      </c>
      <c r="AM137">
        <v>0.22304401634250801</v>
      </c>
      <c r="AN137">
        <v>3.1516621253879902</v>
      </c>
      <c r="AO137">
        <v>6.3524280932226902E-3</v>
      </c>
      <c r="AP137">
        <v>6.3524280932226902E-3</v>
      </c>
      <c r="AQ137">
        <v>0</v>
      </c>
      <c r="AR137">
        <v>1</v>
      </c>
      <c r="AS137">
        <v>0</v>
      </c>
      <c r="AT137">
        <v>0</v>
      </c>
      <c r="AU137">
        <v>0</v>
      </c>
      <c r="AV137">
        <v>16</v>
      </c>
      <c r="AW137">
        <v>0</v>
      </c>
      <c r="AX137">
        <v>0</v>
      </c>
      <c r="AY137">
        <v>15.3</v>
      </c>
      <c r="AZ137">
        <v>9.8000000000000007</v>
      </c>
      <c r="BA137">
        <v>29.7</v>
      </c>
      <c r="BB137">
        <v>564</v>
      </c>
      <c r="BC137">
        <v>68</v>
      </c>
      <c r="BD137">
        <v>1.8</v>
      </c>
      <c r="BE137">
        <v>43</v>
      </c>
      <c r="BF137">
        <v>25.4</v>
      </c>
      <c r="BG137">
        <v>162</v>
      </c>
      <c r="BH137">
        <v>9.1</v>
      </c>
      <c r="BI137">
        <v>9.1999999999999993</v>
      </c>
      <c r="BJ137">
        <v>18.3</v>
      </c>
      <c r="BK137">
        <v>0.34</v>
      </c>
      <c r="BL137">
        <v>7.3</v>
      </c>
      <c r="BM137">
        <v>0.9</v>
      </c>
      <c r="BN137">
        <v>7.5</v>
      </c>
      <c r="BO137">
        <v>2.9</v>
      </c>
      <c r="BP137">
        <f t="shared" si="4"/>
        <v>9.1704790770247886</v>
      </c>
      <c r="BQ137">
        <f t="shared" si="5"/>
        <v>28.759167033901299</v>
      </c>
    </row>
    <row r="138" spans="1:69" hidden="1" x14ac:dyDescent="0.2">
      <c r="A138" t="s">
        <v>2874</v>
      </c>
      <c r="B138" t="s">
        <v>68</v>
      </c>
      <c r="C138" t="s">
        <v>1956</v>
      </c>
      <c r="D138" t="s">
        <v>70</v>
      </c>
      <c r="E138" t="s">
        <v>378</v>
      </c>
      <c r="F138">
        <v>4</v>
      </c>
      <c r="G138">
        <v>300</v>
      </c>
      <c r="H138">
        <v>5</v>
      </c>
      <c r="I138">
        <v>5</v>
      </c>
      <c r="J138">
        <v>2</v>
      </c>
      <c r="K138" t="s">
        <v>110</v>
      </c>
      <c r="L138" t="s">
        <v>162</v>
      </c>
      <c r="M138" s="4">
        <v>1200000000</v>
      </c>
      <c r="N138">
        <v>0</v>
      </c>
      <c r="O138">
        <v>4.722391129</v>
      </c>
      <c r="P138">
        <v>-74.066467290000006</v>
      </c>
      <c r="Q138" t="s">
        <v>2875</v>
      </c>
      <c r="R138">
        <v>4000000</v>
      </c>
      <c r="S138">
        <v>0</v>
      </c>
      <c r="T138" t="s">
        <v>117</v>
      </c>
      <c r="U138" t="s">
        <v>118</v>
      </c>
      <c r="V138" t="s">
        <v>77</v>
      </c>
      <c r="W138" t="s">
        <v>119</v>
      </c>
      <c r="X138" t="s">
        <v>120</v>
      </c>
      <c r="Y138">
        <v>1.6812795093170101</v>
      </c>
      <c r="Z138">
        <v>1681.27950931701</v>
      </c>
      <c r="AA138">
        <v>4.73719444444444</v>
      </c>
      <c r="AB138">
        <v>-74.069472222222203</v>
      </c>
      <c r="AC138">
        <v>2555</v>
      </c>
      <c r="AD138">
        <v>0</v>
      </c>
      <c r="AE138" t="s">
        <v>80</v>
      </c>
      <c r="AF138" t="s">
        <v>107</v>
      </c>
      <c r="AG138" t="s">
        <v>82</v>
      </c>
      <c r="AH138" t="s">
        <v>83</v>
      </c>
      <c r="AI138" t="s">
        <v>121</v>
      </c>
      <c r="AJ138">
        <v>0.92249081795175103</v>
      </c>
      <c r="AK138">
        <v>4.7571121967608603</v>
      </c>
      <c r="AL138">
        <v>0.82212582436450499</v>
      </c>
      <c r="AM138">
        <v>7.37802456865366E-2</v>
      </c>
      <c r="AN138">
        <v>2.9638890479920401</v>
      </c>
      <c r="AO138">
        <v>0.36534148854919102</v>
      </c>
      <c r="AP138">
        <v>0.36534148854919102</v>
      </c>
      <c r="AQ138">
        <v>0</v>
      </c>
      <c r="AR138">
        <v>1</v>
      </c>
      <c r="AS138">
        <v>0</v>
      </c>
      <c r="AT138">
        <v>0</v>
      </c>
      <c r="AU138">
        <v>1</v>
      </c>
      <c r="AV138">
        <v>30</v>
      </c>
      <c r="AW138">
        <v>0</v>
      </c>
      <c r="AX138">
        <v>0</v>
      </c>
      <c r="AY138">
        <v>15.3</v>
      </c>
      <c r="AZ138">
        <v>9.8000000000000007</v>
      </c>
      <c r="BA138">
        <v>29.7</v>
      </c>
      <c r="BB138">
        <v>564</v>
      </c>
      <c r="BC138">
        <v>68</v>
      </c>
      <c r="BD138">
        <v>1.8</v>
      </c>
      <c r="BE138">
        <v>43</v>
      </c>
      <c r="BF138">
        <v>25.4</v>
      </c>
      <c r="BG138">
        <v>162</v>
      </c>
      <c r="BH138">
        <v>9.1</v>
      </c>
      <c r="BI138">
        <v>9.1999999999999993</v>
      </c>
      <c r="BJ138">
        <v>18.3</v>
      </c>
      <c r="BK138">
        <v>0.34</v>
      </c>
      <c r="BL138">
        <v>7.3</v>
      </c>
      <c r="BM138">
        <v>0.9</v>
      </c>
      <c r="BN138">
        <v>7.5</v>
      </c>
      <c r="BO138">
        <v>2.9</v>
      </c>
      <c r="BP138">
        <f t="shared" si="4"/>
        <v>9.0174271043556047</v>
      </c>
      <c r="BQ138">
        <f t="shared" si="5"/>
        <v>28.525440481798668</v>
      </c>
    </row>
    <row r="139" spans="1:69" hidden="1" x14ac:dyDescent="0.2">
      <c r="A139" t="s">
        <v>2117</v>
      </c>
      <c r="B139" t="s">
        <v>68</v>
      </c>
      <c r="C139" t="s">
        <v>1956</v>
      </c>
      <c r="D139" t="s">
        <v>70</v>
      </c>
      <c r="E139" t="s">
        <v>329</v>
      </c>
      <c r="F139">
        <v>5</v>
      </c>
      <c r="G139">
        <v>300</v>
      </c>
      <c r="H139">
        <v>4</v>
      </c>
      <c r="I139">
        <v>4</v>
      </c>
      <c r="J139">
        <v>2</v>
      </c>
      <c r="K139" t="s">
        <v>110</v>
      </c>
      <c r="L139" t="s">
        <v>162</v>
      </c>
      <c r="M139" s="4">
        <v>1145000000</v>
      </c>
      <c r="N139">
        <v>0</v>
      </c>
      <c r="O139">
        <v>4.6998295780000001</v>
      </c>
      <c r="P139">
        <v>-74.080612180000003</v>
      </c>
      <c r="Q139" t="s">
        <v>2118</v>
      </c>
      <c r="R139">
        <v>3816666.6669999999</v>
      </c>
      <c r="S139">
        <v>0</v>
      </c>
      <c r="T139" t="s">
        <v>117</v>
      </c>
      <c r="U139" t="s">
        <v>118</v>
      </c>
      <c r="V139" t="s">
        <v>77</v>
      </c>
      <c r="W139" t="s">
        <v>119</v>
      </c>
      <c r="X139" t="s">
        <v>120</v>
      </c>
      <c r="Y139">
        <v>4.3391648533166096</v>
      </c>
      <c r="Z139">
        <v>4339.1648533166099</v>
      </c>
      <c r="AA139">
        <v>4.73719444444444</v>
      </c>
      <c r="AB139">
        <v>-74.069472222222203</v>
      </c>
      <c r="AC139">
        <v>2555</v>
      </c>
      <c r="AD139">
        <v>0</v>
      </c>
      <c r="AE139" t="s">
        <v>80</v>
      </c>
      <c r="AF139" t="s">
        <v>107</v>
      </c>
      <c r="AG139" t="s">
        <v>82</v>
      </c>
      <c r="AH139" t="s">
        <v>83</v>
      </c>
      <c r="AI139" t="s">
        <v>121</v>
      </c>
      <c r="AJ139">
        <v>0.97328555936184402</v>
      </c>
      <c r="AK139">
        <v>5.3797795433259497</v>
      </c>
      <c r="AL139">
        <v>0.99734660158989796</v>
      </c>
      <c r="AM139">
        <v>9.5605608444650797E-2</v>
      </c>
      <c r="AN139">
        <v>2.676273259247</v>
      </c>
      <c r="AO139">
        <v>0.385899077587471</v>
      </c>
      <c r="AP139">
        <v>0.385899077587471</v>
      </c>
      <c r="AQ139">
        <v>0</v>
      </c>
      <c r="AR139">
        <v>1</v>
      </c>
      <c r="AS139">
        <v>0</v>
      </c>
      <c r="AT139">
        <v>0</v>
      </c>
      <c r="AU139">
        <v>1</v>
      </c>
      <c r="AV139">
        <v>33</v>
      </c>
      <c r="AW139">
        <v>0</v>
      </c>
      <c r="AX139">
        <v>0</v>
      </c>
      <c r="AY139">
        <v>15.3</v>
      </c>
      <c r="AZ139">
        <v>9.8000000000000007</v>
      </c>
      <c r="BA139">
        <v>29.7</v>
      </c>
      <c r="BB139">
        <v>564</v>
      </c>
      <c r="BC139">
        <v>68</v>
      </c>
      <c r="BD139">
        <v>1.8</v>
      </c>
      <c r="BE139">
        <v>43</v>
      </c>
      <c r="BF139">
        <v>25.4</v>
      </c>
      <c r="BG139">
        <v>162</v>
      </c>
      <c r="BH139">
        <v>9.1</v>
      </c>
      <c r="BI139">
        <v>9.1999999999999993</v>
      </c>
      <c r="BJ139">
        <v>18.3</v>
      </c>
      <c r="BK139">
        <v>0.34</v>
      </c>
      <c r="BL139">
        <v>7.3</v>
      </c>
      <c r="BM139">
        <v>0.9</v>
      </c>
      <c r="BN139">
        <v>7.5</v>
      </c>
      <c r="BO139">
        <v>2.9</v>
      </c>
      <c r="BP139">
        <f t="shared" si="4"/>
        <v>7.9057767421623275</v>
      </c>
      <c r="BQ139">
        <f t="shared" si="5"/>
        <v>26.762645465642546</v>
      </c>
    </row>
    <row r="140" spans="1:69" hidden="1" x14ac:dyDescent="0.2">
      <c r="A140" t="s">
        <v>2398</v>
      </c>
      <c r="B140" t="s">
        <v>68</v>
      </c>
      <c r="C140" t="s">
        <v>1956</v>
      </c>
      <c r="D140" t="s">
        <v>70</v>
      </c>
      <c r="E140" t="s">
        <v>2399</v>
      </c>
      <c r="F140">
        <v>4</v>
      </c>
      <c r="G140">
        <v>300</v>
      </c>
      <c r="H140">
        <v>4</v>
      </c>
      <c r="I140">
        <v>3</v>
      </c>
      <c r="J140">
        <v>2</v>
      </c>
      <c r="K140" t="s">
        <v>110</v>
      </c>
      <c r="L140" t="s">
        <v>162</v>
      </c>
      <c r="M140" s="4">
        <v>980000000</v>
      </c>
      <c r="N140">
        <v>0</v>
      </c>
      <c r="O140">
        <v>4.7439031600000003</v>
      </c>
      <c r="P140">
        <v>-74.09061432</v>
      </c>
      <c r="Q140" t="s">
        <v>2400</v>
      </c>
      <c r="R140">
        <v>3266666.6669999999</v>
      </c>
      <c r="S140">
        <v>0</v>
      </c>
      <c r="T140" t="s">
        <v>119</v>
      </c>
      <c r="U140" t="s">
        <v>787</v>
      </c>
      <c r="V140" t="s">
        <v>77</v>
      </c>
      <c r="W140" t="s">
        <v>119</v>
      </c>
      <c r="X140" t="s">
        <v>788</v>
      </c>
      <c r="Y140">
        <v>1.9563908242222601</v>
      </c>
      <c r="Z140">
        <v>1956.3908242222601</v>
      </c>
      <c r="AA140">
        <v>4.7612472222222202</v>
      </c>
      <c r="AB140">
        <v>-74.093461111111097</v>
      </c>
      <c r="AC140">
        <v>2571</v>
      </c>
      <c r="AD140">
        <v>6</v>
      </c>
      <c r="AE140" t="s">
        <v>154</v>
      </c>
      <c r="AF140" t="s">
        <v>107</v>
      </c>
      <c r="AG140" t="s">
        <v>82</v>
      </c>
      <c r="AH140" t="s">
        <v>83</v>
      </c>
      <c r="AI140" t="s">
        <v>121</v>
      </c>
      <c r="AJ140">
        <v>0.152630626208176</v>
      </c>
      <c r="AK140">
        <v>3.22810098799141</v>
      </c>
      <c r="AL140">
        <v>3.66986681742975</v>
      </c>
      <c r="AM140">
        <v>0.21626552193842</v>
      </c>
      <c r="AN140">
        <v>0.64913537358120899</v>
      </c>
      <c r="AO140">
        <v>0.11405720931386901</v>
      </c>
      <c r="AP140">
        <v>0.11405720931386901</v>
      </c>
      <c r="AQ140">
        <v>1</v>
      </c>
      <c r="AR140">
        <v>3</v>
      </c>
      <c r="AS140">
        <v>0</v>
      </c>
      <c r="AT140">
        <v>0</v>
      </c>
      <c r="AU140">
        <v>0</v>
      </c>
      <c r="AV140">
        <v>53</v>
      </c>
      <c r="AW140">
        <v>1</v>
      </c>
      <c r="AX140">
        <v>0</v>
      </c>
      <c r="AY140">
        <v>15.3</v>
      </c>
      <c r="AZ140">
        <v>9.8000000000000007</v>
      </c>
      <c r="BA140">
        <v>29.7</v>
      </c>
      <c r="BB140">
        <v>564</v>
      </c>
      <c r="BC140">
        <v>68</v>
      </c>
      <c r="BD140">
        <v>1.8</v>
      </c>
      <c r="BE140">
        <v>43</v>
      </c>
      <c r="BF140">
        <v>25.4</v>
      </c>
      <c r="BG140">
        <v>162</v>
      </c>
      <c r="BH140">
        <v>9.1</v>
      </c>
      <c r="BI140">
        <v>9.1999999999999993</v>
      </c>
      <c r="BJ140">
        <v>18.3</v>
      </c>
      <c r="BK140">
        <v>0.34</v>
      </c>
      <c r="BL140">
        <v>7.3</v>
      </c>
      <c r="BM140">
        <v>0.9</v>
      </c>
      <c r="BN140">
        <v>7.5</v>
      </c>
      <c r="BO140">
        <v>2.9</v>
      </c>
      <c r="BP140">
        <f t="shared" si="4"/>
        <v>8.8954600502642744</v>
      </c>
      <c r="BQ140">
        <f t="shared" si="5"/>
        <v>28.337716788192424</v>
      </c>
    </row>
    <row r="141" spans="1:69" hidden="1" x14ac:dyDescent="0.2">
      <c r="A141" t="s">
        <v>2959</v>
      </c>
      <c r="B141" t="s">
        <v>68</v>
      </c>
      <c r="C141" t="s">
        <v>1956</v>
      </c>
      <c r="D141" t="s">
        <v>70</v>
      </c>
      <c r="E141" t="s">
        <v>277</v>
      </c>
      <c r="F141">
        <v>5</v>
      </c>
      <c r="G141">
        <v>296</v>
      </c>
      <c r="H141">
        <v>4</v>
      </c>
      <c r="I141">
        <v>5</v>
      </c>
      <c r="J141">
        <v>4</v>
      </c>
      <c r="K141" t="s">
        <v>110</v>
      </c>
      <c r="L141" t="s">
        <v>162</v>
      </c>
      <c r="M141" s="4">
        <v>1480000000</v>
      </c>
      <c r="N141">
        <v>0</v>
      </c>
      <c r="O141">
        <v>4.7256536479999998</v>
      </c>
      <c r="P141">
        <v>-74.06293488</v>
      </c>
      <c r="Q141" t="s">
        <v>2960</v>
      </c>
      <c r="R141">
        <v>5000000</v>
      </c>
      <c r="S141">
        <v>0</v>
      </c>
      <c r="T141" t="s">
        <v>117</v>
      </c>
      <c r="U141" t="s">
        <v>118</v>
      </c>
      <c r="V141" t="s">
        <v>77</v>
      </c>
      <c r="W141" t="s">
        <v>119</v>
      </c>
      <c r="X141" t="s">
        <v>120</v>
      </c>
      <c r="Y141">
        <v>1.47529219793721</v>
      </c>
      <c r="Z141">
        <v>1475.2921979372099</v>
      </c>
      <c r="AA141">
        <v>4.73719444444444</v>
      </c>
      <c r="AB141">
        <v>-74.069472222222203</v>
      </c>
      <c r="AC141">
        <v>2555</v>
      </c>
      <c r="AD141">
        <v>0</v>
      </c>
      <c r="AE141" t="s">
        <v>80</v>
      </c>
      <c r="AF141" t="s">
        <v>107</v>
      </c>
      <c r="AG141" t="s">
        <v>82</v>
      </c>
      <c r="AH141" t="s">
        <v>83</v>
      </c>
      <c r="AI141" t="s">
        <v>121</v>
      </c>
      <c r="AJ141">
        <v>1.3221205874272399</v>
      </c>
      <c r="AK141">
        <v>4.4151386301266502</v>
      </c>
      <c r="AL141">
        <v>1.3529823308445299</v>
      </c>
      <c r="AM141">
        <v>0.12100001797946</v>
      </c>
      <c r="AN141">
        <v>3.0312698278115202</v>
      </c>
      <c r="AO141">
        <v>0.49489876180445003</v>
      </c>
      <c r="AP141">
        <v>0.49489876180445003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21</v>
      </c>
      <c r="AW141">
        <v>0</v>
      </c>
      <c r="AX141">
        <v>0</v>
      </c>
      <c r="AY141">
        <v>15.3</v>
      </c>
      <c r="AZ141">
        <v>9.8000000000000007</v>
      </c>
      <c r="BA141">
        <v>29.7</v>
      </c>
      <c r="BB141">
        <v>564</v>
      </c>
      <c r="BC141">
        <v>68</v>
      </c>
      <c r="BD141">
        <v>1.8</v>
      </c>
      <c r="BE141">
        <v>43</v>
      </c>
      <c r="BF141">
        <v>25.4</v>
      </c>
      <c r="BG141">
        <v>162</v>
      </c>
      <c r="BH141">
        <v>9.1</v>
      </c>
      <c r="BI141">
        <v>9.1999999999999993</v>
      </c>
      <c r="BJ141">
        <v>18.3</v>
      </c>
      <c r="BK141">
        <v>0.34</v>
      </c>
      <c r="BL141">
        <v>7.3</v>
      </c>
      <c r="BM141">
        <v>0.9</v>
      </c>
      <c r="BN141">
        <v>7.5</v>
      </c>
      <c r="BO141">
        <v>2.9</v>
      </c>
      <c r="BP141">
        <f t="shared" si="4"/>
        <v>9.1098424949892376</v>
      </c>
      <c r="BQ141">
        <f t="shared" si="5"/>
        <v>28.666810730581197</v>
      </c>
    </row>
    <row r="142" spans="1:69" hidden="1" x14ac:dyDescent="0.2">
      <c r="A142" t="s">
        <v>454</v>
      </c>
      <c r="B142" t="s">
        <v>68</v>
      </c>
      <c r="C142" t="s">
        <v>69</v>
      </c>
      <c r="D142" t="s">
        <v>70</v>
      </c>
      <c r="E142" t="s">
        <v>455</v>
      </c>
      <c r="F142">
        <v>6</v>
      </c>
      <c r="G142">
        <v>294</v>
      </c>
      <c r="H142">
        <v>3</v>
      </c>
      <c r="I142">
        <v>4</v>
      </c>
      <c r="J142">
        <v>4</v>
      </c>
      <c r="K142" t="s">
        <v>110</v>
      </c>
      <c r="L142" t="s">
        <v>133</v>
      </c>
      <c r="M142" s="4">
        <v>1930000000</v>
      </c>
      <c r="N142">
        <v>0</v>
      </c>
      <c r="O142">
        <v>4.7376313210000003</v>
      </c>
      <c r="P142">
        <v>-74.076515200000003</v>
      </c>
      <c r="Q142" t="s">
        <v>456</v>
      </c>
      <c r="R142">
        <v>6564625.8499999996</v>
      </c>
      <c r="S142">
        <v>0</v>
      </c>
      <c r="T142" t="s">
        <v>117</v>
      </c>
      <c r="U142" t="s">
        <v>118</v>
      </c>
      <c r="V142" t="s">
        <v>77</v>
      </c>
      <c r="W142" t="s">
        <v>119</v>
      </c>
      <c r="X142" t="s">
        <v>120</v>
      </c>
      <c r="Y142">
        <v>0.78285428516756905</v>
      </c>
      <c r="Z142">
        <v>782.85428516756895</v>
      </c>
      <c r="AA142">
        <v>4.73719444444444</v>
      </c>
      <c r="AB142">
        <v>-74.069472222222203</v>
      </c>
      <c r="AC142">
        <v>2555</v>
      </c>
      <c r="AD142">
        <v>0</v>
      </c>
      <c r="AE142" t="s">
        <v>80</v>
      </c>
      <c r="AF142" t="s">
        <v>107</v>
      </c>
      <c r="AG142" t="s">
        <v>82</v>
      </c>
      <c r="AH142" t="s">
        <v>83</v>
      </c>
      <c r="AI142" t="s">
        <v>121</v>
      </c>
      <c r="AJ142">
        <v>0.54847321732255006</v>
      </c>
      <c r="AK142">
        <v>4.9058090640856502</v>
      </c>
      <c r="AL142">
        <v>2.3649650816507699</v>
      </c>
      <c r="AM142">
        <v>0.56070020073001303</v>
      </c>
      <c r="AN142">
        <v>1.06105497910492</v>
      </c>
      <c r="AO142">
        <v>5.6293506580864499E-3</v>
      </c>
      <c r="AP142">
        <v>5.6293506580864499E-3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6</v>
      </c>
      <c r="AW142">
        <v>0</v>
      </c>
      <c r="AX142">
        <v>0</v>
      </c>
      <c r="AY142">
        <v>15.3</v>
      </c>
      <c r="AZ142">
        <v>9.8000000000000007</v>
      </c>
      <c r="BA142">
        <v>29.7</v>
      </c>
      <c r="BB142">
        <v>564</v>
      </c>
      <c r="BC142">
        <v>68</v>
      </c>
      <c r="BD142">
        <v>1.8</v>
      </c>
      <c r="BE142">
        <v>43</v>
      </c>
      <c r="BF142">
        <v>25.4</v>
      </c>
      <c r="BG142">
        <v>162</v>
      </c>
      <c r="BH142">
        <v>9.1</v>
      </c>
      <c r="BI142">
        <v>9.1999999999999993</v>
      </c>
      <c r="BJ142">
        <v>18.3</v>
      </c>
      <c r="BK142">
        <v>0.34</v>
      </c>
      <c r="BL142">
        <v>7.3</v>
      </c>
      <c r="BM142">
        <v>0.9</v>
      </c>
      <c r="BN142">
        <v>7.5</v>
      </c>
      <c r="BO142">
        <v>2.9</v>
      </c>
      <c r="BP142">
        <f t="shared" si="4"/>
        <v>9.4275013991387411</v>
      </c>
      <c r="BQ142">
        <f t="shared" si="5"/>
        <v>29.147190954756798</v>
      </c>
    </row>
    <row r="143" spans="1:69" hidden="1" x14ac:dyDescent="0.2">
      <c r="A143" t="s">
        <v>563</v>
      </c>
      <c r="B143" t="s">
        <v>68</v>
      </c>
      <c r="C143" t="s">
        <v>69</v>
      </c>
      <c r="D143" t="s">
        <v>70</v>
      </c>
      <c r="E143" t="s">
        <v>349</v>
      </c>
      <c r="F143">
        <v>6</v>
      </c>
      <c r="G143">
        <v>284.33</v>
      </c>
      <c r="H143">
        <v>3</v>
      </c>
      <c r="I143">
        <v>4</v>
      </c>
      <c r="J143">
        <v>4</v>
      </c>
      <c r="K143" t="s">
        <v>110</v>
      </c>
      <c r="L143" t="s">
        <v>124</v>
      </c>
      <c r="M143" s="4">
        <v>2400000000</v>
      </c>
      <c r="N143">
        <v>0</v>
      </c>
      <c r="O143">
        <v>4.7245939999999997</v>
      </c>
      <c r="P143">
        <v>-74.077755999999994</v>
      </c>
      <c r="Q143" t="s">
        <v>564</v>
      </c>
      <c r="R143">
        <v>8440896.1420000009</v>
      </c>
      <c r="S143">
        <v>0</v>
      </c>
      <c r="T143" t="s">
        <v>117</v>
      </c>
      <c r="U143" t="s">
        <v>118</v>
      </c>
      <c r="V143" t="s">
        <v>77</v>
      </c>
      <c r="W143" t="s">
        <v>119</v>
      </c>
      <c r="X143" t="s">
        <v>120</v>
      </c>
      <c r="Y143">
        <v>1.6769216112958401</v>
      </c>
      <c r="Z143">
        <v>1676.92161129584</v>
      </c>
      <c r="AA143">
        <v>4.73719444444444</v>
      </c>
      <c r="AB143">
        <v>-74.069472222222203</v>
      </c>
      <c r="AC143">
        <v>2555</v>
      </c>
      <c r="AD143">
        <v>0</v>
      </c>
      <c r="AE143" t="s">
        <v>80</v>
      </c>
      <c r="AF143" t="s">
        <v>107</v>
      </c>
      <c r="AG143" t="s">
        <v>82</v>
      </c>
      <c r="AH143" t="s">
        <v>83</v>
      </c>
      <c r="AI143" t="s">
        <v>121</v>
      </c>
      <c r="AJ143">
        <v>0.46161353433427399</v>
      </c>
      <c r="AK143">
        <v>5.2539618595607998</v>
      </c>
      <c r="AL143">
        <v>1.1073041562811199</v>
      </c>
      <c r="AM143">
        <v>0.76951546069237198</v>
      </c>
      <c r="AN143">
        <v>2.03884569634244</v>
      </c>
      <c r="AO143">
        <v>3.8906724229921197E-2</v>
      </c>
      <c r="AP143">
        <v>3.8906724229921197E-2</v>
      </c>
      <c r="AQ143">
        <v>2</v>
      </c>
      <c r="AR143">
        <v>2</v>
      </c>
      <c r="AS143">
        <v>0</v>
      </c>
      <c r="AT143">
        <v>0</v>
      </c>
      <c r="AU143">
        <v>0</v>
      </c>
      <c r="AV143">
        <v>5</v>
      </c>
      <c r="AW143">
        <v>0</v>
      </c>
      <c r="AX143">
        <v>0</v>
      </c>
      <c r="AY143">
        <v>15.3</v>
      </c>
      <c r="AZ143">
        <v>9.8000000000000007</v>
      </c>
      <c r="BA143">
        <v>29.7</v>
      </c>
      <c r="BB143">
        <v>564</v>
      </c>
      <c r="BC143">
        <v>68</v>
      </c>
      <c r="BD143">
        <v>1.8</v>
      </c>
      <c r="BE143">
        <v>43</v>
      </c>
      <c r="BF143">
        <v>25.4</v>
      </c>
      <c r="BG143">
        <v>162</v>
      </c>
      <c r="BH143">
        <v>9.1</v>
      </c>
      <c r="BI143">
        <v>9.1999999999999993</v>
      </c>
      <c r="BJ143">
        <v>18.3</v>
      </c>
      <c r="BK143">
        <v>0.34</v>
      </c>
      <c r="BL143">
        <v>7.3</v>
      </c>
      <c r="BM143">
        <v>0.9</v>
      </c>
      <c r="BN143">
        <v>7.5</v>
      </c>
      <c r="BO143">
        <v>2.9</v>
      </c>
      <c r="BP143">
        <f t="shared" si="4"/>
        <v>9.0193725170491756</v>
      </c>
      <c r="BQ143">
        <f t="shared" si="5"/>
        <v>28.52842410087873</v>
      </c>
    </row>
    <row r="144" spans="1:69" hidden="1" x14ac:dyDescent="0.2">
      <c r="A144" t="s">
        <v>1958</v>
      </c>
      <c r="B144" t="s">
        <v>68</v>
      </c>
      <c r="C144" t="s">
        <v>1956</v>
      </c>
      <c r="D144" t="s">
        <v>70</v>
      </c>
      <c r="E144" t="s">
        <v>548</v>
      </c>
      <c r="F144">
        <v>6</v>
      </c>
      <c r="G144">
        <v>280</v>
      </c>
      <c r="H144">
        <v>4</v>
      </c>
      <c r="I144">
        <v>5</v>
      </c>
      <c r="J144">
        <v>2</v>
      </c>
      <c r="K144" t="s">
        <v>72</v>
      </c>
      <c r="L144" t="s">
        <v>73</v>
      </c>
      <c r="M144" s="4">
        <v>2550000000</v>
      </c>
      <c r="N144">
        <v>0</v>
      </c>
      <c r="O144">
        <v>4.7226160000000004</v>
      </c>
      <c r="P144">
        <v>-74.074935999999994</v>
      </c>
      <c r="Q144" t="s">
        <v>1959</v>
      </c>
      <c r="R144">
        <v>9107142.8570000008</v>
      </c>
      <c r="S144">
        <v>0</v>
      </c>
      <c r="T144" t="s">
        <v>117</v>
      </c>
      <c r="U144" t="s">
        <v>118</v>
      </c>
      <c r="V144" t="s">
        <v>77</v>
      </c>
      <c r="W144" t="s">
        <v>119</v>
      </c>
      <c r="X144" t="s">
        <v>120</v>
      </c>
      <c r="Y144">
        <v>1.73237209652619</v>
      </c>
      <c r="Z144">
        <v>1732.37209652619</v>
      </c>
      <c r="AA144">
        <v>4.73719444444444</v>
      </c>
      <c r="AB144">
        <v>-74.069472222222203</v>
      </c>
      <c r="AC144">
        <v>2555</v>
      </c>
      <c r="AD144">
        <v>0</v>
      </c>
      <c r="AE144" t="s">
        <v>80</v>
      </c>
      <c r="AF144" t="s">
        <v>107</v>
      </c>
      <c r="AG144" t="s">
        <v>82</v>
      </c>
      <c r="AH144" t="s">
        <v>83</v>
      </c>
      <c r="AI144" t="s">
        <v>121</v>
      </c>
      <c r="AJ144">
        <v>0.151125754368475</v>
      </c>
      <c r="AK144">
        <v>5.5894365406695998</v>
      </c>
      <c r="AL144">
        <v>0.74703752955565506</v>
      </c>
      <c r="AM144">
        <v>0.38906789108147799</v>
      </c>
      <c r="AN144">
        <v>2.3746386728724098</v>
      </c>
      <c r="AO144">
        <v>0.206048737707242</v>
      </c>
      <c r="AP144">
        <v>0.206048737707242</v>
      </c>
      <c r="AQ144">
        <v>1</v>
      </c>
      <c r="AR144">
        <v>2</v>
      </c>
      <c r="AS144">
        <v>0</v>
      </c>
      <c r="AT144">
        <v>0</v>
      </c>
      <c r="AU144">
        <v>1</v>
      </c>
      <c r="AV144">
        <v>22</v>
      </c>
      <c r="AW144">
        <v>0</v>
      </c>
      <c r="AX144">
        <v>0</v>
      </c>
      <c r="AY144">
        <v>15.3</v>
      </c>
      <c r="AZ144">
        <v>9.8000000000000007</v>
      </c>
      <c r="BA144">
        <v>29.7</v>
      </c>
      <c r="BB144">
        <v>564</v>
      </c>
      <c r="BC144">
        <v>68</v>
      </c>
      <c r="BD144">
        <v>1.8</v>
      </c>
      <c r="BE144">
        <v>43</v>
      </c>
      <c r="BF144">
        <v>25.4</v>
      </c>
      <c r="BG144">
        <v>162</v>
      </c>
      <c r="BH144">
        <v>9.1</v>
      </c>
      <c r="BI144">
        <v>9.1999999999999993</v>
      </c>
      <c r="BJ144">
        <v>18.3</v>
      </c>
      <c r="BK144">
        <v>0.34</v>
      </c>
      <c r="BL144">
        <v>7.3</v>
      </c>
      <c r="BM144">
        <v>0.9</v>
      </c>
      <c r="BN144">
        <v>7.5</v>
      </c>
      <c r="BO144">
        <v>2.9</v>
      </c>
      <c r="BP144">
        <f t="shared" si="4"/>
        <v>8.994650096772121</v>
      </c>
      <c r="BQ144">
        <f t="shared" si="5"/>
        <v>28.490483393423972</v>
      </c>
    </row>
    <row r="145" spans="1:69" hidden="1" x14ac:dyDescent="0.2">
      <c r="A145" t="s">
        <v>945</v>
      </c>
      <c r="B145" t="s">
        <v>68</v>
      </c>
      <c r="C145" t="s">
        <v>69</v>
      </c>
      <c r="D145" t="s">
        <v>70</v>
      </c>
      <c r="E145" t="s">
        <v>661</v>
      </c>
      <c r="F145">
        <v>5</v>
      </c>
      <c r="G145">
        <v>280</v>
      </c>
      <c r="H145">
        <v>4</v>
      </c>
      <c r="I145">
        <v>5</v>
      </c>
      <c r="J145">
        <v>4</v>
      </c>
      <c r="K145" t="s">
        <v>110</v>
      </c>
      <c r="L145" t="s">
        <v>111</v>
      </c>
      <c r="M145" s="4">
        <v>2300000000</v>
      </c>
      <c r="N145">
        <v>0</v>
      </c>
      <c r="O145">
        <v>4.7446045999999997</v>
      </c>
      <c r="P145">
        <v>-74.069360000000003</v>
      </c>
      <c r="Q145" t="s">
        <v>946</v>
      </c>
      <c r="R145">
        <v>8214285.7139999997</v>
      </c>
      <c r="S145">
        <v>0</v>
      </c>
      <c r="T145" t="s">
        <v>117</v>
      </c>
      <c r="U145" t="s">
        <v>118</v>
      </c>
      <c r="V145" t="s">
        <v>77</v>
      </c>
      <c r="W145" t="s">
        <v>119</v>
      </c>
      <c r="X145" t="s">
        <v>120</v>
      </c>
      <c r="Y145">
        <v>0.82498868735807995</v>
      </c>
      <c r="Z145">
        <v>824.98868735808003</v>
      </c>
      <c r="AA145">
        <v>4.73719444444444</v>
      </c>
      <c r="AB145">
        <v>-74.069472222222203</v>
      </c>
      <c r="AC145">
        <v>2555</v>
      </c>
      <c r="AD145">
        <v>0</v>
      </c>
      <c r="AE145" t="s">
        <v>80</v>
      </c>
      <c r="AF145" t="s">
        <v>107</v>
      </c>
      <c r="AG145" t="s">
        <v>82</v>
      </c>
      <c r="AH145" t="s">
        <v>83</v>
      </c>
      <c r="AI145" t="s">
        <v>121</v>
      </c>
      <c r="AJ145">
        <v>1.6347025191731599</v>
      </c>
      <c r="AK145">
        <v>5.2642264421688898</v>
      </c>
      <c r="AL145">
        <v>2.0078190469213899</v>
      </c>
      <c r="AM145">
        <v>0.69909970570939906</v>
      </c>
      <c r="AN145">
        <v>1.80335650645714</v>
      </c>
      <c r="AO145">
        <v>6.9609346514785996E-3</v>
      </c>
      <c r="AP145">
        <v>6.9609346514785996E-3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13</v>
      </c>
      <c r="AW145">
        <v>0</v>
      </c>
      <c r="AX145">
        <v>0</v>
      </c>
      <c r="AY145">
        <v>15.3</v>
      </c>
      <c r="AZ145">
        <v>9.8000000000000007</v>
      </c>
      <c r="BA145">
        <v>29.7</v>
      </c>
      <c r="BB145">
        <v>564</v>
      </c>
      <c r="BC145">
        <v>68</v>
      </c>
      <c r="BD145">
        <v>1.8</v>
      </c>
      <c r="BE145">
        <v>43</v>
      </c>
      <c r="BF145">
        <v>25.4</v>
      </c>
      <c r="BG145">
        <v>162</v>
      </c>
      <c r="BH145">
        <v>9.1</v>
      </c>
      <c r="BI145">
        <v>9.1999999999999993</v>
      </c>
      <c r="BJ145">
        <v>18.3</v>
      </c>
      <c r="BK145">
        <v>0.34</v>
      </c>
      <c r="BL145">
        <v>7.3</v>
      </c>
      <c r="BM145">
        <v>0.9</v>
      </c>
      <c r="BN145">
        <v>7.5</v>
      </c>
      <c r="BO145">
        <v>2.9</v>
      </c>
      <c r="BP145">
        <f t="shared" si="4"/>
        <v>9.4078593937493711</v>
      </c>
      <c r="BQ145">
        <f t="shared" si="5"/>
        <v>29.117731465169101</v>
      </c>
    </row>
    <row r="146" spans="1:69" hidden="1" x14ac:dyDescent="0.2">
      <c r="A146" t="s">
        <v>3273</v>
      </c>
      <c r="B146" t="s">
        <v>68</v>
      </c>
      <c r="C146" t="s">
        <v>1956</v>
      </c>
      <c r="D146" t="s">
        <v>70</v>
      </c>
      <c r="E146" t="s">
        <v>1724</v>
      </c>
      <c r="F146">
        <v>6</v>
      </c>
      <c r="G146">
        <v>280</v>
      </c>
      <c r="H146">
        <v>3</v>
      </c>
      <c r="I146">
        <v>4</v>
      </c>
      <c r="J146">
        <v>4</v>
      </c>
      <c r="K146" t="s">
        <v>110</v>
      </c>
      <c r="L146" t="s">
        <v>162</v>
      </c>
      <c r="M146" s="4">
        <v>1599000000</v>
      </c>
      <c r="N146">
        <v>0</v>
      </c>
      <c r="O146">
        <v>4.7599428650000002</v>
      </c>
      <c r="P146">
        <v>-74.061474380000007</v>
      </c>
      <c r="Q146" t="s">
        <v>3274</v>
      </c>
      <c r="R146">
        <v>5710714.2860000003</v>
      </c>
      <c r="S146">
        <v>0</v>
      </c>
      <c r="T146" t="s">
        <v>117</v>
      </c>
      <c r="U146" t="s">
        <v>118</v>
      </c>
      <c r="V146" t="s">
        <v>77</v>
      </c>
      <c r="W146" t="s">
        <v>119</v>
      </c>
      <c r="X146" t="s">
        <v>120</v>
      </c>
      <c r="Y146">
        <v>2.6832795063824002</v>
      </c>
      <c r="Z146">
        <v>2683.2795063824001</v>
      </c>
      <c r="AA146">
        <v>4.73719444444444</v>
      </c>
      <c r="AB146">
        <v>-74.069472222222203</v>
      </c>
      <c r="AC146">
        <v>2555</v>
      </c>
      <c r="AD146">
        <v>0</v>
      </c>
      <c r="AE146" t="s">
        <v>80</v>
      </c>
      <c r="AF146" t="s">
        <v>107</v>
      </c>
      <c r="AG146" t="s">
        <v>82</v>
      </c>
      <c r="AH146" t="s">
        <v>83</v>
      </c>
      <c r="AI146" t="s">
        <v>121</v>
      </c>
      <c r="AJ146">
        <v>1.80888188967848</v>
      </c>
      <c r="AK146">
        <v>4.3401258417349302</v>
      </c>
      <c r="AL146">
        <v>1.1436319812604501</v>
      </c>
      <c r="AM146">
        <v>0.16313204640307699</v>
      </c>
      <c r="AN146">
        <v>3.34327235743956</v>
      </c>
      <c r="AO146">
        <v>0.285412959235959</v>
      </c>
      <c r="AP146">
        <v>0.285412959235959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9</v>
      </c>
      <c r="AW146">
        <v>0</v>
      </c>
      <c r="AX146">
        <v>1</v>
      </c>
      <c r="AY146">
        <v>15.3</v>
      </c>
      <c r="AZ146">
        <v>9.8000000000000007</v>
      </c>
      <c r="BA146">
        <v>29.7</v>
      </c>
      <c r="BB146">
        <v>564</v>
      </c>
      <c r="BC146">
        <v>68</v>
      </c>
      <c r="BD146">
        <v>1.8</v>
      </c>
      <c r="BE146">
        <v>43</v>
      </c>
      <c r="BF146">
        <v>25.4</v>
      </c>
      <c r="BG146">
        <v>162</v>
      </c>
      <c r="BH146">
        <v>9.1</v>
      </c>
      <c r="BI146">
        <v>9.1999999999999993</v>
      </c>
      <c r="BJ146">
        <v>18.3</v>
      </c>
      <c r="BK146">
        <v>0.34</v>
      </c>
      <c r="BL146">
        <v>7.3</v>
      </c>
      <c r="BM146">
        <v>0.9</v>
      </c>
      <c r="BN146">
        <v>7.5</v>
      </c>
      <c r="BO146">
        <v>2.9</v>
      </c>
      <c r="BP146">
        <f t="shared" si="4"/>
        <v>8.5810823203787105</v>
      </c>
      <c r="BQ146">
        <f t="shared" si="5"/>
        <v>27.847643189937116</v>
      </c>
    </row>
    <row r="147" spans="1:69" hidden="1" x14ac:dyDescent="0.2">
      <c r="A147" t="s">
        <v>2157</v>
      </c>
      <c r="B147" t="s">
        <v>68</v>
      </c>
      <c r="C147" t="s">
        <v>1956</v>
      </c>
      <c r="D147" t="s">
        <v>70</v>
      </c>
      <c r="E147" t="s">
        <v>1724</v>
      </c>
      <c r="F147">
        <v>5</v>
      </c>
      <c r="G147">
        <v>280</v>
      </c>
      <c r="H147">
        <v>3</v>
      </c>
      <c r="I147">
        <v>3</v>
      </c>
      <c r="J147">
        <v>2</v>
      </c>
      <c r="K147" t="s">
        <v>110</v>
      </c>
      <c r="L147" t="s">
        <v>124</v>
      </c>
      <c r="M147" s="4">
        <v>1500000000</v>
      </c>
      <c r="N147">
        <v>0</v>
      </c>
      <c r="O147">
        <v>4.7669396400000004</v>
      </c>
      <c r="P147">
        <v>-74.063850400000007</v>
      </c>
      <c r="Q147" t="s">
        <v>2158</v>
      </c>
      <c r="R147">
        <v>5357142.8569999998</v>
      </c>
      <c r="S147">
        <v>0</v>
      </c>
      <c r="T147" t="s">
        <v>151</v>
      </c>
      <c r="U147" t="s">
        <v>152</v>
      </c>
      <c r="V147" t="s">
        <v>77</v>
      </c>
      <c r="W147" t="s">
        <v>119</v>
      </c>
      <c r="X147" t="s">
        <v>153</v>
      </c>
      <c r="Y147">
        <v>2.8780751940276201</v>
      </c>
      <c r="Z147">
        <v>2878.07519402762</v>
      </c>
      <c r="AA147">
        <v>4.7837500000000004</v>
      </c>
      <c r="AB147">
        <v>-74.044138888888895</v>
      </c>
      <c r="AC147">
        <v>2580</v>
      </c>
      <c r="AD147">
        <v>0</v>
      </c>
      <c r="AE147" t="s">
        <v>154</v>
      </c>
      <c r="AF147" t="s">
        <v>107</v>
      </c>
      <c r="AG147" t="s">
        <v>82</v>
      </c>
      <c r="AH147" t="s">
        <v>83</v>
      </c>
      <c r="AI147" t="s">
        <v>121</v>
      </c>
      <c r="AJ147">
        <v>2.1881034271370998</v>
      </c>
      <c r="AK147">
        <v>3.7886604622208599</v>
      </c>
      <c r="AL147">
        <v>1.8875892410246999</v>
      </c>
      <c r="AM147">
        <v>0.64194638437695795</v>
      </c>
      <c r="AN147">
        <v>3.6903946302712902</v>
      </c>
      <c r="AO147">
        <v>0.17031971783223801</v>
      </c>
      <c r="AP147">
        <v>0.17031971783223801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5</v>
      </c>
      <c r="AW147">
        <v>0</v>
      </c>
      <c r="AX147">
        <v>1</v>
      </c>
      <c r="AY147">
        <v>15.3</v>
      </c>
      <c r="AZ147">
        <v>9.8000000000000007</v>
      </c>
      <c r="BA147">
        <v>29.7</v>
      </c>
      <c r="BB147">
        <v>564</v>
      </c>
      <c r="BC147">
        <v>68</v>
      </c>
      <c r="BD147">
        <v>1.8</v>
      </c>
      <c r="BE147">
        <v>43</v>
      </c>
      <c r="BF147">
        <v>25.4</v>
      </c>
      <c r="BG147">
        <v>162</v>
      </c>
      <c r="BH147">
        <v>9.1</v>
      </c>
      <c r="BI147">
        <v>9.1999999999999993</v>
      </c>
      <c r="BJ147">
        <v>18.3</v>
      </c>
      <c r="BK147">
        <v>0.34</v>
      </c>
      <c r="BL147">
        <v>7.3</v>
      </c>
      <c r="BM147">
        <v>0.9</v>
      </c>
      <c r="BN147">
        <v>7.5</v>
      </c>
      <c r="BO147">
        <v>2.9</v>
      </c>
      <c r="BP147">
        <f t="shared" si="4"/>
        <v>8.4987378443623793</v>
      </c>
      <c r="BQ147">
        <f t="shared" si="5"/>
        <v>27.717756623318614</v>
      </c>
    </row>
    <row r="148" spans="1:69" hidden="1" x14ac:dyDescent="0.2">
      <c r="A148" t="s">
        <v>2240</v>
      </c>
      <c r="B148" t="s">
        <v>68</v>
      </c>
      <c r="C148" t="s">
        <v>1956</v>
      </c>
      <c r="D148" t="s">
        <v>70</v>
      </c>
      <c r="E148" t="s">
        <v>1724</v>
      </c>
      <c r="F148">
        <v>5</v>
      </c>
      <c r="G148">
        <v>280</v>
      </c>
      <c r="H148">
        <v>4</v>
      </c>
      <c r="I148">
        <v>3</v>
      </c>
      <c r="J148">
        <v>2</v>
      </c>
      <c r="K148" t="s">
        <v>110</v>
      </c>
      <c r="L148" t="s">
        <v>162</v>
      </c>
      <c r="M148" s="4">
        <v>1350000000</v>
      </c>
      <c r="N148">
        <v>0</v>
      </c>
      <c r="O148">
        <v>4.7632493970000001</v>
      </c>
      <c r="P148">
        <v>-74.063232420000006</v>
      </c>
      <c r="Q148" t="s">
        <v>2241</v>
      </c>
      <c r="R148">
        <v>4821428.5710000005</v>
      </c>
      <c r="S148">
        <v>0</v>
      </c>
      <c r="T148" t="s">
        <v>117</v>
      </c>
      <c r="U148" t="s">
        <v>118</v>
      </c>
      <c r="V148" t="s">
        <v>77</v>
      </c>
      <c r="W148" t="s">
        <v>119</v>
      </c>
      <c r="X148" t="s">
        <v>120</v>
      </c>
      <c r="Y148">
        <v>2.98188466326165</v>
      </c>
      <c r="Z148">
        <v>2981.8846632616501</v>
      </c>
      <c r="AA148">
        <v>4.73719444444444</v>
      </c>
      <c r="AB148">
        <v>-74.069472222222203</v>
      </c>
      <c r="AC148">
        <v>2555</v>
      </c>
      <c r="AD148">
        <v>0</v>
      </c>
      <c r="AE148" t="s">
        <v>80</v>
      </c>
      <c r="AF148" t="s">
        <v>107</v>
      </c>
      <c r="AG148" t="s">
        <v>82</v>
      </c>
      <c r="AH148" t="s">
        <v>83</v>
      </c>
      <c r="AI148" t="s">
        <v>121</v>
      </c>
      <c r="AJ148">
        <v>2.08308185739507</v>
      </c>
      <c r="AK148">
        <v>4.1327133094717201</v>
      </c>
      <c r="AL148">
        <v>1.53436783394829</v>
      </c>
      <c r="AM148">
        <v>0.441398800782694</v>
      </c>
      <c r="AN148">
        <v>3.4373302575261202</v>
      </c>
      <c r="AO148">
        <v>0.107743031047442</v>
      </c>
      <c r="AP148">
        <v>0.107743031047442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6</v>
      </c>
      <c r="AW148">
        <v>0</v>
      </c>
      <c r="AX148">
        <v>1</v>
      </c>
      <c r="AY148">
        <v>15.3</v>
      </c>
      <c r="AZ148">
        <v>9.8000000000000007</v>
      </c>
      <c r="BA148">
        <v>29.7</v>
      </c>
      <c r="BB148">
        <v>564</v>
      </c>
      <c r="BC148">
        <v>68</v>
      </c>
      <c r="BD148">
        <v>1.8</v>
      </c>
      <c r="BE148">
        <v>43</v>
      </c>
      <c r="BF148">
        <v>25.4</v>
      </c>
      <c r="BG148">
        <v>162</v>
      </c>
      <c r="BH148">
        <v>9.1</v>
      </c>
      <c r="BI148">
        <v>9.1999999999999993</v>
      </c>
      <c r="BJ148">
        <v>18.3</v>
      </c>
      <c r="BK148">
        <v>0.34</v>
      </c>
      <c r="BL148">
        <v>7.3</v>
      </c>
      <c r="BM148">
        <v>0.9</v>
      </c>
      <c r="BN148">
        <v>7.5</v>
      </c>
      <c r="BO148">
        <v>2.9</v>
      </c>
      <c r="BP148">
        <f t="shared" si="4"/>
        <v>8.455178508025627</v>
      </c>
      <c r="BQ148">
        <f t="shared" si="5"/>
        <v>27.648785802404522</v>
      </c>
    </row>
    <row r="149" spans="1:69" hidden="1" x14ac:dyDescent="0.2">
      <c r="A149" t="s">
        <v>2453</v>
      </c>
      <c r="B149" t="s">
        <v>68</v>
      </c>
      <c r="C149" t="s">
        <v>1956</v>
      </c>
      <c r="D149" t="s">
        <v>70</v>
      </c>
      <c r="E149" t="s">
        <v>205</v>
      </c>
      <c r="F149">
        <v>4</v>
      </c>
      <c r="G149">
        <v>280</v>
      </c>
      <c r="H149">
        <v>3</v>
      </c>
      <c r="I149">
        <v>3</v>
      </c>
      <c r="J149">
        <v>1</v>
      </c>
      <c r="K149" t="s">
        <v>110</v>
      </c>
      <c r="L149" t="s">
        <v>162</v>
      </c>
      <c r="M149" s="4">
        <v>950000000</v>
      </c>
      <c r="N149">
        <v>0</v>
      </c>
      <c r="O149">
        <v>4.7320259</v>
      </c>
      <c r="P149">
        <v>-74.048428000000001</v>
      </c>
      <c r="Q149" t="s">
        <v>2454</v>
      </c>
      <c r="R149">
        <v>3392857.1430000002</v>
      </c>
      <c r="S149">
        <v>0</v>
      </c>
      <c r="T149" t="s">
        <v>117</v>
      </c>
      <c r="U149" t="s">
        <v>118</v>
      </c>
      <c r="V149" t="s">
        <v>77</v>
      </c>
      <c r="W149" t="s">
        <v>119</v>
      </c>
      <c r="X149" t="s">
        <v>120</v>
      </c>
      <c r="Y149">
        <v>2.4044906096426901</v>
      </c>
      <c r="Z149">
        <v>2404.4906096426898</v>
      </c>
      <c r="AA149">
        <v>4.73719444444444</v>
      </c>
      <c r="AB149">
        <v>-74.069472222222203</v>
      </c>
      <c r="AC149">
        <v>2555</v>
      </c>
      <c r="AD149">
        <v>0</v>
      </c>
      <c r="AE149" t="s">
        <v>80</v>
      </c>
      <c r="AF149" t="s">
        <v>107</v>
      </c>
      <c r="AG149" t="s">
        <v>82</v>
      </c>
      <c r="AH149" t="s">
        <v>83</v>
      </c>
      <c r="AI149" t="s">
        <v>108</v>
      </c>
      <c r="AJ149">
        <v>0.19811180578301699</v>
      </c>
      <c r="AK149">
        <v>2.9314446268156602</v>
      </c>
      <c r="AL149">
        <v>0.94227465316288295</v>
      </c>
      <c r="AM149">
        <v>0.33161007142408999</v>
      </c>
      <c r="AN149">
        <v>2.6250903771301601</v>
      </c>
      <c r="AO149">
        <v>0.18688321562707599</v>
      </c>
      <c r="AP149">
        <v>0.18688321562707599</v>
      </c>
      <c r="AQ149">
        <v>2</v>
      </c>
      <c r="AR149">
        <v>3</v>
      </c>
      <c r="AS149">
        <v>0</v>
      </c>
      <c r="AT149">
        <v>0</v>
      </c>
      <c r="AU149">
        <v>1</v>
      </c>
      <c r="AV149">
        <v>24</v>
      </c>
      <c r="AW149">
        <v>0</v>
      </c>
      <c r="AX149">
        <v>0</v>
      </c>
      <c r="AY149">
        <v>15.3</v>
      </c>
      <c r="AZ149">
        <v>9.8000000000000007</v>
      </c>
      <c r="BA149">
        <v>29.7</v>
      </c>
      <c r="BB149">
        <v>564</v>
      </c>
      <c r="BC149">
        <v>68</v>
      </c>
      <c r="BD149">
        <v>1.8</v>
      </c>
      <c r="BE149">
        <v>43</v>
      </c>
      <c r="BF149">
        <v>25.4</v>
      </c>
      <c r="BG149">
        <v>162</v>
      </c>
      <c r="BH149">
        <v>9.1</v>
      </c>
      <c r="BI149">
        <v>9.1999999999999993</v>
      </c>
      <c r="BJ149">
        <v>18.3</v>
      </c>
      <c r="BK149">
        <v>0.34</v>
      </c>
      <c r="BL149">
        <v>7.3</v>
      </c>
      <c r="BM149">
        <v>0.9</v>
      </c>
      <c r="BN149">
        <v>7.5</v>
      </c>
      <c r="BO149">
        <v>2.9</v>
      </c>
      <c r="BP149">
        <f t="shared" si="4"/>
        <v>8.7003225570758129</v>
      </c>
      <c r="BQ149">
        <f t="shared" si="5"/>
        <v>28.034594661730953</v>
      </c>
    </row>
    <row r="150" spans="1:69" hidden="1" x14ac:dyDescent="0.2">
      <c r="A150" t="s">
        <v>531</v>
      </c>
      <c r="B150" t="s">
        <v>68</v>
      </c>
      <c r="C150" t="s">
        <v>69</v>
      </c>
      <c r="D150" t="s">
        <v>70</v>
      </c>
      <c r="E150" t="s">
        <v>532</v>
      </c>
      <c r="F150">
        <v>6</v>
      </c>
      <c r="G150">
        <v>274.67</v>
      </c>
      <c r="H150">
        <v>3</v>
      </c>
      <c r="I150">
        <v>4</v>
      </c>
      <c r="J150">
        <v>4</v>
      </c>
      <c r="K150" t="s">
        <v>110</v>
      </c>
      <c r="L150" t="s">
        <v>133</v>
      </c>
      <c r="M150" s="4">
        <v>2600000000</v>
      </c>
      <c r="N150">
        <v>0</v>
      </c>
      <c r="O150">
        <v>4.7245939999999997</v>
      </c>
      <c r="P150">
        <v>-74.077755999999994</v>
      </c>
      <c r="Q150" t="s">
        <v>533</v>
      </c>
      <c r="R150">
        <v>9465904.5399999991</v>
      </c>
      <c r="S150">
        <v>0</v>
      </c>
      <c r="T150" t="s">
        <v>117</v>
      </c>
      <c r="U150" t="s">
        <v>118</v>
      </c>
      <c r="V150" t="s">
        <v>77</v>
      </c>
      <c r="W150" t="s">
        <v>119</v>
      </c>
      <c r="X150" t="s">
        <v>120</v>
      </c>
      <c r="Y150">
        <v>1.6769216112958401</v>
      </c>
      <c r="Z150">
        <v>1676.92161129584</v>
      </c>
      <c r="AA150">
        <v>4.73719444444444</v>
      </c>
      <c r="AB150">
        <v>-74.069472222222203</v>
      </c>
      <c r="AC150">
        <v>2555</v>
      </c>
      <c r="AD150">
        <v>0</v>
      </c>
      <c r="AE150" t="s">
        <v>80</v>
      </c>
      <c r="AF150" t="s">
        <v>107</v>
      </c>
      <c r="AG150" t="s">
        <v>82</v>
      </c>
      <c r="AH150" t="s">
        <v>83</v>
      </c>
      <c r="AI150" t="s">
        <v>121</v>
      </c>
      <c r="AJ150">
        <v>0.46161353433427399</v>
      </c>
      <c r="AK150">
        <v>5.2539618595607998</v>
      </c>
      <c r="AL150">
        <v>1.1073041562811199</v>
      </c>
      <c r="AM150">
        <v>0.76951546069237198</v>
      </c>
      <c r="AN150">
        <v>2.03884569634244</v>
      </c>
      <c r="AO150">
        <v>3.8906724229921197E-2</v>
      </c>
      <c r="AP150">
        <v>3.8906724229921197E-2</v>
      </c>
      <c r="AQ150">
        <v>2</v>
      </c>
      <c r="AR150">
        <v>2</v>
      </c>
      <c r="AS150">
        <v>0</v>
      </c>
      <c r="AT150">
        <v>0</v>
      </c>
      <c r="AU150">
        <v>0</v>
      </c>
      <c r="AV150">
        <v>5</v>
      </c>
      <c r="AW150">
        <v>0</v>
      </c>
      <c r="AX150">
        <v>0</v>
      </c>
      <c r="AY150">
        <v>15.3</v>
      </c>
      <c r="AZ150">
        <v>9.8000000000000007</v>
      </c>
      <c r="BA150">
        <v>29.7</v>
      </c>
      <c r="BB150">
        <v>564</v>
      </c>
      <c r="BC150">
        <v>68</v>
      </c>
      <c r="BD150">
        <v>1.8</v>
      </c>
      <c r="BE150">
        <v>43</v>
      </c>
      <c r="BF150">
        <v>25.4</v>
      </c>
      <c r="BG150">
        <v>162</v>
      </c>
      <c r="BH150">
        <v>9.1</v>
      </c>
      <c r="BI150">
        <v>9.1999999999999993</v>
      </c>
      <c r="BJ150">
        <v>18.3</v>
      </c>
      <c r="BK150">
        <v>0.34</v>
      </c>
      <c r="BL150">
        <v>7.3</v>
      </c>
      <c r="BM150">
        <v>0.9</v>
      </c>
      <c r="BN150">
        <v>7.5</v>
      </c>
      <c r="BO150">
        <v>2.9</v>
      </c>
      <c r="BP150">
        <f t="shared" si="4"/>
        <v>9.0193725170491756</v>
      </c>
      <c r="BQ150">
        <f t="shared" si="5"/>
        <v>28.52842410087873</v>
      </c>
    </row>
    <row r="151" spans="1:69" hidden="1" x14ac:dyDescent="0.2">
      <c r="A151" t="s">
        <v>2017</v>
      </c>
      <c r="B151" t="s">
        <v>68</v>
      </c>
      <c r="C151" t="s">
        <v>1956</v>
      </c>
      <c r="D151" t="s">
        <v>70</v>
      </c>
      <c r="E151" t="s">
        <v>1588</v>
      </c>
      <c r="F151">
        <v>6</v>
      </c>
      <c r="G151">
        <v>273</v>
      </c>
      <c r="H151">
        <v>3</v>
      </c>
      <c r="I151">
        <v>5</v>
      </c>
      <c r="J151">
        <v>4</v>
      </c>
      <c r="K151" t="s">
        <v>110</v>
      </c>
      <c r="L151" t="s">
        <v>124</v>
      </c>
      <c r="M151" s="4">
        <v>1800000000</v>
      </c>
      <c r="N151">
        <v>0</v>
      </c>
      <c r="O151">
        <v>4.7995290759999998</v>
      </c>
      <c r="P151">
        <v>-74.072242739999993</v>
      </c>
      <c r="Q151" t="s">
        <v>2018</v>
      </c>
      <c r="R151">
        <v>6593406.5930000003</v>
      </c>
      <c r="S151">
        <v>0</v>
      </c>
      <c r="T151" t="s">
        <v>151</v>
      </c>
      <c r="U151" t="s">
        <v>152</v>
      </c>
      <c r="V151" t="s">
        <v>77</v>
      </c>
      <c r="W151" t="s">
        <v>119</v>
      </c>
      <c r="X151" t="s">
        <v>153</v>
      </c>
      <c r="Y151">
        <v>3.57835379364679</v>
      </c>
      <c r="Z151">
        <v>3578.3537936467901</v>
      </c>
      <c r="AA151">
        <v>4.7837500000000004</v>
      </c>
      <c r="AB151">
        <v>-74.044138888888895</v>
      </c>
      <c r="AC151">
        <v>2580</v>
      </c>
      <c r="AD151">
        <v>0</v>
      </c>
      <c r="AE151" t="s">
        <v>154</v>
      </c>
      <c r="AF151" t="s">
        <v>107</v>
      </c>
      <c r="AG151" t="s">
        <v>82</v>
      </c>
      <c r="AH151" t="s">
        <v>83</v>
      </c>
      <c r="AI151" t="s">
        <v>121</v>
      </c>
      <c r="AJ151">
        <v>4.6498632791945296</v>
      </c>
      <c r="AK151">
        <v>0.98390806949631804</v>
      </c>
      <c r="AL151">
        <v>2.7925849847145701</v>
      </c>
      <c r="AM151">
        <v>1.1161748333030299</v>
      </c>
      <c r="AN151">
        <v>6.5838934377622103</v>
      </c>
      <c r="AO151">
        <v>2.1180353485275201</v>
      </c>
      <c r="AP151">
        <v>2.1180353485275201</v>
      </c>
      <c r="AQ151">
        <v>0</v>
      </c>
      <c r="AR151">
        <v>0</v>
      </c>
      <c r="AS151">
        <v>0</v>
      </c>
      <c r="AT151">
        <v>1</v>
      </c>
      <c r="AU151">
        <v>0</v>
      </c>
      <c r="AV151">
        <v>0</v>
      </c>
      <c r="AW151">
        <v>0</v>
      </c>
      <c r="AX151">
        <v>0</v>
      </c>
      <c r="AY151">
        <v>15.3</v>
      </c>
      <c r="AZ151">
        <v>9.8000000000000007</v>
      </c>
      <c r="BA151">
        <v>29.7</v>
      </c>
      <c r="BB151">
        <v>564</v>
      </c>
      <c r="BC151">
        <v>68</v>
      </c>
      <c r="BD151">
        <v>1.8</v>
      </c>
      <c r="BE151">
        <v>43</v>
      </c>
      <c r="BF151">
        <v>25.4</v>
      </c>
      <c r="BG151">
        <v>162</v>
      </c>
      <c r="BH151">
        <v>9.1</v>
      </c>
      <c r="BI151">
        <v>9.1999999999999993</v>
      </c>
      <c r="BJ151">
        <v>18.3</v>
      </c>
      <c r="BK151">
        <v>0.34</v>
      </c>
      <c r="BL151">
        <v>7.3</v>
      </c>
      <c r="BM151">
        <v>0.9</v>
      </c>
      <c r="BN151">
        <v>7.5</v>
      </c>
      <c r="BO151">
        <v>2.9</v>
      </c>
      <c r="BP151">
        <f t="shared" si="4"/>
        <v>8.2091868350658785</v>
      </c>
      <c r="BQ151">
        <f t="shared" si="5"/>
        <v>27.255805785405549</v>
      </c>
    </row>
    <row r="152" spans="1:69" hidden="1" x14ac:dyDescent="0.2">
      <c r="A152" t="s">
        <v>2215</v>
      </c>
      <c r="B152" t="s">
        <v>68</v>
      </c>
      <c r="C152" t="s">
        <v>1956</v>
      </c>
      <c r="D152" t="s">
        <v>70</v>
      </c>
      <c r="E152" t="s">
        <v>567</v>
      </c>
      <c r="F152">
        <v>6</v>
      </c>
      <c r="G152">
        <v>269</v>
      </c>
      <c r="H152">
        <v>3</v>
      </c>
      <c r="I152">
        <v>4</v>
      </c>
      <c r="J152">
        <v>2</v>
      </c>
      <c r="K152" t="s">
        <v>110</v>
      </c>
      <c r="L152" t="s">
        <v>162</v>
      </c>
      <c r="M152" s="4">
        <v>1450000000</v>
      </c>
      <c r="N152">
        <v>0</v>
      </c>
      <c r="O152">
        <v>4.7201599999999999</v>
      </c>
      <c r="P152">
        <v>-74.080022999999997</v>
      </c>
      <c r="Q152" t="s">
        <v>2216</v>
      </c>
      <c r="R152">
        <v>5390334.5719999997</v>
      </c>
      <c r="S152">
        <v>0</v>
      </c>
      <c r="T152" t="s">
        <v>117</v>
      </c>
      <c r="U152" t="s">
        <v>118</v>
      </c>
      <c r="V152" t="s">
        <v>77</v>
      </c>
      <c r="W152" t="s">
        <v>119</v>
      </c>
      <c r="X152" t="s">
        <v>120</v>
      </c>
      <c r="Y152">
        <v>2.22843352408435</v>
      </c>
      <c r="Z152">
        <v>2228.4335240843502</v>
      </c>
      <c r="AA152">
        <v>4.73719444444444</v>
      </c>
      <c r="AB152">
        <v>-74.069472222222203</v>
      </c>
      <c r="AC152">
        <v>2555</v>
      </c>
      <c r="AD152">
        <v>0</v>
      </c>
      <c r="AE152" t="s">
        <v>80</v>
      </c>
      <c r="AF152" t="s">
        <v>107</v>
      </c>
      <c r="AG152" t="s">
        <v>82</v>
      </c>
      <c r="AH152" t="s">
        <v>83</v>
      </c>
      <c r="AI152" t="s">
        <v>121</v>
      </c>
      <c r="AJ152">
        <v>0.60147543078413401</v>
      </c>
      <c r="AK152">
        <v>5.0770385199168002</v>
      </c>
      <c r="AL152">
        <v>1.02187754880336</v>
      </c>
      <c r="AM152">
        <v>0.463738262623414</v>
      </c>
      <c r="AN152">
        <v>2.4209044882894299</v>
      </c>
      <c r="AO152">
        <v>2.2619570172409901E-3</v>
      </c>
      <c r="AP152">
        <v>2.2619570172409901E-3</v>
      </c>
      <c r="AQ152">
        <v>0</v>
      </c>
      <c r="AR152">
        <v>2</v>
      </c>
      <c r="AS152">
        <v>0</v>
      </c>
      <c r="AT152">
        <v>0</v>
      </c>
      <c r="AU152">
        <v>0</v>
      </c>
      <c r="AV152">
        <v>9</v>
      </c>
      <c r="AW152">
        <v>0</v>
      </c>
      <c r="AX152">
        <v>0</v>
      </c>
      <c r="AY152">
        <v>15.3</v>
      </c>
      <c r="AZ152">
        <v>9.8000000000000007</v>
      </c>
      <c r="BA152">
        <v>29.7</v>
      </c>
      <c r="BB152">
        <v>564</v>
      </c>
      <c r="BC152">
        <v>68</v>
      </c>
      <c r="BD152">
        <v>1.8</v>
      </c>
      <c r="BE152">
        <v>43</v>
      </c>
      <c r="BF152">
        <v>25.4</v>
      </c>
      <c r="BG152">
        <v>162</v>
      </c>
      <c r="BH152">
        <v>9.1</v>
      </c>
      <c r="BI152">
        <v>9.1999999999999993</v>
      </c>
      <c r="BJ152">
        <v>18.3</v>
      </c>
      <c r="BK152">
        <v>0.34</v>
      </c>
      <c r="BL152">
        <v>7.3</v>
      </c>
      <c r="BM152">
        <v>0.9</v>
      </c>
      <c r="BN152">
        <v>7.5</v>
      </c>
      <c r="BO152">
        <v>2.9</v>
      </c>
      <c r="BP152">
        <f t="shared" si="4"/>
        <v>8.7764757007143874</v>
      </c>
      <c r="BQ152">
        <f t="shared" si="5"/>
        <v>28.153301812680265</v>
      </c>
    </row>
    <row r="153" spans="1:69" hidden="1" x14ac:dyDescent="0.2">
      <c r="A153" t="s">
        <v>2455</v>
      </c>
      <c r="B153" t="s">
        <v>68</v>
      </c>
      <c r="C153" t="s">
        <v>1956</v>
      </c>
      <c r="D153" t="s">
        <v>70</v>
      </c>
      <c r="E153" t="s">
        <v>2456</v>
      </c>
      <c r="F153">
        <v>6</v>
      </c>
      <c r="G153">
        <v>268</v>
      </c>
      <c r="H153">
        <v>4</v>
      </c>
      <c r="I153">
        <v>4</v>
      </c>
      <c r="J153">
        <v>3</v>
      </c>
      <c r="K153" t="s">
        <v>110</v>
      </c>
      <c r="L153" t="s">
        <v>162</v>
      </c>
      <c r="M153" s="4">
        <v>1200000000</v>
      </c>
      <c r="N153">
        <v>0</v>
      </c>
      <c r="O153">
        <v>4.7345613000000002</v>
      </c>
      <c r="P153">
        <v>-74.0753579</v>
      </c>
      <c r="Q153" t="s">
        <v>2457</v>
      </c>
      <c r="R153">
        <v>4477611.9400000004</v>
      </c>
      <c r="S153">
        <v>0</v>
      </c>
      <c r="T153" t="s">
        <v>117</v>
      </c>
      <c r="U153" t="s">
        <v>118</v>
      </c>
      <c r="V153" t="s">
        <v>77</v>
      </c>
      <c r="W153" t="s">
        <v>119</v>
      </c>
      <c r="X153" t="s">
        <v>120</v>
      </c>
      <c r="Y153">
        <v>0.71572908011700598</v>
      </c>
      <c r="Z153">
        <v>715.72908011700599</v>
      </c>
      <c r="AA153">
        <v>4.73719444444444</v>
      </c>
      <c r="AB153">
        <v>-74.069472222222203</v>
      </c>
      <c r="AC153">
        <v>2555</v>
      </c>
      <c r="AD153">
        <v>0</v>
      </c>
      <c r="AE153" t="s">
        <v>80</v>
      </c>
      <c r="AF153" t="s">
        <v>107</v>
      </c>
      <c r="AG153" t="s">
        <v>82</v>
      </c>
      <c r="AH153" t="s">
        <v>83</v>
      </c>
      <c r="AI153" t="s">
        <v>121</v>
      </c>
      <c r="AJ153">
        <v>0.63277327262271099</v>
      </c>
      <c r="AK153">
        <v>5.2023833731016396</v>
      </c>
      <c r="AL153">
        <v>2.0053239567766399</v>
      </c>
      <c r="AM153">
        <v>0.76599858737369197</v>
      </c>
      <c r="AN153">
        <v>1.33840787448152</v>
      </c>
      <c r="AO153">
        <v>0.187957444989407</v>
      </c>
      <c r="AP153">
        <v>0.187957444989407</v>
      </c>
      <c r="AQ153">
        <v>0</v>
      </c>
      <c r="AR153">
        <v>2</v>
      </c>
      <c r="AS153">
        <v>0</v>
      </c>
      <c r="AT153">
        <v>0</v>
      </c>
      <c r="AU153">
        <v>0</v>
      </c>
      <c r="AV153">
        <v>7</v>
      </c>
      <c r="AW153">
        <v>0</v>
      </c>
      <c r="AX153">
        <v>0</v>
      </c>
      <c r="AY153">
        <v>15.3</v>
      </c>
      <c r="AZ153">
        <v>9.8000000000000007</v>
      </c>
      <c r="BA153">
        <v>29.7</v>
      </c>
      <c r="BB153">
        <v>564</v>
      </c>
      <c r="BC153">
        <v>68</v>
      </c>
      <c r="BD153">
        <v>1.8</v>
      </c>
      <c r="BE153">
        <v>43</v>
      </c>
      <c r="BF153">
        <v>25.4</v>
      </c>
      <c r="BG153">
        <v>162</v>
      </c>
      <c r="BH153">
        <v>9.1</v>
      </c>
      <c r="BI153">
        <v>9.1999999999999993</v>
      </c>
      <c r="BJ153">
        <v>18.3</v>
      </c>
      <c r="BK153">
        <v>0.34</v>
      </c>
      <c r="BL153">
        <v>7.3</v>
      </c>
      <c r="BM153">
        <v>0.9</v>
      </c>
      <c r="BN153">
        <v>7.5</v>
      </c>
      <c r="BO153">
        <v>2.9</v>
      </c>
      <c r="BP153">
        <f t="shared" si="4"/>
        <v>9.458878234884736</v>
      </c>
      <c r="BQ153">
        <f t="shared" si="5"/>
        <v>29.194185066533336</v>
      </c>
    </row>
    <row r="154" spans="1:69" hidden="1" x14ac:dyDescent="0.2">
      <c r="A154" t="s">
        <v>2711</v>
      </c>
      <c r="B154" t="s">
        <v>68</v>
      </c>
      <c r="C154" t="s">
        <v>1956</v>
      </c>
      <c r="D154" t="s">
        <v>70</v>
      </c>
      <c r="E154" t="s">
        <v>455</v>
      </c>
      <c r="F154">
        <v>6</v>
      </c>
      <c r="G154">
        <v>268</v>
      </c>
      <c r="H154">
        <v>4</v>
      </c>
      <c r="I154">
        <v>4</v>
      </c>
      <c r="J154">
        <v>3</v>
      </c>
      <c r="K154" t="s">
        <v>110</v>
      </c>
      <c r="L154" t="s">
        <v>162</v>
      </c>
      <c r="M154" s="4">
        <v>1150000000</v>
      </c>
      <c r="N154">
        <v>0</v>
      </c>
      <c r="O154">
        <v>4.7345613000000002</v>
      </c>
      <c r="P154">
        <v>-74.0753579</v>
      </c>
      <c r="Q154" t="s">
        <v>2712</v>
      </c>
      <c r="R154">
        <v>4291044.7759999996</v>
      </c>
      <c r="S154">
        <v>0</v>
      </c>
      <c r="T154" t="s">
        <v>117</v>
      </c>
      <c r="U154" t="s">
        <v>118</v>
      </c>
      <c r="V154" t="s">
        <v>77</v>
      </c>
      <c r="W154" t="s">
        <v>119</v>
      </c>
      <c r="X154" t="s">
        <v>120</v>
      </c>
      <c r="Y154">
        <v>0.71572908011700598</v>
      </c>
      <c r="Z154">
        <v>715.72908011700599</v>
      </c>
      <c r="AA154">
        <v>4.73719444444444</v>
      </c>
      <c r="AB154">
        <v>-74.069472222222203</v>
      </c>
      <c r="AC154">
        <v>2555</v>
      </c>
      <c r="AD154">
        <v>0</v>
      </c>
      <c r="AE154" t="s">
        <v>80</v>
      </c>
      <c r="AF154" t="s">
        <v>107</v>
      </c>
      <c r="AG154" t="s">
        <v>82</v>
      </c>
      <c r="AH154" t="s">
        <v>83</v>
      </c>
      <c r="AI154" t="s">
        <v>121</v>
      </c>
      <c r="AJ154">
        <v>0.63277327262271099</v>
      </c>
      <c r="AK154">
        <v>5.2023833731016396</v>
      </c>
      <c r="AL154">
        <v>2.0053239567766399</v>
      </c>
      <c r="AM154">
        <v>0.76599858737369197</v>
      </c>
      <c r="AN154">
        <v>1.33840787448152</v>
      </c>
      <c r="AO154">
        <v>0.187957444989407</v>
      </c>
      <c r="AP154">
        <v>0.187957444989407</v>
      </c>
      <c r="AQ154">
        <v>0</v>
      </c>
      <c r="AR154">
        <v>2</v>
      </c>
      <c r="AS154">
        <v>0</v>
      </c>
      <c r="AT154">
        <v>0</v>
      </c>
      <c r="AU154">
        <v>0</v>
      </c>
      <c r="AV154">
        <v>7</v>
      </c>
      <c r="AW154">
        <v>0</v>
      </c>
      <c r="AX154">
        <v>0</v>
      </c>
      <c r="AY154">
        <v>15.3</v>
      </c>
      <c r="AZ154">
        <v>9.8000000000000007</v>
      </c>
      <c r="BA154">
        <v>29.7</v>
      </c>
      <c r="BB154">
        <v>564</v>
      </c>
      <c r="BC154">
        <v>68</v>
      </c>
      <c r="BD154">
        <v>1.8</v>
      </c>
      <c r="BE154">
        <v>43</v>
      </c>
      <c r="BF154">
        <v>25.4</v>
      </c>
      <c r="BG154">
        <v>162</v>
      </c>
      <c r="BH154">
        <v>9.1</v>
      </c>
      <c r="BI154">
        <v>9.1999999999999993</v>
      </c>
      <c r="BJ154">
        <v>18.3</v>
      </c>
      <c r="BK154">
        <v>0.34</v>
      </c>
      <c r="BL154">
        <v>7.3</v>
      </c>
      <c r="BM154">
        <v>0.9</v>
      </c>
      <c r="BN154">
        <v>7.5</v>
      </c>
      <c r="BO154">
        <v>2.9</v>
      </c>
      <c r="BP154">
        <f t="shared" si="4"/>
        <v>9.458878234884736</v>
      </c>
      <c r="BQ154">
        <f t="shared" si="5"/>
        <v>29.194185066533336</v>
      </c>
    </row>
    <row r="155" spans="1:69" hidden="1" x14ac:dyDescent="0.2">
      <c r="A155" t="s">
        <v>3078</v>
      </c>
      <c r="B155" t="s">
        <v>68</v>
      </c>
      <c r="C155" t="s">
        <v>1956</v>
      </c>
      <c r="D155" t="s">
        <v>70</v>
      </c>
      <c r="E155" t="s">
        <v>3079</v>
      </c>
      <c r="F155">
        <v>6</v>
      </c>
      <c r="G155">
        <v>268</v>
      </c>
      <c r="H155">
        <v>3</v>
      </c>
      <c r="I155">
        <v>3</v>
      </c>
      <c r="J155">
        <v>3</v>
      </c>
      <c r="K155" t="s">
        <v>110</v>
      </c>
      <c r="L155" t="s">
        <v>162</v>
      </c>
      <c r="M155" s="4">
        <v>1150000000</v>
      </c>
      <c r="N155">
        <v>0</v>
      </c>
      <c r="O155">
        <v>4.7348618509999998</v>
      </c>
      <c r="P155">
        <v>-74.074096679999997</v>
      </c>
      <c r="Q155" t="s">
        <v>3080</v>
      </c>
      <c r="R155">
        <v>4291044.7759999996</v>
      </c>
      <c r="S155">
        <v>0</v>
      </c>
      <c r="T155" t="s">
        <v>117</v>
      </c>
      <c r="U155" t="s">
        <v>118</v>
      </c>
      <c r="V155" t="s">
        <v>77</v>
      </c>
      <c r="W155" t="s">
        <v>119</v>
      </c>
      <c r="X155" t="s">
        <v>120</v>
      </c>
      <c r="Y155">
        <v>0.57500386636131195</v>
      </c>
      <c r="Z155">
        <v>575.00386636131202</v>
      </c>
      <c r="AA155">
        <v>4.73719444444444</v>
      </c>
      <c r="AB155">
        <v>-74.069472222222203</v>
      </c>
      <c r="AC155">
        <v>2555</v>
      </c>
      <c r="AD155">
        <v>0</v>
      </c>
      <c r="AE155" t="s">
        <v>80</v>
      </c>
      <c r="AF155" t="s">
        <v>107</v>
      </c>
      <c r="AG155" t="s">
        <v>82</v>
      </c>
      <c r="AH155" t="s">
        <v>83</v>
      </c>
      <c r="AI155" t="s">
        <v>121</v>
      </c>
      <c r="AJ155">
        <v>0.76722844843998095</v>
      </c>
      <c r="AK155">
        <v>5.2984179042595603</v>
      </c>
      <c r="AL155">
        <v>2.01240597715364</v>
      </c>
      <c r="AM155">
        <v>0.76438146251484296</v>
      </c>
      <c r="AN155">
        <v>1.4388591237855699</v>
      </c>
      <c r="AO155">
        <v>0.173594918448056</v>
      </c>
      <c r="AP155">
        <v>0.173594918448056</v>
      </c>
      <c r="AQ155">
        <v>0</v>
      </c>
      <c r="AR155">
        <v>2</v>
      </c>
      <c r="AS155">
        <v>0</v>
      </c>
      <c r="AT155">
        <v>0</v>
      </c>
      <c r="AU155">
        <v>0</v>
      </c>
      <c r="AV155">
        <v>9</v>
      </c>
      <c r="AW155">
        <v>0</v>
      </c>
      <c r="AX155">
        <v>0</v>
      </c>
      <c r="AY155">
        <v>15.3</v>
      </c>
      <c r="AZ155">
        <v>9.8000000000000007</v>
      </c>
      <c r="BA155">
        <v>29.7</v>
      </c>
      <c r="BB155">
        <v>564</v>
      </c>
      <c r="BC155">
        <v>68</v>
      </c>
      <c r="BD155">
        <v>1.8</v>
      </c>
      <c r="BE155">
        <v>43</v>
      </c>
      <c r="BF155">
        <v>25.4</v>
      </c>
      <c r="BG155">
        <v>162</v>
      </c>
      <c r="BH155">
        <v>9.1</v>
      </c>
      <c r="BI155">
        <v>9.1999999999999993</v>
      </c>
      <c r="BJ155">
        <v>18.3</v>
      </c>
      <c r="BK155">
        <v>0.34</v>
      </c>
      <c r="BL155">
        <v>7.3</v>
      </c>
      <c r="BM155">
        <v>0.9</v>
      </c>
      <c r="BN155">
        <v>7.5</v>
      </c>
      <c r="BO155">
        <v>2.9</v>
      </c>
      <c r="BP155">
        <f t="shared" si="4"/>
        <v>9.5249978404815447</v>
      </c>
      <c r="BQ155">
        <f t="shared" si="5"/>
        <v>29.292952351629481</v>
      </c>
    </row>
    <row r="156" spans="1:69" hidden="1" x14ac:dyDescent="0.2">
      <c r="A156" t="s">
        <v>2687</v>
      </c>
      <c r="B156" t="s">
        <v>68</v>
      </c>
      <c r="C156" t="s">
        <v>1956</v>
      </c>
      <c r="D156" t="s">
        <v>70</v>
      </c>
      <c r="E156" t="s">
        <v>567</v>
      </c>
      <c r="F156">
        <v>6</v>
      </c>
      <c r="G156">
        <v>265</v>
      </c>
      <c r="H156">
        <v>4</v>
      </c>
      <c r="I156">
        <v>3</v>
      </c>
      <c r="J156">
        <v>3</v>
      </c>
      <c r="K156" t="s">
        <v>110</v>
      </c>
      <c r="L156" t="s">
        <v>162</v>
      </c>
      <c r="M156" s="4">
        <v>1260000000</v>
      </c>
      <c r="N156">
        <v>0</v>
      </c>
      <c r="O156">
        <v>4.7124199999999998</v>
      </c>
      <c r="P156">
        <v>-74.079549999999998</v>
      </c>
      <c r="Q156" t="s">
        <v>2688</v>
      </c>
      <c r="R156">
        <v>4754716.9809999997</v>
      </c>
      <c r="S156">
        <v>0</v>
      </c>
      <c r="T156" t="s">
        <v>117</v>
      </c>
      <c r="U156" t="s">
        <v>118</v>
      </c>
      <c r="V156" t="s">
        <v>77</v>
      </c>
      <c r="W156" t="s">
        <v>119</v>
      </c>
      <c r="X156" t="s">
        <v>120</v>
      </c>
      <c r="Y156">
        <v>2.9758879878273499</v>
      </c>
      <c r="Z156">
        <v>2975.8879878273501</v>
      </c>
      <c r="AA156">
        <v>4.73719444444444</v>
      </c>
      <c r="AB156">
        <v>-74.069472222222203</v>
      </c>
      <c r="AC156">
        <v>2555</v>
      </c>
      <c r="AD156">
        <v>0</v>
      </c>
      <c r="AE156" t="s">
        <v>80</v>
      </c>
      <c r="AF156" t="s">
        <v>107</v>
      </c>
      <c r="AG156" t="s">
        <v>82</v>
      </c>
      <c r="AH156" t="s">
        <v>83</v>
      </c>
      <c r="AI156" t="s">
        <v>121</v>
      </c>
      <c r="AJ156">
        <v>0.80438908018171995</v>
      </c>
      <c r="AK156">
        <v>5.3163748469185599</v>
      </c>
      <c r="AL156">
        <v>1.0262093051732599</v>
      </c>
      <c r="AM156">
        <v>0.25151874877709302</v>
      </c>
      <c r="AN156">
        <v>3.2672508493302401</v>
      </c>
      <c r="AO156">
        <v>0.346615818594117</v>
      </c>
      <c r="AP156">
        <v>0.346615818594117</v>
      </c>
      <c r="AQ156">
        <v>0</v>
      </c>
      <c r="AR156">
        <v>1</v>
      </c>
      <c r="AS156">
        <v>0</v>
      </c>
      <c r="AT156">
        <v>0</v>
      </c>
      <c r="AU156">
        <v>0</v>
      </c>
      <c r="AV156">
        <v>16</v>
      </c>
      <c r="AW156">
        <v>0</v>
      </c>
      <c r="AX156">
        <v>0</v>
      </c>
      <c r="AY156">
        <v>15.3</v>
      </c>
      <c r="AZ156">
        <v>9.8000000000000007</v>
      </c>
      <c r="BA156">
        <v>29.7</v>
      </c>
      <c r="BB156">
        <v>564</v>
      </c>
      <c r="BC156">
        <v>68</v>
      </c>
      <c r="BD156">
        <v>1.8</v>
      </c>
      <c r="BE156">
        <v>43</v>
      </c>
      <c r="BF156">
        <v>25.4</v>
      </c>
      <c r="BG156">
        <v>162</v>
      </c>
      <c r="BH156">
        <v>9.1</v>
      </c>
      <c r="BI156">
        <v>9.1999999999999993</v>
      </c>
      <c r="BJ156">
        <v>18.3</v>
      </c>
      <c r="BK156">
        <v>0.34</v>
      </c>
      <c r="BL156">
        <v>7.3</v>
      </c>
      <c r="BM156">
        <v>0.9</v>
      </c>
      <c r="BN156">
        <v>7.5</v>
      </c>
      <c r="BO156">
        <v>2.9</v>
      </c>
      <c r="BP156">
        <f t="shared" si="4"/>
        <v>8.4576886771427251</v>
      </c>
      <c r="BQ156">
        <f t="shared" si="5"/>
        <v>27.65276530783391</v>
      </c>
    </row>
    <row r="157" spans="1:69" hidden="1" x14ac:dyDescent="0.2">
      <c r="A157" t="s">
        <v>2213</v>
      </c>
      <c r="B157" t="s">
        <v>68</v>
      </c>
      <c r="C157" t="s">
        <v>1956</v>
      </c>
      <c r="D157" t="s">
        <v>70</v>
      </c>
      <c r="E157" t="s">
        <v>349</v>
      </c>
      <c r="F157">
        <v>6</v>
      </c>
      <c r="G157">
        <v>265</v>
      </c>
      <c r="H157">
        <v>4</v>
      </c>
      <c r="I157">
        <v>4</v>
      </c>
      <c r="J157">
        <v>2</v>
      </c>
      <c r="K157" t="s">
        <v>110</v>
      </c>
      <c r="L157" t="s">
        <v>162</v>
      </c>
      <c r="M157" s="4">
        <v>1260000000</v>
      </c>
      <c r="N157">
        <v>0</v>
      </c>
      <c r="O157">
        <v>4.7190630000000002</v>
      </c>
      <c r="P157">
        <v>-74.076117999999994</v>
      </c>
      <c r="Q157" t="s">
        <v>2214</v>
      </c>
      <c r="R157">
        <v>4754716.9809999997</v>
      </c>
      <c r="S157">
        <v>0</v>
      </c>
      <c r="T157" t="s">
        <v>117</v>
      </c>
      <c r="U157" t="s">
        <v>118</v>
      </c>
      <c r="V157" t="s">
        <v>77</v>
      </c>
      <c r="W157" t="s">
        <v>119</v>
      </c>
      <c r="X157" t="s">
        <v>120</v>
      </c>
      <c r="Y157">
        <v>2.1488282423504601</v>
      </c>
      <c r="Z157">
        <v>2148.8282423504602</v>
      </c>
      <c r="AA157">
        <v>4.73719444444444</v>
      </c>
      <c r="AB157">
        <v>-74.069472222222203</v>
      </c>
      <c r="AC157">
        <v>2555</v>
      </c>
      <c r="AD157">
        <v>0</v>
      </c>
      <c r="AE157" t="s">
        <v>80</v>
      </c>
      <c r="AF157" t="s">
        <v>107</v>
      </c>
      <c r="AG157" t="s">
        <v>82</v>
      </c>
      <c r="AH157" t="s">
        <v>83</v>
      </c>
      <c r="AI157" t="s">
        <v>121</v>
      </c>
      <c r="AJ157">
        <v>0.28922221593892999</v>
      </c>
      <c r="AK157">
        <v>5.5254928828701804</v>
      </c>
      <c r="AL157">
        <v>0.575706155458376</v>
      </c>
      <c r="AM157">
        <v>0.34609916564204701</v>
      </c>
      <c r="AN157">
        <v>2.6721067273554402</v>
      </c>
      <c r="AO157">
        <v>3.12082737665462E-2</v>
      </c>
      <c r="AP157">
        <v>3.12082737665462E-2</v>
      </c>
      <c r="AQ157">
        <v>1</v>
      </c>
      <c r="AR157">
        <v>3</v>
      </c>
      <c r="AS157">
        <v>0</v>
      </c>
      <c r="AT157">
        <v>0</v>
      </c>
      <c r="AU157">
        <v>1</v>
      </c>
      <c r="AV157">
        <v>35</v>
      </c>
      <c r="AW157">
        <v>0</v>
      </c>
      <c r="AX157">
        <v>0</v>
      </c>
      <c r="AY157">
        <v>15.3</v>
      </c>
      <c r="AZ157">
        <v>9.8000000000000007</v>
      </c>
      <c r="BA157">
        <v>29.7</v>
      </c>
      <c r="BB157">
        <v>564</v>
      </c>
      <c r="BC157">
        <v>68</v>
      </c>
      <c r="BD157">
        <v>1.8</v>
      </c>
      <c r="BE157">
        <v>43</v>
      </c>
      <c r="BF157">
        <v>25.4</v>
      </c>
      <c r="BG157">
        <v>162</v>
      </c>
      <c r="BH157">
        <v>9.1</v>
      </c>
      <c r="BI157">
        <v>9.1999999999999993</v>
      </c>
      <c r="BJ157">
        <v>18.3</v>
      </c>
      <c r="BK157">
        <v>0.34</v>
      </c>
      <c r="BL157">
        <v>7.3</v>
      </c>
      <c r="BM157">
        <v>0.9</v>
      </c>
      <c r="BN157">
        <v>7.5</v>
      </c>
      <c r="BO157">
        <v>2.9</v>
      </c>
      <c r="BP157">
        <f t="shared" si="4"/>
        <v>8.8111272916353833</v>
      </c>
      <c r="BQ157">
        <f t="shared" si="5"/>
        <v>28.207140863318148</v>
      </c>
    </row>
    <row r="158" spans="1:69" hidden="1" x14ac:dyDescent="0.2">
      <c r="A158" t="s">
        <v>2540</v>
      </c>
      <c r="B158" t="s">
        <v>68</v>
      </c>
      <c r="C158" t="s">
        <v>1956</v>
      </c>
      <c r="D158" t="s">
        <v>70</v>
      </c>
      <c r="E158" t="s">
        <v>2541</v>
      </c>
      <c r="F158">
        <v>5</v>
      </c>
      <c r="G158">
        <v>264.39999999999998</v>
      </c>
      <c r="H158">
        <v>4</v>
      </c>
      <c r="I158">
        <v>4</v>
      </c>
      <c r="J158">
        <v>2</v>
      </c>
      <c r="K158" t="s">
        <v>110</v>
      </c>
      <c r="L158" t="s">
        <v>124</v>
      </c>
      <c r="M158" s="4">
        <v>1350000000</v>
      </c>
      <c r="N158">
        <v>0</v>
      </c>
      <c r="O158">
        <v>4.7395550999999996</v>
      </c>
      <c r="P158">
        <v>-74.067940899999996</v>
      </c>
      <c r="Q158" t="s">
        <v>2542</v>
      </c>
      <c r="R158">
        <v>5105900.1509999996</v>
      </c>
      <c r="S158">
        <v>0</v>
      </c>
      <c r="T158" t="s">
        <v>117</v>
      </c>
      <c r="U158" t="s">
        <v>118</v>
      </c>
      <c r="V158" t="s">
        <v>77</v>
      </c>
      <c r="W158" t="s">
        <v>119</v>
      </c>
      <c r="X158" t="s">
        <v>120</v>
      </c>
      <c r="Y158">
        <v>0.31291750571288302</v>
      </c>
      <c r="Z158">
        <v>312.91750571288298</v>
      </c>
      <c r="AA158">
        <v>4.73719444444444</v>
      </c>
      <c r="AB158">
        <v>-74.069472222222203</v>
      </c>
      <c r="AC158">
        <v>2555</v>
      </c>
      <c r="AD158">
        <v>0</v>
      </c>
      <c r="AE158" t="s">
        <v>80</v>
      </c>
      <c r="AF158" t="s">
        <v>107</v>
      </c>
      <c r="AG158" t="s">
        <v>82</v>
      </c>
      <c r="AH158" t="s">
        <v>83</v>
      </c>
      <c r="AI158" t="s">
        <v>121</v>
      </c>
      <c r="AJ158">
        <v>1.51396838335746</v>
      </c>
      <c r="AK158">
        <v>5.1503667705745801</v>
      </c>
      <c r="AL158">
        <v>2.2127407798830498</v>
      </c>
      <c r="AM158">
        <v>0.32343651590945299</v>
      </c>
      <c r="AN158">
        <v>1.9368140518455199</v>
      </c>
      <c r="AO158">
        <v>0.10948692256784701</v>
      </c>
      <c r="AP158">
        <v>0.10948692256784701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8</v>
      </c>
      <c r="AW158">
        <v>0</v>
      </c>
      <c r="AX158">
        <v>0</v>
      </c>
      <c r="AY158">
        <v>15.3</v>
      </c>
      <c r="AZ158">
        <v>9.8000000000000007</v>
      </c>
      <c r="BA158">
        <v>29.7</v>
      </c>
      <c r="BB158">
        <v>564</v>
      </c>
      <c r="BC158">
        <v>68</v>
      </c>
      <c r="BD158">
        <v>1.8</v>
      </c>
      <c r="BE158">
        <v>43</v>
      </c>
      <c r="BF158">
        <v>25.4</v>
      </c>
      <c r="BG158">
        <v>162</v>
      </c>
      <c r="BH158">
        <v>9.1</v>
      </c>
      <c r="BI158">
        <v>9.1999999999999993</v>
      </c>
      <c r="BJ158">
        <v>18.3</v>
      </c>
      <c r="BK158">
        <v>0.34</v>
      </c>
      <c r="BL158">
        <v>7.3</v>
      </c>
      <c r="BM158">
        <v>0.9</v>
      </c>
      <c r="BN158">
        <v>7.5</v>
      </c>
      <c r="BO158">
        <v>2.9</v>
      </c>
      <c r="BP158">
        <f t="shared" si="4"/>
        <v>9.6493732894524022</v>
      </c>
      <c r="BQ158">
        <f t="shared" si="5"/>
        <v>29.47778785517259</v>
      </c>
    </row>
    <row r="159" spans="1:69" hidden="1" x14ac:dyDescent="0.2">
      <c r="A159" t="s">
        <v>1962</v>
      </c>
      <c r="B159" t="s">
        <v>68</v>
      </c>
      <c r="C159" t="s">
        <v>1956</v>
      </c>
      <c r="D159" t="s">
        <v>70</v>
      </c>
      <c r="E159" t="s">
        <v>388</v>
      </c>
      <c r="F159">
        <v>6</v>
      </c>
      <c r="G159">
        <v>261.5</v>
      </c>
      <c r="H159">
        <v>4</v>
      </c>
      <c r="I159">
        <v>5</v>
      </c>
      <c r="J159">
        <v>4</v>
      </c>
      <c r="K159" t="s">
        <v>72</v>
      </c>
      <c r="L159" t="s">
        <v>73</v>
      </c>
      <c r="M159" s="4">
        <v>3979999000</v>
      </c>
      <c r="N159">
        <v>0</v>
      </c>
      <c r="O159">
        <v>4.7454169999999998</v>
      </c>
      <c r="P159">
        <v>-74.074520000000007</v>
      </c>
      <c r="Q159" t="s">
        <v>1963</v>
      </c>
      <c r="R159">
        <v>15219881.449999999</v>
      </c>
      <c r="S159">
        <v>0</v>
      </c>
      <c r="T159" t="s">
        <v>117</v>
      </c>
      <c r="U159" t="s">
        <v>118</v>
      </c>
      <c r="V159" t="s">
        <v>77</v>
      </c>
      <c r="W159" t="s">
        <v>119</v>
      </c>
      <c r="X159" t="s">
        <v>120</v>
      </c>
      <c r="Y159">
        <v>1.0730436510305299</v>
      </c>
      <c r="Z159">
        <v>1073.0436510305301</v>
      </c>
      <c r="AA159">
        <v>4.73719444444444</v>
      </c>
      <c r="AB159">
        <v>-74.069472222222203</v>
      </c>
      <c r="AC159">
        <v>2555</v>
      </c>
      <c r="AD159">
        <v>0</v>
      </c>
      <c r="AE159" t="s">
        <v>80</v>
      </c>
      <c r="AF159" t="s">
        <v>107</v>
      </c>
      <c r="AG159" t="s">
        <v>82</v>
      </c>
      <c r="AH159" t="s">
        <v>83</v>
      </c>
      <c r="AI159" t="s">
        <v>121</v>
      </c>
      <c r="AJ159">
        <v>1.30888673422818</v>
      </c>
      <c r="AK159">
        <v>4.6998070568874502</v>
      </c>
      <c r="AL159">
        <v>2.4908581066797701</v>
      </c>
      <c r="AM159">
        <v>0.75507979697583905</v>
      </c>
      <c r="AN159">
        <v>1.2756201947721899</v>
      </c>
      <c r="AO159">
        <v>2.49755832596214E-2</v>
      </c>
      <c r="AP159">
        <v>2.49755832596214E-2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1</v>
      </c>
      <c r="AW159">
        <v>0</v>
      </c>
      <c r="AX159">
        <v>0</v>
      </c>
      <c r="AY159">
        <v>15.3</v>
      </c>
      <c r="AZ159">
        <v>9.8000000000000007</v>
      </c>
      <c r="BA159">
        <v>29.7</v>
      </c>
      <c r="BB159">
        <v>564</v>
      </c>
      <c r="BC159">
        <v>68</v>
      </c>
      <c r="BD159">
        <v>1.8</v>
      </c>
      <c r="BE159">
        <v>43</v>
      </c>
      <c r="BF159">
        <v>25.4</v>
      </c>
      <c r="BG159">
        <v>162</v>
      </c>
      <c r="BH159">
        <v>9.1</v>
      </c>
      <c r="BI159">
        <v>9.1999999999999993</v>
      </c>
      <c r="BJ159">
        <v>18.3</v>
      </c>
      <c r="BK159">
        <v>0.34</v>
      </c>
      <c r="BL159">
        <v>7.3</v>
      </c>
      <c r="BM159">
        <v>0.9</v>
      </c>
      <c r="BN159">
        <v>7.5</v>
      </c>
      <c r="BO159">
        <v>2.9</v>
      </c>
      <c r="BP159">
        <f t="shared" si="4"/>
        <v>9.2930492193461252</v>
      </c>
      <c r="BQ159">
        <f t="shared" si="5"/>
        <v>28.944899290474932</v>
      </c>
    </row>
    <row r="160" spans="1:69" hidden="1" x14ac:dyDescent="0.2">
      <c r="A160" t="s">
        <v>2665</v>
      </c>
      <c r="B160" t="s">
        <v>68</v>
      </c>
      <c r="C160" t="s">
        <v>1956</v>
      </c>
      <c r="D160" t="s">
        <v>70</v>
      </c>
      <c r="E160" t="s">
        <v>492</v>
      </c>
      <c r="F160">
        <v>4</v>
      </c>
      <c r="G160">
        <v>261</v>
      </c>
      <c r="H160">
        <v>5</v>
      </c>
      <c r="I160">
        <v>5</v>
      </c>
      <c r="J160">
        <v>4</v>
      </c>
      <c r="K160" t="s">
        <v>110</v>
      </c>
      <c r="L160" t="s">
        <v>115</v>
      </c>
      <c r="M160" s="4">
        <v>1350000000</v>
      </c>
      <c r="N160">
        <v>0</v>
      </c>
      <c r="O160">
        <v>4.7180266380000004</v>
      </c>
      <c r="P160">
        <v>-74.070426940000004</v>
      </c>
      <c r="Q160" t="s">
        <v>2666</v>
      </c>
      <c r="R160">
        <v>5172413.7929999996</v>
      </c>
      <c r="S160">
        <v>0</v>
      </c>
      <c r="T160" t="s">
        <v>117</v>
      </c>
      <c r="U160" t="s">
        <v>118</v>
      </c>
      <c r="V160" t="s">
        <v>77</v>
      </c>
      <c r="W160" t="s">
        <v>119</v>
      </c>
      <c r="X160" t="s">
        <v>120</v>
      </c>
      <c r="Y160">
        <v>2.13637764233729</v>
      </c>
      <c r="Z160">
        <v>2136.3776423372901</v>
      </c>
      <c r="AA160">
        <v>4.73719444444444</v>
      </c>
      <c r="AB160">
        <v>-74.069472222222203</v>
      </c>
      <c r="AC160">
        <v>2555</v>
      </c>
      <c r="AD160">
        <v>0</v>
      </c>
      <c r="AE160" t="s">
        <v>80</v>
      </c>
      <c r="AF160" t="s">
        <v>107</v>
      </c>
      <c r="AG160" t="s">
        <v>82</v>
      </c>
      <c r="AH160" t="s">
        <v>83</v>
      </c>
      <c r="AI160" t="s">
        <v>121</v>
      </c>
      <c r="AJ160">
        <v>0.59492603115851295</v>
      </c>
      <c r="AK160">
        <v>5.1070038760696601</v>
      </c>
      <c r="AL160">
        <v>0.16999992706971001</v>
      </c>
      <c r="AM160">
        <v>9.5834931340090204E-2</v>
      </c>
      <c r="AN160">
        <v>3.0665182152567798</v>
      </c>
      <c r="AO160">
        <v>6.8919070230812299E-2</v>
      </c>
      <c r="AP160">
        <v>6.8919070230812299E-2</v>
      </c>
      <c r="AQ160">
        <v>0</v>
      </c>
      <c r="AR160">
        <v>2</v>
      </c>
      <c r="AS160">
        <v>0</v>
      </c>
      <c r="AT160">
        <v>0</v>
      </c>
      <c r="AU160">
        <v>1</v>
      </c>
      <c r="AV160">
        <v>38</v>
      </c>
      <c r="AW160">
        <v>0</v>
      </c>
      <c r="AX160">
        <v>0</v>
      </c>
      <c r="AY160">
        <v>15.3</v>
      </c>
      <c r="AZ160">
        <v>9.8000000000000007</v>
      </c>
      <c r="BA160">
        <v>29.7</v>
      </c>
      <c r="BB160">
        <v>564</v>
      </c>
      <c r="BC160">
        <v>68</v>
      </c>
      <c r="BD160">
        <v>1.8</v>
      </c>
      <c r="BE160">
        <v>43</v>
      </c>
      <c r="BF160">
        <v>25.4</v>
      </c>
      <c r="BG160">
        <v>162</v>
      </c>
      <c r="BH160">
        <v>9.1</v>
      </c>
      <c r="BI160">
        <v>9.1999999999999993</v>
      </c>
      <c r="BJ160">
        <v>18.3</v>
      </c>
      <c r="BK160">
        <v>0.34</v>
      </c>
      <c r="BL160">
        <v>7.3</v>
      </c>
      <c r="BM160">
        <v>0.9</v>
      </c>
      <c r="BN160">
        <v>7.5</v>
      </c>
      <c r="BO160">
        <v>2.9</v>
      </c>
      <c r="BP160">
        <f t="shared" si="4"/>
        <v>8.8165593045188597</v>
      </c>
      <c r="BQ160">
        <f t="shared" si="5"/>
        <v>28.215570822633747</v>
      </c>
    </row>
    <row r="161" spans="1:69" hidden="1" x14ac:dyDescent="0.2">
      <c r="A161" t="s">
        <v>3235</v>
      </c>
      <c r="B161" t="s">
        <v>68</v>
      </c>
      <c r="C161" t="s">
        <v>1956</v>
      </c>
      <c r="D161" t="s">
        <v>70</v>
      </c>
      <c r="E161" t="s">
        <v>267</v>
      </c>
      <c r="F161">
        <v>6</v>
      </c>
      <c r="G161">
        <v>260</v>
      </c>
      <c r="H161">
        <v>4</v>
      </c>
      <c r="I161">
        <v>4</v>
      </c>
      <c r="J161">
        <v>2</v>
      </c>
      <c r="K161" t="s">
        <v>110</v>
      </c>
      <c r="L161" t="s">
        <v>124</v>
      </c>
      <c r="M161" s="4">
        <v>1800000000</v>
      </c>
      <c r="N161">
        <v>0</v>
      </c>
      <c r="O161">
        <v>4.8192005160000004</v>
      </c>
      <c r="P161">
        <v>-74.041084290000001</v>
      </c>
      <c r="Q161" t="s">
        <v>3236</v>
      </c>
      <c r="R161">
        <v>6923076.9230000004</v>
      </c>
      <c r="S161">
        <v>0</v>
      </c>
      <c r="T161" t="s">
        <v>151</v>
      </c>
      <c r="U161" t="s">
        <v>152</v>
      </c>
      <c r="V161" t="s">
        <v>77</v>
      </c>
      <c r="W161" t="s">
        <v>119</v>
      </c>
      <c r="X161" t="s">
        <v>153</v>
      </c>
      <c r="Y161">
        <v>3.9608536790384101</v>
      </c>
      <c r="Z161">
        <v>3960.8536790384101</v>
      </c>
      <c r="AA161">
        <v>4.7837500000000004</v>
      </c>
      <c r="AB161">
        <v>-74.044138888888895</v>
      </c>
      <c r="AC161">
        <v>2580</v>
      </c>
      <c r="AD161">
        <v>0</v>
      </c>
      <c r="AE161" t="s">
        <v>154</v>
      </c>
      <c r="AF161" t="s">
        <v>107</v>
      </c>
      <c r="AG161" t="s">
        <v>82</v>
      </c>
      <c r="AH161" t="s">
        <v>83</v>
      </c>
      <c r="AI161" t="s">
        <v>121</v>
      </c>
      <c r="AJ161">
        <v>5.5746097397625398</v>
      </c>
      <c r="AK161">
        <v>1.07227956348163</v>
      </c>
      <c r="AL161">
        <v>2.21721150407698</v>
      </c>
      <c r="AM161">
        <v>4.6239717682486399</v>
      </c>
      <c r="AN161">
        <v>8.7289186934471701</v>
      </c>
      <c r="AO161">
        <v>2.0650607888673699E-2</v>
      </c>
      <c r="AP161">
        <v>2.0650607888673699E-2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15.3</v>
      </c>
      <c r="AZ161">
        <v>9.8000000000000007</v>
      </c>
      <c r="BA161">
        <v>29.7</v>
      </c>
      <c r="BB161">
        <v>564</v>
      </c>
      <c r="BC161">
        <v>68</v>
      </c>
      <c r="BD161">
        <v>1.8</v>
      </c>
      <c r="BE161">
        <v>43</v>
      </c>
      <c r="BF161">
        <v>25.4</v>
      </c>
      <c r="BG161">
        <v>162</v>
      </c>
      <c r="BH161">
        <v>9.1</v>
      </c>
      <c r="BI161">
        <v>9.1999999999999993</v>
      </c>
      <c r="BJ161">
        <v>18.3</v>
      </c>
      <c r="BK161">
        <v>0.34</v>
      </c>
      <c r="BL161">
        <v>7.3</v>
      </c>
      <c r="BM161">
        <v>0.9</v>
      </c>
      <c r="BN161">
        <v>7.5</v>
      </c>
      <c r="BO161">
        <v>2.9</v>
      </c>
      <c r="BP161">
        <f t="shared" si="4"/>
        <v>8.0552183895984015</v>
      </c>
      <c r="BQ161">
        <f t="shared" si="5"/>
        <v>27.006742512438898</v>
      </c>
    </row>
    <row r="162" spans="1:69" hidden="1" x14ac:dyDescent="0.2">
      <c r="A162" t="s">
        <v>2667</v>
      </c>
      <c r="B162" t="s">
        <v>68</v>
      </c>
      <c r="C162" t="s">
        <v>1956</v>
      </c>
      <c r="D162" t="s">
        <v>70</v>
      </c>
      <c r="E162" t="s">
        <v>2668</v>
      </c>
      <c r="F162">
        <v>6</v>
      </c>
      <c r="G162">
        <v>260</v>
      </c>
      <c r="H162">
        <v>3</v>
      </c>
      <c r="I162">
        <v>5</v>
      </c>
      <c r="J162">
        <v>3</v>
      </c>
      <c r="K162" t="s">
        <v>110</v>
      </c>
      <c r="L162" t="s">
        <v>162</v>
      </c>
      <c r="M162" s="4">
        <v>1800000000</v>
      </c>
      <c r="N162">
        <v>0</v>
      </c>
      <c r="O162">
        <v>4.7350199999999996</v>
      </c>
      <c r="P162">
        <v>-74.07647</v>
      </c>
      <c r="Q162" t="s">
        <v>2669</v>
      </c>
      <c r="R162">
        <v>6923076.9230000004</v>
      </c>
      <c r="S162">
        <v>0</v>
      </c>
      <c r="T162" t="s">
        <v>117</v>
      </c>
      <c r="U162" t="s">
        <v>118</v>
      </c>
      <c r="V162" t="s">
        <v>77</v>
      </c>
      <c r="W162" t="s">
        <v>119</v>
      </c>
      <c r="X162" t="s">
        <v>120</v>
      </c>
      <c r="Y162">
        <v>0.81319074616419496</v>
      </c>
      <c r="Z162">
        <v>813.19074616419505</v>
      </c>
      <c r="AA162">
        <v>4.73719444444444</v>
      </c>
      <c r="AB162">
        <v>-74.069472222222203</v>
      </c>
      <c r="AC162">
        <v>2555</v>
      </c>
      <c r="AD162">
        <v>0</v>
      </c>
      <c r="AE162" t="s">
        <v>80</v>
      </c>
      <c r="AF162" t="s">
        <v>107</v>
      </c>
      <c r="AG162" t="s">
        <v>82</v>
      </c>
      <c r="AH162" t="s">
        <v>83</v>
      </c>
      <c r="AI162" t="s">
        <v>121</v>
      </c>
      <c r="AJ162">
        <v>0.50365724024899095</v>
      </c>
      <c r="AK162">
        <v>5.0725459869614298</v>
      </c>
      <c r="AL162">
        <v>2.0845347770317799</v>
      </c>
      <c r="AM162">
        <v>0.63299486822722695</v>
      </c>
      <c r="AN162">
        <v>1.2083832097359699</v>
      </c>
      <c r="AO162">
        <v>8.8493335048841701E-2</v>
      </c>
      <c r="AP162">
        <v>8.8493335048841701E-2</v>
      </c>
      <c r="AQ162">
        <v>0</v>
      </c>
      <c r="AR162">
        <v>2</v>
      </c>
      <c r="AS162">
        <v>0</v>
      </c>
      <c r="AT162">
        <v>0</v>
      </c>
      <c r="AU162">
        <v>0</v>
      </c>
      <c r="AV162">
        <v>4</v>
      </c>
      <c r="AW162">
        <v>0</v>
      </c>
      <c r="AX162">
        <v>0</v>
      </c>
      <c r="AY162">
        <v>15.3</v>
      </c>
      <c r="AZ162">
        <v>9.8000000000000007</v>
      </c>
      <c r="BA162">
        <v>29.7</v>
      </c>
      <c r="BB162">
        <v>564</v>
      </c>
      <c r="BC162">
        <v>68</v>
      </c>
      <c r="BD162">
        <v>1.8</v>
      </c>
      <c r="BE162">
        <v>43</v>
      </c>
      <c r="BF162">
        <v>25.4</v>
      </c>
      <c r="BG162">
        <v>162</v>
      </c>
      <c r="BH162">
        <v>9.1</v>
      </c>
      <c r="BI162">
        <v>9.1999999999999993</v>
      </c>
      <c r="BJ162">
        <v>18.3</v>
      </c>
      <c r="BK162">
        <v>0.34</v>
      </c>
      <c r="BL162">
        <v>7.3</v>
      </c>
      <c r="BM162">
        <v>0.9</v>
      </c>
      <c r="BN162">
        <v>7.5</v>
      </c>
      <c r="BO162">
        <v>2.9</v>
      </c>
      <c r="BP162">
        <f t="shared" si="4"/>
        <v>9.4133551702631113</v>
      </c>
      <c r="BQ162">
        <f t="shared" si="5"/>
        <v>29.125977335330113</v>
      </c>
    </row>
    <row r="163" spans="1:69" hidden="1" x14ac:dyDescent="0.2">
      <c r="A163" t="s">
        <v>2013</v>
      </c>
      <c r="B163" t="s">
        <v>68</v>
      </c>
      <c r="C163" t="s">
        <v>1956</v>
      </c>
      <c r="D163" t="s">
        <v>70</v>
      </c>
      <c r="E163" t="s">
        <v>455</v>
      </c>
      <c r="F163">
        <v>6</v>
      </c>
      <c r="G163">
        <v>259</v>
      </c>
      <c r="H163">
        <v>4</v>
      </c>
      <c r="I163">
        <v>5</v>
      </c>
      <c r="J163">
        <v>2</v>
      </c>
      <c r="K163" t="s">
        <v>110</v>
      </c>
      <c r="L163" t="s">
        <v>162</v>
      </c>
      <c r="M163" s="4">
        <v>1100000000</v>
      </c>
      <c r="N163">
        <v>0</v>
      </c>
      <c r="O163">
        <v>4.7376995089999996</v>
      </c>
      <c r="P163">
        <v>-74.076545719999999</v>
      </c>
      <c r="Q163" t="s">
        <v>2014</v>
      </c>
      <c r="R163">
        <v>4247104.2470000004</v>
      </c>
      <c r="S163">
        <v>0</v>
      </c>
      <c r="T163" t="s">
        <v>117</v>
      </c>
      <c r="U163" t="s">
        <v>118</v>
      </c>
      <c r="V163" t="s">
        <v>77</v>
      </c>
      <c r="W163" t="s">
        <v>119</v>
      </c>
      <c r="X163" t="s">
        <v>120</v>
      </c>
      <c r="Y163">
        <v>0.78673960163071899</v>
      </c>
      <c r="Z163">
        <v>786.73960163071899</v>
      </c>
      <c r="AA163">
        <v>4.73719444444444</v>
      </c>
      <c r="AB163">
        <v>-74.069472222222203</v>
      </c>
      <c r="AC163">
        <v>2555</v>
      </c>
      <c r="AD163">
        <v>0</v>
      </c>
      <c r="AE163" t="s">
        <v>80</v>
      </c>
      <c r="AF163" t="s">
        <v>107</v>
      </c>
      <c r="AG163" t="s">
        <v>82</v>
      </c>
      <c r="AH163" t="s">
        <v>83</v>
      </c>
      <c r="AI163" t="s">
        <v>121</v>
      </c>
      <c r="AJ163">
        <v>0.54870064077564995</v>
      </c>
      <c r="AK163">
        <v>4.8988745615195199</v>
      </c>
      <c r="AL163">
        <v>2.3730916048531601</v>
      </c>
      <c r="AM163">
        <v>0.55742899024924597</v>
      </c>
      <c r="AN163">
        <v>1.05499082207466</v>
      </c>
      <c r="AO163">
        <v>9.6446447352999398E-3</v>
      </c>
      <c r="AP163">
        <v>9.6446447352999398E-3</v>
      </c>
      <c r="AQ163">
        <v>0</v>
      </c>
      <c r="AR163">
        <v>1</v>
      </c>
      <c r="AS163">
        <v>0</v>
      </c>
      <c r="AT163">
        <v>0</v>
      </c>
      <c r="AU163">
        <v>0</v>
      </c>
      <c r="AV163">
        <v>8</v>
      </c>
      <c r="AW163">
        <v>0</v>
      </c>
      <c r="AX163">
        <v>0</v>
      </c>
      <c r="AY163">
        <v>15.3</v>
      </c>
      <c r="AZ163">
        <v>9.8000000000000007</v>
      </c>
      <c r="BA163">
        <v>29.7</v>
      </c>
      <c r="BB163">
        <v>564</v>
      </c>
      <c r="BC163">
        <v>68</v>
      </c>
      <c r="BD163">
        <v>1.8</v>
      </c>
      <c r="BE163">
        <v>43</v>
      </c>
      <c r="BF163">
        <v>25.4</v>
      </c>
      <c r="BG163">
        <v>162</v>
      </c>
      <c r="BH163">
        <v>9.1</v>
      </c>
      <c r="BI163">
        <v>9.1999999999999993</v>
      </c>
      <c r="BJ163">
        <v>18.3</v>
      </c>
      <c r="BK163">
        <v>0.34</v>
      </c>
      <c r="BL163">
        <v>7.3</v>
      </c>
      <c r="BM163">
        <v>0.9</v>
      </c>
      <c r="BN163">
        <v>7.5</v>
      </c>
      <c r="BO163">
        <v>2.9</v>
      </c>
      <c r="BP163">
        <f t="shared" si="4"/>
        <v>9.4256884465742896</v>
      </c>
      <c r="BQ163">
        <f t="shared" si="5"/>
        <v>29.144473176011029</v>
      </c>
    </row>
    <row r="164" spans="1:69" hidden="1" x14ac:dyDescent="0.2">
      <c r="A164" t="s">
        <v>2322</v>
      </c>
      <c r="B164" t="s">
        <v>68</v>
      </c>
      <c r="C164" t="s">
        <v>1956</v>
      </c>
      <c r="D164" t="s">
        <v>70</v>
      </c>
      <c r="E164" t="s">
        <v>455</v>
      </c>
      <c r="F164">
        <v>6</v>
      </c>
      <c r="G164">
        <v>257.72000000000003</v>
      </c>
      <c r="H164">
        <v>4</v>
      </c>
      <c r="I164">
        <v>5</v>
      </c>
      <c r="J164">
        <v>2</v>
      </c>
      <c r="K164" t="s">
        <v>110</v>
      </c>
      <c r="L164" t="s">
        <v>162</v>
      </c>
      <c r="M164" s="4">
        <v>1100000000</v>
      </c>
      <c r="N164">
        <v>0</v>
      </c>
      <c r="O164">
        <v>4.7374687</v>
      </c>
      <c r="P164">
        <v>-74.076453999999998</v>
      </c>
      <c r="Q164" t="s">
        <v>2323</v>
      </c>
      <c r="R164">
        <v>4268198.0439999998</v>
      </c>
      <c r="S164">
        <v>0</v>
      </c>
      <c r="T164" t="s">
        <v>117</v>
      </c>
      <c r="U164" t="s">
        <v>118</v>
      </c>
      <c r="V164" t="s">
        <v>77</v>
      </c>
      <c r="W164" t="s">
        <v>119</v>
      </c>
      <c r="X164" t="s">
        <v>120</v>
      </c>
      <c r="Y164">
        <v>0.77515429527079904</v>
      </c>
      <c r="Z164">
        <v>775.15429527079903</v>
      </c>
      <c r="AA164">
        <v>4.73719444444444</v>
      </c>
      <c r="AB164">
        <v>-74.069472222222203</v>
      </c>
      <c r="AC164">
        <v>2555</v>
      </c>
      <c r="AD164">
        <v>0</v>
      </c>
      <c r="AE164" t="s">
        <v>80</v>
      </c>
      <c r="AF164" t="s">
        <v>107</v>
      </c>
      <c r="AG164" t="s">
        <v>82</v>
      </c>
      <c r="AH164" t="s">
        <v>83</v>
      </c>
      <c r="AI164" t="s">
        <v>121</v>
      </c>
      <c r="AJ164">
        <v>0.54725296149645397</v>
      </c>
      <c r="AK164">
        <v>4.9212869137584399</v>
      </c>
      <c r="AL164">
        <v>2.34589351540032</v>
      </c>
      <c r="AM164">
        <v>0.56762572603240002</v>
      </c>
      <c r="AN164">
        <v>1.07446113336781</v>
      </c>
      <c r="AO164">
        <v>6.9599904157464296E-3</v>
      </c>
      <c r="AP164">
        <v>6.9599904157464296E-3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6</v>
      </c>
      <c r="AW164">
        <v>0</v>
      </c>
      <c r="AX164">
        <v>0</v>
      </c>
      <c r="AY164">
        <v>15.3</v>
      </c>
      <c r="AZ164">
        <v>9.8000000000000007</v>
      </c>
      <c r="BA164">
        <v>29.7</v>
      </c>
      <c r="BB164">
        <v>564</v>
      </c>
      <c r="BC164">
        <v>68</v>
      </c>
      <c r="BD164">
        <v>1.8</v>
      </c>
      <c r="BE164">
        <v>43</v>
      </c>
      <c r="BF164">
        <v>25.4</v>
      </c>
      <c r="BG164">
        <v>162</v>
      </c>
      <c r="BH164">
        <v>9.1</v>
      </c>
      <c r="BI164">
        <v>9.1999999999999993</v>
      </c>
      <c r="BJ164">
        <v>18.3</v>
      </c>
      <c r="BK164">
        <v>0.34</v>
      </c>
      <c r="BL164">
        <v>7.3</v>
      </c>
      <c r="BM164">
        <v>0.9</v>
      </c>
      <c r="BN164">
        <v>7.5</v>
      </c>
      <c r="BO164">
        <v>2.9</v>
      </c>
      <c r="BP164">
        <f t="shared" si="4"/>
        <v>9.4310953714591008</v>
      </c>
      <c r="BQ164">
        <f t="shared" si="5"/>
        <v>29.152577846310496</v>
      </c>
    </row>
    <row r="165" spans="1:69" hidden="1" x14ac:dyDescent="0.2">
      <c r="A165" t="s">
        <v>604</v>
      </c>
      <c r="B165" t="s">
        <v>68</v>
      </c>
      <c r="C165" t="s">
        <v>69</v>
      </c>
      <c r="D165" t="s">
        <v>70</v>
      </c>
      <c r="E165" t="s">
        <v>548</v>
      </c>
      <c r="F165">
        <v>6</v>
      </c>
      <c r="G165">
        <v>255</v>
      </c>
      <c r="H165">
        <v>3</v>
      </c>
      <c r="I165">
        <v>5</v>
      </c>
      <c r="J165">
        <v>4</v>
      </c>
      <c r="K165" t="s">
        <v>110</v>
      </c>
      <c r="L165" t="s">
        <v>133</v>
      </c>
      <c r="M165" s="4">
        <v>3600000000</v>
      </c>
      <c r="N165">
        <v>0</v>
      </c>
      <c r="O165">
        <v>4.7245936390000001</v>
      </c>
      <c r="P165">
        <v>-74.077758790000004</v>
      </c>
      <c r="Q165" t="s">
        <v>605</v>
      </c>
      <c r="R165">
        <v>14117647.060000001</v>
      </c>
      <c r="S165">
        <v>0</v>
      </c>
      <c r="T165" t="s">
        <v>117</v>
      </c>
      <c r="U165" t="s">
        <v>118</v>
      </c>
      <c r="V165" t="s">
        <v>77</v>
      </c>
      <c r="W165" t="s">
        <v>119</v>
      </c>
      <c r="X165" t="s">
        <v>120</v>
      </c>
      <c r="Y165">
        <v>1.6771248705386901</v>
      </c>
      <c r="Z165">
        <v>1677.1248705386899</v>
      </c>
      <c r="AA165">
        <v>4.73719444444444</v>
      </c>
      <c r="AB165">
        <v>-74.069472222222203</v>
      </c>
      <c r="AC165">
        <v>2555</v>
      </c>
      <c r="AD165">
        <v>0</v>
      </c>
      <c r="AE165" t="s">
        <v>80</v>
      </c>
      <c r="AF165" t="s">
        <v>107</v>
      </c>
      <c r="AG165" t="s">
        <v>82</v>
      </c>
      <c r="AH165" t="s">
        <v>83</v>
      </c>
      <c r="AI165" t="s">
        <v>121</v>
      </c>
      <c r="AJ165">
        <v>0.46186623077198402</v>
      </c>
      <c r="AK165">
        <v>5.2536578252352202</v>
      </c>
      <c r="AL165">
        <v>1.1074697207309201</v>
      </c>
      <c r="AM165">
        <v>0.76973474798449004</v>
      </c>
      <c r="AN165">
        <v>2.0387549974326999</v>
      </c>
      <c r="AO165">
        <v>3.9074462529165403E-2</v>
      </c>
      <c r="AP165">
        <v>3.9074462529165403E-2</v>
      </c>
      <c r="AQ165">
        <v>2</v>
      </c>
      <c r="AR165">
        <v>2</v>
      </c>
      <c r="AS165">
        <v>0</v>
      </c>
      <c r="AT165">
        <v>0</v>
      </c>
      <c r="AU165">
        <v>0</v>
      </c>
      <c r="AV165">
        <v>5</v>
      </c>
      <c r="AW165">
        <v>0</v>
      </c>
      <c r="AX165">
        <v>0</v>
      </c>
      <c r="AY165">
        <v>15.3</v>
      </c>
      <c r="AZ165">
        <v>9.8000000000000007</v>
      </c>
      <c r="BA165">
        <v>29.7</v>
      </c>
      <c r="BB165">
        <v>564</v>
      </c>
      <c r="BC165">
        <v>68</v>
      </c>
      <c r="BD165">
        <v>1.8</v>
      </c>
      <c r="BE165">
        <v>43</v>
      </c>
      <c r="BF165">
        <v>25.4</v>
      </c>
      <c r="BG165">
        <v>162</v>
      </c>
      <c r="BH165">
        <v>9.1</v>
      </c>
      <c r="BI165">
        <v>9.1999999999999993</v>
      </c>
      <c r="BJ165">
        <v>18.3</v>
      </c>
      <c r="BK165">
        <v>0.34</v>
      </c>
      <c r="BL165">
        <v>7.3</v>
      </c>
      <c r="BM165">
        <v>0.9</v>
      </c>
      <c r="BN165">
        <v>7.5</v>
      </c>
      <c r="BO165">
        <v>2.9</v>
      </c>
      <c r="BP165">
        <f t="shared" si="4"/>
        <v>9.0192817705996671</v>
      </c>
      <c r="BQ165">
        <f t="shared" si="5"/>
        <v>28.528284933236993</v>
      </c>
    </row>
    <row r="166" spans="1:69" hidden="1" x14ac:dyDescent="0.2">
      <c r="A166" t="s">
        <v>1785</v>
      </c>
      <c r="B166" t="s">
        <v>68</v>
      </c>
      <c r="C166" t="s">
        <v>69</v>
      </c>
      <c r="D166" t="s">
        <v>70</v>
      </c>
      <c r="E166" t="s">
        <v>709</v>
      </c>
      <c r="F166">
        <v>6</v>
      </c>
      <c r="G166">
        <v>253.13</v>
      </c>
      <c r="H166">
        <v>3</v>
      </c>
      <c r="I166">
        <v>5</v>
      </c>
      <c r="J166">
        <v>3</v>
      </c>
      <c r="K166" t="s">
        <v>110</v>
      </c>
      <c r="L166" t="s">
        <v>133</v>
      </c>
      <c r="M166" s="4">
        <v>2000000000</v>
      </c>
      <c r="N166">
        <v>0</v>
      </c>
      <c r="O166">
        <v>4.7405790000000003</v>
      </c>
      <c r="P166">
        <v>-74.070468000000005</v>
      </c>
      <c r="Q166" t="s">
        <v>1786</v>
      </c>
      <c r="R166">
        <v>7901078.4970000004</v>
      </c>
      <c r="S166">
        <v>0</v>
      </c>
      <c r="T166" t="s">
        <v>117</v>
      </c>
      <c r="U166" t="s">
        <v>118</v>
      </c>
      <c r="V166" t="s">
        <v>77</v>
      </c>
      <c r="W166" t="s">
        <v>119</v>
      </c>
      <c r="X166" t="s">
        <v>120</v>
      </c>
      <c r="Y166">
        <v>0.39262846755416397</v>
      </c>
      <c r="Z166">
        <v>392.62846755416399</v>
      </c>
      <c r="AA166">
        <v>4.73719444444444</v>
      </c>
      <c r="AB166">
        <v>-74.069472222222203</v>
      </c>
      <c r="AC166">
        <v>2555</v>
      </c>
      <c r="AD166">
        <v>0</v>
      </c>
      <c r="AE166" t="s">
        <v>80</v>
      </c>
      <c r="AF166" t="s">
        <v>107</v>
      </c>
      <c r="AG166" t="s">
        <v>82</v>
      </c>
      <c r="AH166" t="s">
        <v>83</v>
      </c>
      <c r="AI166" t="s">
        <v>121</v>
      </c>
      <c r="AJ166">
        <v>1.2938706282419601</v>
      </c>
      <c r="AK166">
        <v>5.3297666929854399</v>
      </c>
      <c r="AL166">
        <v>2.35349546019253</v>
      </c>
      <c r="AM166">
        <v>0.62519238326051796</v>
      </c>
      <c r="AN166">
        <v>1.6482891017141299</v>
      </c>
      <c r="AO166">
        <v>9.1690644740663296E-2</v>
      </c>
      <c r="AP166">
        <v>9.1690644740663296E-2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7</v>
      </c>
      <c r="AW166">
        <v>0</v>
      </c>
      <c r="AX166">
        <v>0</v>
      </c>
      <c r="AY166">
        <v>15.3</v>
      </c>
      <c r="AZ166">
        <v>9.8000000000000007</v>
      </c>
      <c r="BA166">
        <v>29.7</v>
      </c>
      <c r="BB166">
        <v>564</v>
      </c>
      <c r="BC166">
        <v>68</v>
      </c>
      <c r="BD166">
        <v>1.8</v>
      </c>
      <c r="BE166">
        <v>43</v>
      </c>
      <c r="BF166">
        <v>25.4</v>
      </c>
      <c r="BG166">
        <v>162</v>
      </c>
      <c r="BH166">
        <v>9.1</v>
      </c>
      <c r="BI166">
        <v>9.1999999999999993</v>
      </c>
      <c r="BJ166">
        <v>18.3</v>
      </c>
      <c r="BK166">
        <v>0.34</v>
      </c>
      <c r="BL166">
        <v>7.3</v>
      </c>
      <c r="BM166">
        <v>0.9</v>
      </c>
      <c r="BN166">
        <v>7.5</v>
      </c>
      <c r="BO166">
        <v>2.9</v>
      </c>
      <c r="BP166">
        <f t="shared" si="4"/>
        <v>9.6113748429550263</v>
      </c>
      <c r="BQ166">
        <f t="shared" si="5"/>
        <v>29.42144889459858</v>
      </c>
    </row>
    <row r="167" spans="1:69" hidden="1" x14ac:dyDescent="0.2">
      <c r="A167" t="s">
        <v>3119</v>
      </c>
      <c r="B167" t="s">
        <v>68</v>
      </c>
      <c r="C167" t="s">
        <v>1956</v>
      </c>
      <c r="D167" t="s">
        <v>70</v>
      </c>
      <c r="E167" t="s">
        <v>1555</v>
      </c>
      <c r="F167">
        <v>4</v>
      </c>
      <c r="G167">
        <v>252</v>
      </c>
      <c r="H167">
        <v>4</v>
      </c>
      <c r="I167">
        <v>4</v>
      </c>
      <c r="J167">
        <v>2</v>
      </c>
      <c r="K167" t="s">
        <v>110</v>
      </c>
      <c r="L167" t="s">
        <v>124</v>
      </c>
      <c r="M167" s="4">
        <v>940000000</v>
      </c>
      <c r="N167">
        <v>0</v>
      </c>
      <c r="O167">
        <v>4.7378600000000004</v>
      </c>
      <c r="P167">
        <v>-74.045139000000006</v>
      </c>
      <c r="Q167" t="s">
        <v>3120</v>
      </c>
      <c r="R167">
        <v>3730158.73</v>
      </c>
      <c r="S167">
        <v>0</v>
      </c>
      <c r="T167" t="s">
        <v>117</v>
      </c>
      <c r="U167" t="s">
        <v>118</v>
      </c>
      <c r="V167" t="s">
        <v>77</v>
      </c>
      <c r="W167" t="s">
        <v>119</v>
      </c>
      <c r="X167" t="s">
        <v>120</v>
      </c>
      <c r="Y167">
        <v>2.70052395407123</v>
      </c>
      <c r="Z167">
        <v>2700.52395407123</v>
      </c>
      <c r="AA167">
        <v>4.73719444444444</v>
      </c>
      <c r="AB167">
        <v>-74.069472222222203</v>
      </c>
      <c r="AC167">
        <v>2555</v>
      </c>
      <c r="AD167">
        <v>0</v>
      </c>
      <c r="AE167" t="s">
        <v>80</v>
      </c>
      <c r="AF167" t="s">
        <v>107</v>
      </c>
      <c r="AG167" t="s">
        <v>82</v>
      </c>
      <c r="AH167" t="s">
        <v>83</v>
      </c>
      <c r="AI167" t="s">
        <v>108</v>
      </c>
      <c r="AJ167">
        <v>0.54907906478160695</v>
      </c>
      <c r="AK167">
        <v>2.6290263706901098</v>
      </c>
      <c r="AL167">
        <v>0.794054921303185</v>
      </c>
      <c r="AM167">
        <v>0.27953817800479902</v>
      </c>
      <c r="AN167">
        <v>2.0808636051918801</v>
      </c>
      <c r="AO167">
        <v>0.39726444446818698</v>
      </c>
      <c r="AP167">
        <v>0.39726444446818698</v>
      </c>
      <c r="AQ167">
        <v>0</v>
      </c>
      <c r="AR167">
        <v>4</v>
      </c>
      <c r="AS167">
        <v>0</v>
      </c>
      <c r="AT167">
        <v>0</v>
      </c>
      <c r="AU167">
        <v>1</v>
      </c>
      <c r="AV167">
        <v>31</v>
      </c>
      <c r="AW167">
        <v>0</v>
      </c>
      <c r="AX167">
        <v>0</v>
      </c>
      <c r="AY167">
        <v>15.3</v>
      </c>
      <c r="AZ167">
        <v>9.8000000000000007</v>
      </c>
      <c r="BA167">
        <v>29.7</v>
      </c>
      <c r="BB167">
        <v>564</v>
      </c>
      <c r="BC167">
        <v>68</v>
      </c>
      <c r="BD167">
        <v>1.8</v>
      </c>
      <c r="BE167">
        <v>43</v>
      </c>
      <c r="BF167">
        <v>25.4</v>
      </c>
      <c r="BG167">
        <v>162</v>
      </c>
      <c r="BH167">
        <v>9.1</v>
      </c>
      <c r="BI167">
        <v>9.1999999999999993</v>
      </c>
      <c r="BJ167">
        <v>18.3</v>
      </c>
      <c r="BK167">
        <v>0.34</v>
      </c>
      <c r="BL167">
        <v>7.3</v>
      </c>
      <c r="BM167">
        <v>0.9</v>
      </c>
      <c r="BN167">
        <v>7.5</v>
      </c>
      <c r="BO167">
        <v>2.9</v>
      </c>
      <c r="BP167">
        <f t="shared" si="4"/>
        <v>8.5737606324734941</v>
      </c>
      <c r="BQ167">
        <f t="shared" si="5"/>
        <v>27.83612036112951</v>
      </c>
    </row>
    <row r="168" spans="1:69" hidden="1" x14ac:dyDescent="0.2">
      <c r="A168" t="s">
        <v>1683</v>
      </c>
      <c r="B168" t="s">
        <v>68</v>
      </c>
      <c r="C168" t="s">
        <v>69</v>
      </c>
      <c r="D168" t="s">
        <v>70</v>
      </c>
      <c r="E168" t="s">
        <v>349</v>
      </c>
      <c r="F168">
        <v>6</v>
      </c>
      <c r="G168">
        <v>246.29</v>
      </c>
      <c r="H168">
        <v>3</v>
      </c>
      <c r="I168">
        <v>4</v>
      </c>
      <c r="J168">
        <v>0</v>
      </c>
      <c r="K168" t="s">
        <v>110</v>
      </c>
      <c r="L168" t="s">
        <v>124</v>
      </c>
      <c r="M168" s="4">
        <v>1795000000</v>
      </c>
      <c r="N168">
        <v>0</v>
      </c>
      <c r="O168">
        <v>4.7240168420000002</v>
      </c>
      <c r="P168">
        <v>-74.078664779999997</v>
      </c>
      <c r="Q168" t="s">
        <v>1684</v>
      </c>
      <c r="R168">
        <v>7288156.2390000001</v>
      </c>
      <c r="S168">
        <v>0</v>
      </c>
      <c r="T168" t="s">
        <v>117</v>
      </c>
      <c r="U168" t="s">
        <v>118</v>
      </c>
      <c r="V168" t="s">
        <v>77</v>
      </c>
      <c r="W168" t="s">
        <v>119</v>
      </c>
      <c r="X168" t="s">
        <v>120</v>
      </c>
      <c r="Y168">
        <v>1.78659140876291</v>
      </c>
      <c r="Z168">
        <v>1786.5914087629101</v>
      </c>
      <c r="AA168">
        <v>4.73719444444444</v>
      </c>
      <c r="AB168">
        <v>-74.069472222222203</v>
      </c>
      <c r="AC168">
        <v>2555</v>
      </c>
      <c r="AD168">
        <v>0</v>
      </c>
      <c r="AE168" t="s">
        <v>80</v>
      </c>
      <c r="AF168" t="s">
        <v>107</v>
      </c>
      <c r="AG168" t="s">
        <v>82</v>
      </c>
      <c r="AH168" t="s">
        <v>83</v>
      </c>
      <c r="AI168" t="s">
        <v>121</v>
      </c>
      <c r="AJ168">
        <v>0.53333966201247696</v>
      </c>
      <c r="AK168">
        <v>5.1603584692094699</v>
      </c>
      <c r="AL168">
        <v>1.1282028556633801</v>
      </c>
      <c r="AM168">
        <v>0.81742325334521604</v>
      </c>
      <c r="AN168">
        <v>2.0589873139034198</v>
      </c>
      <c r="AO168">
        <v>7.9883255660657595E-3</v>
      </c>
      <c r="AP168">
        <v>7.9883255660657595E-3</v>
      </c>
      <c r="AQ168">
        <v>0</v>
      </c>
      <c r="AR168">
        <v>2</v>
      </c>
      <c r="AS168">
        <v>0</v>
      </c>
      <c r="AT168">
        <v>0</v>
      </c>
      <c r="AU168">
        <v>0</v>
      </c>
      <c r="AV168">
        <v>4</v>
      </c>
      <c r="AW168">
        <v>0</v>
      </c>
      <c r="AX168">
        <v>0</v>
      </c>
      <c r="AY168">
        <v>15.3</v>
      </c>
      <c r="AZ168">
        <v>9.8000000000000007</v>
      </c>
      <c r="BA168">
        <v>29.7</v>
      </c>
      <c r="BB168">
        <v>564</v>
      </c>
      <c r="BC168">
        <v>68</v>
      </c>
      <c r="BD168">
        <v>1.8</v>
      </c>
      <c r="BE168">
        <v>43</v>
      </c>
      <c r="BF168">
        <v>25.4</v>
      </c>
      <c r="BG168">
        <v>162</v>
      </c>
      <c r="BH168">
        <v>9.1</v>
      </c>
      <c r="BI168">
        <v>9.1999999999999993</v>
      </c>
      <c r="BJ168">
        <v>18.3</v>
      </c>
      <c r="BK168">
        <v>0.34</v>
      </c>
      <c r="BL168">
        <v>7.3</v>
      </c>
      <c r="BM168">
        <v>0.9</v>
      </c>
      <c r="BN168">
        <v>7.5</v>
      </c>
      <c r="BO168">
        <v>2.9</v>
      </c>
      <c r="BP168">
        <f t="shared" si="4"/>
        <v>8.970542117183582</v>
      </c>
      <c r="BQ168">
        <f t="shared" si="5"/>
        <v>28.453433878285484</v>
      </c>
    </row>
    <row r="169" spans="1:69" hidden="1" x14ac:dyDescent="0.2">
      <c r="A169" t="s">
        <v>1448</v>
      </c>
      <c r="B169" t="s">
        <v>68</v>
      </c>
      <c r="C169" t="s">
        <v>69</v>
      </c>
      <c r="D169" t="s">
        <v>70</v>
      </c>
      <c r="E169" t="s">
        <v>349</v>
      </c>
      <c r="F169">
        <v>6</v>
      </c>
      <c r="G169">
        <v>245</v>
      </c>
      <c r="H169">
        <v>3</v>
      </c>
      <c r="I169">
        <v>5</v>
      </c>
      <c r="J169">
        <v>4</v>
      </c>
      <c r="K169" t="s">
        <v>110</v>
      </c>
      <c r="L169" t="s">
        <v>124</v>
      </c>
      <c r="M169" s="4">
        <v>2500000000</v>
      </c>
      <c r="N169">
        <v>0</v>
      </c>
      <c r="O169">
        <v>4.7245935000000001</v>
      </c>
      <c r="P169">
        <v>-74.077756300000004</v>
      </c>
      <c r="Q169" t="s">
        <v>1449</v>
      </c>
      <c r="R169">
        <v>10204081.630000001</v>
      </c>
      <c r="S169">
        <v>0</v>
      </c>
      <c r="T169" t="s">
        <v>117</v>
      </c>
      <c r="U169" t="s">
        <v>118</v>
      </c>
      <c r="V169" t="s">
        <v>77</v>
      </c>
      <c r="W169" t="s">
        <v>119</v>
      </c>
      <c r="X169" t="s">
        <v>120</v>
      </c>
      <c r="Y169">
        <v>1.67698640812878</v>
      </c>
      <c r="Z169">
        <v>1676.9864081287801</v>
      </c>
      <c r="AA169">
        <v>4.73719444444444</v>
      </c>
      <c r="AB169">
        <v>-74.069472222222203</v>
      </c>
      <c r="AC169">
        <v>2555</v>
      </c>
      <c r="AD169">
        <v>0</v>
      </c>
      <c r="AE169" t="s">
        <v>80</v>
      </c>
      <c r="AF169" t="s">
        <v>107</v>
      </c>
      <c r="AG169" t="s">
        <v>82</v>
      </c>
      <c r="AH169" t="s">
        <v>83</v>
      </c>
      <c r="AI169" t="s">
        <v>121</v>
      </c>
      <c r="AJ169">
        <v>0.46167562181163602</v>
      </c>
      <c r="AK169">
        <v>5.25393409486629</v>
      </c>
      <c r="AL169">
        <v>1.1072825752104301</v>
      </c>
      <c r="AM169">
        <v>0.76950767074754201</v>
      </c>
      <c r="AN169">
        <v>2.0388824084914199</v>
      </c>
      <c r="AO169">
        <v>3.8970882427421097E-2</v>
      </c>
      <c r="AP169">
        <v>3.8970882427421097E-2</v>
      </c>
      <c r="AQ169">
        <v>2</v>
      </c>
      <c r="AR169">
        <v>2</v>
      </c>
      <c r="AS169">
        <v>0</v>
      </c>
      <c r="AT169">
        <v>0</v>
      </c>
      <c r="AU169">
        <v>0</v>
      </c>
      <c r="AV169">
        <v>5</v>
      </c>
      <c r="AW169">
        <v>0</v>
      </c>
      <c r="AX169">
        <v>0</v>
      </c>
      <c r="AY169">
        <v>15.3</v>
      </c>
      <c r="AZ169">
        <v>9.8000000000000007</v>
      </c>
      <c r="BA169">
        <v>29.7</v>
      </c>
      <c r="BB169">
        <v>564</v>
      </c>
      <c r="BC169">
        <v>68</v>
      </c>
      <c r="BD169">
        <v>1.8</v>
      </c>
      <c r="BE169">
        <v>43</v>
      </c>
      <c r="BF169">
        <v>25.4</v>
      </c>
      <c r="BG169">
        <v>162</v>
      </c>
      <c r="BH169">
        <v>9.1</v>
      </c>
      <c r="BI169">
        <v>9.1999999999999993</v>
      </c>
      <c r="BJ169">
        <v>18.3</v>
      </c>
      <c r="BK169">
        <v>0.34</v>
      </c>
      <c r="BL169">
        <v>7.3</v>
      </c>
      <c r="BM169">
        <v>0.9</v>
      </c>
      <c r="BN169">
        <v>7.5</v>
      </c>
      <c r="BO169">
        <v>2.9</v>
      </c>
      <c r="BP169">
        <f t="shared" si="4"/>
        <v>9.0193435879702459</v>
      </c>
      <c r="BQ169">
        <f t="shared" si="5"/>
        <v>28.528379735676491</v>
      </c>
    </row>
    <row r="170" spans="1:69" hidden="1" x14ac:dyDescent="0.2">
      <c r="A170" t="s">
        <v>1119</v>
      </c>
      <c r="B170" t="s">
        <v>68</v>
      </c>
      <c r="C170" t="s">
        <v>69</v>
      </c>
      <c r="D170" t="s">
        <v>70</v>
      </c>
      <c r="E170" t="s">
        <v>679</v>
      </c>
      <c r="F170">
        <v>6</v>
      </c>
      <c r="G170">
        <v>245</v>
      </c>
      <c r="H170">
        <v>3</v>
      </c>
      <c r="I170">
        <v>3</v>
      </c>
      <c r="J170">
        <v>3</v>
      </c>
      <c r="K170" t="s">
        <v>110</v>
      </c>
      <c r="L170" t="s">
        <v>162</v>
      </c>
      <c r="M170" s="4">
        <v>1950000000</v>
      </c>
      <c r="N170">
        <v>0</v>
      </c>
      <c r="O170">
        <v>4.7084530000000004</v>
      </c>
      <c r="P170">
        <v>-74.083564999999993</v>
      </c>
      <c r="Q170" t="s">
        <v>1120</v>
      </c>
      <c r="R170">
        <v>7959183.6730000004</v>
      </c>
      <c r="S170">
        <v>0</v>
      </c>
      <c r="T170" t="s">
        <v>117</v>
      </c>
      <c r="U170" t="s">
        <v>118</v>
      </c>
      <c r="V170" t="s">
        <v>77</v>
      </c>
      <c r="W170" t="s">
        <v>119</v>
      </c>
      <c r="X170" t="s">
        <v>120</v>
      </c>
      <c r="Y170">
        <v>3.56105923532651</v>
      </c>
      <c r="Z170">
        <v>3561.0592353265101</v>
      </c>
      <c r="AA170">
        <v>4.73719444444444</v>
      </c>
      <c r="AB170">
        <v>-74.069472222222203</v>
      </c>
      <c r="AC170">
        <v>2555</v>
      </c>
      <c r="AD170">
        <v>0</v>
      </c>
      <c r="AE170" t="s">
        <v>80</v>
      </c>
      <c r="AF170" t="s">
        <v>107</v>
      </c>
      <c r="AG170" t="s">
        <v>82</v>
      </c>
      <c r="AH170" t="s">
        <v>83</v>
      </c>
      <c r="AI170" t="s">
        <v>121</v>
      </c>
      <c r="AJ170">
        <v>1.3083733795410499</v>
      </c>
      <c r="AK170">
        <v>5.0378142669391002</v>
      </c>
      <c r="AL170">
        <v>1.0348669605362799</v>
      </c>
      <c r="AM170">
        <v>0.56898925361006603</v>
      </c>
      <c r="AN170">
        <v>2.9400705543273702</v>
      </c>
      <c r="AO170">
        <v>0.52148988069485003</v>
      </c>
      <c r="AP170">
        <v>0.52148988069485003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8</v>
      </c>
      <c r="AW170">
        <v>0</v>
      </c>
      <c r="AX170">
        <v>0</v>
      </c>
      <c r="AY170">
        <v>15.3</v>
      </c>
      <c r="AZ170">
        <v>9.8000000000000007</v>
      </c>
      <c r="BA170">
        <v>29.7</v>
      </c>
      <c r="BB170">
        <v>564</v>
      </c>
      <c r="BC170">
        <v>68</v>
      </c>
      <c r="BD170">
        <v>1.8</v>
      </c>
      <c r="BE170">
        <v>43</v>
      </c>
      <c r="BF170">
        <v>25.4</v>
      </c>
      <c r="BG170">
        <v>162</v>
      </c>
      <c r="BH170">
        <v>9.1</v>
      </c>
      <c r="BI170">
        <v>9.1999999999999993</v>
      </c>
      <c r="BJ170">
        <v>18.3</v>
      </c>
      <c r="BK170">
        <v>0.34</v>
      </c>
      <c r="BL170">
        <v>7.3</v>
      </c>
      <c r="BM170">
        <v>0.9</v>
      </c>
      <c r="BN170">
        <v>7.5</v>
      </c>
      <c r="BO170">
        <v>2.9</v>
      </c>
      <c r="BP170">
        <f t="shared" si="4"/>
        <v>8.2162175699683146</v>
      </c>
      <c r="BQ170">
        <f t="shared" si="5"/>
        <v>27.267121184526381</v>
      </c>
    </row>
    <row r="171" spans="1:69" hidden="1" x14ac:dyDescent="0.2">
      <c r="A171" t="s">
        <v>387</v>
      </c>
      <c r="B171" t="s">
        <v>68</v>
      </c>
      <c r="C171" t="s">
        <v>69</v>
      </c>
      <c r="D171" t="s">
        <v>70</v>
      </c>
      <c r="E171" t="s">
        <v>388</v>
      </c>
      <c r="F171">
        <v>6</v>
      </c>
      <c r="G171">
        <v>244</v>
      </c>
      <c r="H171">
        <v>3</v>
      </c>
      <c r="I171">
        <v>5</v>
      </c>
      <c r="J171">
        <v>4</v>
      </c>
      <c r="K171" t="s">
        <v>110</v>
      </c>
      <c r="L171" t="s">
        <v>124</v>
      </c>
      <c r="M171" s="4">
        <v>2500000000</v>
      </c>
      <c r="N171">
        <v>0</v>
      </c>
      <c r="O171">
        <v>4.7247439240000002</v>
      </c>
      <c r="P171">
        <v>-74.077763559999994</v>
      </c>
      <c r="Q171" t="s">
        <v>389</v>
      </c>
      <c r="R171">
        <v>10245901.640000001</v>
      </c>
      <c r="S171">
        <v>0</v>
      </c>
      <c r="T171" t="s">
        <v>117</v>
      </c>
      <c r="U171" t="s">
        <v>118</v>
      </c>
      <c r="V171" t="s">
        <v>77</v>
      </c>
      <c r="W171" t="s">
        <v>119</v>
      </c>
      <c r="X171" t="s">
        <v>120</v>
      </c>
      <c r="Y171">
        <v>1.6634503039233099</v>
      </c>
      <c r="Z171">
        <v>1663.45030392331</v>
      </c>
      <c r="AA171">
        <v>4.73719444444444</v>
      </c>
      <c r="AB171">
        <v>-74.069472222222203</v>
      </c>
      <c r="AC171">
        <v>2555</v>
      </c>
      <c r="AD171">
        <v>0</v>
      </c>
      <c r="AE171" t="s">
        <v>80</v>
      </c>
      <c r="AF171" t="s">
        <v>107</v>
      </c>
      <c r="AG171" t="s">
        <v>82</v>
      </c>
      <c r="AH171" t="s">
        <v>83</v>
      </c>
      <c r="AI171" t="s">
        <v>121</v>
      </c>
      <c r="AJ171">
        <v>0.45104952670701798</v>
      </c>
      <c r="AK171">
        <v>5.2515515477054597</v>
      </c>
      <c r="AL171">
        <v>1.12068221111991</v>
      </c>
      <c r="AM171">
        <v>0.78047433725719595</v>
      </c>
      <c r="AN171">
        <v>2.0234047764140102</v>
      </c>
      <c r="AO171">
        <v>2.4269862667300902E-2</v>
      </c>
      <c r="AP171">
        <v>2.4269862667300902E-2</v>
      </c>
      <c r="AQ171">
        <v>1</v>
      </c>
      <c r="AR171">
        <v>2</v>
      </c>
      <c r="AS171">
        <v>0</v>
      </c>
      <c r="AT171">
        <v>0</v>
      </c>
      <c r="AU171">
        <v>0</v>
      </c>
      <c r="AV171">
        <v>5</v>
      </c>
      <c r="AW171">
        <v>0</v>
      </c>
      <c r="AX171">
        <v>0</v>
      </c>
      <c r="AY171">
        <v>15.3</v>
      </c>
      <c r="AZ171">
        <v>9.8000000000000007</v>
      </c>
      <c r="BA171">
        <v>29.7</v>
      </c>
      <c r="BB171">
        <v>564</v>
      </c>
      <c r="BC171">
        <v>68</v>
      </c>
      <c r="BD171">
        <v>1.8</v>
      </c>
      <c r="BE171">
        <v>43</v>
      </c>
      <c r="BF171">
        <v>25.4</v>
      </c>
      <c r="BG171">
        <v>162</v>
      </c>
      <c r="BH171">
        <v>9.1</v>
      </c>
      <c r="BI171">
        <v>9.1999999999999993</v>
      </c>
      <c r="BJ171">
        <v>18.3</v>
      </c>
      <c r="BK171">
        <v>0.34</v>
      </c>
      <c r="BL171">
        <v>7.3</v>
      </c>
      <c r="BM171">
        <v>0.9</v>
      </c>
      <c r="BN171">
        <v>7.5</v>
      </c>
      <c r="BO171">
        <v>2.9</v>
      </c>
      <c r="BP171">
        <f t="shared" si="4"/>
        <v>9.025388908384981</v>
      </c>
      <c r="BQ171">
        <f t="shared" si="5"/>
        <v>28.537649156159038</v>
      </c>
    </row>
    <row r="172" spans="1:69" hidden="1" x14ac:dyDescent="0.2">
      <c r="A172" t="s">
        <v>3738</v>
      </c>
      <c r="B172" t="s">
        <v>68</v>
      </c>
      <c r="C172" t="s">
        <v>3294</v>
      </c>
      <c r="D172" t="s">
        <v>70</v>
      </c>
      <c r="E172" t="s">
        <v>548</v>
      </c>
      <c r="F172">
        <v>6</v>
      </c>
      <c r="G172">
        <v>243</v>
      </c>
      <c r="H172">
        <v>3</v>
      </c>
      <c r="I172">
        <v>4</v>
      </c>
      <c r="J172">
        <v>4</v>
      </c>
      <c r="K172" t="s">
        <v>110</v>
      </c>
      <c r="L172" t="s">
        <v>124</v>
      </c>
      <c r="M172" s="4">
        <v>2500000000</v>
      </c>
      <c r="N172">
        <v>0</v>
      </c>
      <c r="O172">
        <v>4.7204235729999997</v>
      </c>
      <c r="P172">
        <v>-74.078169239999994</v>
      </c>
      <c r="Q172" t="s">
        <v>3739</v>
      </c>
      <c r="R172">
        <v>10288065.84</v>
      </c>
      <c r="S172">
        <v>0</v>
      </c>
      <c r="T172" t="s">
        <v>117</v>
      </c>
      <c r="U172" t="s">
        <v>118</v>
      </c>
      <c r="V172" t="s">
        <v>77</v>
      </c>
      <c r="W172" t="s">
        <v>119</v>
      </c>
      <c r="X172" t="s">
        <v>120</v>
      </c>
      <c r="Y172">
        <v>2.10151088223579</v>
      </c>
      <c r="Z172">
        <v>2101.5108822357902</v>
      </c>
      <c r="AA172">
        <v>4.73719444444444</v>
      </c>
      <c r="AB172">
        <v>-74.069472222222203</v>
      </c>
      <c r="AC172">
        <v>2555</v>
      </c>
      <c r="AD172">
        <v>0</v>
      </c>
      <c r="AE172" t="s">
        <v>80</v>
      </c>
      <c r="AF172" t="s">
        <v>107</v>
      </c>
      <c r="AG172" t="s">
        <v>82</v>
      </c>
      <c r="AH172" t="s">
        <v>83</v>
      </c>
      <c r="AI172" t="s">
        <v>121</v>
      </c>
      <c r="AJ172">
        <v>0.39453540972627599</v>
      </c>
      <c r="AK172">
        <v>5.2732911206181603</v>
      </c>
      <c r="AL172">
        <v>0.84638341092222003</v>
      </c>
      <c r="AM172">
        <v>0.43206048743466202</v>
      </c>
      <c r="AN172">
        <v>2.4511332861029498</v>
      </c>
      <c r="AO172">
        <v>5.6983743027067997E-3</v>
      </c>
      <c r="AP172">
        <v>5.6983743027067997E-3</v>
      </c>
      <c r="AQ172">
        <v>1</v>
      </c>
      <c r="AR172">
        <v>2</v>
      </c>
      <c r="AS172">
        <v>0</v>
      </c>
      <c r="AT172">
        <v>0</v>
      </c>
      <c r="AU172">
        <v>1</v>
      </c>
      <c r="AV172">
        <v>15</v>
      </c>
      <c r="AW172">
        <v>0</v>
      </c>
      <c r="AX172">
        <v>0</v>
      </c>
      <c r="AY172">
        <v>15.3</v>
      </c>
      <c r="AZ172">
        <v>9.8000000000000007</v>
      </c>
      <c r="BA172">
        <v>29.7</v>
      </c>
      <c r="BB172">
        <v>564</v>
      </c>
      <c r="BC172">
        <v>68</v>
      </c>
      <c r="BD172">
        <v>1.8</v>
      </c>
      <c r="BE172">
        <v>43</v>
      </c>
      <c r="BF172">
        <v>25.4</v>
      </c>
      <c r="BG172">
        <v>162</v>
      </c>
      <c r="BH172">
        <v>9.1</v>
      </c>
      <c r="BI172">
        <v>9.1999999999999993</v>
      </c>
      <c r="BJ172">
        <v>18.3</v>
      </c>
      <c r="BK172">
        <v>0.34</v>
      </c>
      <c r="BL172">
        <v>7.3</v>
      </c>
      <c r="BM172">
        <v>0.9</v>
      </c>
      <c r="BN172">
        <v>7.5</v>
      </c>
      <c r="BO172">
        <v>2.9</v>
      </c>
      <c r="BP172">
        <f t="shared" si="4"/>
        <v>8.8317889837057564</v>
      </c>
      <c r="BQ172">
        <f t="shared" si="5"/>
        <v>28.239191557133193</v>
      </c>
    </row>
    <row r="173" spans="1:69" hidden="1" x14ac:dyDescent="0.2">
      <c r="A173" t="s">
        <v>2755</v>
      </c>
      <c r="B173" t="s">
        <v>68</v>
      </c>
      <c r="C173" t="s">
        <v>1956</v>
      </c>
      <c r="D173" t="s">
        <v>70</v>
      </c>
      <c r="E173" t="s">
        <v>709</v>
      </c>
      <c r="F173">
        <v>5</v>
      </c>
      <c r="G173">
        <v>243</v>
      </c>
      <c r="H173">
        <v>4</v>
      </c>
      <c r="I173">
        <v>3</v>
      </c>
      <c r="J173">
        <v>4</v>
      </c>
      <c r="K173" t="s">
        <v>110</v>
      </c>
      <c r="L173" t="s">
        <v>162</v>
      </c>
      <c r="M173" s="4">
        <v>1500000000</v>
      </c>
      <c r="N173">
        <v>0</v>
      </c>
      <c r="O173">
        <v>4.7258984999999996</v>
      </c>
      <c r="P173">
        <v>-74.064791999999997</v>
      </c>
      <c r="Q173" t="s">
        <v>2756</v>
      </c>
      <c r="R173">
        <v>6172839.5060000001</v>
      </c>
      <c r="S173">
        <v>0</v>
      </c>
      <c r="T173" t="s">
        <v>117</v>
      </c>
      <c r="U173" t="s">
        <v>118</v>
      </c>
      <c r="V173" t="s">
        <v>77</v>
      </c>
      <c r="W173" t="s">
        <v>119</v>
      </c>
      <c r="X173" t="s">
        <v>120</v>
      </c>
      <c r="Y173">
        <v>1.36043986302149</v>
      </c>
      <c r="Z173">
        <v>1360.4398630214901</v>
      </c>
      <c r="AA173">
        <v>4.73719444444444</v>
      </c>
      <c r="AB173">
        <v>-74.069472222222203</v>
      </c>
      <c r="AC173">
        <v>2555</v>
      </c>
      <c r="AD173">
        <v>0</v>
      </c>
      <c r="AE173" t="s">
        <v>80</v>
      </c>
      <c r="AF173" t="s">
        <v>107</v>
      </c>
      <c r="AG173" t="s">
        <v>82</v>
      </c>
      <c r="AH173" t="s">
        <v>83</v>
      </c>
      <c r="AI173" t="s">
        <v>121</v>
      </c>
      <c r="AJ173">
        <v>1.1144960749122199</v>
      </c>
      <c r="AK173">
        <v>4.6227830269938099</v>
      </c>
      <c r="AL173">
        <v>1.2405878237455299</v>
      </c>
      <c r="AM173">
        <v>9.2996963056667298E-2</v>
      </c>
      <c r="AN173">
        <v>2.8488236536565701</v>
      </c>
      <c r="AO173">
        <v>0.470154336865304</v>
      </c>
      <c r="AP173">
        <v>0.470154336865304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23</v>
      </c>
      <c r="AW173">
        <v>0</v>
      </c>
      <c r="AX173">
        <v>0</v>
      </c>
      <c r="AY173">
        <v>15.3</v>
      </c>
      <c r="AZ173">
        <v>9.8000000000000007</v>
      </c>
      <c r="BA173">
        <v>29.7</v>
      </c>
      <c r="BB173">
        <v>564</v>
      </c>
      <c r="BC173">
        <v>68</v>
      </c>
      <c r="BD173">
        <v>1.8</v>
      </c>
      <c r="BE173">
        <v>43</v>
      </c>
      <c r="BF173">
        <v>25.4</v>
      </c>
      <c r="BG173">
        <v>162</v>
      </c>
      <c r="BH173">
        <v>9.1</v>
      </c>
      <c r="BI173">
        <v>9.1999999999999993</v>
      </c>
      <c r="BJ173">
        <v>18.3</v>
      </c>
      <c r="BK173">
        <v>0.34</v>
      </c>
      <c r="BL173">
        <v>7.3</v>
      </c>
      <c r="BM173">
        <v>0.9</v>
      </c>
      <c r="BN173">
        <v>7.5</v>
      </c>
      <c r="BO173">
        <v>2.9</v>
      </c>
      <c r="BP173">
        <f t="shared" si="4"/>
        <v>9.1617811864974534</v>
      </c>
      <c r="BQ173">
        <f t="shared" si="5"/>
        <v>28.745938540171906</v>
      </c>
    </row>
    <row r="174" spans="1:69" hidden="1" x14ac:dyDescent="0.2">
      <c r="A174" t="s">
        <v>2337</v>
      </c>
      <c r="B174" t="s">
        <v>68</v>
      </c>
      <c r="C174" t="s">
        <v>1956</v>
      </c>
      <c r="D174" t="s">
        <v>70</v>
      </c>
      <c r="E174" t="s">
        <v>709</v>
      </c>
      <c r="F174">
        <v>5</v>
      </c>
      <c r="G174">
        <v>243</v>
      </c>
      <c r="H174">
        <v>5</v>
      </c>
      <c r="I174">
        <v>4</v>
      </c>
      <c r="J174">
        <v>3</v>
      </c>
      <c r="K174" t="s">
        <v>110</v>
      </c>
      <c r="L174" t="s">
        <v>162</v>
      </c>
      <c r="M174" s="4">
        <v>1400000000</v>
      </c>
      <c r="N174">
        <v>0</v>
      </c>
      <c r="O174">
        <v>4.7271320000000001</v>
      </c>
      <c r="P174">
        <v>-74.064290999999997</v>
      </c>
      <c r="Q174" t="s">
        <v>2338</v>
      </c>
      <c r="R174">
        <v>5761316.8720000004</v>
      </c>
      <c r="S174">
        <v>0</v>
      </c>
      <c r="T174" t="s">
        <v>117</v>
      </c>
      <c r="U174" t="s">
        <v>118</v>
      </c>
      <c r="V174" t="s">
        <v>77</v>
      </c>
      <c r="W174" t="s">
        <v>119</v>
      </c>
      <c r="X174" t="s">
        <v>120</v>
      </c>
      <c r="Y174">
        <v>1.2590187491790299</v>
      </c>
      <c r="Z174">
        <v>1259.01874917903</v>
      </c>
      <c r="AA174">
        <v>4.73719444444444</v>
      </c>
      <c r="AB174">
        <v>-74.069472222222203</v>
      </c>
      <c r="AC174">
        <v>2555</v>
      </c>
      <c r="AD174">
        <v>0</v>
      </c>
      <c r="AE174" t="s">
        <v>80</v>
      </c>
      <c r="AF174" t="s">
        <v>107</v>
      </c>
      <c r="AG174" t="s">
        <v>82</v>
      </c>
      <c r="AH174" t="s">
        <v>83</v>
      </c>
      <c r="AI174" t="s">
        <v>121</v>
      </c>
      <c r="AJ174">
        <v>1.15722747952382</v>
      </c>
      <c r="AK174">
        <v>4.5901533187331198</v>
      </c>
      <c r="AL174">
        <v>1.3837992319219199</v>
      </c>
      <c r="AM174">
        <v>5.2534723581862001E-2</v>
      </c>
      <c r="AN174">
        <v>2.81473370380002</v>
      </c>
      <c r="AO174">
        <v>0.40397699146872101</v>
      </c>
      <c r="AP174">
        <v>0.40397699146872101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20</v>
      </c>
      <c r="AW174">
        <v>0</v>
      </c>
      <c r="AX174">
        <v>0</v>
      </c>
      <c r="AY174">
        <v>15.3</v>
      </c>
      <c r="AZ174">
        <v>9.8000000000000007</v>
      </c>
      <c r="BA174">
        <v>29.7</v>
      </c>
      <c r="BB174">
        <v>564</v>
      </c>
      <c r="BC174">
        <v>68</v>
      </c>
      <c r="BD174">
        <v>1.8</v>
      </c>
      <c r="BE174">
        <v>43</v>
      </c>
      <c r="BF174">
        <v>25.4</v>
      </c>
      <c r="BG174">
        <v>162</v>
      </c>
      <c r="BH174">
        <v>9.1</v>
      </c>
      <c r="BI174">
        <v>9.1999999999999993</v>
      </c>
      <c r="BJ174">
        <v>18.3</v>
      </c>
      <c r="BK174">
        <v>0.34</v>
      </c>
      <c r="BL174">
        <v>7.3</v>
      </c>
      <c r="BM174">
        <v>0.9</v>
      </c>
      <c r="BN174">
        <v>7.5</v>
      </c>
      <c r="BO174">
        <v>2.9</v>
      </c>
      <c r="BP174">
        <f t="shared" si="4"/>
        <v>9.2078921397088731</v>
      </c>
      <c r="BQ174">
        <f t="shared" si="5"/>
        <v>28.81599444988785</v>
      </c>
    </row>
    <row r="175" spans="1:69" hidden="1" x14ac:dyDescent="0.2">
      <c r="A175" t="s">
        <v>717</v>
      </c>
      <c r="B175" t="s">
        <v>68</v>
      </c>
      <c r="C175" t="s">
        <v>69</v>
      </c>
      <c r="D175" t="s">
        <v>70</v>
      </c>
      <c r="E175" t="s">
        <v>567</v>
      </c>
      <c r="F175">
        <v>6</v>
      </c>
      <c r="G175">
        <v>242.53</v>
      </c>
      <c r="H175">
        <v>4</v>
      </c>
      <c r="I175">
        <v>4</v>
      </c>
      <c r="J175">
        <v>2</v>
      </c>
      <c r="K175" t="s">
        <v>110</v>
      </c>
      <c r="L175" t="s">
        <v>162</v>
      </c>
      <c r="M175" s="4">
        <v>1620000000</v>
      </c>
      <c r="N175">
        <v>0</v>
      </c>
      <c r="O175">
        <v>4.7190630000000002</v>
      </c>
      <c r="P175">
        <v>-74.076117999999994</v>
      </c>
      <c r="Q175" t="s">
        <v>718</v>
      </c>
      <c r="R175">
        <v>6679586.0310000004</v>
      </c>
      <c r="S175">
        <v>0</v>
      </c>
      <c r="T175" t="s">
        <v>117</v>
      </c>
      <c r="U175" t="s">
        <v>118</v>
      </c>
      <c r="V175" t="s">
        <v>77</v>
      </c>
      <c r="W175" t="s">
        <v>119</v>
      </c>
      <c r="X175" t="s">
        <v>120</v>
      </c>
      <c r="Y175">
        <v>2.1488282423504601</v>
      </c>
      <c r="Z175">
        <v>2148.8282423504602</v>
      </c>
      <c r="AA175">
        <v>4.73719444444444</v>
      </c>
      <c r="AB175">
        <v>-74.069472222222203</v>
      </c>
      <c r="AC175">
        <v>2555</v>
      </c>
      <c r="AD175">
        <v>0</v>
      </c>
      <c r="AE175" t="s">
        <v>80</v>
      </c>
      <c r="AF175" t="s">
        <v>107</v>
      </c>
      <c r="AG175" t="s">
        <v>82</v>
      </c>
      <c r="AH175" t="s">
        <v>83</v>
      </c>
      <c r="AI175" t="s">
        <v>121</v>
      </c>
      <c r="AJ175">
        <v>0.28922221593892999</v>
      </c>
      <c r="AK175">
        <v>5.5254928828701804</v>
      </c>
      <c r="AL175">
        <v>0.575706155458376</v>
      </c>
      <c r="AM175">
        <v>0.34609916564204701</v>
      </c>
      <c r="AN175">
        <v>2.6721067273554402</v>
      </c>
      <c r="AO175">
        <v>3.12082737665462E-2</v>
      </c>
      <c r="AP175">
        <v>3.12082737665462E-2</v>
      </c>
      <c r="AQ175">
        <v>1</v>
      </c>
      <c r="AR175">
        <v>3</v>
      </c>
      <c r="AS175">
        <v>0</v>
      </c>
      <c r="AT175">
        <v>0</v>
      </c>
      <c r="AU175">
        <v>1</v>
      </c>
      <c r="AV175">
        <v>35</v>
      </c>
      <c r="AW175">
        <v>0</v>
      </c>
      <c r="AX175">
        <v>0</v>
      </c>
      <c r="AY175">
        <v>15.3</v>
      </c>
      <c r="AZ175">
        <v>9.8000000000000007</v>
      </c>
      <c r="BA175">
        <v>29.7</v>
      </c>
      <c r="BB175">
        <v>564</v>
      </c>
      <c r="BC175">
        <v>68</v>
      </c>
      <c r="BD175">
        <v>1.8</v>
      </c>
      <c r="BE175">
        <v>43</v>
      </c>
      <c r="BF175">
        <v>25.4</v>
      </c>
      <c r="BG175">
        <v>162</v>
      </c>
      <c r="BH175">
        <v>9.1</v>
      </c>
      <c r="BI175">
        <v>9.1999999999999993</v>
      </c>
      <c r="BJ175">
        <v>18.3</v>
      </c>
      <c r="BK175">
        <v>0.34</v>
      </c>
      <c r="BL175">
        <v>7.3</v>
      </c>
      <c r="BM175">
        <v>0.9</v>
      </c>
      <c r="BN175">
        <v>7.5</v>
      </c>
      <c r="BO175">
        <v>2.9</v>
      </c>
      <c r="BP175">
        <f t="shared" si="4"/>
        <v>8.8111272916353833</v>
      </c>
      <c r="BQ175">
        <f t="shared" si="5"/>
        <v>28.207140863318148</v>
      </c>
    </row>
    <row r="176" spans="1:69" hidden="1" x14ac:dyDescent="0.2">
      <c r="A176" t="s">
        <v>3149</v>
      </c>
      <c r="B176" t="s">
        <v>68</v>
      </c>
      <c r="C176" t="s">
        <v>1956</v>
      </c>
      <c r="D176" t="s">
        <v>70</v>
      </c>
      <c r="E176" t="s">
        <v>2943</v>
      </c>
      <c r="F176">
        <v>5</v>
      </c>
      <c r="G176">
        <v>240</v>
      </c>
      <c r="H176">
        <v>2</v>
      </c>
      <c r="I176">
        <v>2</v>
      </c>
      <c r="J176">
        <v>1</v>
      </c>
      <c r="K176" t="s">
        <v>110</v>
      </c>
      <c r="L176" t="s">
        <v>162</v>
      </c>
      <c r="M176" s="4">
        <v>1200000000</v>
      </c>
      <c r="N176">
        <v>0</v>
      </c>
      <c r="O176">
        <v>4.7091818779999999</v>
      </c>
      <c r="P176">
        <v>-74.06686972</v>
      </c>
      <c r="Q176" t="s">
        <v>3150</v>
      </c>
      <c r="R176">
        <v>5000000</v>
      </c>
      <c r="S176">
        <v>0</v>
      </c>
      <c r="T176" t="s">
        <v>117</v>
      </c>
      <c r="U176" t="s">
        <v>118</v>
      </c>
      <c r="V176" t="s">
        <v>77</v>
      </c>
      <c r="W176" t="s">
        <v>119</v>
      </c>
      <c r="X176" t="s">
        <v>120</v>
      </c>
      <c r="Y176">
        <v>3.1316825522271801</v>
      </c>
      <c r="Z176">
        <v>3131.6825522271802</v>
      </c>
      <c r="AA176">
        <v>4.73719444444444</v>
      </c>
      <c r="AB176">
        <v>-74.069472222222203</v>
      </c>
      <c r="AC176">
        <v>2555</v>
      </c>
      <c r="AD176">
        <v>0</v>
      </c>
      <c r="AE176" t="s">
        <v>80</v>
      </c>
      <c r="AF176" t="s">
        <v>107</v>
      </c>
      <c r="AG176" t="s">
        <v>82</v>
      </c>
      <c r="AH176" t="s">
        <v>83</v>
      </c>
      <c r="AI176" t="s">
        <v>121</v>
      </c>
      <c r="AJ176">
        <v>0.55103389021842897</v>
      </c>
      <c r="AK176">
        <v>4.6342045269465704</v>
      </c>
      <c r="AL176">
        <v>0.98621124420571304</v>
      </c>
      <c r="AM176">
        <v>0.29365747676581799</v>
      </c>
      <c r="AN176">
        <v>4.1071842565451</v>
      </c>
      <c r="AO176">
        <v>0.47332125967945698</v>
      </c>
      <c r="AP176">
        <v>0.47332125967945698</v>
      </c>
      <c r="AQ176">
        <v>0</v>
      </c>
      <c r="AR176">
        <v>2</v>
      </c>
      <c r="AS176">
        <v>0</v>
      </c>
      <c r="AT176">
        <v>0</v>
      </c>
      <c r="AU176">
        <v>1</v>
      </c>
      <c r="AV176">
        <v>33</v>
      </c>
      <c r="AW176">
        <v>0</v>
      </c>
      <c r="AX176">
        <v>0</v>
      </c>
      <c r="AY176">
        <v>15.3</v>
      </c>
      <c r="AZ176">
        <v>9.8000000000000007</v>
      </c>
      <c r="BA176">
        <v>29.7</v>
      </c>
      <c r="BB176">
        <v>564</v>
      </c>
      <c r="BC176">
        <v>68</v>
      </c>
      <c r="BD176">
        <v>1.8</v>
      </c>
      <c r="BE176">
        <v>43</v>
      </c>
      <c r="BF176">
        <v>25.4</v>
      </c>
      <c r="BG176">
        <v>162</v>
      </c>
      <c r="BH176">
        <v>9.1</v>
      </c>
      <c r="BI176">
        <v>9.1999999999999993</v>
      </c>
      <c r="BJ176">
        <v>18.3</v>
      </c>
      <c r="BK176">
        <v>0.34</v>
      </c>
      <c r="BL176">
        <v>7.3</v>
      </c>
      <c r="BM176">
        <v>0.9</v>
      </c>
      <c r="BN176">
        <v>7.5</v>
      </c>
      <c r="BO176">
        <v>2.9</v>
      </c>
      <c r="BP176">
        <f t="shared" si="4"/>
        <v>8.3927152659312121</v>
      </c>
      <c r="BQ176">
        <f t="shared" si="5"/>
        <v>27.549562756215231</v>
      </c>
    </row>
    <row r="177" spans="1:69" hidden="1" x14ac:dyDescent="0.2">
      <c r="A177" t="s">
        <v>2848</v>
      </c>
      <c r="B177" t="s">
        <v>68</v>
      </c>
      <c r="C177" t="s">
        <v>1956</v>
      </c>
      <c r="D177" t="s">
        <v>70</v>
      </c>
      <c r="E177" t="s">
        <v>495</v>
      </c>
      <c r="F177">
        <v>3</v>
      </c>
      <c r="G177">
        <v>240</v>
      </c>
      <c r="H177">
        <v>5</v>
      </c>
      <c r="I177">
        <v>4</v>
      </c>
      <c r="J177">
        <v>0</v>
      </c>
      <c r="K177" t="s">
        <v>110</v>
      </c>
      <c r="L177" t="s">
        <v>162</v>
      </c>
      <c r="M177" s="4">
        <v>1100000000</v>
      </c>
      <c r="N177">
        <v>0</v>
      </c>
      <c r="O177">
        <v>4.7147800000000002</v>
      </c>
      <c r="P177">
        <v>-74.056219999999996</v>
      </c>
      <c r="Q177" t="s">
        <v>2849</v>
      </c>
      <c r="R177">
        <v>4583333.3329999996</v>
      </c>
      <c r="S177">
        <v>0</v>
      </c>
      <c r="T177" t="s">
        <v>117</v>
      </c>
      <c r="U177" t="s">
        <v>118</v>
      </c>
      <c r="V177" t="s">
        <v>77</v>
      </c>
      <c r="W177" t="s">
        <v>119</v>
      </c>
      <c r="X177" t="s">
        <v>120</v>
      </c>
      <c r="Y177">
        <v>2.89609707642777</v>
      </c>
      <c r="Z177">
        <v>2896.0970764277699</v>
      </c>
      <c r="AA177">
        <v>4.73719444444444</v>
      </c>
      <c r="AB177">
        <v>-74.069472222222203</v>
      </c>
      <c r="AC177">
        <v>2555</v>
      </c>
      <c r="AD177">
        <v>0</v>
      </c>
      <c r="AE177" t="s">
        <v>80</v>
      </c>
      <c r="AF177" t="s">
        <v>107</v>
      </c>
      <c r="AG177" t="s">
        <v>82</v>
      </c>
      <c r="AH177" t="s">
        <v>83</v>
      </c>
      <c r="AI177" t="s">
        <v>121</v>
      </c>
      <c r="AJ177">
        <v>0.406730895614698</v>
      </c>
      <c r="AK177">
        <v>3.5048211439996102</v>
      </c>
      <c r="AL177">
        <v>1.70041788943492</v>
      </c>
      <c r="AM177">
        <v>0.25370134480533602</v>
      </c>
      <c r="AN177">
        <v>4.3665855290905897</v>
      </c>
      <c r="AO177">
        <v>5.4529065287359504E-3</v>
      </c>
      <c r="AP177">
        <v>5.4529065287359504E-3</v>
      </c>
      <c r="AQ177">
        <v>1</v>
      </c>
      <c r="AR177">
        <v>2</v>
      </c>
      <c r="AS177">
        <v>0</v>
      </c>
      <c r="AT177">
        <v>0</v>
      </c>
      <c r="AU177">
        <v>0</v>
      </c>
      <c r="AV177">
        <v>27</v>
      </c>
      <c r="AW177">
        <v>0</v>
      </c>
      <c r="AX177">
        <v>0</v>
      </c>
      <c r="AY177">
        <v>15.3</v>
      </c>
      <c r="AZ177">
        <v>9.8000000000000007</v>
      </c>
      <c r="BA177">
        <v>29.7</v>
      </c>
      <c r="BB177">
        <v>564</v>
      </c>
      <c r="BC177">
        <v>68</v>
      </c>
      <c r="BD177">
        <v>1.8</v>
      </c>
      <c r="BE177">
        <v>43</v>
      </c>
      <c r="BF177">
        <v>25.4</v>
      </c>
      <c r="BG177">
        <v>162</v>
      </c>
      <c r="BH177">
        <v>9.1</v>
      </c>
      <c r="BI177">
        <v>9.1999999999999993</v>
      </c>
      <c r="BJ177">
        <v>18.3</v>
      </c>
      <c r="BK177">
        <v>0.34</v>
      </c>
      <c r="BL177">
        <v>7.3</v>
      </c>
      <c r="BM177">
        <v>0.9</v>
      </c>
      <c r="BN177">
        <v>7.5</v>
      </c>
      <c r="BO177">
        <v>2.9</v>
      </c>
      <c r="BP177">
        <f t="shared" si="4"/>
        <v>8.4911596439854389</v>
      </c>
      <c r="BQ177">
        <f t="shared" si="5"/>
        <v>27.705770588030223</v>
      </c>
    </row>
    <row r="178" spans="1:69" hidden="1" x14ac:dyDescent="0.2">
      <c r="A178" t="s">
        <v>1974</v>
      </c>
      <c r="B178" t="s">
        <v>68</v>
      </c>
      <c r="C178" t="s">
        <v>1956</v>
      </c>
      <c r="D178" t="s">
        <v>70</v>
      </c>
      <c r="E178" t="s">
        <v>483</v>
      </c>
      <c r="F178">
        <v>3</v>
      </c>
      <c r="G178">
        <v>240</v>
      </c>
      <c r="H178">
        <v>4</v>
      </c>
      <c r="I178">
        <v>4</v>
      </c>
      <c r="J178">
        <v>2</v>
      </c>
      <c r="K178" t="s">
        <v>110</v>
      </c>
      <c r="L178" t="s">
        <v>162</v>
      </c>
      <c r="M178" s="4">
        <v>850000000</v>
      </c>
      <c r="N178">
        <v>0</v>
      </c>
      <c r="O178">
        <v>4.7186789510000002</v>
      </c>
      <c r="P178">
        <v>-74.070037839999998</v>
      </c>
      <c r="Q178" t="s">
        <v>1975</v>
      </c>
      <c r="R178">
        <v>3541666.6669999999</v>
      </c>
      <c r="S178">
        <v>0</v>
      </c>
      <c r="T178" t="s">
        <v>117</v>
      </c>
      <c r="U178" t="s">
        <v>118</v>
      </c>
      <c r="V178" t="s">
        <v>77</v>
      </c>
      <c r="W178" t="s">
        <v>119</v>
      </c>
      <c r="X178" t="s">
        <v>120</v>
      </c>
      <c r="Y178">
        <v>2.0620902744921401</v>
      </c>
      <c r="Z178">
        <v>2062.09027449214</v>
      </c>
      <c r="AA178">
        <v>4.73719444444444</v>
      </c>
      <c r="AB178">
        <v>-74.069472222222203</v>
      </c>
      <c r="AC178">
        <v>2555</v>
      </c>
      <c r="AD178">
        <v>0</v>
      </c>
      <c r="AE178" t="s">
        <v>80</v>
      </c>
      <c r="AF178" t="s">
        <v>107</v>
      </c>
      <c r="AG178" t="s">
        <v>82</v>
      </c>
      <c r="AH178" t="s">
        <v>83</v>
      </c>
      <c r="AI178" t="s">
        <v>121</v>
      </c>
      <c r="AJ178">
        <v>0.59190552787968798</v>
      </c>
      <c r="AK178">
        <v>5.0731855468104099</v>
      </c>
      <c r="AL178">
        <v>0.25327110465624503</v>
      </c>
      <c r="AM178">
        <v>0.10201948365006699</v>
      </c>
      <c r="AN178">
        <v>3.0299071260825299</v>
      </c>
      <c r="AO178">
        <v>8.0734702714801397E-3</v>
      </c>
      <c r="AP178">
        <v>8.0734702714801397E-3</v>
      </c>
      <c r="AQ178">
        <v>0</v>
      </c>
      <c r="AR178">
        <v>2</v>
      </c>
      <c r="AS178">
        <v>0</v>
      </c>
      <c r="AT178">
        <v>0</v>
      </c>
      <c r="AU178">
        <v>1</v>
      </c>
      <c r="AV178">
        <v>38</v>
      </c>
      <c r="AW178">
        <v>0</v>
      </c>
      <c r="AX178">
        <v>0</v>
      </c>
      <c r="AY178">
        <v>15.3</v>
      </c>
      <c r="AZ178">
        <v>9.8000000000000007</v>
      </c>
      <c r="BA178">
        <v>29.7</v>
      </c>
      <c r="BB178">
        <v>564</v>
      </c>
      <c r="BC178">
        <v>68</v>
      </c>
      <c r="BD178">
        <v>1.8</v>
      </c>
      <c r="BE178">
        <v>43</v>
      </c>
      <c r="BF178">
        <v>25.4</v>
      </c>
      <c r="BG178">
        <v>162</v>
      </c>
      <c r="BH178">
        <v>9.1</v>
      </c>
      <c r="BI178">
        <v>9.1999999999999993</v>
      </c>
      <c r="BJ178">
        <v>18.3</v>
      </c>
      <c r="BK178">
        <v>0.34</v>
      </c>
      <c r="BL178">
        <v>7.3</v>
      </c>
      <c r="BM178">
        <v>0.9</v>
      </c>
      <c r="BN178">
        <v>7.5</v>
      </c>
      <c r="BO178">
        <v>2.9</v>
      </c>
      <c r="BP178">
        <f t="shared" si="4"/>
        <v>8.849039456044137</v>
      </c>
      <c r="BQ178">
        <f t="shared" si="5"/>
        <v>28.265921145739846</v>
      </c>
    </row>
    <row r="179" spans="1:69" hidden="1" x14ac:dyDescent="0.2">
      <c r="A179" t="s">
        <v>2306</v>
      </c>
      <c r="B179" t="s">
        <v>68</v>
      </c>
      <c r="C179" t="s">
        <v>1956</v>
      </c>
      <c r="D179" t="s">
        <v>70</v>
      </c>
      <c r="E179" t="s">
        <v>181</v>
      </c>
      <c r="F179">
        <v>5</v>
      </c>
      <c r="G179">
        <v>238</v>
      </c>
      <c r="H179">
        <v>3</v>
      </c>
      <c r="I179">
        <v>3</v>
      </c>
      <c r="J179">
        <v>2</v>
      </c>
      <c r="K179" t="s">
        <v>110</v>
      </c>
      <c r="L179" t="s">
        <v>162</v>
      </c>
      <c r="M179" s="4">
        <v>1050000000</v>
      </c>
      <c r="N179">
        <v>0</v>
      </c>
      <c r="O179">
        <v>4.7189670000000001</v>
      </c>
      <c r="P179">
        <v>-74.0677369</v>
      </c>
      <c r="Q179" t="s">
        <v>2307</v>
      </c>
      <c r="R179">
        <v>4411764.7060000002</v>
      </c>
      <c r="S179">
        <v>0</v>
      </c>
      <c r="T179" t="s">
        <v>117</v>
      </c>
      <c r="U179" t="s">
        <v>118</v>
      </c>
      <c r="V179" t="s">
        <v>77</v>
      </c>
      <c r="W179" t="s">
        <v>119</v>
      </c>
      <c r="X179" t="s">
        <v>120</v>
      </c>
      <c r="Y179">
        <v>2.0381824026947601</v>
      </c>
      <c r="Z179">
        <v>2038.18240269476</v>
      </c>
      <c r="AA179">
        <v>4.73719444444444</v>
      </c>
      <c r="AB179">
        <v>-74.069472222222203</v>
      </c>
      <c r="AC179">
        <v>2555</v>
      </c>
      <c r="AD179">
        <v>0</v>
      </c>
      <c r="AE179" t="s">
        <v>80</v>
      </c>
      <c r="AF179" t="s">
        <v>107</v>
      </c>
      <c r="AG179" t="s">
        <v>82</v>
      </c>
      <c r="AH179" t="s">
        <v>83</v>
      </c>
      <c r="AI179" t="s">
        <v>121</v>
      </c>
      <c r="AJ179">
        <v>0.81403090217719798</v>
      </c>
      <c r="AK179">
        <v>4.8249552240771001</v>
      </c>
      <c r="AL179">
        <v>0.47021497598419998</v>
      </c>
      <c r="AM179">
        <v>0.14655313163008299</v>
      </c>
      <c r="AN179">
        <v>3.1544405307358798</v>
      </c>
      <c r="AO179">
        <v>0.13669410625089301</v>
      </c>
      <c r="AP179">
        <v>0.13669410625089301</v>
      </c>
      <c r="AQ179">
        <v>0</v>
      </c>
      <c r="AR179">
        <v>2</v>
      </c>
      <c r="AS179">
        <v>0</v>
      </c>
      <c r="AT179">
        <v>0</v>
      </c>
      <c r="AU179">
        <v>1</v>
      </c>
      <c r="AV179">
        <v>40</v>
      </c>
      <c r="AW179">
        <v>0</v>
      </c>
      <c r="AX179">
        <v>0</v>
      </c>
      <c r="AY179">
        <v>15.3</v>
      </c>
      <c r="AZ179">
        <v>9.8000000000000007</v>
      </c>
      <c r="BA179">
        <v>29.7</v>
      </c>
      <c r="BB179">
        <v>564</v>
      </c>
      <c r="BC179">
        <v>68</v>
      </c>
      <c r="BD179">
        <v>1.8</v>
      </c>
      <c r="BE179">
        <v>43</v>
      </c>
      <c r="BF179">
        <v>25.4</v>
      </c>
      <c r="BG179">
        <v>162</v>
      </c>
      <c r="BH179">
        <v>9.1</v>
      </c>
      <c r="BI179">
        <v>9.1999999999999993</v>
      </c>
      <c r="BJ179">
        <v>18.3</v>
      </c>
      <c r="BK179">
        <v>0.34</v>
      </c>
      <c r="BL179">
        <v>7.3</v>
      </c>
      <c r="BM179">
        <v>0.9</v>
      </c>
      <c r="BN179">
        <v>7.5</v>
      </c>
      <c r="BO179">
        <v>2.9</v>
      </c>
      <c r="BP179">
        <f t="shared" si="4"/>
        <v>8.8595179593511766</v>
      </c>
      <c r="BQ179">
        <f t="shared" si="5"/>
        <v>28.282144472132924</v>
      </c>
    </row>
    <row r="180" spans="1:69" hidden="1" x14ac:dyDescent="0.2">
      <c r="A180" t="s">
        <v>2477</v>
      </c>
      <c r="B180" t="s">
        <v>68</v>
      </c>
      <c r="C180" t="s">
        <v>1956</v>
      </c>
      <c r="D180" t="s">
        <v>70</v>
      </c>
      <c r="E180" t="s">
        <v>1724</v>
      </c>
      <c r="F180">
        <v>5</v>
      </c>
      <c r="G180">
        <v>237</v>
      </c>
      <c r="H180">
        <v>4</v>
      </c>
      <c r="I180">
        <v>5</v>
      </c>
      <c r="J180">
        <v>4</v>
      </c>
      <c r="K180" t="s">
        <v>110</v>
      </c>
      <c r="L180" t="s">
        <v>162</v>
      </c>
      <c r="M180" s="4">
        <v>1690000000</v>
      </c>
      <c r="N180">
        <v>0</v>
      </c>
      <c r="O180">
        <v>4.7639355659999998</v>
      </c>
      <c r="P180">
        <v>-74.056915279999998</v>
      </c>
      <c r="Q180" t="s">
        <v>2478</v>
      </c>
      <c r="R180">
        <v>7130801.6880000001</v>
      </c>
      <c r="S180">
        <v>0</v>
      </c>
      <c r="T180" t="s">
        <v>151</v>
      </c>
      <c r="U180" t="s">
        <v>152</v>
      </c>
      <c r="V180" t="s">
        <v>77</v>
      </c>
      <c r="W180" t="s">
        <v>119</v>
      </c>
      <c r="X180" t="s">
        <v>153</v>
      </c>
      <c r="Y180">
        <v>2.6218455113222698</v>
      </c>
      <c r="Z180">
        <v>2621.8455113222699</v>
      </c>
      <c r="AA180">
        <v>4.7837500000000004</v>
      </c>
      <c r="AB180">
        <v>-74.044138888888895</v>
      </c>
      <c r="AC180">
        <v>2580</v>
      </c>
      <c r="AD180">
        <v>0</v>
      </c>
      <c r="AE180" t="s">
        <v>154</v>
      </c>
      <c r="AF180" t="s">
        <v>107</v>
      </c>
      <c r="AG180" t="s">
        <v>82</v>
      </c>
      <c r="AH180" t="s">
        <v>83</v>
      </c>
      <c r="AI180" t="s">
        <v>121</v>
      </c>
      <c r="AJ180">
        <v>1.38427524712965</v>
      </c>
      <c r="AK180">
        <v>3.7850289003408601</v>
      </c>
      <c r="AL180">
        <v>1.2266970832073301</v>
      </c>
      <c r="AM180">
        <v>0.65291906859726201</v>
      </c>
      <c r="AN180">
        <v>4.0132735311118797</v>
      </c>
      <c r="AO180">
        <v>0.36076856586086897</v>
      </c>
      <c r="AP180">
        <v>0.36076856586086897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5</v>
      </c>
      <c r="AW180">
        <v>0</v>
      </c>
      <c r="AX180">
        <v>1</v>
      </c>
      <c r="AY180">
        <v>15.3</v>
      </c>
      <c r="AZ180">
        <v>9.8000000000000007</v>
      </c>
      <c r="BA180">
        <v>29.7</v>
      </c>
      <c r="BB180">
        <v>564</v>
      </c>
      <c r="BC180">
        <v>68</v>
      </c>
      <c r="BD180">
        <v>1.8</v>
      </c>
      <c r="BE180">
        <v>43</v>
      </c>
      <c r="BF180">
        <v>25.4</v>
      </c>
      <c r="BG180">
        <v>162</v>
      </c>
      <c r="BH180">
        <v>9.1</v>
      </c>
      <c r="BI180">
        <v>9.1999999999999993</v>
      </c>
      <c r="BJ180">
        <v>18.3</v>
      </c>
      <c r="BK180">
        <v>0.34</v>
      </c>
      <c r="BL180">
        <v>7.3</v>
      </c>
      <c r="BM180">
        <v>0.9</v>
      </c>
      <c r="BN180">
        <v>7.5</v>
      </c>
      <c r="BO180">
        <v>2.9</v>
      </c>
      <c r="BP180">
        <f t="shared" si="4"/>
        <v>8.6072169610940037</v>
      </c>
      <c r="BQ180">
        <f t="shared" si="5"/>
        <v>27.888732481225265</v>
      </c>
    </row>
    <row r="181" spans="1:69" hidden="1" x14ac:dyDescent="0.2">
      <c r="A181" t="s">
        <v>2224</v>
      </c>
      <c r="B181" t="s">
        <v>68</v>
      </c>
      <c r="C181" t="s">
        <v>1956</v>
      </c>
      <c r="D181" t="s">
        <v>70</v>
      </c>
      <c r="E181" t="s">
        <v>267</v>
      </c>
      <c r="F181">
        <v>6</v>
      </c>
      <c r="G181">
        <v>235</v>
      </c>
      <c r="H181">
        <v>4</v>
      </c>
      <c r="I181">
        <v>5</v>
      </c>
      <c r="J181">
        <v>3</v>
      </c>
      <c r="K181" t="s">
        <v>110</v>
      </c>
      <c r="L181" t="s">
        <v>133</v>
      </c>
      <c r="M181" s="4">
        <v>1150000000</v>
      </c>
      <c r="N181">
        <v>0</v>
      </c>
      <c r="O181">
        <v>4.7952165600000001</v>
      </c>
      <c r="P181">
        <v>-74.059173580000007</v>
      </c>
      <c r="Q181" t="s">
        <v>2225</v>
      </c>
      <c r="R181">
        <v>4893617.0209999997</v>
      </c>
      <c r="S181">
        <v>0</v>
      </c>
      <c r="T181" t="s">
        <v>151</v>
      </c>
      <c r="U181" t="s">
        <v>152</v>
      </c>
      <c r="V181" t="s">
        <v>77</v>
      </c>
      <c r="W181" t="s">
        <v>119</v>
      </c>
      <c r="X181" t="s">
        <v>153</v>
      </c>
      <c r="Y181">
        <v>2.1002188565624702</v>
      </c>
      <c r="Z181">
        <v>2100.2188565624701</v>
      </c>
      <c r="AA181">
        <v>4.7837500000000004</v>
      </c>
      <c r="AB181">
        <v>-74.044138888888895</v>
      </c>
      <c r="AC181">
        <v>2580</v>
      </c>
      <c r="AD181">
        <v>0</v>
      </c>
      <c r="AE181" t="s">
        <v>154</v>
      </c>
      <c r="AF181" t="s">
        <v>107</v>
      </c>
      <c r="AG181" t="s">
        <v>82</v>
      </c>
      <c r="AH181" t="s">
        <v>83</v>
      </c>
      <c r="AI181" t="s">
        <v>121</v>
      </c>
      <c r="AJ181">
        <v>3.3914627939464101</v>
      </c>
      <c r="AK181">
        <v>2.41531329087905</v>
      </c>
      <c r="AL181">
        <v>1.4455702223675</v>
      </c>
      <c r="AM181">
        <v>2.2486728413527199</v>
      </c>
      <c r="AN181">
        <v>6.61445205805627</v>
      </c>
      <c r="AO181">
        <v>0.60140228220639602</v>
      </c>
      <c r="AP181">
        <v>0.60140228220639602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15.3</v>
      </c>
      <c r="AZ181">
        <v>9.8000000000000007</v>
      </c>
      <c r="BA181">
        <v>29.7</v>
      </c>
      <c r="BB181">
        <v>564</v>
      </c>
      <c r="BC181">
        <v>68</v>
      </c>
      <c r="BD181">
        <v>1.8</v>
      </c>
      <c r="BE181">
        <v>43</v>
      </c>
      <c r="BF181">
        <v>25.4</v>
      </c>
      <c r="BG181">
        <v>162</v>
      </c>
      <c r="BH181">
        <v>9.1</v>
      </c>
      <c r="BI181">
        <v>9.1999999999999993</v>
      </c>
      <c r="BJ181">
        <v>18.3</v>
      </c>
      <c r="BK181">
        <v>0.34</v>
      </c>
      <c r="BL181">
        <v>7.3</v>
      </c>
      <c r="BM181">
        <v>0.9</v>
      </c>
      <c r="BN181">
        <v>7.5</v>
      </c>
      <c r="BO181">
        <v>2.9</v>
      </c>
      <c r="BP181">
        <f t="shared" si="4"/>
        <v>8.832353841224732</v>
      </c>
      <c r="BQ181">
        <f t="shared" si="5"/>
        <v>28.240067228961465</v>
      </c>
    </row>
    <row r="182" spans="1:69" hidden="1" x14ac:dyDescent="0.2">
      <c r="A182" t="s">
        <v>547</v>
      </c>
      <c r="B182" t="s">
        <v>68</v>
      </c>
      <c r="C182" t="s">
        <v>69</v>
      </c>
      <c r="D182" t="s">
        <v>70</v>
      </c>
      <c r="E182" t="s">
        <v>548</v>
      </c>
      <c r="F182">
        <v>6</v>
      </c>
      <c r="G182">
        <v>234</v>
      </c>
      <c r="H182">
        <v>3</v>
      </c>
      <c r="I182">
        <v>4</v>
      </c>
      <c r="J182">
        <v>2</v>
      </c>
      <c r="K182" t="s">
        <v>110</v>
      </c>
      <c r="L182" t="s">
        <v>162</v>
      </c>
      <c r="M182" s="4">
        <v>1300000000</v>
      </c>
      <c r="N182">
        <v>0</v>
      </c>
      <c r="O182">
        <v>4.7170400619999997</v>
      </c>
      <c r="P182">
        <v>-74.077117920000006</v>
      </c>
      <c r="Q182" t="s">
        <v>549</v>
      </c>
      <c r="R182">
        <v>5555555.5559999999</v>
      </c>
      <c r="S182">
        <v>0</v>
      </c>
      <c r="T182" t="s">
        <v>117</v>
      </c>
      <c r="U182" t="s">
        <v>118</v>
      </c>
      <c r="V182" t="s">
        <v>77</v>
      </c>
      <c r="W182" t="s">
        <v>119</v>
      </c>
      <c r="X182" t="s">
        <v>120</v>
      </c>
      <c r="Y182">
        <v>2.39856389972929</v>
      </c>
      <c r="Z182">
        <v>2398.5638997292899</v>
      </c>
      <c r="AA182">
        <v>4.73719444444444</v>
      </c>
      <c r="AB182">
        <v>-74.069472222222203</v>
      </c>
      <c r="AC182">
        <v>2555</v>
      </c>
      <c r="AD182">
        <v>0</v>
      </c>
      <c r="AE182" t="s">
        <v>80</v>
      </c>
      <c r="AF182" t="s">
        <v>107</v>
      </c>
      <c r="AG182" t="s">
        <v>82</v>
      </c>
      <c r="AH182" t="s">
        <v>83</v>
      </c>
      <c r="AI182" t="s">
        <v>121</v>
      </c>
      <c r="AJ182">
        <v>0.53796716203861294</v>
      </c>
      <c r="AK182">
        <v>5.4650568327406797</v>
      </c>
      <c r="AL182">
        <v>0.63247736099421803</v>
      </c>
      <c r="AM182">
        <v>0.107793455867603</v>
      </c>
      <c r="AN182">
        <v>2.8426816776911399</v>
      </c>
      <c r="AO182">
        <v>0.228727495134774</v>
      </c>
      <c r="AP182">
        <v>0.228727495134774</v>
      </c>
      <c r="AQ182">
        <v>0</v>
      </c>
      <c r="AR182">
        <v>2</v>
      </c>
      <c r="AS182">
        <v>0</v>
      </c>
      <c r="AT182">
        <v>0</v>
      </c>
      <c r="AU182">
        <v>1</v>
      </c>
      <c r="AV182">
        <v>34</v>
      </c>
      <c r="AW182">
        <v>0</v>
      </c>
      <c r="AX182">
        <v>0</v>
      </c>
      <c r="AY182">
        <v>15.3</v>
      </c>
      <c r="AZ182">
        <v>9.8000000000000007</v>
      </c>
      <c r="BA182">
        <v>29.7</v>
      </c>
      <c r="BB182">
        <v>564</v>
      </c>
      <c r="BC182">
        <v>68</v>
      </c>
      <c r="BD182">
        <v>1.8</v>
      </c>
      <c r="BE182">
        <v>43</v>
      </c>
      <c r="BF182">
        <v>25.4</v>
      </c>
      <c r="BG182">
        <v>162</v>
      </c>
      <c r="BH182">
        <v>9.1</v>
      </c>
      <c r="BI182">
        <v>9.1999999999999993</v>
      </c>
      <c r="BJ182">
        <v>18.3</v>
      </c>
      <c r="BK182">
        <v>0.34</v>
      </c>
      <c r="BL182">
        <v>7.3</v>
      </c>
      <c r="BM182">
        <v>0.9</v>
      </c>
      <c r="BN182">
        <v>7.5</v>
      </c>
      <c r="BO182">
        <v>2.9</v>
      </c>
      <c r="BP182">
        <f t="shared" si="4"/>
        <v>8.7028753637721508</v>
      </c>
      <c r="BQ182">
        <f t="shared" si="5"/>
        <v>28.038582615191942</v>
      </c>
    </row>
    <row r="183" spans="1:69" hidden="1" x14ac:dyDescent="0.2">
      <c r="A183" t="s">
        <v>3224</v>
      </c>
      <c r="B183" t="s">
        <v>68</v>
      </c>
      <c r="C183" t="s">
        <v>1956</v>
      </c>
      <c r="D183" t="s">
        <v>70</v>
      </c>
      <c r="E183" t="s">
        <v>2261</v>
      </c>
      <c r="F183">
        <v>6</v>
      </c>
      <c r="G183">
        <v>232</v>
      </c>
      <c r="H183">
        <v>4</v>
      </c>
      <c r="I183">
        <v>5</v>
      </c>
      <c r="J183">
        <v>4</v>
      </c>
      <c r="K183" t="s">
        <v>110</v>
      </c>
      <c r="L183" t="s">
        <v>124</v>
      </c>
      <c r="M183" s="4">
        <v>1800000000</v>
      </c>
      <c r="N183">
        <v>0</v>
      </c>
      <c r="O183">
        <v>4.7984900000000001</v>
      </c>
      <c r="P183">
        <v>-74.074029999999993</v>
      </c>
      <c r="Q183" t="s">
        <v>3225</v>
      </c>
      <c r="R183">
        <v>7758620.6900000004</v>
      </c>
      <c r="S183">
        <v>0</v>
      </c>
      <c r="T183" t="s">
        <v>151</v>
      </c>
      <c r="U183" t="s">
        <v>152</v>
      </c>
      <c r="V183" t="s">
        <v>77</v>
      </c>
      <c r="W183" t="s">
        <v>119</v>
      </c>
      <c r="X183" t="s">
        <v>153</v>
      </c>
      <c r="Y183">
        <v>3.6996159307372798</v>
      </c>
      <c r="Z183">
        <v>3699.61593073728</v>
      </c>
      <c r="AA183">
        <v>4.7837500000000004</v>
      </c>
      <c r="AB183">
        <v>-74.044138888888895</v>
      </c>
      <c r="AC183">
        <v>2580</v>
      </c>
      <c r="AD183">
        <v>0</v>
      </c>
      <c r="AE183" t="s">
        <v>154</v>
      </c>
      <c r="AF183" t="s">
        <v>107</v>
      </c>
      <c r="AG183" t="s">
        <v>82</v>
      </c>
      <c r="AH183" t="s">
        <v>83</v>
      </c>
      <c r="AI183" t="s">
        <v>121</v>
      </c>
      <c r="AJ183">
        <v>4.7067890515195199</v>
      </c>
      <c r="AK183">
        <v>0.94800926522703099</v>
      </c>
      <c r="AL183">
        <v>2.9951133954435298</v>
      </c>
      <c r="AM183">
        <v>0.89805768664406804</v>
      </c>
      <c r="AN183">
        <v>6.4304691337488897</v>
      </c>
      <c r="AO183">
        <v>2.2855374081357902</v>
      </c>
      <c r="AP183">
        <v>2.2855374081357902</v>
      </c>
      <c r="AQ183">
        <v>0</v>
      </c>
      <c r="AR183">
        <v>0</v>
      </c>
      <c r="AS183">
        <v>0</v>
      </c>
      <c r="AT183">
        <v>1</v>
      </c>
      <c r="AU183">
        <v>0</v>
      </c>
      <c r="AV183">
        <v>1</v>
      </c>
      <c r="AW183">
        <v>0</v>
      </c>
      <c r="AX183">
        <v>0</v>
      </c>
      <c r="AY183">
        <v>15.3</v>
      </c>
      <c r="AZ183">
        <v>9.8000000000000007</v>
      </c>
      <c r="BA183">
        <v>29.7</v>
      </c>
      <c r="BB183">
        <v>564</v>
      </c>
      <c r="BC183">
        <v>68</v>
      </c>
      <c r="BD183">
        <v>1.8</v>
      </c>
      <c r="BE183">
        <v>43</v>
      </c>
      <c r="BF183">
        <v>25.4</v>
      </c>
      <c r="BG183">
        <v>162</v>
      </c>
      <c r="BH183">
        <v>9.1</v>
      </c>
      <c r="BI183">
        <v>9.1999999999999993</v>
      </c>
      <c r="BJ183">
        <v>18.3</v>
      </c>
      <c r="BK183">
        <v>0.34</v>
      </c>
      <c r="BL183">
        <v>7.3</v>
      </c>
      <c r="BM183">
        <v>0.9</v>
      </c>
      <c r="BN183">
        <v>7.5</v>
      </c>
      <c r="BO183">
        <v>2.9</v>
      </c>
      <c r="BP183">
        <f t="shared" si="4"/>
        <v>8.1600589817459284</v>
      </c>
      <c r="BQ183">
        <f t="shared" si="5"/>
        <v>27.176598764878246</v>
      </c>
    </row>
    <row r="184" spans="1:69" hidden="1" x14ac:dyDescent="0.2">
      <c r="A184" t="s">
        <v>733</v>
      </c>
      <c r="B184" t="s">
        <v>68</v>
      </c>
      <c r="C184" t="s">
        <v>69</v>
      </c>
      <c r="D184" t="s">
        <v>70</v>
      </c>
      <c r="E184" t="s">
        <v>532</v>
      </c>
      <c r="F184">
        <v>6</v>
      </c>
      <c r="G184">
        <v>231.33</v>
      </c>
      <c r="H184">
        <v>3</v>
      </c>
      <c r="I184">
        <v>5</v>
      </c>
      <c r="J184">
        <v>4</v>
      </c>
      <c r="K184" t="s">
        <v>110</v>
      </c>
      <c r="L184" t="s">
        <v>124</v>
      </c>
      <c r="M184" s="4">
        <v>1590000000</v>
      </c>
      <c r="N184">
        <v>0</v>
      </c>
      <c r="O184">
        <v>4.7120189999999997</v>
      </c>
      <c r="P184">
        <v>-74.082677000000004</v>
      </c>
      <c r="Q184" t="s">
        <v>734</v>
      </c>
      <c r="R184">
        <v>6873297.8859999999</v>
      </c>
      <c r="S184">
        <v>0</v>
      </c>
      <c r="T184" t="s">
        <v>117</v>
      </c>
      <c r="U184" t="s">
        <v>118</v>
      </c>
      <c r="V184" t="s">
        <v>77</v>
      </c>
      <c r="W184" t="s">
        <v>119</v>
      </c>
      <c r="X184" t="s">
        <v>120</v>
      </c>
      <c r="Y184">
        <v>3.1623087431183601</v>
      </c>
      <c r="Z184">
        <v>3162.3087431183599</v>
      </c>
      <c r="AA184">
        <v>4.73719444444444</v>
      </c>
      <c r="AB184">
        <v>-74.069472222222203</v>
      </c>
      <c r="AC184">
        <v>2555</v>
      </c>
      <c r="AD184">
        <v>0</v>
      </c>
      <c r="AE184" t="s">
        <v>80</v>
      </c>
      <c r="AF184" t="s">
        <v>107</v>
      </c>
      <c r="AG184" t="s">
        <v>82</v>
      </c>
      <c r="AH184" t="s">
        <v>83</v>
      </c>
      <c r="AI184" t="s">
        <v>121</v>
      </c>
      <c r="AJ184">
        <v>1.14977013639379</v>
      </c>
      <c r="AK184">
        <v>4.99697923579083</v>
      </c>
      <c r="AL184">
        <v>1.3579437778204699</v>
      </c>
      <c r="AM184">
        <v>0.47390882419059499</v>
      </c>
      <c r="AN184">
        <v>3.2616199396596599</v>
      </c>
      <c r="AO184">
        <v>0.51533384362516799</v>
      </c>
      <c r="AP184">
        <v>0.51533384362516799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8</v>
      </c>
      <c r="AW184">
        <v>0</v>
      </c>
      <c r="AX184">
        <v>0</v>
      </c>
      <c r="AY184">
        <v>15.3</v>
      </c>
      <c r="AZ184">
        <v>9.8000000000000007</v>
      </c>
      <c r="BA184">
        <v>29.7</v>
      </c>
      <c r="BB184">
        <v>564</v>
      </c>
      <c r="BC184">
        <v>68</v>
      </c>
      <c r="BD184">
        <v>1.8</v>
      </c>
      <c r="BE184">
        <v>43</v>
      </c>
      <c r="BF184">
        <v>25.4</v>
      </c>
      <c r="BG184">
        <v>162</v>
      </c>
      <c r="BH184">
        <v>9.1</v>
      </c>
      <c r="BI184">
        <v>9.1999999999999993</v>
      </c>
      <c r="BJ184">
        <v>18.3</v>
      </c>
      <c r="BK184">
        <v>0.34</v>
      </c>
      <c r="BL184">
        <v>7.3</v>
      </c>
      <c r="BM184">
        <v>0.9</v>
      </c>
      <c r="BN184">
        <v>7.5</v>
      </c>
      <c r="BO184">
        <v>2.9</v>
      </c>
      <c r="BP184">
        <f t="shared" si="4"/>
        <v>8.3800015787768629</v>
      </c>
      <c r="BQ184">
        <f t="shared" si="5"/>
        <v>27.529320480421642</v>
      </c>
    </row>
    <row r="185" spans="1:69" hidden="1" x14ac:dyDescent="0.2">
      <c r="A185" t="s">
        <v>1960</v>
      </c>
      <c r="B185" t="s">
        <v>68</v>
      </c>
      <c r="C185" t="s">
        <v>1956</v>
      </c>
      <c r="D185" t="s">
        <v>70</v>
      </c>
      <c r="E185" t="s">
        <v>388</v>
      </c>
      <c r="F185">
        <v>6</v>
      </c>
      <c r="G185">
        <v>231</v>
      </c>
      <c r="H185">
        <v>4</v>
      </c>
      <c r="I185">
        <v>5</v>
      </c>
      <c r="J185">
        <v>3</v>
      </c>
      <c r="K185" t="s">
        <v>72</v>
      </c>
      <c r="L185" t="s">
        <v>73</v>
      </c>
      <c r="M185" s="4">
        <v>3369999000</v>
      </c>
      <c r="N185">
        <v>0</v>
      </c>
      <c r="O185">
        <v>4.7454169999999998</v>
      </c>
      <c r="P185">
        <v>-74.074520000000007</v>
      </c>
      <c r="Q185" t="s">
        <v>1961</v>
      </c>
      <c r="R185">
        <v>14588740.26</v>
      </c>
      <c r="S185">
        <v>0</v>
      </c>
      <c r="T185" t="s">
        <v>117</v>
      </c>
      <c r="U185" t="s">
        <v>118</v>
      </c>
      <c r="V185" t="s">
        <v>77</v>
      </c>
      <c r="W185" t="s">
        <v>119</v>
      </c>
      <c r="X185" t="s">
        <v>120</v>
      </c>
      <c r="Y185">
        <v>1.0730436510305299</v>
      </c>
      <c r="Z185">
        <v>1073.0436510305301</v>
      </c>
      <c r="AA185">
        <v>4.73719444444444</v>
      </c>
      <c r="AB185">
        <v>-74.069472222222203</v>
      </c>
      <c r="AC185">
        <v>2555</v>
      </c>
      <c r="AD185">
        <v>0</v>
      </c>
      <c r="AE185" t="s">
        <v>80</v>
      </c>
      <c r="AF185" t="s">
        <v>107</v>
      </c>
      <c r="AG185" t="s">
        <v>82</v>
      </c>
      <c r="AH185" t="s">
        <v>83</v>
      </c>
      <c r="AI185" t="s">
        <v>121</v>
      </c>
      <c r="AJ185">
        <v>1.30888673422818</v>
      </c>
      <c r="AK185">
        <v>4.6998070568874502</v>
      </c>
      <c r="AL185">
        <v>2.4908581066797701</v>
      </c>
      <c r="AM185">
        <v>0.75507979697583905</v>
      </c>
      <c r="AN185">
        <v>1.2756201947721899</v>
      </c>
      <c r="AO185">
        <v>2.49755832596214E-2</v>
      </c>
      <c r="AP185">
        <v>2.49755832596214E-2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1</v>
      </c>
      <c r="AW185">
        <v>0</v>
      </c>
      <c r="AX185">
        <v>0</v>
      </c>
      <c r="AY185">
        <v>15.3</v>
      </c>
      <c r="AZ185">
        <v>9.8000000000000007</v>
      </c>
      <c r="BA185">
        <v>29.7</v>
      </c>
      <c r="BB185">
        <v>564</v>
      </c>
      <c r="BC185">
        <v>68</v>
      </c>
      <c r="BD185">
        <v>1.8</v>
      </c>
      <c r="BE185">
        <v>43</v>
      </c>
      <c r="BF185">
        <v>25.4</v>
      </c>
      <c r="BG185">
        <v>162</v>
      </c>
      <c r="BH185">
        <v>9.1</v>
      </c>
      <c r="BI185">
        <v>9.1999999999999993</v>
      </c>
      <c r="BJ185">
        <v>18.3</v>
      </c>
      <c r="BK185">
        <v>0.34</v>
      </c>
      <c r="BL185">
        <v>7.3</v>
      </c>
      <c r="BM185">
        <v>0.9</v>
      </c>
      <c r="BN185">
        <v>7.5</v>
      </c>
      <c r="BO185">
        <v>2.9</v>
      </c>
      <c r="BP185">
        <f t="shared" si="4"/>
        <v>9.2930492193461252</v>
      </c>
      <c r="BQ185">
        <f t="shared" si="5"/>
        <v>28.944899290474932</v>
      </c>
    </row>
    <row r="186" spans="1:69" hidden="1" x14ac:dyDescent="0.2">
      <c r="A186" t="s">
        <v>1475</v>
      </c>
      <c r="B186" t="s">
        <v>68</v>
      </c>
      <c r="C186" t="s">
        <v>69</v>
      </c>
      <c r="D186" t="s">
        <v>70</v>
      </c>
      <c r="E186" t="s">
        <v>455</v>
      </c>
      <c r="F186">
        <v>6</v>
      </c>
      <c r="G186">
        <v>231</v>
      </c>
      <c r="H186">
        <v>4</v>
      </c>
      <c r="I186">
        <v>5</v>
      </c>
      <c r="J186">
        <v>3</v>
      </c>
      <c r="K186" t="s">
        <v>110</v>
      </c>
      <c r="L186" t="s">
        <v>124</v>
      </c>
      <c r="M186" s="4">
        <v>1290000000</v>
      </c>
      <c r="N186">
        <v>0</v>
      </c>
      <c r="O186">
        <v>4.7376995089999996</v>
      </c>
      <c r="P186">
        <v>-74.076545719999999</v>
      </c>
      <c r="Q186" t="s">
        <v>1476</v>
      </c>
      <c r="R186">
        <v>5584415.5839999998</v>
      </c>
      <c r="S186">
        <v>0</v>
      </c>
      <c r="T186" t="s">
        <v>117</v>
      </c>
      <c r="U186" t="s">
        <v>118</v>
      </c>
      <c r="V186" t="s">
        <v>77</v>
      </c>
      <c r="W186" t="s">
        <v>119</v>
      </c>
      <c r="X186" t="s">
        <v>120</v>
      </c>
      <c r="Y186">
        <v>0.78673960163071899</v>
      </c>
      <c r="Z186">
        <v>786.73960163071899</v>
      </c>
      <c r="AA186">
        <v>4.73719444444444</v>
      </c>
      <c r="AB186">
        <v>-74.069472222222203</v>
      </c>
      <c r="AC186">
        <v>2555</v>
      </c>
      <c r="AD186">
        <v>0</v>
      </c>
      <c r="AE186" t="s">
        <v>80</v>
      </c>
      <c r="AF186" t="s">
        <v>107</v>
      </c>
      <c r="AG186" t="s">
        <v>82</v>
      </c>
      <c r="AH186" t="s">
        <v>83</v>
      </c>
      <c r="AI186" t="s">
        <v>121</v>
      </c>
      <c r="AJ186">
        <v>0.54870064077564995</v>
      </c>
      <c r="AK186">
        <v>4.8988745615195199</v>
      </c>
      <c r="AL186">
        <v>2.3730916048531601</v>
      </c>
      <c r="AM186">
        <v>0.55742899024924597</v>
      </c>
      <c r="AN186">
        <v>1.05499082207466</v>
      </c>
      <c r="AO186">
        <v>9.6446447352999398E-3</v>
      </c>
      <c r="AP186">
        <v>9.6446447352999398E-3</v>
      </c>
      <c r="AQ186">
        <v>0</v>
      </c>
      <c r="AR186">
        <v>1</v>
      </c>
      <c r="AS186">
        <v>0</v>
      </c>
      <c r="AT186">
        <v>0</v>
      </c>
      <c r="AU186">
        <v>0</v>
      </c>
      <c r="AV186">
        <v>8</v>
      </c>
      <c r="AW186">
        <v>0</v>
      </c>
      <c r="AX186">
        <v>0</v>
      </c>
      <c r="AY186">
        <v>15.3</v>
      </c>
      <c r="AZ186">
        <v>9.8000000000000007</v>
      </c>
      <c r="BA186">
        <v>29.7</v>
      </c>
      <c r="BB186">
        <v>564</v>
      </c>
      <c r="BC186">
        <v>68</v>
      </c>
      <c r="BD186">
        <v>1.8</v>
      </c>
      <c r="BE186">
        <v>43</v>
      </c>
      <c r="BF186">
        <v>25.4</v>
      </c>
      <c r="BG186">
        <v>162</v>
      </c>
      <c r="BH186">
        <v>9.1</v>
      </c>
      <c r="BI186">
        <v>9.1999999999999993</v>
      </c>
      <c r="BJ186">
        <v>18.3</v>
      </c>
      <c r="BK186">
        <v>0.34</v>
      </c>
      <c r="BL186">
        <v>7.3</v>
      </c>
      <c r="BM186">
        <v>0.9</v>
      </c>
      <c r="BN186">
        <v>7.5</v>
      </c>
      <c r="BO186">
        <v>2.9</v>
      </c>
      <c r="BP186">
        <f t="shared" si="4"/>
        <v>9.4256884465742896</v>
      </c>
      <c r="BQ186">
        <f t="shared" si="5"/>
        <v>29.144473176011029</v>
      </c>
    </row>
    <row r="187" spans="1:69" hidden="1" x14ac:dyDescent="0.2">
      <c r="A187" t="s">
        <v>2483</v>
      </c>
      <c r="B187" t="s">
        <v>68</v>
      </c>
      <c r="C187" t="s">
        <v>1956</v>
      </c>
      <c r="D187" t="s">
        <v>70</v>
      </c>
      <c r="E187" t="s">
        <v>483</v>
      </c>
      <c r="F187">
        <v>4</v>
      </c>
      <c r="G187">
        <v>230</v>
      </c>
      <c r="H187">
        <v>3</v>
      </c>
      <c r="I187">
        <v>4</v>
      </c>
      <c r="J187">
        <v>4</v>
      </c>
      <c r="K187" t="s">
        <v>110</v>
      </c>
      <c r="L187" t="s">
        <v>162</v>
      </c>
      <c r="M187" s="4">
        <v>1350000000</v>
      </c>
      <c r="N187">
        <v>0</v>
      </c>
      <c r="O187">
        <v>4.721218586</v>
      </c>
      <c r="P187">
        <v>-74.073265079999999</v>
      </c>
      <c r="Q187" t="s">
        <v>2484</v>
      </c>
      <c r="R187">
        <v>5869565.2170000002</v>
      </c>
      <c r="S187">
        <v>0</v>
      </c>
      <c r="T187" t="s">
        <v>117</v>
      </c>
      <c r="U187" t="s">
        <v>118</v>
      </c>
      <c r="V187" t="s">
        <v>77</v>
      </c>
      <c r="W187" t="s">
        <v>119</v>
      </c>
      <c r="X187" t="s">
        <v>120</v>
      </c>
      <c r="Y187">
        <v>1.82752580064767</v>
      </c>
      <c r="Z187">
        <v>1827.5258006476699</v>
      </c>
      <c r="AA187">
        <v>4.73719444444444</v>
      </c>
      <c r="AB187">
        <v>-74.069472222222203</v>
      </c>
      <c r="AC187">
        <v>2555</v>
      </c>
      <c r="AD187">
        <v>0</v>
      </c>
      <c r="AE187" t="s">
        <v>80</v>
      </c>
      <c r="AF187" t="s">
        <v>107</v>
      </c>
      <c r="AG187" t="s">
        <v>82</v>
      </c>
      <c r="AH187" t="s">
        <v>83</v>
      </c>
      <c r="AI187" t="s">
        <v>121</v>
      </c>
      <c r="AJ187">
        <v>0.16047648658791699</v>
      </c>
      <c r="AK187">
        <v>5.4698367584072196</v>
      </c>
      <c r="AL187">
        <v>0.52430811394793897</v>
      </c>
      <c r="AM187">
        <v>0.14800565050437001</v>
      </c>
      <c r="AN187">
        <v>2.6009507073792002</v>
      </c>
      <c r="AO187">
        <v>0.14697902790339001</v>
      </c>
      <c r="AP187">
        <v>0.14697902790339001</v>
      </c>
      <c r="AQ187">
        <v>1</v>
      </c>
      <c r="AR187">
        <v>2</v>
      </c>
      <c r="AS187">
        <v>0</v>
      </c>
      <c r="AT187">
        <v>0</v>
      </c>
      <c r="AU187">
        <v>1</v>
      </c>
      <c r="AV187">
        <v>33</v>
      </c>
      <c r="AW187">
        <v>0</v>
      </c>
      <c r="AX187">
        <v>0</v>
      </c>
      <c r="AY187">
        <v>15.3</v>
      </c>
      <c r="AZ187">
        <v>9.8000000000000007</v>
      </c>
      <c r="BA187">
        <v>29.7</v>
      </c>
      <c r="BB187">
        <v>564</v>
      </c>
      <c r="BC187">
        <v>68</v>
      </c>
      <c r="BD187">
        <v>1.8</v>
      </c>
      <c r="BE187">
        <v>43</v>
      </c>
      <c r="BF187">
        <v>25.4</v>
      </c>
      <c r="BG187">
        <v>162</v>
      </c>
      <c r="BH187">
        <v>9.1</v>
      </c>
      <c r="BI187">
        <v>9.1999999999999993</v>
      </c>
      <c r="BJ187">
        <v>18.3</v>
      </c>
      <c r="BK187">
        <v>0.34</v>
      </c>
      <c r="BL187">
        <v>7.3</v>
      </c>
      <c r="BM187">
        <v>0.9</v>
      </c>
      <c r="BN187">
        <v>7.5</v>
      </c>
      <c r="BO187">
        <v>2.9</v>
      </c>
      <c r="BP187">
        <f t="shared" si="4"/>
        <v>8.9523839374449157</v>
      </c>
      <c r="BQ187">
        <f t="shared" si="5"/>
        <v>28.425494228535353</v>
      </c>
    </row>
    <row r="188" spans="1:69" hidden="1" x14ac:dyDescent="0.2">
      <c r="A188" t="s">
        <v>2485</v>
      </c>
      <c r="B188" t="s">
        <v>68</v>
      </c>
      <c r="C188" t="s">
        <v>1956</v>
      </c>
      <c r="D188" t="s">
        <v>70</v>
      </c>
      <c r="E188" t="s">
        <v>2486</v>
      </c>
      <c r="F188">
        <v>3</v>
      </c>
      <c r="G188">
        <v>230</v>
      </c>
      <c r="H188">
        <v>4</v>
      </c>
      <c r="I188">
        <v>3</v>
      </c>
      <c r="J188">
        <v>2</v>
      </c>
      <c r="K188" t="s">
        <v>110</v>
      </c>
      <c r="L188" t="s">
        <v>162</v>
      </c>
      <c r="M188" s="4">
        <v>890000000</v>
      </c>
      <c r="N188">
        <v>0</v>
      </c>
      <c r="O188">
        <v>4.7186789999999998</v>
      </c>
      <c r="P188">
        <v>-74.070040000000006</v>
      </c>
      <c r="Q188" t="s">
        <v>2487</v>
      </c>
      <c r="R188">
        <v>3869565.2170000002</v>
      </c>
      <c r="S188">
        <v>0</v>
      </c>
      <c r="T188" t="s">
        <v>117</v>
      </c>
      <c r="U188" t="s">
        <v>118</v>
      </c>
      <c r="V188" t="s">
        <v>77</v>
      </c>
      <c r="W188" t="s">
        <v>119</v>
      </c>
      <c r="X188" t="s">
        <v>120</v>
      </c>
      <c r="Y188">
        <v>2.0620921283656202</v>
      </c>
      <c r="Z188">
        <v>2062.0921283656198</v>
      </c>
      <c r="AA188">
        <v>4.73719444444444</v>
      </c>
      <c r="AB188">
        <v>-74.069472222222203</v>
      </c>
      <c r="AC188">
        <v>2555</v>
      </c>
      <c r="AD188">
        <v>0</v>
      </c>
      <c r="AE188" t="s">
        <v>80</v>
      </c>
      <c r="AF188" t="s">
        <v>107</v>
      </c>
      <c r="AG188" t="s">
        <v>82</v>
      </c>
      <c r="AH188" t="s">
        <v>83</v>
      </c>
      <c r="AI188" t="s">
        <v>121</v>
      </c>
      <c r="AJ188">
        <v>0.59169325020236296</v>
      </c>
      <c r="AK188">
        <v>5.0734236522527203</v>
      </c>
      <c r="AL188">
        <v>0.25313094064276098</v>
      </c>
      <c r="AM188">
        <v>0.101967098375588</v>
      </c>
      <c r="AN188">
        <v>3.0297687928598398</v>
      </c>
      <c r="AO188">
        <v>7.9852233383484305E-3</v>
      </c>
      <c r="AP188">
        <v>7.9852233383484305E-3</v>
      </c>
      <c r="AQ188">
        <v>0</v>
      </c>
      <c r="AR188">
        <v>2</v>
      </c>
      <c r="AS188">
        <v>0</v>
      </c>
      <c r="AT188">
        <v>0</v>
      </c>
      <c r="AU188">
        <v>1</v>
      </c>
      <c r="AV188">
        <v>38</v>
      </c>
      <c r="AW188">
        <v>0</v>
      </c>
      <c r="AX188">
        <v>0</v>
      </c>
      <c r="AY188">
        <v>15.3</v>
      </c>
      <c r="AZ188">
        <v>9.8000000000000007</v>
      </c>
      <c r="BA188">
        <v>29.7</v>
      </c>
      <c r="BB188">
        <v>564</v>
      </c>
      <c r="BC188">
        <v>68</v>
      </c>
      <c r="BD188">
        <v>1.8</v>
      </c>
      <c r="BE188">
        <v>43</v>
      </c>
      <c r="BF188">
        <v>25.4</v>
      </c>
      <c r="BG188">
        <v>162</v>
      </c>
      <c r="BH188">
        <v>9.1</v>
      </c>
      <c r="BI188">
        <v>9.1999999999999993</v>
      </c>
      <c r="BJ188">
        <v>18.3</v>
      </c>
      <c r="BK188">
        <v>0.34</v>
      </c>
      <c r="BL188">
        <v>7.3</v>
      </c>
      <c r="BM188">
        <v>0.9</v>
      </c>
      <c r="BN188">
        <v>7.5</v>
      </c>
      <c r="BO188">
        <v>2.9</v>
      </c>
      <c r="BP188">
        <f t="shared" si="4"/>
        <v>8.8490386439966944</v>
      </c>
      <c r="BQ188">
        <f t="shared" si="5"/>
        <v>28.265919888105277</v>
      </c>
    </row>
    <row r="189" spans="1:69" hidden="1" x14ac:dyDescent="0.2">
      <c r="A189" t="s">
        <v>859</v>
      </c>
      <c r="B189" t="s">
        <v>68</v>
      </c>
      <c r="C189" t="s">
        <v>69</v>
      </c>
      <c r="D189" t="s">
        <v>70</v>
      </c>
      <c r="E189" t="s">
        <v>349</v>
      </c>
      <c r="F189">
        <v>6</v>
      </c>
      <c r="G189">
        <v>224.42</v>
      </c>
      <c r="H189">
        <v>3</v>
      </c>
      <c r="I189">
        <v>4</v>
      </c>
      <c r="J189">
        <v>4</v>
      </c>
      <c r="K189" t="s">
        <v>110</v>
      </c>
      <c r="L189" t="s">
        <v>162</v>
      </c>
      <c r="M189" s="4">
        <v>1450000000</v>
      </c>
      <c r="N189">
        <v>0</v>
      </c>
      <c r="O189">
        <v>4.7376310000000004</v>
      </c>
      <c r="P189">
        <v>-74.076516999999996</v>
      </c>
      <c r="Q189" t="s">
        <v>860</v>
      </c>
      <c r="R189">
        <v>6461099.7240000004</v>
      </c>
      <c r="S189">
        <v>0</v>
      </c>
      <c r="T189" t="s">
        <v>117</v>
      </c>
      <c r="U189" t="s">
        <v>118</v>
      </c>
      <c r="V189" t="s">
        <v>77</v>
      </c>
      <c r="W189" t="s">
        <v>119</v>
      </c>
      <c r="X189" t="s">
        <v>120</v>
      </c>
      <c r="Y189">
        <v>0.783051371804378</v>
      </c>
      <c r="Z189">
        <v>783.05137180437805</v>
      </c>
      <c r="AA189">
        <v>4.73719444444444</v>
      </c>
      <c r="AB189">
        <v>-74.069472222222203</v>
      </c>
      <c r="AC189">
        <v>2555</v>
      </c>
      <c r="AD189">
        <v>0</v>
      </c>
      <c r="AE189" t="s">
        <v>80</v>
      </c>
      <c r="AF189" t="s">
        <v>107</v>
      </c>
      <c r="AG189" t="s">
        <v>82</v>
      </c>
      <c r="AH189" t="s">
        <v>83</v>
      </c>
      <c r="AI189" t="s">
        <v>121</v>
      </c>
      <c r="AJ189">
        <v>0.54827765781916205</v>
      </c>
      <c r="AK189">
        <v>4.9056608409869096</v>
      </c>
      <c r="AL189">
        <v>2.36497834892059</v>
      </c>
      <c r="AM189">
        <v>0.56050034973964502</v>
      </c>
      <c r="AN189">
        <v>1.06088553111615</v>
      </c>
      <c r="AO189">
        <v>5.8042860338053601E-3</v>
      </c>
      <c r="AP189">
        <v>5.8042860338053601E-3</v>
      </c>
      <c r="AQ189">
        <v>0</v>
      </c>
      <c r="AR189">
        <v>1</v>
      </c>
      <c r="AS189">
        <v>0</v>
      </c>
      <c r="AT189">
        <v>0</v>
      </c>
      <c r="AU189">
        <v>0</v>
      </c>
      <c r="AV189">
        <v>6</v>
      </c>
      <c r="AW189">
        <v>0</v>
      </c>
      <c r="AX189">
        <v>0</v>
      </c>
      <c r="AY189">
        <v>15.3</v>
      </c>
      <c r="AZ189">
        <v>9.8000000000000007</v>
      </c>
      <c r="BA189">
        <v>29.7</v>
      </c>
      <c r="BB189">
        <v>564</v>
      </c>
      <c r="BC189">
        <v>68</v>
      </c>
      <c r="BD189">
        <v>1.8</v>
      </c>
      <c r="BE189">
        <v>43</v>
      </c>
      <c r="BF189">
        <v>25.4</v>
      </c>
      <c r="BG189">
        <v>162</v>
      </c>
      <c r="BH189">
        <v>9.1</v>
      </c>
      <c r="BI189">
        <v>9.1999999999999993</v>
      </c>
      <c r="BJ189">
        <v>18.3</v>
      </c>
      <c r="BK189">
        <v>0.34</v>
      </c>
      <c r="BL189">
        <v>7.3</v>
      </c>
      <c r="BM189">
        <v>0.9</v>
      </c>
      <c r="BN189">
        <v>7.5</v>
      </c>
      <c r="BO189">
        <v>2.9</v>
      </c>
      <c r="BP189">
        <f t="shared" si="4"/>
        <v>9.4274094268774302</v>
      </c>
      <c r="BQ189">
        <f t="shared" si="5"/>
        <v>29.147053086558756</v>
      </c>
    </row>
    <row r="190" spans="1:69" hidden="1" x14ac:dyDescent="0.2">
      <c r="A190" t="s">
        <v>724</v>
      </c>
      <c r="B190" t="s">
        <v>68</v>
      </c>
      <c r="C190" t="s">
        <v>69</v>
      </c>
      <c r="D190" t="s">
        <v>70</v>
      </c>
      <c r="E190" t="s">
        <v>349</v>
      </c>
      <c r="F190">
        <v>6</v>
      </c>
      <c r="G190">
        <v>221.87</v>
      </c>
      <c r="H190">
        <v>3</v>
      </c>
      <c r="I190">
        <v>4</v>
      </c>
      <c r="J190">
        <v>4</v>
      </c>
      <c r="K190" t="s">
        <v>110</v>
      </c>
      <c r="L190" t="s">
        <v>124</v>
      </c>
      <c r="M190" s="4">
        <v>2000000000</v>
      </c>
      <c r="N190">
        <v>0</v>
      </c>
      <c r="O190">
        <v>4.7403329999999997</v>
      </c>
      <c r="P190">
        <v>-74.068665999999993</v>
      </c>
      <c r="Q190" t="s">
        <v>725</v>
      </c>
      <c r="R190">
        <v>9014287.6459999997</v>
      </c>
      <c r="S190">
        <v>0</v>
      </c>
      <c r="T190" t="s">
        <v>117</v>
      </c>
      <c r="U190" t="s">
        <v>118</v>
      </c>
      <c r="V190" t="s">
        <v>77</v>
      </c>
      <c r="W190" t="s">
        <v>119</v>
      </c>
      <c r="X190" t="s">
        <v>120</v>
      </c>
      <c r="Y190">
        <v>0.36064919393865302</v>
      </c>
      <c r="Z190">
        <v>360.64919393865301</v>
      </c>
      <c r="AA190">
        <v>4.73719444444444</v>
      </c>
      <c r="AB190">
        <v>-74.069472222222203</v>
      </c>
      <c r="AC190">
        <v>2555</v>
      </c>
      <c r="AD190">
        <v>0</v>
      </c>
      <c r="AE190" t="s">
        <v>80</v>
      </c>
      <c r="AF190" t="s">
        <v>107</v>
      </c>
      <c r="AG190" t="s">
        <v>82</v>
      </c>
      <c r="AH190" t="s">
        <v>83</v>
      </c>
      <c r="AI190" t="s">
        <v>121</v>
      </c>
      <c r="AJ190">
        <v>1.4663856817276499</v>
      </c>
      <c r="AK190">
        <v>5.2430739206785004</v>
      </c>
      <c r="AL190">
        <v>2.2146888430454301</v>
      </c>
      <c r="AM190">
        <v>0.43550231010389601</v>
      </c>
      <c r="AN190">
        <v>1.8493576086744901</v>
      </c>
      <c r="AO190">
        <v>3.7305678892179103E-2</v>
      </c>
      <c r="AP190">
        <v>3.7305678892179103E-2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8</v>
      </c>
      <c r="AW190">
        <v>0</v>
      </c>
      <c r="AX190">
        <v>0</v>
      </c>
      <c r="AY190">
        <v>15.3</v>
      </c>
      <c r="AZ190">
        <v>9.8000000000000007</v>
      </c>
      <c r="BA190">
        <v>29.7</v>
      </c>
      <c r="BB190">
        <v>564</v>
      </c>
      <c r="BC190">
        <v>68</v>
      </c>
      <c r="BD190">
        <v>1.8</v>
      </c>
      <c r="BE190">
        <v>43</v>
      </c>
      <c r="BF190">
        <v>25.4</v>
      </c>
      <c r="BG190">
        <v>162</v>
      </c>
      <c r="BH190">
        <v>9.1</v>
      </c>
      <c r="BI190">
        <v>9.1999999999999993</v>
      </c>
      <c r="BJ190">
        <v>18.3</v>
      </c>
      <c r="BK190">
        <v>0.34</v>
      </c>
      <c r="BL190">
        <v>7.3</v>
      </c>
      <c r="BM190">
        <v>0.9</v>
      </c>
      <c r="BN190">
        <v>7.5</v>
      </c>
      <c r="BO190">
        <v>2.9</v>
      </c>
      <c r="BP190">
        <f t="shared" si="4"/>
        <v>9.6266014483392404</v>
      </c>
      <c r="BQ190">
        <f t="shared" si="5"/>
        <v>29.444038599862843</v>
      </c>
    </row>
    <row r="191" spans="1:69" hidden="1" x14ac:dyDescent="0.2">
      <c r="A191" t="s">
        <v>1955</v>
      </c>
      <c r="B191" t="s">
        <v>68</v>
      </c>
      <c r="C191" t="s">
        <v>1956</v>
      </c>
      <c r="D191" t="s">
        <v>70</v>
      </c>
      <c r="E191" t="s">
        <v>548</v>
      </c>
      <c r="F191">
        <v>6</v>
      </c>
      <c r="G191">
        <v>220</v>
      </c>
      <c r="H191">
        <v>3</v>
      </c>
      <c r="I191">
        <v>4</v>
      </c>
      <c r="J191">
        <v>2</v>
      </c>
      <c r="K191" t="s">
        <v>72</v>
      </c>
      <c r="L191" t="s">
        <v>73</v>
      </c>
      <c r="M191" s="4">
        <v>2250000000</v>
      </c>
      <c r="N191">
        <v>0</v>
      </c>
      <c r="O191">
        <v>4.7226160000000004</v>
      </c>
      <c r="P191">
        <v>-74.074935999999994</v>
      </c>
      <c r="Q191" t="s">
        <v>1957</v>
      </c>
      <c r="R191">
        <v>10227272.73</v>
      </c>
      <c r="S191">
        <v>0</v>
      </c>
      <c r="T191" t="s">
        <v>117</v>
      </c>
      <c r="U191" t="s">
        <v>118</v>
      </c>
      <c r="V191" t="s">
        <v>77</v>
      </c>
      <c r="W191" t="s">
        <v>119</v>
      </c>
      <c r="X191" t="s">
        <v>120</v>
      </c>
      <c r="Y191">
        <v>1.73237209652619</v>
      </c>
      <c r="Z191">
        <v>1732.37209652619</v>
      </c>
      <c r="AA191">
        <v>4.73719444444444</v>
      </c>
      <c r="AB191">
        <v>-74.069472222222203</v>
      </c>
      <c r="AC191">
        <v>2555</v>
      </c>
      <c r="AD191">
        <v>0</v>
      </c>
      <c r="AE191" t="s">
        <v>80</v>
      </c>
      <c r="AF191" t="s">
        <v>107</v>
      </c>
      <c r="AG191" t="s">
        <v>82</v>
      </c>
      <c r="AH191" t="s">
        <v>83</v>
      </c>
      <c r="AI191" t="s">
        <v>121</v>
      </c>
      <c r="AJ191">
        <v>0.151125754368475</v>
      </c>
      <c r="AK191">
        <v>5.5894365406695998</v>
      </c>
      <c r="AL191">
        <v>0.74703752955565506</v>
      </c>
      <c r="AM191">
        <v>0.38906789108147799</v>
      </c>
      <c r="AN191">
        <v>2.3746386728724098</v>
      </c>
      <c r="AO191">
        <v>0.206048737707242</v>
      </c>
      <c r="AP191">
        <v>0.206048737707242</v>
      </c>
      <c r="AQ191">
        <v>1</v>
      </c>
      <c r="AR191">
        <v>2</v>
      </c>
      <c r="AS191">
        <v>0</v>
      </c>
      <c r="AT191">
        <v>0</v>
      </c>
      <c r="AU191">
        <v>1</v>
      </c>
      <c r="AV191">
        <v>22</v>
      </c>
      <c r="AW191">
        <v>0</v>
      </c>
      <c r="AX191">
        <v>0</v>
      </c>
      <c r="AY191">
        <v>15.3</v>
      </c>
      <c r="AZ191">
        <v>9.8000000000000007</v>
      </c>
      <c r="BA191">
        <v>29.7</v>
      </c>
      <c r="BB191">
        <v>564</v>
      </c>
      <c r="BC191">
        <v>68</v>
      </c>
      <c r="BD191">
        <v>1.8</v>
      </c>
      <c r="BE191">
        <v>43</v>
      </c>
      <c r="BF191">
        <v>25.4</v>
      </c>
      <c r="BG191">
        <v>162</v>
      </c>
      <c r="BH191">
        <v>9.1</v>
      </c>
      <c r="BI191">
        <v>9.1999999999999993</v>
      </c>
      <c r="BJ191">
        <v>18.3</v>
      </c>
      <c r="BK191">
        <v>0.34</v>
      </c>
      <c r="BL191">
        <v>7.3</v>
      </c>
      <c r="BM191">
        <v>0.9</v>
      </c>
      <c r="BN191">
        <v>7.5</v>
      </c>
      <c r="BO191">
        <v>2.9</v>
      </c>
      <c r="BP191">
        <f t="shared" si="4"/>
        <v>8.994650096772121</v>
      </c>
      <c r="BQ191">
        <f t="shared" si="5"/>
        <v>28.490483393423972</v>
      </c>
    </row>
    <row r="192" spans="1:69" hidden="1" x14ac:dyDescent="0.2">
      <c r="A192" t="s">
        <v>2852</v>
      </c>
      <c r="B192" t="s">
        <v>68</v>
      </c>
      <c r="C192" t="s">
        <v>1956</v>
      </c>
      <c r="D192" t="s">
        <v>70</v>
      </c>
      <c r="E192" t="s">
        <v>277</v>
      </c>
      <c r="F192">
        <v>5</v>
      </c>
      <c r="G192">
        <v>220</v>
      </c>
      <c r="H192">
        <v>4</v>
      </c>
      <c r="I192">
        <v>4</v>
      </c>
      <c r="J192">
        <v>2</v>
      </c>
      <c r="K192" t="s">
        <v>110</v>
      </c>
      <c r="L192" t="s">
        <v>162</v>
      </c>
      <c r="M192" s="4">
        <v>1170000000</v>
      </c>
      <c r="N192">
        <v>0</v>
      </c>
      <c r="O192">
        <v>4.7253088950000004</v>
      </c>
      <c r="P192">
        <v>-74.063674930000005</v>
      </c>
      <c r="Q192" t="s">
        <v>2853</v>
      </c>
      <c r="R192">
        <v>5318181.818</v>
      </c>
      <c r="S192">
        <v>0</v>
      </c>
      <c r="T192" t="s">
        <v>117</v>
      </c>
      <c r="U192" t="s">
        <v>118</v>
      </c>
      <c r="V192" t="s">
        <v>77</v>
      </c>
      <c r="W192" t="s">
        <v>119</v>
      </c>
      <c r="X192" t="s">
        <v>120</v>
      </c>
      <c r="Y192">
        <v>1.4711292237323501</v>
      </c>
      <c r="Z192">
        <v>1471.1292237323501</v>
      </c>
      <c r="AA192">
        <v>4.73719444444444</v>
      </c>
      <c r="AB192">
        <v>-74.069472222222203</v>
      </c>
      <c r="AC192">
        <v>2555</v>
      </c>
      <c r="AD192">
        <v>0</v>
      </c>
      <c r="AE192" t="s">
        <v>80</v>
      </c>
      <c r="AF192" t="s">
        <v>107</v>
      </c>
      <c r="AG192" t="s">
        <v>82</v>
      </c>
      <c r="AH192" t="s">
        <v>83</v>
      </c>
      <c r="AI192" t="s">
        <v>121</v>
      </c>
      <c r="AJ192">
        <v>1.2477476288109699</v>
      </c>
      <c r="AK192">
        <v>4.4909184413823198</v>
      </c>
      <c r="AL192">
        <v>1.2689754851105499</v>
      </c>
      <c r="AM192">
        <v>8.5064748613670499E-2</v>
      </c>
      <c r="AN192">
        <v>2.9870339591368098</v>
      </c>
      <c r="AO192">
        <v>0.58112286601887997</v>
      </c>
      <c r="AP192">
        <v>0.58112286601887997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22</v>
      </c>
      <c r="AW192">
        <v>0</v>
      </c>
      <c r="AX192">
        <v>0</v>
      </c>
      <c r="AY192">
        <v>15.3</v>
      </c>
      <c r="AZ192">
        <v>9.8000000000000007</v>
      </c>
      <c r="BA192">
        <v>29.7</v>
      </c>
      <c r="BB192">
        <v>564</v>
      </c>
      <c r="BC192">
        <v>68</v>
      </c>
      <c r="BD192">
        <v>1.8</v>
      </c>
      <c r="BE192">
        <v>43</v>
      </c>
      <c r="BF192">
        <v>25.4</v>
      </c>
      <c r="BG192">
        <v>162</v>
      </c>
      <c r="BH192">
        <v>9.1</v>
      </c>
      <c r="BI192">
        <v>9.1999999999999993</v>
      </c>
      <c r="BJ192">
        <v>18.3</v>
      </c>
      <c r="BK192">
        <v>0.34</v>
      </c>
      <c r="BL192">
        <v>7.3</v>
      </c>
      <c r="BM192">
        <v>0.9</v>
      </c>
      <c r="BN192">
        <v>7.5</v>
      </c>
      <c r="BO192">
        <v>2.9</v>
      </c>
      <c r="BP192">
        <f t="shared" si="4"/>
        <v>9.1117199283675276</v>
      </c>
      <c r="BQ192">
        <f t="shared" si="5"/>
        <v>28.669675014312652</v>
      </c>
    </row>
    <row r="193" spans="1:69" hidden="1" x14ac:dyDescent="0.2">
      <c r="A193" t="s">
        <v>837</v>
      </c>
      <c r="B193" t="s">
        <v>68</v>
      </c>
      <c r="C193" t="s">
        <v>69</v>
      </c>
      <c r="D193" t="s">
        <v>70</v>
      </c>
      <c r="E193" t="s">
        <v>709</v>
      </c>
      <c r="F193">
        <v>5</v>
      </c>
      <c r="G193">
        <v>216</v>
      </c>
      <c r="H193">
        <v>4</v>
      </c>
      <c r="I193">
        <v>4</v>
      </c>
      <c r="J193">
        <v>2</v>
      </c>
      <c r="K193" t="s">
        <v>110</v>
      </c>
      <c r="L193" t="s">
        <v>162</v>
      </c>
      <c r="M193" s="4">
        <v>1300000000</v>
      </c>
      <c r="N193">
        <v>0</v>
      </c>
      <c r="O193">
        <v>4.7341340000000001</v>
      </c>
      <c r="P193">
        <v>-74.060388000000003</v>
      </c>
      <c r="Q193" t="s">
        <v>838</v>
      </c>
      <c r="R193">
        <v>6018518.5190000003</v>
      </c>
      <c r="S193">
        <v>0</v>
      </c>
      <c r="T193" t="s">
        <v>117</v>
      </c>
      <c r="U193" t="s">
        <v>118</v>
      </c>
      <c r="V193" t="s">
        <v>77</v>
      </c>
      <c r="W193" t="s">
        <v>119</v>
      </c>
      <c r="X193" t="s">
        <v>120</v>
      </c>
      <c r="Y193">
        <v>1.0638261511609199</v>
      </c>
      <c r="Z193">
        <v>1063.8261511609201</v>
      </c>
      <c r="AA193">
        <v>4.73719444444444</v>
      </c>
      <c r="AB193">
        <v>-74.069472222222203</v>
      </c>
      <c r="AC193">
        <v>2555</v>
      </c>
      <c r="AD193">
        <v>0</v>
      </c>
      <c r="AE193" t="s">
        <v>80</v>
      </c>
      <c r="AF193" t="s">
        <v>107</v>
      </c>
      <c r="AG193" t="s">
        <v>82</v>
      </c>
      <c r="AH193" t="s">
        <v>83</v>
      </c>
      <c r="AI193" t="s">
        <v>121</v>
      </c>
      <c r="AJ193">
        <v>1.2262145294414</v>
      </c>
      <c r="AK193">
        <v>4.2596300771953901</v>
      </c>
      <c r="AL193">
        <v>2.2595112414097001</v>
      </c>
      <c r="AM193">
        <v>0.46798329927003002</v>
      </c>
      <c r="AN193">
        <v>2.87803568741931</v>
      </c>
      <c r="AO193">
        <v>0.21556985504939</v>
      </c>
      <c r="AP193">
        <v>0.21556985504939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19</v>
      </c>
      <c r="AW193">
        <v>0</v>
      </c>
      <c r="AX193">
        <v>0</v>
      </c>
      <c r="AY193">
        <v>15.3</v>
      </c>
      <c r="AZ193">
        <v>9.8000000000000007</v>
      </c>
      <c r="BA193">
        <v>29.7</v>
      </c>
      <c r="BB193">
        <v>564</v>
      </c>
      <c r="BC193">
        <v>68</v>
      </c>
      <c r="BD193">
        <v>1.8</v>
      </c>
      <c r="BE193">
        <v>43</v>
      </c>
      <c r="BF193">
        <v>25.4</v>
      </c>
      <c r="BG193">
        <v>162</v>
      </c>
      <c r="BH193">
        <v>9.1</v>
      </c>
      <c r="BI193">
        <v>9.1999999999999993</v>
      </c>
      <c r="BJ193">
        <v>18.3</v>
      </c>
      <c r="BK193">
        <v>0.34</v>
      </c>
      <c r="BL193">
        <v>7.3</v>
      </c>
      <c r="BM193">
        <v>0.9</v>
      </c>
      <c r="BN193">
        <v>7.5</v>
      </c>
      <c r="BO193">
        <v>2.9</v>
      </c>
      <c r="BP193">
        <f t="shared" si="4"/>
        <v>9.2972902914599658</v>
      </c>
      <c r="BQ193">
        <f t="shared" si="5"/>
        <v>28.951303189314515</v>
      </c>
    </row>
    <row r="194" spans="1:69" hidden="1" x14ac:dyDescent="0.2">
      <c r="A194" t="s">
        <v>1057</v>
      </c>
      <c r="B194" t="s">
        <v>68</v>
      </c>
      <c r="C194" t="s">
        <v>69</v>
      </c>
      <c r="D194" t="s">
        <v>70</v>
      </c>
      <c r="E194" t="s">
        <v>1058</v>
      </c>
      <c r="F194">
        <v>6</v>
      </c>
      <c r="G194">
        <v>215</v>
      </c>
      <c r="H194">
        <v>3</v>
      </c>
      <c r="I194">
        <v>4</v>
      </c>
      <c r="J194">
        <v>3</v>
      </c>
      <c r="K194" t="s">
        <v>110</v>
      </c>
      <c r="L194" t="s">
        <v>133</v>
      </c>
      <c r="M194" s="4">
        <v>1730000000</v>
      </c>
      <c r="N194">
        <v>0</v>
      </c>
      <c r="O194">
        <v>4.7201881410000004</v>
      </c>
      <c r="P194">
        <v>-74.081779479999994</v>
      </c>
      <c r="Q194" t="s">
        <v>1059</v>
      </c>
      <c r="R194">
        <v>8046511.6279999996</v>
      </c>
      <c r="S194">
        <v>0</v>
      </c>
      <c r="T194" t="s">
        <v>117</v>
      </c>
      <c r="U194" t="s">
        <v>118</v>
      </c>
      <c r="V194" t="s">
        <v>77</v>
      </c>
      <c r="W194" t="s">
        <v>119</v>
      </c>
      <c r="X194" t="s">
        <v>120</v>
      </c>
      <c r="Y194">
        <v>2.33413793080934</v>
      </c>
      <c r="Z194">
        <v>2334.1379308093401</v>
      </c>
      <c r="AA194">
        <v>4.73719444444444</v>
      </c>
      <c r="AB194">
        <v>-74.069472222222203</v>
      </c>
      <c r="AC194">
        <v>2555</v>
      </c>
      <c r="AD194">
        <v>0</v>
      </c>
      <c r="AE194" t="s">
        <v>80</v>
      </c>
      <c r="AF194" t="s">
        <v>107</v>
      </c>
      <c r="AG194" t="s">
        <v>82</v>
      </c>
      <c r="AH194" t="s">
        <v>83</v>
      </c>
      <c r="AI194" t="s">
        <v>121</v>
      </c>
      <c r="AJ194">
        <v>0.792669862216689</v>
      </c>
      <c r="AK194">
        <v>4.88559812067371</v>
      </c>
      <c r="AL194">
        <v>1.20669883960891</v>
      </c>
      <c r="AM194">
        <v>0.58771862538769404</v>
      </c>
      <c r="AN194">
        <v>2.3781789157926601</v>
      </c>
      <c r="AO194">
        <v>1.0673695926724E-2</v>
      </c>
      <c r="AP194">
        <v>1.0673695926724E-2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1</v>
      </c>
      <c r="AW194">
        <v>0</v>
      </c>
      <c r="AX194">
        <v>0</v>
      </c>
      <c r="AY194">
        <v>15.3</v>
      </c>
      <c r="AZ194">
        <v>9.8000000000000007</v>
      </c>
      <c r="BA194">
        <v>29.7</v>
      </c>
      <c r="BB194">
        <v>564</v>
      </c>
      <c r="BC194">
        <v>68</v>
      </c>
      <c r="BD194">
        <v>1.8</v>
      </c>
      <c r="BE194">
        <v>43</v>
      </c>
      <c r="BF194">
        <v>25.4</v>
      </c>
      <c r="BG194">
        <v>162</v>
      </c>
      <c r="BH194">
        <v>9.1</v>
      </c>
      <c r="BI194">
        <v>9.1999999999999993</v>
      </c>
      <c r="BJ194">
        <v>18.3</v>
      </c>
      <c r="BK194">
        <v>0.34</v>
      </c>
      <c r="BL194">
        <v>7.3</v>
      </c>
      <c r="BM194">
        <v>0.9</v>
      </c>
      <c r="BN194">
        <v>7.5</v>
      </c>
      <c r="BO194">
        <v>2.9</v>
      </c>
      <c r="BP194">
        <f t="shared" ref="BP194:BP257" si="6">+AZ194*EXP(-0.0495*Y194)</f>
        <v>8.7306738794295438</v>
      </c>
      <c r="BQ194">
        <f t="shared" ref="BQ194:BQ257" si="7">+BA194*EXP(-0.024*Y194)</f>
        <v>28.081970058335479</v>
      </c>
    </row>
    <row r="195" spans="1:69" hidden="1" x14ac:dyDescent="0.2">
      <c r="A195" t="s">
        <v>2914</v>
      </c>
      <c r="B195" t="s">
        <v>68</v>
      </c>
      <c r="C195" t="s">
        <v>1956</v>
      </c>
      <c r="D195" t="s">
        <v>70</v>
      </c>
      <c r="E195" t="s">
        <v>349</v>
      </c>
      <c r="F195">
        <v>6</v>
      </c>
      <c r="G195">
        <v>211.6</v>
      </c>
      <c r="H195">
        <v>4</v>
      </c>
      <c r="I195">
        <v>5</v>
      </c>
      <c r="J195">
        <v>4</v>
      </c>
      <c r="K195" t="s">
        <v>110</v>
      </c>
      <c r="L195" t="s">
        <v>162</v>
      </c>
      <c r="M195" s="4">
        <v>1600000000</v>
      </c>
      <c r="N195">
        <v>0</v>
      </c>
      <c r="O195">
        <v>4.7318020000000001</v>
      </c>
      <c r="P195">
        <v>-74.076486000000003</v>
      </c>
      <c r="Q195" t="s">
        <v>2915</v>
      </c>
      <c r="R195">
        <v>7561436.6730000004</v>
      </c>
      <c r="S195">
        <v>0</v>
      </c>
      <c r="T195" t="s">
        <v>117</v>
      </c>
      <c r="U195" t="s">
        <v>118</v>
      </c>
      <c r="V195" t="s">
        <v>77</v>
      </c>
      <c r="W195" t="s">
        <v>119</v>
      </c>
      <c r="X195" t="s">
        <v>120</v>
      </c>
      <c r="Y195">
        <v>0.98274623292701502</v>
      </c>
      <c r="Z195">
        <v>982.74623292701494</v>
      </c>
      <c r="AA195">
        <v>4.73719444444444</v>
      </c>
      <c r="AB195">
        <v>-74.069472222222203</v>
      </c>
      <c r="AC195">
        <v>2555</v>
      </c>
      <c r="AD195">
        <v>0</v>
      </c>
      <c r="AE195" t="s">
        <v>80</v>
      </c>
      <c r="AF195" t="s">
        <v>107</v>
      </c>
      <c r="AG195" t="s">
        <v>82</v>
      </c>
      <c r="AH195" t="s">
        <v>83</v>
      </c>
      <c r="AI195" t="s">
        <v>121</v>
      </c>
      <c r="AJ195">
        <v>0.51854430602006096</v>
      </c>
      <c r="AK195">
        <v>5.2862661197177196</v>
      </c>
      <c r="AL195">
        <v>1.74518318772827</v>
      </c>
      <c r="AM195">
        <v>0.85274398762780701</v>
      </c>
      <c r="AN195">
        <v>1.4442205430317701</v>
      </c>
      <c r="AO195">
        <v>2.6513009878525902E-3</v>
      </c>
      <c r="AP195">
        <v>2.6513009878525902E-3</v>
      </c>
      <c r="AQ195">
        <v>0</v>
      </c>
      <c r="AR195">
        <v>2</v>
      </c>
      <c r="AS195">
        <v>0</v>
      </c>
      <c r="AT195">
        <v>0</v>
      </c>
      <c r="AU195">
        <v>0</v>
      </c>
      <c r="AV195">
        <v>7</v>
      </c>
      <c r="AW195">
        <v>0</v>
      </c>
      <c r="AX195">
        <v>0</v>
      </c>
      <c r="AY195">
        <v>15.3</v>
      </c>
      <c r="AZ195">
        <v>9.8000000000000007</v>
      </c>
      <c r="BA195">
        <v>29.7</v>
      </c>
      <c r="BB195">
        <v>564</v>
      </c>
      <c r="BC195">
        <v>68</v>
      </c>
      <c r="BD195">
        <v>1.8</v>
      </c>
      <c r="BE195">
        <v>43</v>
      </c>
      <c r="BF195">
        <v>25.4</v>
      </c>
      <c r="BG195">
        <v>162</v>
      </c>
      <c r="BH195">
        <v>9.1</v>
      </c>
      <c r="BI195">
        <v>9.1999999999999993</v>
      </c>
      <c r="BJ195">
        <v>18.3</v>
      </c>
      <c r="BK195">
        <v>0.34</v>
      </c>
      <c r="BL195">
        <v>7.3</v>
      </c>
      <c r="BM195">
        <v>0.9</v>
      </c>
      <c r="BN195">
        <v>7.5</v>
      </c>
      <c r="BO195">
        <v>2.9</v>
      </c>
      <c r="BP195">
        <f t="shared" si="6"/>
        <v>9.3346795363785819</v>
      </c>
      <c r="BQ195">
        <f t="shared" si="7"/>
        <v>29.007694901433531</v>
      </c>
    </row>
    <row r="196" spans="1:69" hidden="1" x14ac:dyDescent="0.2">
      <c r="A196" t="s">
        <v>2375</v>
      </c>
      <c r="B196" t="s">
        <v>68</v>
      </c>
      <c r="C196" t="s">
        <v>1956</v>
      </c>
      <c r="D196" t="s">
        <v>70</v>
      </c>
      <c r="E196" t="s">
        <v>114</v>
      </c>
      <c r="F196">
        <v>5</v>
      </c>
      <c r="G196">
        <v>210</v>
      </c>
      <c r="H196">
        <v>3</v>
      </c>
      <c r="I196">
        <v>3</v>
      </c>
      <c r="J196">
        <v>3</v>
      </c>
      <c r="K196" t="s">
        <v>110</v>
      </c>
      <c r="L196" t="s">
        <v>162</v>
      </c>
      <c r="M196" s="4">
        <v>1390000000</v>
      </c>
      <c r="N196">
        <v>0</v>
      </c>
      <c r="O196">
        <v>4.7132271000000001</v>
      </c>
      <c r="P196">
        <v>-74.0749505</v>
      </c>
      <c r="Q196" t="s">
        <v>2376</v>
      </c>
      <c r="R196">
        <v>6619047.6189999999</v>
      </c>
      <c r="S196">
        <v>0</v>
      </c>
      <c r="T196" t="s">
        <v>117</v>
      </c>
      <c r="U196" t="s">
        <v>118</v>
      </c>
      <c r="V196" t="s">
        <v>77</v>
      </c>
      <c r="W196" t="s">
        <v>119</v>
      </c>
      <c r="X196" t="s">
        <v>120</v>
      </c>
      <c r="Y196">
        <v>2.7363804245246701</v>
      </c>
      <c r="Z196">
        <v>2736.3804245246702</v>
      </c>
      <c r="AA196">
        <v>4.73719444444444</v>
      </c>
      <c r="AB196">
        <v>-74.069472222222203</v>
      </c>
      <c r="AC196">
        <v>2555</v>
      </c>
      <c r="AD196">
        <v>0</v>
      </c>
      <c r="AE196" t="s">
        <v>80</v>
      </c>
      <c r="AF196" t="s">
        <v>107</v>
      </c>
      <c r="AG196" t="s">
        <v>82</v>
      </c>
      <c r="AH196" t="s">
        <v>83</v>
      </c>
      <c r="AI196" t="s">
        <v>121</v>
      </c>
      <c r="AJ196">
        <v>0.32287607343906199</v>
      </c>
      <c r="AK196">
        <v>5.5478330197195396</v>
      </c>
      <c r="AL196">
        <v>0.56033828947143205</v>
      </c>
      <c r="AM196">
        <v>9.6395717177534604E-2</v>
      </c>
      <c r="AN196">
        <v>3.32006731716716</v>
      </c>
      <c r="AO196">
        <v>0.163734170430757</v>
      </c>
      <c r="AP196">
        <v>0.163734170430757</v>
      </c>
      <c r="AQ196">
        <v>1</v>
      </c>
      <c r="AR196">
        <v>3</v>
      </c>
      <c r="AS196">
        <v>0</v>
      </c>
      <c r="AT196">
        <v>0</v>
      </c>
      <c r="AU196">
        <v>1</v>
      </c>
      <c r="AV196">
        <v>41</v>
      </c>
      <c r="AW196">
        <v>0</v>
      </c>
      <c r="AX196">
        <v>0</v>
      </c>
      <c r="AY196">
        <v>15.3</v>
      </c>
      <c r="AZ196">
        <v>9.8000000000000007</v>
      </c>
      <c r="BA196">
        <v>29.7</v>
      </c>
      <c r="BB196">
        <v>564</v>
      </c>
      <c r="BC196">
        <v>68</v>
      </c>
      <c r="BD196">
        <v>1.8</v>
      </c>
      <c r="BE196">
        <v>43</v>
      </c>
      <c r="BF196">
        <v>25.4</v>
      </c>
      <c r="BG196">
        <v>162</v>
      </c>
      <c r="BH196">
        <v>9.1</v>
      </c>
      <c r="BI196">
        <v>9.1999999999999993</v>
      </c>
      <c r="BJ196">
        <v>18.3</v>
      </c>
      <c r="BK196">
        <v>0.34</v>
      </c>
      <c r="BL196">
        <v>7.3</v>
      </c>
      <c r="BM196">
        <v>0.9</v>
      </c>
      <c r="BN196">
        <v>7.5</v>
      </c>
      <c r="BO196">
        <v>2.9</v>
      </c>
      <c r="BP196">
        <f t="shared" si="6"/>
        <v>8.5585566019037156</v>
      </c>
      <c r="BQ196">
        <f t="shared" si="7"/>
        <v>27.812176144613868</v>
      </c>
    </row>
    <row r="197" spans="1:69" hidden="1" x14ac:dyDescent="0.2">
      <c r="A197" t="s">
        <v>398</v>
      </c>
      <c r="B197" t="s">
        <v>68</v>
      </c>
      <c r="C197" t="s">
        <v>69</v>
      </c>
      <c r="D197" t="s">
        <v>70</v>
      </c>
      <c r="E197" t="s">
        <v>399</v>
      </c>
      <c r="F197">
        <v>6</v>
      </c>
      <c r="G197">
        <v>209</v>
      </c>
      <c r="H197">
        <v>4</v>
      </c>
      <c r="I197">
        <v>5</v>
      </c>
      <c r="J197">
        <v>3</v>
      </c>
      <c r="K197" t="s">
        <v>110</v>
      </c>
      <c r="L197" t="s">
        <v>162</v>
      </c>
      <c r="M197" s="4">
        <v>1650000000</v>
      </c>
      <c r="N197">
        <v>0</v>
      </c>
      <c r="O197">
        <v>4.7278233219999999</v>
      </c>
      <c r="P197">
        <v>-74.0753603</v>
      </c>
      <c r="Q197" t="s">
        <v>400</v>
      </c>
      <c r="R197">
        <v>7894736.8420000002</v>
      </c>
      <c r="S197">
        <v>0</v>
      </c>
      <c r="T197" t="s">
        <v>117</v>
      </c>
      <c r="U197" t="s">
        <v>118</v>
      </c>
      <c r="V197" t="s">
        <v>77</v>
      </c>
      <c r="W197" t="s">
        <v>119</v>
      </c>
      <c r="X197" t="s">
        <v>120</v>
      </c>
      <c r="Y197">
        <v>1.2308301860436199</v>
      </c>
      <c r="Z197">
        <v>1230.83018604362</v>
      </c>
      <c r="AA197">
        <v>4.73719444444444</v>
      </c>
      <c r="AB197">
        <v>-74.069472222222203</v>
      </c>
      <c r="AC197">
        <v>2555</v>
      </c>
      <c r="AD197">
        <v>0</v>
      </c>
      <c r="AE197" t="s">
        <v>80</v>
      </c>
      <c r="AF197" t="s">
        <v>107</v>
      </c>
      <c r="AG197" t="s">
        <v>82</v>
      </c>
      <c r="AH197" t="s">
        <v>83</v>
      </c>
      <c r="AI197" t="s">
        <v>121</v>
      </c>
      <c r="AJ197">
        <v>8.1466678313060398E-2</v>
      </c>
      <c r="AK197">
        <v>5.4970324494469898</v>
      </c>
      <c r="AL197">
        <v>1.2889326081877699</v>
      </c>
      <c r="AM197">
        <v>0.80820397872623295</v>
      </c>
      <c r="AN197">
        <v>1.86361379630316</v>
      </c>
      <c r="AO197">
        <v>3.0405752849900099E-2</v>
      </c>
      <c r="AP197">
        <v>3.0405752849900099E-2</v>
      </c>
      <c r="AQ197">
        <v>1</v>
      </c>
      <c r="AR197">
        <v>2</v>
      </c>
      <c r="AS197">
        <v>0</v>
      </c>
      <c r="AT197">
        <v>0</v>
      </c>
      <c r="AU197">
        <v>0</v>
      </c>
      <c r="AV197">
        <v>8</v>
      </c>
      <c r="AW197">
        <v>0</v>
      </c>
      <c r="AX197">
        <v>0</v>
      </c>
      <c r="AY197">
        <v>15.3</v>
      </c>
      <c r="AZ197">
        <v>9.8000000000000007</v>
      </c>
      <c r="BA197">
        <v>29.7</v>
      </c>
      <c r="BB197">
        <v>564</v>
      </c>
      <c r="BC197">
        <v>68</v>
      </c>
      <c r="BD197">
        <v>1.8</v>
      </c>
      <c r="BE197">
        <v>43</v>
      </c>
      <c r="BF197">
        <v>25.4</v>
      </c>
      <c r="BG197">
        <v>162</v>
      </c>
      <c r="BH197">
        <v>9.1</v>
      </c>
      <c r="BI197">
        <v>9.1999999999999993</v>
      </c>
      <c r="BJ197">
        <v>18.3</v>
      </c>
      <c r="BK197">
        <v>0.34</v>
      </c>
      <c r="BL197">
        <v>7.3</v>
      </c>
      <c r="BM197">
        <v>0.9</v>
      </c>
      <c r="BN197">
        <v>7.5</v>
      </c>
      <c r="BO197">
        <v>2.9</v>
      </c>
      <c r="BP197">
        <f t="shared" si="6"/>
        <v>9.2207491913844795</v>
      </c>
      <c r="BQ197">
        <f t="shared" si="7"/>
        <v>28.835495801217583</v>
      </c>
    </row>
    <row r="198" spans="1:69" hidden="1" x14ac:dyDescent="0.2">
      <c r="A198" t="s">
        <v>264</v>
      </c>
      <c r="B198" t="s">
        <v>68</v>
      </c>
      <c r="C198" t="s">
        <v>69</v>
      </c>
      <c r="D198" t="s">
        <v>70</v>
      </c>
      <c r="E198" t="s">
        <v>174</v>
      </c>
      <c r="F198">
        <v>5</v>
      </c>
      <c r="G198">
        <v>207</v>
      </c>
      <c r="H198">
        <v>3</v>
      </c>
      <c r="I198">
        <v>4</v>
      </c>
      <c r="J198">
        <v>2</v>
      </c>
      <c r="K198" t="s">
        <v>110</v>
      </c>
      <c r="L198" t="s">
        <v>124</v>
      </c>
      <c r="M198" s="4">
        <v>1750000000</v>
      </c>
      <c r="N198">
        <v>0</v>
      </c>
      <c r="O198">
        <v>4.737545967</v>
      </c>
      <c r="P198">
        <v>-74.064079280000001</v>
      </c>
      <c r="Q198" t="s">
        <v>265</v>
      </c>
      <c r="R198">
        <v>8454106.2799999993</v>
      </c>
      <c r="S198">
        <v>0</v>
      </c>
      <c r="T198" t="s">
        <v>117</v>
      </c>
      <c r="U198" t="s">
        <v>118</v>
      </c>
      <c r="V198" t="s">
        <v>77</v>
      </c>
      <c r="W198" t="s">
        <v>119</v>
      </c>
      <c r="X198" t="s">
        <v>120</v>
      </c>
      <c r="Y198">
        <v>0.59956699500809896</v>
      </c>
      <c r="Z198">
        <v>599.56699500809896</v>
      </c>
      <c r="AA198">
        <v>4.73719444444444</v>
      </c>
      <c r="AB198">
        <v>-74.069472222222203</v>
      </c>
      <c r="AC198">
        <v>2555</v>
      </c>
      <c r="AD198">
        <v>0</v>
      </c>
      <c r="AE198" t="s">
        <v>80</v>
      </c>
      <c r="AF198" t="s">
        <v>107</v>
      </c>
      <c r="AG198" t="s">
        <v>82</v>
      </c>
      <c r="AH198" t="s">
        <v>83</v>
      </c>
      <c r="AI198" t="s">
        <v>121</v>
      </c>
      <c r="AJ198">
        <v>1.6236212890003301</v>
      </c>
      <c r="AK198">
        <v>4.6967542683878998</v>
      </c>
      <c r="AL198">
        <v>2.1062512866069798</v>
      </c>
      <c r="AM198">
        <v>0.12585907834273399</v>
      </c>
      <c r="AN198">
        <v>2.3925316892050699</v>
      </c>
      <c r="AO198">
        <v>0.27490351955809</v>
      </c>
      <c r="AP198">
        <v>0.27490351955809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11</v>
      </c>
      <c r="AW198">
        <v>0</v>
      </c>
      <c r="AX198">
        <v>0</v>
      </c>
      <c r="AY198">
        <v>15.3</v>
      </c>
      <c r="AZ198">
        <v>9.8000000000000007</v>
      </c>
      <c r="BA198">
        <v>29.7</v>
      </c>
      <c r="BB198">
        <v>564</v>
      </c>
      <c r="BC198">
        <v>68</v>
      </c>
      <c r="BD198">
        <v>1.8</v>
      </c>
      <c r="BE198">
        <v>43</v>
      </c>
      <c r="BF198">
        <v>25.4</v>
      </c>
      <c r="BG198">
        <v>162</v>
      </c>
      <c r="BH198">
        <v>9.1</v>
      </c>
      <c r="BI198">
        <v>9.1999999999999993</v>
      </c>
      <c r="BJ198">
        <v>18.3</v>
      </c>
      <c r="BK198">
        <v>0.34</v>
      </c>
      <c r="BL198">
        <v>7.3</v>
      </c>
      <c r="BM198">
        <v>0.9</v>
      </c>
      <c r="BN198">
        <v>7.5</v>
      </c>
      <c r="BO198">
        <v>2.9</v>
      </c>
      <c r="BP198">
        <f t="shared" si="6"/>
        <v>9.5134236727850983</v>
      </c>
      <c r="BQ198">
        <f t="shared" si="7"/>
        <v>29.275688803321167</v>
      </c>
    </row>
    <row r="199" spans="1:69" hidden="1" x14ac:dyDescent="0.2">
      <c r="A199" t="s">
        <v>2839</v>
      </c>
      <c r="B199" t="s">
        <v>68</v>
      </c>
      <c r="C199" t="s">
        <v>1956</v>
      </c>
      <c r="D199" t="s">
        <v>70</v>
      </c>
      <c r="E199" t="s">
        <v>181</v>
      </c>
      <c r="F199">
        <v>5</v>
      </c>
      <c r="G199">
        <v>206</v>
      </c>
      <c r="H199">
        <v>4</v>
      </c>
      <c r="I199">
        <v>5</v>
      </c>
      <c r="J199">
        <v>2</v>
      </c>
      <c r="K199" t="s">
        <v>110</v>
      </c>
      <c r="L199" t="s">
        <v>124</v>
      </c>
      <c r="M199" s="4">
        <v>1100000000</v>
      </c>
      <c r="N199">
        <v>0</v>
      </c>
      <c r="O199">
        <v>4.7311048509999996</v>
      </c>
      <c r="P199">
        <v>-74.073310849999999</v>
      </c>
      <c r="Q199" t="s">
        <v>2840</v>
      </c>
      <c r="R199">
        <v>5339805.8250000002</v>
      </c>
      <c r="S199">
        <v>0</v>
      </c>
      <c r="T199" t="s">
        <v>117</v>
      </c>
      <c r="U199" t="s">
        <v>118</v>
      </c>
      <c r="V199" t="s">
        <v>77</v>
      </c>
      <c r="W199" t="s">
        <v>119</v>
      </c>
      <c r="X199" t="s">
        <v>120</v>
      </c>
      <c r="Y199">
        <v>0.80055543131421902</v>
      </c>
      <c r="Z199">
        <v>800.55543131421905</v>
      </c>
      <c r="AA199">
        <v>4.73719444444444</v>
      </c>
      <c r="AB199">
        <v>-74.069472222222203</v>
      </c>
      <c r="AC199">
        <v>2555</v>
      </c>
      <c r="AD199">
        <v>0</v>
      </c>
      <c r="AE199" t="s">
        <v>80</v>
      </c>
      <c r="AF199" t="s">
        <v>107</v>
      </c>
      <c r="AG199" t="s">
        <v>82</v>
      </c>
      <c r="AH199" t="s">
        <v>83</v>
      </c>
      <c r="AI199" t="s">
        <v>121</v>
      </c>
      <c r="AJ199">
        <v>0.43260427147476999</v>
      </c>
      <c r="AK199">
        <v>5.6112480702311904</v>
      </c>
      <c r="AL199">
        <v>1.5890900381967401</v>
      </c>
      <c r="AM199">
        <v>0.59430048321168605</v>
      </c>
      <c r="AN199">
        <v>1.7516399821727799</v>
      </c>
      <c r="AO199">
        <v>0.22004090795355799</v>
      </c>
      <c r="AP199">
        <v>0.22004090795355799</v>
      </c>
      <c r="AQ199">
        <v>1</v>
      </c>
      <c r="AR199">
        <v>2</v>
      </c>
      <c r="AS199">
        <v>0</v>
      </c>
      <c r="AT199">
        <v>0</v>
      </c>
      <c r="AU199">
        <v>0</v>
      </c>
      <c r="AV199">
        <v>9</v>
      </c>
      <c r="AW199">
        <v>0</v>
      </c>
      <c r="AX199">
        <v>0</v>
      </c>
      <c r="AY199">
        <v>15.3</v>
      </c>
      <c r="AZ199">
        <v>9.8000000000000007</v>
      </c>
      <c r="BA199">
        <v>29.7</v>
      </c>
      <c r="BB199">
        <v>564</v>
      </c>
      <c r="BC199">
        <v>68</v>
      </c>
      <c r="BD199">
        <v>1.8</v>
      </c>
      <c r="BE199">
        <v>43</v>
      </c>
      <c r="BF199">
        <v>25.4</v>
      </c>
      <c r="BG199">
        <v>162</v>
      </c>
      <c r="BH199">
        <v>9.1</v>
      </c>
      <c r="BI199">
        <v>9.1999999999999993</v>
      </c>
      <c r="BJ199">
        <v>18.3</v>
      </c>
      <c r="BK199">
        <v>0.34</v>
      </c>
      <c r="BL199">
        <v>7.3</v>
      </c>
      <c r="BM199">
        <v>0.9</v>
      </c>
      <c r="BN199">
        <v>7.5</v>
      </c>
      <c r="BO199">
        <v>2.9</v>
      </c>
      <c r="BP199">
        <f t="shared" si="6"/>
        <v>9.4192445767955029</v>
      </c>
      <c r="BQ199">
        <f t="shared" si="7"/>
        <v>29.134811056119222</v>
      </c>
    </row>
    <row r="200" spans="1:69" hidden="1" x14ac:dyDescent="0.2">
      <c r="A200" t="s">
        <v>173</v>
      </c>
      <c r="B200" t="s">
        <v>68</v>
      </c>
      <c r="C200" t="s">
        <v>69</v>
      </c>
      <c r="D200" t="s">
        <v>70</v>
      </c>
      <c r="E200" t="s">
        <v>174</v>
      </c>
      <c r="F200">
        <v>5</v>
      </c>
      <c r="G200">
        <v>205</v>
      </c>
      <c r="H200">
        <v>3</v>
      </c>
      <c r="I200">
        <v>3</v>
      </c>
      <c r="J200">
        <v>2</v>
      </c>
      <c r="K200" t="s">
        <v>110</v>
      </c>
      <c r="L200" t="s">
        <v>124</v>
      </c>
      <c r="M200" s="4">
        <v>1190000000</v>
      </c>
      <c r="N200">
        <v>0</v>
      </c>
      <c r="O200">
        <v>4.7365665440000004</v>
      </c>
      <c r="P200">
        <v>-74.062843319999999</v>
      </c>
      <c r="Q200" t="s">
        <v>175</v>
      </c>
      <c r="R200">
        <v>5804878.0489999996</v>
      </c>
      <c r="S200">
        <v>0</v>
      </c>
      <c r="T200" t="s">
        <v>117</v>
      </c>
      <c r="U200" t="s">
        <v>118</v>
      </c>
      <c r="V200" t="s">
        <v>77</v>
      </c>
      <c r="W200" t="s">
        <v>119</v>
      </c>
      <c r="X200" t="s">
        <v>120</v>
      </c>
      <c r="Y200">
        <v>0.73871987033032005</v>
      </c>
      <c r="Z200">
        <v>738.71987033031996</v>
      </c>
      <c r="AA200">
        <v>4.73719444444444</v>
      </c>
      <c r="AB200">
        <v>-74.069472222222203</v>
      </c>
      <c r="AC200">
        <v>2555</v>
      </c>
      <c r="AD200">
        <v>0</v>
      </c>
      <c r="AE200" t="s">
        <v>80</v>
      </c>
      <c r="AF200" t="s">
        <v>107</v>
      </c>
      <c r="AG200" t="s">
        <v>82</v>
      </c>
      <c r="AH200" t="s">
        <v>83</v>
      </c>
      <c r="AI200" t="s">
        <v>121</v>
      </c>
      <c r="AJ200">
        <v>1.5254969747688201</v>
      </c>
      <c r="AK200">
        <v>4.5491541076794499</v>
      </c>
      <c r="AL200">
        <v>2.12699353416243</v>
      </c>
      <c r="AM200">
        <v>0.29955509365930499</v>
      </c>
      <c r="AN200">
        <v>2.54801989986285</v>
      </c>
      <c r="AO200">
        <v>0.106693527058798</v>
      </c>
      <c r="AP200">
        <v>0.106693527058798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14</v>
      </c>
      <c r="AW200">
        <v>0</v>
      </c>
      <c r="AX200">
        <v>0</v>
      </c>
      <c r="AY200">
        <v>15.3</v>
      </c>
      <c r="AZ200">
        <v>9.8000000000000007</v>
      </c>
      <c r="BA200">
        <v>29.7</v>
      </c>
      <c r="BB200">
        <v>564</v>
      </c>
      <c r="BC200">
        <v>68</v>
      </c>
      <c r="BD200">
        <v>1.8</v>
      </c>
      <c r="BE200">
        <v>43</v>
      </c>
      <c r="BF200">
        <v>25.4</v>
      </c>
      <c r="BG200">
        <v>162</v>
      </c>
      <c r="BH200">
        <v>9.1</v>
      </c>
      <c r="BI200">
        <v>9.1999999999999993</v>
      </c>
      <c r="BJ200">
        <v>18.3</v>
      </c>
      <c r="BK200">
        <v>0.34</v>
      </c>
      <c r="BL200">
        <v>7.3</v>
      </c>
      <c r="BM200">
        <v>0.9</v>
      </c>
      <c r="BN200">
        <v>7.5</v>
      </c>
      <c r="BO200">
        <v>2.9</v>
      </c>
      <c r="BP200">
        <f t="shared" si="6"/>
        <v>9.4481197371534034</v>
      </c>
      <c r="BQ200">
        <f t="shared" si="7"/>
        <v>29.178080772723693</v>
      </c>
    </row>
    <row r="201" spans="1:69" hidden="1" x14ac:dyDescent="0.2">
      <c r="A201" t="s">
        <v>2431</v>
      </c>
      <c r="B201" t="s">
        <v>68</v>
      </c>
      <c r="C201" t="s">
        <v>1956</v>
      </c>
      <c r="D201" t="s">
        <v>70</v>
      </c>
      <c r="E201" t="s">
        <v>114</v>
      </c>
      <c r="F201">
        <v>5</v>
      </c>
      <c r="G201">
        <v>204</v>
      </c>
      <c r="H201">
        <v>3</v>
      </c>
      <c r="I201">
        <v>4</v>
      </c>
      <c r="J201">
        <v>2</v>
      </c>
      <c r="K201" t="s">
        <v>110</v>
      </c>
      <c r="L201" t="s">
        <v>162</v>
      </c>
      <c r="M201" s="4">
        <v>1450000000</v>
      </c>
      <c r="N201">
        <v>0</v>
      </c>
      <c r="O201">
        <v>4.7114429470000001</v>
      </c>
      <c r="P201">
        <v>-74.074134830000006</v>
      </c>
      <c r="Q201" t="s">
        <v>2432</v>
      </c>
      <c r="R201">
        <v>7107843.1370000001</v>
      </c>
      <c r="S201">
        <v>0</v>
      </c>
      <c r="T201" t="s">
        <v>117</v>
      </c>
      <c r="U201" t="s">
        <v>118</v>
      </c>
      <c r="V201" t="s">
        <v>77</v>
      </c>
      <c r="W201" t="s">
        <v>119</v>
      </c>
      <c r="X201" t="s">
        <v>120</v>
      </c>
      <c r="Y201">
        <v>2.91294002225801</v>
      </c>
      <c r="Z201">
        <v>2912.9400222580098</v>
      </c>
      <c r="AA201">
        <v>4.73719444444444</v>
      </c>
      <c r="AB201">
        <v>-74.069472222222203</v>
      </c>
      <c r="AC201">
        <v>2555</v>
      </c>
      <c r="AD201">
        <v>0</v>
      </c>
      <c r="AE201" t="s">
        <v>80</v>
      </c>
      <c r="AF201" t="s">
        <v>107</v>
      </c>
      <c r="AG201" t="s">
        <v>82</v>
      </c>
      <c r="AH201" t="s">
        <v>83</v>
      </c>
      <c r="AI201" t="s">
        <v>121</v>
      </c>
      <c r="AJ201">
        <v>0.21182572629299401</v>
      </c>
      <c r="AK201">
        <v>5.4452551654910097</v>
      </c>
      <c r="AL201">
        <v>0.66942125960587895</v>
      </c>
      <c r="AM201">
        <v>9.9701425176246194E-2</v>
      </c>
      <c r="AN201">
        <v>3.5363912111099598</v>
      </c>
      <c r="AO201">
        <v>0.33225275627419198</v>
      </c>
      <c r="AP201">
        <v>0.33225275627419198</v>
      </c>
      <c r="AQ201">
        <v>1</v>
      </c>
      <c r="AR201">
        <v>2</v>
      </c>
      <c r="AS201">
        <v>0</v>
      </c>
      <c r="AT201">
        <v>0</v>
      </c>
      <c r="AU201">
        <v>1</v>
      </c>
      <c r="AV201">
        <v>38</v>
      </c>
      <c r="AW201">
        <v>0</v>
      </c>
      <c r="AX201">
        <v>0</v>
      </c>
      <c r="AY201">
        <v>15.3</v>
      </c>
      <c r="AZ201">
        <v>9.8000000000000007</v>
      </c>
      <c r="BA201">
        <v>29.7</v>
      </c>
      <c r="BB201">
        <v>564</v>
      </c>
      <c r="BC201">
        <v>68</v>
      </c>
      <c r="BD201">
        <v>1.8</v>
      </c>
      <c r="BE201">
        <v>43</v>
      </c>
      <c r="BF201">
        <v>25.4</v>
      </c>
      <c r="BG201">
        <v>162</v>
      </c>
      <c r="BH201">
        <v>9.1</v>
      </c>
      <c r="BI201">
        <v>9.1999999999999993</v>
      </c>
      <c r="BJ201">
        <v>18.3</v>
      </c>
      <c r="BK201">
        <v>0.34</v>
      </c>
      <c r="BL201">
        <v>7.3</v>
      </c>
      <c r="BM201">
        <v>0.9</v>
      </c>
      <c r="BN201">
        <v>7.5</v>
      </c>
      <c r="BO201">
        <v>2.9</v>
      </c>
      <c r="BP201">
        <f t="shared" si="6"/>
        <v>8.4840832952376442</v>
      </c>
      <c r="BQ201">
        <f t="shared" si="7"/>
        <v>27.694573328283987</v>
      </c>
    </row>
    <row r="202" spans="1:69" hidden="1" x14ac:dyDescent="0.2">
      <c r="A202" t="s">
        <v>2184</v>
      </c>
      <c r="B202" t="s">
        <v>68</v>
      </c>
      <c r="C202" t="s">
        <v>1956</v>
      </c>
      <c r="D202" t="s">
        <v>70</v>
      </c>
      <c r="E202" t="s">
        <v>2185</v>
      </c>
      <c r="F202">
        <v>6</v>
      </c>
      <c r="G202">
        <v>204</v>
      </c>
      <c r="H202">
        <v>3</v>
      </c>
      <c r="I202">
        <v>4</v>
      </c>
      <c r="J202">
        <v>2</v>
      </c>
      <c r="K202" t="s">
        <v>110</v>
      </c>
      <c r="L202" t="s">
        <v>162</v>
      </c>
      <c r="M202" s="4">
        <v>1450000000</v>
      </c>
      <c r="N202">
        <v>0</v>
      </c>
      <c r="O202">
        <v>4.7198429109999998</v>
      </c>
      <c r="P202">
        <v>-74.076591489999998</v>
      </c>
      <c r="Q202" t="s">
        <v>2186</v>
      </c>
      <c r="R202">
        <v>7107843.1370000001</v>
      </c>
      <c r="S202">
        <v>0</v>
      </c>
      <c r="T202" t="s">
        <v>117</v>
      </c>
      <c r="U202" t="s">
        <v>118</v>
      </c>
      <c r="V202" t="s">
        <v>77</v>
      </c>
      <c r="W202" t="s">
        <v>119</v>
      </c>
      <c r="X202" t="s">
        <v>120</v>
      </c>
      <c r="Y202">
        <v>2.0868033376202302</v>
      </c>
      <c r="Z202">
        <v>2086.8033376202302</v>
      </c>
      <c r="AA202">
        <v>4.73719444444444</v>
      </c>
      <c r="AB202">
        <v>-74.069472222222203</v>
      </c>
      <c r="AC202">
        <v>2555</v>
      </c>
      <c r="AD202">
        <v>0</v>
      </c>
      <c r="AE202" t="s">
        <v>80</v>
      </c>
      <c r="AF202" t="s">
        <v>107</v>
      </c>
      <c r="AG202" t="s">
        <v>82</v>
      </c>
      <c r="AH202" t="s">
        <v>83</v>
      </c>
      <c r="AI202" t="s">
        <v>121</v>
      </c>
      <c r="AJ202">
        <v>0.26118345901206902</v>
      </c>
      <c r="AK202">
        <v>5.4571240694195504</v>
      </c>
      <c r="AL202">
        <v>0.66217715711851399</v>
      </c>
      <c r="AM202">
        <v>0.396459443100738</v>
      </c>
      <c r="AN202">
        <v>2.5724555801060101</v>
      </c>
      <c r="AO202">
        <v>3.7920996817070699E-3</v>
      </c>
      <c r="AP202">
        <v>3.7920996817070699E-3</v>
      </c>
      <c r="AQ202">
        <v>1</v>
      </c>
      <c r="AR202">
        <v>3</v>
      </c>
      <c r="AS202">
        <v>0</v>
      </c>
      <c r="AT202">
        <v>0</v>
      </c>
      <c r="AU202">
        <v>1</v>
      </c>
      <c r="AV202">
        <v>25</v>
      </c>
      <c r="AW202">
        <v>0</v>
      </c>
      <c r="AX202">
        <v>0</v>
      </c>
      <c r="AY202">
        <v>15.3</v>
      </c>
      <c r="AZ202">
        <v>9.8000000000000007</v>
      </c>
      <c r="BA202">
        <v>29.7</v>
      </c>
      <c r="BB202">
        <v>564</v>
      </c>
      <c r="BC202">
        <v>68</v>
      </c>
      <c r="BD202">
        <v>1.8</v>
      </c>
      <c r="BE202">
        <v>43</v>
      </c>
      <c r="BF202">
        <v>25.4</v>
      </c>
      <c r="BG202">
        <v>162</v>
      </c>
      <c r="BH202">
        <v>9.1</v>
      </c>
      <c r="BI202">
        <v>9.1999999999999993</v>
      </c>
      <c r="BJ202">
        <v>18.3</v>
      </c>
      <c r="BK202">
        <v>0.34</v>
      </c>
      <c r="BL202">
        <v>7.3</v>
      </c>
      <c r="BM202">
        <v>0.9</v>
      </c>
      <c r="BN202">
        <v>7.5</v>
      </c>
      <c r="BO202">
        <v>2.9</v>
      </c>
      <c r="BP202">
        <f t="shared" si="6"/>
        <v>8.8382210743384935</v>
      </c>
      <c r="BQ202">
        <f t="shared" si="7"/>
        <v>28.249161216653839</v>
      </c>
    </row>
    <row r="203" spans="1:69" hidden="1" x14ac:dyDescent="0.2">
      <c r="A203" t="s">
        <v>2281</v>
      </c>
      <c r="B203" t="s">
        <v>68</v>
      </c>
      <c r="C203" t="s">
        <v>1956</v>
      </c>
      <c r="D203" t="s">
        <v>70</v>
      </c>
      <c r="E203" t="s">
        <v>548</v>
      </c>
      <c r="F203">
        <v>6</v>
      </c>
      <c r="G203">
        <v>204</v>
      </c>
      <c r="H203">
        <v>3</v>
      </c>
      <c r="I203">
        <v>5</v>
      </c>
      <c r="J203">
        <v>2</v>
      </c>
      <c r="K203" t="s">
        <v>110</v>
      </c>
      <c r="L203" t="s">
        <v>162</v>
      </c>
      <c r="M203" s="4">
        <v>1450000000</v>
      </c>
      <c r="N203">
        <v>0</v>
      </c>
      <c r="O203">
        <v>4.7201604000000001</v>
      </c>
      <c r="P203">
        <v>-74.076539600000004</v>
      </c>
      <c r="Q203" t="s">
        <v>2282</v>
      </c>
      <c r="R203">
        <v>7107843.1370000001</v>
      </c>
      <c r="S203">
        <v>0</v>
      </c>
      <c r="T203" t="s">
        <v>117</v>
      </c>
      <c r="U203" t="s">
        <v>118</v>
      </c>
      <c r="V203" t="s">
        <v>77</v>
      </c>
      <c r="W203" t="s">
        <v>119</v>
      </c>
      <c r="X203" t="s">
        <v>120</v>
      </c>
      <c r="Y203">
        <v>2.0519267134988999</v>
      </c>
      <c r="Z203">
        <v>2051.9267134989</v>
      </c>
      <c r="AA203">
        <v>4.73719444444444</v>
      </c>
      <c r="AB203">
        <v>-74.069472222222203</v>
      </c>
      <c r="AC203">
        <v>2555</v>
      </c>
      <c r="AD203">
        <v>0</v>
      </c>
      <c r="AE203" t="s">
        <v>80</v>
      </c>
      <c r="AF203" t="s">
        <v>107</v>
      </c>
      <c r="AG203" t="s">
        <v>82</v>
      </c>
      <c r="AH203" t="s">
        <v>83</v>
      </c>
      <c r="AI203" t="s">
        <v>121</v>
      </c>
      <c r="AJ203">
        <v>0.23672249740742499</v>
      </c>
      <c r="AK203">
        <v>5.4562476551924304</v>
      </c>
      <c r="AL203">
        <v>0.67552730086685198</v>
      </c>
      <c r="AM203">
        <v>0.43119560871638701</v>
      </c>
      <c r="AN203">
        <v>2.5421706793345602</v>
      </c>
      <c r="AO203">
        <v>2.99520643874082E-2</v>
      </c>
      <c r="AP203">
        <v>2.99520643874082E-2</v>
      </c>
      <c r="AQ203">
        <v>1</v>
      </c>
      <c r="AR203">
        <v>2</v>
      </c>
      <c r="AS203">
        <v>0</v>
      </c>
      <c r="AT203">
        <v>0</v>
      </c>
      <c r="AU203">
        <v>1</v>
      </c>
      <c r="AV203">
        <v>24</v>
      </c>
      <c r="AW203">
        <v>0</v>
      </c>
      <c r="AX203">
        <v>0</v>
      </c>
      <c r="AY203">
        <v>15.3</v>
      </c>
      <c r="AZ203">
        <v>9.8000000000000007</v>
      </c>
      <c r="BA203">
        <v>29.7</v>
      </c>
      <c r="BB203">
        <v>564</v>
      </c>
      <c r="BC203">
        <v>68</v>
      </c>
      <c r="BD203">
        <v>1.8</v>
      </c>
      <c r="BE203">
        <v>43</v>
      </c>
      <c r="BF203">
        <v>25.4</v>
      </c>
      <c r="BG203">
        <v>162</v>
      </c>
      <c r="BH203">
        <v>9.1</v>
      </c>
      <c r="BI203">
        <v>9.1999999999999993</v>
      </c>
      <c r="BJ203">
        <v>18.3</v>
      </c>
      <c r="BK203">
        <v>0.34</v>
      </c>
      <c r="BL203">
        <v>7.3</v>
      </c>
      <c r="BM203">
        <v>0.9</v>
      </c>
      <c r="BN203">
        <v>7.5</v>
      </c>
      <c r="BO203">
        <v>2.9</v>
      </c>
      <c r="BP203">
        <f t="shared" si="6"/>
        <v>8.8534924948398483</v>
      </c>
      <c r="BQ203">
        <f t="shared" si="7"/>
        <v>28.272816764640453</v>
      </c>
    </row>
    <row r="204" spans="1:69" hidden="1" x14ac:dyDescent="0.2">
      <c r="A204" t="s">
        <v>3101</v>
      </c>
      <c r="B204" t="s">
        <v>68</v>
      </c>
      <c r="C204" t="s">
        <v>1956</v>
      </c>
      <c r="D204" t="s">
        <v>70</v>
      </c>
      <c r="E204" t="s">
        <v>205</v>
      </c>
      <c r="F204">
        <v>4</v>
      </c>
      <c r="G204">
        <v>204</v>
      </c>
      <c r="H204">
        <v>5</v>
      </c>
      <c r="I204">
        <v>4</v>
      </c>
      <c r="J204">
        <v>3</v>
      </c>
      <c r="K204" t="s">
        <v>110</v>
      </c>
      <c r="L204" t="s">
        <v>162</v>
      </c>
      <c r="M204" s="4">
        <v>1100000000</v>
      </c>
      <c r="N204">
        <v>0</v>
      </c>
      <c r="O204">
        <v>4.7319899999999997</v>
      </c>
      <c r="P204">
        <v>-74.045642999999998</v>
      </c>
      <c r="Q204" t="s">
        <v>3102</v>
      </c>
      <c r="R204">
        <v>5392156.8629999999</v>
      </c>
      <c r="S204">
        <v>0</v>
      </c>
      <c r="T204" t="s">
        <v>117</v>
      </c>
      <c r="U204" t="s">
        <v>118</v>
      </c>
      <c r="V204" t="s">
        <v>77</v>
      </c>
      <c r="W204" t="s">
        <v>119</v>
      </c>
      <c r="X204" t="s">
        <v>120</v>
      </c>
      <c r="Y204">
        <v>2.7063448699246999</v>
      </c>
      <c r="Z204">
        <v>2706.3448699247001</v>
      </c>
      <c r="AA204">
        <v>4.73719444444444</v>
      </c>
      <c r="AB204">
        <v>-74.069472222222203</v>
      </c>
      <c r="AC204">
        <v>2555</v>
      </c>
      <c r="AD204">
        <v>0</v>
      </c>
      <c r="AE204" t="s">
        <v>80</v>
      </c>
      <c r="AF204" t="s">
        <v>107</v>
      </c>
      <c r="AG204" t="s">
        <v>82</v>
      </c>
      <c r="AH204" t="s">
        <v>83</v>
      </c>
      <c r="AI204" t="s">
        <v>108</v>
      </c>
      <c r="AJ204">
        <v>0.47783255963800297</v>
      </c>
      <c r="AK204">
        <v>2.6228815530453602</v>
      </c>
      <c r="AL204">
        <v>0.63642706644236502</v>
      </c>
      <c r="AM204">
        <v>0.152328529741696</v>
      </c>
      <c r="AN204">
        <v>2.3471889190958901</v>
      </c>
      <c r="AO204">
        <v>0.15492318654029599</v>
      </c>
      <c r="AP204">
        <v>0.15492318654029599</v>
      </c>
      <c r="AQ204">
        <v>2</v>
      </c>
      <c r="AR204">
        <v>3</v>
      </c>
      <c r="AS204">
        <v>0</v>
      </c>
      <c r="AT204">
        <v>0</v>
      </c>
      <c r="AU204">
        <v>1</v>
      </c>
      <c r="AV204">
        <v>25</v>
      </c>
      <c r="AW204">
        <v>0</v>
      </c>
      <c r="AX204">
        <v>0</v>
      </c>
      <c r="AY204">
        <v>15.3</v>
      </c>
      <c r="AZ204">
        <v>9.8000000000000007</v>
      </c>
      <c r="BA204">
        <v>29.7</v>
      </c>
      <c r="BB204">
        <v>564</v>
      </c>
      <c r="BC204">
        <v>68</v>
      </c>
      <c r="BD204">
        <v>1.8</v>
      </c>
      <c r="BE204">
        <v>43</v>
      </c>
      <c r="BF204">
        <v>25.4</v>
      </c>
      <c r="BG204">
        <v>162</v>
      </c>
      <c r="BH204">
        <v>9.1</v>
      </c>
      <c r="BI204">
        <v>9.1999999999999993</v>
      </c>
      <c r="BJ204">
        <v>18.3</v>
      </c>
      <c r="BK204">
        <v>0.34</v>
      </c>
      <c r="BL204">
        <v>7.3</v>
      </c>
      <c r="BM204">
        <v>0.9</v>
      </c>
      <c r="BN204">
        <v>7.5</v>
      </c>
      <c r="BO204">
        <v>2.9</v>
      </c>
      <c r="BP204">
        <f t="shared" si="6"/>
        <v>8.5712905849546903</v>
      </c>
      <c r="BQ204">
        <f t="shared" si="7"/>
        <v>27.832231871607259</v>
      </c>
    </row>
    <row r="205" spans="1:69" hidden="1" x14ac:dyDescent="0.2">
      <c r="A205" t="s">
        <v>3063</v>
      </c>
      <c r="B205" t="s">
        <v>68</v>
      </c>
      <c r="C205" t="s">
        <v>1956</v>
      </c>
      <c r="D205" t="s">
        <v>70</v>
      </c>
      <c r="E205" t="s">
        <v>1160</v>
      </c>
      <c r="F205">
        <v>5</v>
      </c>
      <c r="G205">
        <v>204</v>
      </c>
      <c r="H205">
        <v>5</v>
      </c>
      <c r="I205">
        <v>5</v>
      </c>
      <c r="J205">
        <v>2</v>
      </c>
      <c r="K205" t="s">
        <v>110</v>
      </c>
      <c r="L205" t="s">
        <v>162</v>
      </c>
      <c r="M205" s="4">
        <v>950000000</v>
      </c>
      <c r="N205">
        <v>0</v>
      </c>
      <c r="O205">
        <v>4.7298917769999997</v>
      </c>
      <c r="P205">
        <v>-74.064018250000004</v>
      </c>
      <c r="Q205" t="s">
        <v>3064</v>
      </c>
      <c r="R205">
        <v>4656862.7450000001</v>
      </c>
      <c r="S205">
        <v>0</v>
      </c>
      <c r="T205" t="s">
        <v>117</v>
      </c>
      <c r="U205" t="s">
        <v>118</v>
      </c>
      <c r="V205" t="s">
        <v>77</v>
      </c>
      <c r="W205" t="s">
        <v>119</v>
      </c>
      <c r="X205" t="s">
        <v>120</v>
      </c>
      <c r="Y205">
        <v>1.0133877353497101</v>
      </c>
      <c r="Z205">
        <v>1013.3877353497101</v>
      </c>
      <c r="AA205">
        <v>4.73719444444444</v>
      </c>
      <c r="AB205">
        <v>-74.069472222222203</v>
      </c>
      <c r="AC205">
        <v>2555</v>
      </c>
      <c r="AD205">
        <v>0</v>
      </c>
      <c r="AE205" t="s">
        <v>80</v>
      </c>
      <c r="AF205" t="s">
        <v>107</v>
      </c>
      <c r="AG205" t="s">
        <v>82</v>
      </c>
      <c r="AH205" t="s">
        <v>83</v>
      </c>
      <c r="AI205" t="s">
        <v>121</v>
      </c>
      <c r="AJ205">
        <v>1.2170581633333499</v>
      </c>
      <c r="AK205">
        <v>4.6248078640620403</v>
      </c>
      <c r="AL205">
        <v>1.6581953685472799</v>
      </c>
      <c r="AM205">
        <v>0.24770503154913101</v>
      </c>
      <c r="AN205">
        <v>2.6823205199854998</v>
      </c>
      <c r="AO205">
        <v>9.9277565395132703E-2</v>
      </c>
      <c r="AP205">
        <v>9.9277565395132703E-2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19</v>
      </c>
      <c r="AW205">
        <v>0</v>
      </c>
      <c r="AX205">
        <v>0</v>
      </c>
      <c r="AY205">
        <v>15.3</v>
      </c>
      <c r="AZ205">
        <v>9.8000000000000007</v>
      </c>
      <c r="BA205">
        <v>29.7</v>
      </c>
      <c r="BB205">
        <v>564</v>
      </c>
      <c r="BC205">
        <v>68</v>
      </c>
      <c r="BD205">
        <v>1.8</v>
      </c>
      <c r="BE205">
        <v>43</v>
      </c>
      <c r="BF205">
        <v>25.4</v>
      </c>
      <c r="BG205">
        <v>162</v>
      </c>
      <c r="BH205">
        <v>9.1</v>
      </c>
      <c r="BI205">
        <v>9.1999999999999993</v>
      </c>
      <c r="BJ205">
        <v>18.3</v>
      </c>
      <c r="BK205">
        <v>0.34</v>
      </c>
      <c r="BL205">
        <v>7.3</v>
      </c>
      <c r="BM205">
        <v>0.9</v>
      </c>
      <c r="BN205">
        <v>7.5</v>
      </c>
      <c r="BO205">
        <v>2.9</v>
      </c>
      <c r="BP205">
        <f t="shared" si="6"/>
        <v>9.3205318523929819</v>
      </c>
      <c r="BQ205">
        <f t="shared" si="7"/>
        <v>28.986370598812226</v>
      </c>
    </row>
    <row r="206" spans="1:69" hidden="1" x14ac:dyDescent="0.2">
      <c r="A206" t="s">
        <v>2244</v>
      </c>
      <c r="B206" t="s">
        <v>68</v>
      </c>
      <c r="C206" t="s">
        <v>1956</v>
      </c>
      <c r="D206" t="s">
        <v>70</v>
      </c>
      <c r="E206" t="s">
        <v>2245</v>
      </c>
      <c r="F206">
        <v>6</v>
      </c>
      <c r="G206">
        <v>200.99</v>
      </c>
      <c r="H206">
        <v>3</v>
      </c>
      <c r="I206">
        <v>3</v>
      </c>
      <c r="J206">
        <v>2</v>
      </c>
      <c r="K206" t="s">
        <v>110</v>
      </c>
      <c r="L206" t="s">
        <v>162</v>
      </c>
      <c r="M206" s="4">
        <v>1060000000</v>
      </c>
      <c r="N206">
        <v>0</v>
      </c>
      <c r="O206">
        <v>4.7121969999999997</v>
      </c>
      <c r="P206">
        <v>-74.078989000000007</v>
      </c>
      <c r="Q206" t="s">
        <v>2246</v>
      </c>
      <c r="R206">
        <v>5273894.2240000004</v>
      </c>
      <c r="S206">
        <v>0</v>
      </c>
      <c r="T206" t="s">
        <v>117</v>
      </c>
      <c r="U206" t="s">
        <v>118</v>
      </c>
      <c r="V206" t="s">
        <v>77</v>
      </c>
      <c r="W206" t="s">
        <v>119</v>
      </c>
      <c r="X206" t="s">
        <v>120</v>
      </c>
      <c r="Y206">
        <v>2.9762652293579799</v>
      </c>
      <c r="Z206">
        <v>2976.2652293579799</v>
      </c>
      <c r="AA206">
        <v>4.73719444444444</v>
      </c>
      <c r="AB206">
        <v>-74.069472222222203</v>
      </c>
      <c r="AC206">
        <v>2555</v>
      </c>
      <c r="AD206">
        <v>0</v>
      </c>
      <c r="AE206" t="s">
        <v>80</v>
      </c>
      <c r="AF206" t="s">
        <v>107</v>
      </c>
      <c r="AG206" t="s">
        <v>82</v>
      </c>
      <c r="AH206" t="s">
        <v>83</v>
      </c>
      <c r="AI206" t="s">
        <v>121</v>
      </c>
      <c r="AJ206">
        <v>0.74117082834181303</v>
      </c>
      <c r="AK206">
        <v>5.3829532574764798</v>
      </c>
      <c r="AL206">
        <v>0.98464995195092497</v>
      </c>
      <c r="AM206">
        <v>0.21288670579619701</v>
      </c>
      <c r="AN206">
        <v>3.3040578806676399</v>
      </c>
      <c r="AO206">
        <v>0.31370710982990502</v>
      </c>
      <c r="AP206">
        <v>0.31370710982990502</v>
      </c>
      <c r="AQ206">
        <v>0</v>
      </c>
      <c r="AR206">
        <v>1</v>
      </c>
      <c r="AS206">
        <v>0</v>
      </c>
      <c r="AT206">
        <v>0</v>
      </c>
      <c r="AU206">
        <v>1</v>
      </c>
      <c r="AV206">
        <v>24</v>
      </c>
      <c r="AW206">
        <v>0</v>
      </c>
      <c r="AX206">
        <v>0</v>
      </c>
      <c r="AY206">
        <v>15.3</v>
      </c>
      <c r="AZ206">
        <v>9.8000000000000007</v>
      </c>
      <c r="BA206">
        <v>29.7</v>
      </c>
      <c r="BB206">
        <v>564</v>
      </c>
      <c r="BC206">
        <v>68</v>
      </c>
      <c r="BD206">
        <v>1.8</v>
      </c>
      <c r="BE206">
        <v>43</v>
      </c>
      <c r="BF206">
        <v>25.4</v>
      </c>
      <c r="BG206">
        <v>162</v>
      </c>
      <c r="BH206">
        <v>9.1</v>
      </c>
      <c r="BI206">
        <v>9.1999999999999993</v>
      </c>
      <c r="BJ206">
        <v>18.3</v>
      </c>
      <c r="BK206">
        <v>0.34</v>
      </c>
      <c r="BL206">
        <v>7.3</v>
      </c>
      <c r="BM206">
        <v>0.9</v>
      </c>
      <c r="BN206">
        <v>7.5</v>
      </c>
      <c r="BO206">
        <v>2.9</v>
      </c>
      <c r="BP206">
        <f t="shared" si="6"/>
        <v>8.4575307443419092</v>
      </c>
      <c r="BQ206">
        <f t="shared" si="7"/>
        <v>27.652514946451014</v>
      </c>
    </row>
    <row r="207" spans="1:69" hidden="1" x14ac:dyDescent="0.2">
      <c r="A207" t="s">
        <v>678</v>
      </c>
      <c r="B207" t="s">
        <v>68</v>
      </c>
      <c r="C207" t="s">
        <v>69</v>
      </c>
      <c r="D207" t="s">
        <v>70</v>
      </c>
      <c r="E207" t="s">
        <v>679</v>
      </c>
      <c r="F207">
        <v>6</v>
      </c>
      <c r="G207">
        <v>200</v>
      </c>
      <c r="H207">
        <v>3</v>
      </c>
      <c r="I207">
        <v>4</v>
      </c>
      <c r="J207">
        <v>2</v>
      </c>
      <c r="K207" t="s">
        <v>110</v>
      </c>
      <c r="L207" t="s">
        <v>162</v>
      </c>
      <c r="M207" s="4">
        <v>1650000000</v>
      </c>
      <c r="N207">
        <v>0</v>
      </c>
      <c r="O207">
        <v>4.7073330000000002</v>
      </c>
      <c r="P207">
        <v>-74.083690000000004</v>
      </c>
      <c r="Q207" t="s">
        <v>680</v>
      </c>
      <c r="R207">
        <v>8250000</v>
      </c>
      <c r="S207">
        <v>0</v>
      </c>
      <c r="T207" t="s">
        <v>117</v>
      </c>
      <c r="U207" t="s">
        <v>118</v>
      </c>
      <c r="V207" t="s">
        <v>77</v>
      </c>
      <c r="W207" t="s">
        <v>119</v>
      </c>
      <c r="X207" t="s">
        <v>120</v>
      </c>
      <c r="Y207">
        <v>3.6794098033956799</v>
      </c>
      <c r="Z207">
        <v>3679.4098033956798</v>
      </c>
      <c r="AA207">
        <v>4.73719444444444</v>
      </c>
      <c r="AB207">
        <v>-74.069472222222203</v>
      </c>
      <c r="AC207">
        <v>2555</v>
      </c>
      <c r="AD207">
        <v>0</v>
      </c>
      <c r="AE207" t="s">
        <v>80</v>
      </c>
      <c r="AF207" t="s">
        <v>107</v>
      </c>
      <c r="AG207" t="s">
        <v>82</v>
      </c>
      <c r="AH207" t="s">
        <v>83</v>
      </c>
      <c r="AI207" t="s">
        <v>121</v>
      </c>
      <c r="AJ207">
        <v>1.3634609622389799</v>
      </c>
      <c r="AK207">
        <v>5.0729582812854002</v>
      </c>
      <c r="AL207">
        <v>0.93299811208404104</v>
      </c>
      <c r="AM207">
        <v>0.63567111805139298</v>
      </c>
      <c r="AN207">
        <v>2.8453940659598498</v>
      </c>
      <c r="AO207">
        <v>0.55089730512298896</v>
      </c>
      <c r="AP207">
        <v>0.55089730512298896</v>
      </c>
      <c r="AQ207">
        <v>0</v>
      </c>
      <c r="AR207">
        <v>0</v>
      </c>
      <c r="AS207">
        <v>0</v>
      </c>
      <c r="AT207">
        <v>0</v>
      </c>
      <c r="AU207">
        <v>2</v>
      </c>
      <c r="AV207">
        <v>9</v>
      </c>
      <c r="AW207">
        <v>0</v>
      </c>
      <c r="AX207">
        <v>0</v>
      </c>
      <c r="AY207">
        <v>15.3</v>
      </c>
      <c r="AZ207">
        <v>9.8000000000000007</v>
      </c>
      <c r="BA207">
        <v>29.7</v>
      </c>
      <c r="BB207">
        <v>564</v>
      </c>
      <c r="BC207">
        <v>68</v>
      </c>
      <c r="BD207">
        <v>1.8</v>
      </c>
      <c r="BE207">
        <v>43</v>
      </c>
      <c r="BF207">
        <v>25.4</v>
      </c>
      <c r="BG207">
        <v>162</v>
      </c>
      <c r="BH207">
        <v>9.1</v>
      </c>
      <c r="BI207">
        <v>9.1999999999999993</v>
      </c>
      <c r="BJ207">
        <v>18.3</v>
      </c>
      <c r="BK207">
        <v>0.34</v>
      </c>
      <c r="BL207">
        <v>7.3</v>
      </c>
      <c r="BM207">
        <v>0.9</v>
      </c>
      <c r="BN207">
        <v>7.5</v>
      </c>
      <c r="BO207">
        <v>2.9</v>
      </c>
      <c r="BP207">
        <f t="shared" si="6"/>
        <v>8.1682247827452912</v>
      </c>
      <c r="BQ207">
        <f t="shared" si="7"/>
        <v>27.189781172573316</v>
      </c>
    </row>
    <row r="208" spans="1:69" hidden="1" x14ac:dyDescent="0.2">
      <c r="A208" t="s">
        <v>3189</v>
      </c>
      <c r="B208" t="s">
        <v>68</v>
      </c>
      <c r="C208" t="s">
        <v>1956</v>
      </c>
      <c r="D208" t="s">
        <v>70</v>
      </c>
      <c r="E208" t="s">
        <v>378</v>
      </c>
      <c r="F208">
        <v>5</v>
      </c>
      <c r="G208">
        <v>200</v>
      </c>
      <c r="H208">
        <v>4</v>
      </c>
      <c r="I208">
        <v>4</v>
      </c>
      <c r="J208">
        <v>2</v>
      </c>
      <c r="K208" t="s">
        <v>110</v>
      </c>
      <c r="L208" t="s">
        <v>162</v>
      </c>
      <c r="M208" s="4">
        <v>1300000000</v>
      </c>
      <c r="N208">
        <v>0</v>
      </c>
      <c r="O208">
        <v>4.7201849999999999</v>
      </c>
      <c r="P208">
        <v>-74.065119999999993</v>
      </c>
      <c r="Q208" t="s">
        <v>3190</v>
      </c>
      <c r="R208">
        <v>6500000</v>
      </c>
      <c r="S208">
        <v>0</v>
      </c>
      <c r="T208" t="s">
        <v>117</v>
      </c>
      <c r="U208" t="s">
        <v>118</v>
      </c>
      <c r="V208" t="s">
        <v>77</v>
      </c>
      <c r="W208" t="s">
        <v>119</v>
      </c>
      <c r="X208" t="s">
        <v>120</v>
      </c>
      <c r="Y208">
        <v>1.95407505566972</v>
      </c>
      <c r="Z208">
        <v>1954.0750556697201</v>
      </c>
      <c r="AA208">
        <v>4.73719444444444</v>
      </c>
      <c r="AB208">
        <v>-74.069472222222203</v>
      </c>
      <c r="AC208">
        <v>2555</v>
      </c>
      <c r="AD208">
        <v>0</v>
      </c>
      <c r="AE208" t="s">
        <v>80</v>
      </c>
      <c r="AF208" t="s">
        <v>107</v>
      </c>
      <c r="AG208" t="s">
        <v>82</v>
      </c>
      <c r="AH208" t="s">
        <v>83</v>
      </c>
      <c r="AI208" t="s">
        <v>121</v>
      </c>
      <c r="AJ208">
        <v>1.0701751153474</v>
      </c>
      <c r="AK208">
        <v>4.56086541769014</v>
      </c>
      <c r="AL208">
        <v>0.78936316152889996</v>
      </c>
      <c r="AM208">
        <v>0.26888738008843199</v>
      </c>
      <c r="AN208">
        <v>3.2427888982668001</v>
      </c>
      <c r="AO208">
        <v>0.36213883434961702</v>
      </c>
      <c r="AP208">
        <v>0.36213883434961702</v>
      </c>
      <c r="AQ208">
        <v>0</v>
      </c>
      <c r="AR208">
        <v>0</v>
      </c>
      <c r="AS208">
        <v>0</v>
      </c>
      <c r="AT208">
        <v>0</v>
      </c>
      <c r="AU208">
        <v>1</v>
      </c>
      <c r="AV208">
        <v>38</v>
      </c>
      <c r="AW208">
        <v>0</v>
      </c>
      <c r="AX208">
        <v>0</v>
      </c>
      <c r="AY208">
        <v>15.3</v>
      </c>
      <c r="AZ208">
        <v>9.8000000000000007</v>
      </c>
      <c r="BA208">
        <v>29.7</v>
      </c>
      <c r="BB208">
        <v>564</v>
      </c>
      <c r="BC208">
        <v>68</v>
      </c>
      <c r="BD208">
        <v>1.8</v>
      </c>
      <c r="BE208">
        <v>43</v>
      </c>
      <c r="BF208">
        <v>25.4</v>
      </c>
      <c r="BG208">
        <v>162</v>
      </c>
      <c r="BH208">
        <v>9.1</v>
      </c>
      <c r="BI208">
        <v>9.1999999999999993</v>
      </c>
      <c r="BJ208">
        <v>18.3</v>
      </c>
      <c r="BK208">
        <v>0.34</v>
      </c>
      <c r="BL208">
        <v>7.3</v>
      </c>
      <c r="BM208">
        <v>0.9</v>
      </c>
      <c r="BN208">
        <v>7.5</v>
      </c>
      <c r="BO208">
        <v>2.9</v>
      </c>
      <c r="BP208">
        <f t="shared" si="6"/>
        <v>8.8964798001293151</v>
      </c>
      <c r="BQ208">
        <f t="shared" si="7"/>
        <v>28.339291798201657</v>
      </c>
    </row>
    <row r="209" spans="1:69" hidden="1" x14ac:dyDescent="0.2">
      <c r="A209" t="s">
        <v>2537</v>
      </c>
      <c r="B209" t="s">
        <v>68</v>
      </c>
      <c r="C209" t="s">
        <v>1956</v>
      </c>
      <c r="D209" t="s">
        <v>70</v>
      </c>
      <c r="E209" t="s">
        <v>2538</v>
      </c>
      <c r="F209">
        <v>6</v>
      </c>
      <c r="G209">
        <v>200</v>
      </c>
      <c r="H209">
        <v>4</v>
      </c>
      <c r="I209">
        <v>4</v>
      </c>
      <c r="J209">
        <v>3</v>
      </c>
      <c r="K209" t="s">
        <v>110</v>
      </c>
      <c r="L209" t="s">
        <v>162</v>
      </c>
      <c r="M209" s="4">
        <v>1100000000</v>
      </c>
      <c r="N209">
        <v>0</v>
      </c>
      <c r="O209">
        <v>4.7312599999999998</v>
      </c>
      <c r="P209">
        <v>-74.075950000000006</v>
      </c>
      <c r="Q209" t="s">
        <v>2539</v>
      </c>
      <c r="R209">
        <v>5500000</v>
      </c>
      <c r="S209">
        <v>0</v>
      </c>
      <c r="T209" t="s">
        <v>117</v>
      </c>
      <c r="U209" t="s">
        <v>118</v>
      </c>
      <c r="V209" t="s">
        <v>77</v>
      </c>
      <c r="W209" t="s">
        <v>119</v>
      </c>
      <c r="X209" t="s">
        <v>120</v>
      </c>
      <c r="Y209">
        <v>0.97614816812136496</v>
      </c>
      <c r="Z209">
        <v>976.14816812136496</v>
      </c>
      <c r="AA209">
        <v>4.73719444444444</v>
      </c>
      <c r="AB209">
        <v>-74.069472222222203</v>
      </c>
      <c r="AC209">
        <v>2555</v>
      </c>
      <c r="AD209">
        <v>0</v>
      </c>
      <c r="AE209" t="s">
        <v>80</v>
      </c>
      <c r="AF209" t="s">
        <v>107</v>
      </c>
      <c r="AG209" t="s">
        <v>82</v>
      </c>
      <c r="AH209" t="s">
        <v>83</v>
      </c>
      <c r="AI209" t="s">
        <v>121</v>
      </c>
      <c r="AJ209">
        <v>0.44186019819866401</v>
      </c>
      <c r="AK209">
        <v>5.3701182044267801</v>
      </c>
      <c r="AL209">
        <v>1.6697460770894399</v>
      </c>
      <c r="AM209">
        <v>0.88478109811060202</v>
      </c>
      <c r="AN209">
        <v>1.52854269979119</v>
      </c>
      <c r="AO209">
        <v>3.7351015274343E-3</v>
      </c>
      <c r="AP209">
        <v>3.7351015274343E-3</v>
      </c>
      <c r="AQ209">
        <v>1</v>
      </c>
      <c r="AR209">
        <v>2</v>
      </c>
      <c r="AS209">
        <v>0</v>
      </c>
      <c r="AT209">
        <v>0</v>
      </c>
      <c r="AU209">
        <v>0</v>
      </c>
      <c r="AV209">
        <v>7</v>
      </c>
      <c r="AW209">
        <v>0</v>
      </c>
      <c r="AX209">
        <v>0</v>
      </c>
      <c r="AY209">
        <v>15.3</v>
      </c>
      <c r="AZ209">
        <v>9.8000000000000007</v>
      </c>
      <c r="BA209">
        <v>29.7</v>
      </c>
      <c r="BB209">
        <v>564</v>
      </c>
      <c r="BC209">
        <v>68</v>
      </c>
      <c r="BD209">
        <v>1.8</v>
      </c>
      <c r="BE209">
        <v>43</v>
      </c>
      <c r="BF209">
        <v>25.4</v>
      </c>
      <c r="BG209">
        <v>162</v>
      </c>
      <c r="BH209">
        <v>9.1</v>
      </c>
      <c r="BI209">
        <v>9.1999999999999993</v>
      </c>
      <c r="BJ209">
        <v>18.3</v>
      </c>
      <c r="BK209">
        <v>0.34</v>
      </c>
      <c r="BL209">
        <v>7.3</v>
      </c>
      <c r="BM209">
        <v>0.9</v>
      </c>
      <c r="BN209">
        <v>7.5</v>
      </c>
      <c r="BO209">
        <v>2.9</v>
      </c>
      <c r="BP209">
        <f t="shared" si="6"/>
        <v>9.3377287799151514</v>
      </c>
      <c r="BQ209">
        <f t="shared" si="7"/>
        <v>29.012288736768745</v>
      </c>
    </row>
    <row r="210" spans="1:69" hidden="1" x14ac:dyDescent="0.2">
      <c r="A210" t="s">
        <v>608</v>
      </c>
      <c r="B210" t="s">
        <v>68</v>
      </c>
      <c r="C210" t="s">
        <v>69</v>
      </c>
      <c r="D210" t="s">
        <v>70</v>
      </c>
      <c r="E210" t="s">
        <v>174</v>
      </c>
      <c r="F210">
        <v>5</v>
      </c>
      <c r="G210">
        <v>199</v>
      </c>
      <c r="H210">
        <v>3</v>
      </c>
      <c r="I210">
        <v>5</v>
      </c>
      <c r="J210">
        <v>3</v>
      </c>
      <c r="K210" t="s">
        <v>110</v>
      </c>
      <c r="L210" t="s">
        <v>111</v>
      </c>
      <c r="M210" s="4">
        <v>1900000000</v>
      </c>
      <c r="N210">
        <v>0</v>
      </c>
      <c r="O210">
        <v>4.7355365750000002</v>
      </c>
      <c r="P210">
        <v>-74.065040589999995</v>
      </c>
      <c r="Q210" t="s">
        <v>609</v>
      </c>
      <c r="R210">
        <v>9547738.693</v>
      </c>
      <c r="S210">
        <v>0</v>
      </c>
      <c r="T210" t="s">
        <v>117</v>
      </c>
      <c r="U210" t="s">
        <v>118</v>
      </c>
      <c r="V210" t="s">
        <v>77</v>
      </c>
      <c r="W210" t="s">
        <v>119</v>
      </c>
      <c r="X210" t="s">
        <v>120</v>
      </c>
      <c r="Y210">
        <v>0.52514011988010501</v>
      </c>
      <c r="Z210">
        <v>525.14011988010498</v>
      </c>
      <c r="AA210">
        <v>4.73719444444444</v>
      </c>
      <c r="AB210">
        <v>-74.069472222222203</v>
      </c>
      <c r="AC210">
        <v>2555</v>
      </c>
      <c r="AD210">
        <v>0</v>
      </c>
      <c r="AE210" t="s">
        <v>80</v>
      </c>
      <c r="AF210" t="s">
        <v>107</v>
      </c>
      <c r="AG210" t="s">
        <v>82</v>
      </c>
      <c r="AH210" t="s">
        <v>83</v>
      </c>
      <c r="AI210" t="s">
        <v>121</v>
      </c>
      <c r="AJ210">
        <v>1.39642988508406</v>
      </c>
      <c r="AK210">
        <v>4.7828752741512499</v>
      </c>
      <c r="AL210">
        <v>2.18256968454445</v>
      </c>
      <c r="AM210">
        <v>0.28342969160300302</v>
      </c>
      <c r="AN210">
        <v>2.3394315447476499</v>
      </c>
      <c r="AO210">
        <v>0.33092933285746501</v>
      </c>
      <c r="AP210">
        <v>0.33092933285746501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16</v>
      </c>
      <c r="AW210">
        <v>0</v>
      </c>
      <c r="AX210">
        <v>0</v>
      </c>
      <c r="AY210">
        <v>15.3</v>
      </c>
      <c r="AZ210">
        <v>9.8000000000000007</v>
      </c>
      <c r="BA210">
        <v>29.7</v>
      </c>
      <c r="BB210">
        <v>564</v>
      </c>
      <c r="BC210">
        <v>68</v>
      </c>
      <c r="BD210">
        <v>1.8</v>
      </c>
      <c r="BE210">
        <v>43</v>
      </c>
      <c r="BF210">
        <v>25.4</v>
      </c>
      <c r="BG210">
        <v>162</v>
      </c>
      <c r="BH210">
        <v>9.1</v>
      </c>
      <c r="BI210">
        <v>9.1999999999999993</v>
      </c>
      <c r="BJ210">
        <v>18.3</v>
      </c>
      <c r="BK210">
        <v>0.34</v>
      </c>
      <c r="BL210">
        <v>7.3</v>
      </c>
      <c r="BM210">
        <v>0.9</v>
      </c>
      <c r="BN210">
        <v>7.5</v>
      </c>
      <c r="BO210">
        <v>2.9</v>
      </c>
      <c r="BP210">
        <f t="shared" si="6"/>
        <v>9.5485370067074253</v>
      </c>
      <c r="BQ210">
        <f t="shared" si="7"/>
        <v>29.32802908852732</v>
      </c>
    </row>
    <row r="211" spans="1:69" hidden="1" x14ac:dyDescent="0.2">
      <c r="A211" t="s">
        <v>758</v>
      </c>
      <c r="B211" t="s">
        <v>68</v>
      </c>
      <c r="C211" t="s">
        <v>69</v>
      </c>
      <c r="D211" t="s">
        <v>70</v>
      </c>
      <c r="E211" t="s">
        <v>174</v>
      </c>
      <c r="F211">
        <v>5</v>
      </c>
      <c r="G211">
        <v>199</v>
      </c>
      <c r="H211">
        <v>3</v>
      </c>
      <c r="I211">
        <v>5</v>
      </c>
      <c r="J211">
        <v>3</v>
      </c>
      <c r="K211" t="s">
        <v>110</v>
      </c>
      <c r="L211" t="s">
        <v>111</v>
      </c>
      <c r="M211" s="4">
        <v>1900000000</v>
      </c>
      <c r="N211">
        <v>0</v>
      </c>
      <c r="O211">
        <v>4.7355365750000002</v>
      </c>
      <c r="P211">
        <v>-74.065040589999995</v>
      </c>
      <c r="Q211" t="s">
        <v>759</v>
      </c>
      <c r="R211">
        <v>9547738.693</v>
      </c>
      <c r="S211">
        <v>0</v>
      </c>
      <c r="T211" t="s">
        <v>117</v>
      </c>
      <c r="U211" t="s">
        <v>118</v>
      </c>
      <c r="V211" t="s">
        <v>77</v>
      </c>
      <c r="W211" t="s">
        <v>119</v>
      </c>
      <c r="X211" t="s">
        <v>120</v>
      </c>
      <c r="Y211">
        <v>0.52514011988010501</v>
      </c>
      <c r="Z211">
        <v>525.14011988010498</v>
      </c>
      <c r="AA211">
        <v>4.73719444444444</v>
      </c>
      <c r="AB211">
        <v>-74.069472222222203</v>
      </c>
      <c r="AC211">
        <v>2555</v>
      </c>
      <c r="AD211">
        <v>0</v>
      </c>
      <c r="AE211" t="s">
        <v>80</v>
      </c>
      <c r="AF211" t="s">
        <v>107</v>
      </c>
      <c r="AG211" t="s">
        <v>82</v>
      </c>
      <c r="AH211" t="s">
        <v>83</v>
      </c>
      <c r="AI211" t="s">
        <v>121</v>
      </c>
      <c r="AJ211">
        <v>1.39642988508406</v>
      </c>
      <c r="AK211">
        <v>4.7828752741512499</v>
      </c>
      <c r="AL211">
        <v>2.18256968454445</v>
      </c>
      <c r="AM211">
        <v>0.28342969160300302</v>
      </c>
      <c r="AN211">
        <v>2.3394315447476499</v>
      </c>
      <c r="AO211">
        <v>0.33092933285746501</v>
      </c>
      <c r="AP211">
        <v>0.33092933285746501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16</v>
      </c>
      <c r="AW211">
        <v>0</v>
      </c>
      <c r="AX211">
        <v>0</v>
      </c>
      <c r="AY211">
        <v>15.3</v>
      </c>
      <c r="AZ211">
        <v>9.8000000000000007</v>
      </c>
      <c r="BA211">
        <v>29.7</v>
      </c>
      <c r="BB211">
        <v>564</v>
      </c>
      <c r="BC211">
        <v>68</v>
      </c>
      <c r="BD211">
        <v>1.8</v>
      </c>
      <c r="BE211">
        <v>43</v>
      </c>
      <c r="BF211">
        <v>25.4</v>
      </c>
      <c r="BG211">
        <v>162</v>
      </c>
      <c r="BH211">
        <v>9.1</v>
      </c>
      <c r="BI211">
        <v>9.1999999999999993</v>
      </c>
      <c r="BJ211">
        <v>18.3</v>
      </c>
      <c r="BK211">
        <v>0.34</v>
      </c>
      <c r="BL211">
        <v>7.3</v>
      </c>
      <c r="BM211">
        <v>0.9</v>
      </c>
      <c r="BN211">
        <v>7.5</v>
      </c>
      <c r="BO211">
        <v>2.9</v>
      </c>
      <c r="BP211">
        <f t="shared" si="6"/>
        <v>9.5485370067074253</v>
      </c>
      <c r="BQ211">
        <f t="shared" si="7"/>
        <v>29.32802908852732</v>
      </c>
    </row>
    <row r="212" spans="1:69" hidden="1" x14ac:dyDescent="0.2">
      <c r="A212" t="s">
        <v>760</v>
      </c>
      <c r="B212" t="s">
        <v>68</v>
      </c>
      <c r="C212" t="s">
        <v>69</v>
      </c>
      <c r="D212" t="s">
        <v>70</v>
      </c>
      <c r="E212" t="s">
        <v>174</v>
      </c>
      <c r="F212">
        <v>5</v>
      </c>
      <c r="G212">
        <v>199</v>
      </c>
      <c r="H212">
        <v>3</v>
      </c>
      <c r="I212">
        <v>5</v>
      </c>
      <c r="J212">
        <v>4</v>
      </c>
      <c r="K212" t="s">
        <v>110</v>
      </c>
      <c r="L212" t="s">
        <v>111</v>
      </c>
      <c r="M212" s="4">
        <v>1900000000</v>
      </c>
      <c r="N212">
        <v>0</v>
      </c>
      <c r="O212">
        <v>4.7355365750000002</v>
      </c>
      <c r="P212">
        <v>-74.065040589999995</v>
      </c>
      <c r="Q212" t="s">
        <v>761</v>
      </c>
      <c r="R212">
        <v>9547738.693</v>
      </c>
      <c r="S212">
        <v>0</v>
      </c>
      <c r="T212" t="s">
        <v>117</v>
      </c>
      <c r="U212" t="s">
        <v>118</v>
      </c>
      <c r="V212" t="s">
        <v>77</v>
      </c>
      <c r="W212" t="s">
        <v>119</v>
      </c>
      <c r="X212" t="s">
        <v>120</v>
      </c>
      <c r="Y212">
        <v>0.52514011988010501</v>
      </c>
      <c r="Z212">
        <v>525.14011988010498</v>
      </c>
      <c r="AA212">
        <v>4.73719444444444</v>
      </c>
      <c r="AB212">
        <v>-74.069472222222203</v>
      </c>
      <c r="AC212">
        <v>2555</v>
      </c>
      <c r="AD212">
        <v>0</v>
      </c>
      <c r="AE212" t="s">
        <v>80</v>
      </c>
      <c r="AF212" t="s">
        <v>107</v>
      </c>
      <c r="AG212" t="s">
        <v>82</v>
      </c>
      <c r="AH212" t="s">
        <v>83</v>
      </c>
      <c r="AI212" t="s">
        <v>121</v>
      </c>
      <c r="AJ212">
        <v>1.39642988508406</v>
      </c>
      <c r="AK212">
        <v>4.7828752741512499</v>
      </c>
      <c r="AL212">
        <v>2.18256968454445</v>
      </c>
      <c r="AM212">
        <v>0.28342969160300302</v>
      </c>
      <c r="AN212">
        <v>2.3394315447476499</v>
      </c>
      <c r="AO212">
        <v>0.33092933285746501</v>
      </c>
      <c r="AP212">
        <v>0.33092933285746501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16</v>
      </c>
      <c r="AW212">
        <v>0</v>
      </c>
      <c r="AX212">
        <v>0</v>
      </c>
      <c r="AY212">
        <v>15.3</v>
      </c>
      <c r="AZ212">
        <v>9.8000000000000007</v>
      </c>
      <c r="BA212">
        <v>29.7</v>
      </c>
      <c r="BB212">
        <v>564</v>
      </c>
      <c r="BC212">
        <v>68</v>
      </c>
      <c r="BD212">
        <v>1.8</v>
      </c>
      <c r="BE212">
        <v>43</v>
      </c>
      <c r="BF212">
        <v>25.4</v>
      </c>
      <c r="BG212">
        <v>162</v>
      </c>
      <c r="BH212">
        <v>9.1</v>
      </c>
      <c r="BI212">
        <v>9.1999999999999993</v>
      </c>
      <c r="BJ212">
        <v>18.3</v>
      </c>
      <c r="BK212">
        <v>0.34</v>
      </c>
      <c r="BL212">
        <v>7.3</v>
      </c>
      <c r="BM212">
        <v>0.9</v>
      </c>
      <c r="BN212">
        <v>7.5</v>
      </c>
      <c r="BO212">
        <v>2.9</v>
      </c>
      <c r="BP212">
        <f t="shared" si="6"/>
        <v>9.5485370067074253</v>
      </c>
      <c r="BQ212">
        <f t="shared" si="7"/>
        <v>29.32802908852732</v>
      </c>
    </row>
    <row r="213" spans="1:69" hidden="1" x14ac:dyDescent="0.2">
      <c r="A213" t="s">
        <v>3067</v>
      </c>
      <c r="B213" t="s">
        <v>68</v>
      </c>
      <c r="C213" t="s">
        <v>1956</v>
      </c>
      <c r="D213" t="s">
        <v>70</v>
      </c>
      <c r="E213" t="s">
        <v>1001</v>
      </c>
      <c r="F213">
        <v>5</v>
      </c>
      <c r="G213">
        <v>199</v>
      </c>
      <c r="H213">
        <v>3</v>
      </c>
      <c r="I213">
        <v>4</v>
      </c>
      <c r="J213">
        <v>3</v>
      </c>
      <c r="K213" t="s">
        <v>110</v>
      </c>
      <c r="L213" t="s">
        <v>162</v>
      </c>
      <c r="M213" s="4">
        <v>930000000</v>
      </c>
      <c r="N213">
        <v>0</v>
      </c>
      <c r="O213">
        <v>4.6987743379999998</v>
      </c>
      <c r="P213">
        <v>-74.068168639999996</v>
      </c>
      <c r="Q213" t="s">
        <v>3068</v>
      </c>
      <c r="R213">
        <v>4673366.8339999998</v>
      </c>
      <c r="S213">
        <v>0</v>
      </c>
      <c r="T213" t="s">
        <v>117</v>
      </c>
      <c r="U213" t="s">
        <v>118</v>
      </c>
      <c r="V213" t="s">
        <v>77</v>
      </c>
      <c r="W213" t="s">
        <v>119</v>
      </c>
      <c r="X213" t="s">
        <v>120</v>
      </c>
      <c r="Y213">
        <v>4.2793511701372404</v>
      </c>
      <c r="Z213">
        <v>4279.3511701372399</v>
      </c>
      <c r="AA213">
        <v>4.73719444444444</v>
      </c>
      <c r="AB213">
        <v>-74.069472222222203</v>
      </c>
      <c r="AC213">
        <v>2555</v>
      </c>
      <c r="AD213">
        <v>0</v>
      </c>
      <c r="AE213" t="s">
        <v>80</v>
      </c>
      <c r="AF213" t="s">
        <v>107</v>
      </c>
      <c r="AG213" t="s">
        <v>82</v>
      </c>
      <c r="AH213" t="s">
        <v>83</v>
      </c>
      <c r="AI213" t="s">
        <v>121</v>
      </c>
      <c r="AJ213">
        <v>0.19278411784591701</v>
      </c>
      <c r="AK213">
        <v>4.1759659586635296</v>
      </c>
      <c r="AL213">
        <v>0.191275364752785</v>
      </c>
      <c r="AM213">
        <v>0.122691635850873</v>
      </c>
      <c r="AN213">
        <v>3.1488765022786902</v>
      </c>
      <c r="AO213">
        <v>0.24099719075572201</v>
      </c>
      <c r="AP213">
        <v>0.24099719075572201</v>
      </c>
      <c r="AQ213">
        <v>1</v>
      </c>
      <c r="AR213">
        <v>3</v>
      </c>
      <c r="AS213">
        <v>0</v>
      </c>
      <c r="AT213">
        <v>0</v>
      </c>
      <c r="AU213">
        <v>1</v>
      </c>
      <c r="AV213">
        <v>49</v>
      </c>
      <c r="AW213">
        <v>0</v>
      </c>
      <c r="AX213">
        <v>0</v>
      </c>
      <c r="AY213">
        <v>15.3</v>
      </c>
      <c r="AZ213">
        <v>9.8000000000000007</v>
      </c>
      <c r="BA213">
        <v>29.7</v>
      </c>
      <c r="BB213">
        <v>564</v>
      </c>
      <c r="BC213">
        <v>68</v>
      </c>
      <c r="BD213">
        <v>1.8</v>
      </c>
      <c r="BE213">
        <v>43</v>
      </c>
      <c r="BF213">
        <v>25.4</v>
      </c>
      <c r="BG213">
        <v>162</v>
      </c>
      <c r="BH213">
        <v>9.1</v>
      </c>
      <c r="BI213">
        <v>9.1999999999999993</v>
      </c>
      <c r="BJ213">
        <v>18.3</v>
      </c>
      <c r="BK213">
        <v>0.34</v>
      </c>
      <c r="BL213">
        <v>7.3</v>
      </c>
      <c r="BM213">
        <v>0.9</v>
      </c>
      <c r="BN213">
        <v>7.5</v>
      </c>
      <c r="BO213">
        <v>2.9</v>
      </c>
      <c r="BP213">
        <f t="shared" si="6"/>
        <v>7.9292186726601059</v>
      </c>
      <c r="BQ213">
        <f t="shared" si="7"/>
        <v>26.801091591819347</v>
      </c>
    </row>
    <row r="214" spans="1:69" hidden="1" x14ac:dyDescent="0.2">
      <c r="A214" t="s">
        <v>698</v>
      </c>
      <c r="B214" t="s">
        <v>68</v>
      </c>
      <c r="C214" t="s">
        <v>69</v>
      </c>
      <c r="D214" t="s">
        <v>70</v>
      </c>
      <c r="E214" t="s">
        <v>399</v>
      </c>
      <c r="F214">
        <v>6</v>
      </c>
      <c r="G214">
        <v>198.84</v>
      </c>
      <c r="H214">
        <v>3</v>
      </c>
      <c r="I214">
        <v>4</v>
      </c>
      <c r="J214">
        <v>3</v>
      </c>
      <c r="K214" t="s">
        <v>110</v>
      </c>
      <c r="L214" t="s">
        <v>133</v>
      </c>
      <c r="M214" s="4">
        <v>2100000000</v>
      </c>
      <c r="N214">
        <v>0</v>
      </c>
      <c r="O214">
        <v>4.7286599999999996</v>
      </c>
      <c r="P214">
        <v>-74.084109999999995</v>
      </c>
      <c r="Q214" t="s">
        <v>699</v>
      </c>
      <c r="R214">
        <v>10561255.279999999</v>
      </c>
      <c r="S214">
        <v>0</v>
      </c>
      <c r="T214" t="s">
        <v>117</v>
      </c>
      <c r="U214" t="s">
        <v>118</v>
      </c>
      <c r="V214" t="s">
        <v>77</v>
      </c>
      <c r="W214" t="s">
        <v>119</v>
      </c>
      <c r="X214" t="s">
        <v>120</v>
      </c>
      <c r="Y214">
        <v>1.88140657434013</v>
      </c>
      <c r="Z214">
        <v>1881.40657434013</v>
      </c>
      <c r="AA214">
        <v>4.73719444444444</v>
      </c>
      <c r="AB214">
        <v>-74.069472222222203</v>
      </c>
      <c r="AC214">
        <v>2555</v>
      </c>
      <c r="AD214">
        <v>0</v>
      </c>
      <c r="AE214" t="s">
        <v>80</v>
      </c>
      <c r="AF214" t="s">
        <v>107</v>
      </c>
      <c r="AG214" t="s">
        <v>82</v>
      </c>
      <c r="AH214" t="s">
        <v>83</v>
      </c>
      <c r="AI214" t="s">
        <v>121</v>
      </c>
      <c r="AJ214">
        <v>0.83227801958914005</v>
      </c>
      <c r="AK214">
        <v>4.5249961485637202</v>
      </c>
      <c r="AL214">
        <v>1.91928203813802</v>
      </c>
      <c r="AM214">
        <v>0.47067251468260302</v>
      </c>
      <c r="AN214">
        <v>1.4157468861945799</v>
      </c>
      <c r="AO214">
        <v>3.5209248114829502E-3</v>
      </c>
      <c r="AP214">
        <v>3.5209248114829502E-3</v>
      </c>
      <c r="AQ214">
        <v>0</v>
      </c>
      <c r="AR214">
        <v>1</v>
      </c>
      <c r="AS214">
        <v>0</v>
      </c>
      <c r="AT214">
        <v>0</v>
      </c>
      <c r="AU214">
        <v>0</v>
      </c>
      <c r="AV214">
        <v>7</v>
      </c>
      <c r="AW214">
        <v>0</v>
      </c>
      <c r="AX214">
        <v>0</v>
      </c>
      <c r="AY214">
        <v>15.3</v>
      </c>
      <c r="AZ214">
        <v>9.8000000000000007</v>
      </c>
      <c r="BA214">
        <v>29.7</v>
      </c>
      <c r="BB214">
        <v>564</v>
      </c>
      <c r="BC214">
        <v>68</v>
      </c>
      <c r="BD214">
        <v>1.8</v>
      </c>
      <c r="BE214">
        <v>43</v>
      </c>
      <c r="BF214">
        <v>25.4</v>
      </c>
      <c r="BG214">
        <v>162</v>
      </c>
      <c r="BH214">
        <v>9.1</v>
      </c>
      <c r="BI214">
        <v>9.1999999999999993</v>
      </c>
      <c r="BJ214">
        <v>18.3</v>
      </c>
      <c r="BK214">
        <v>0.34</v>
      </c>
      <c r="BL214">
        <v>7.3</v>
      </c>
      <c r="BM214">
        <v>0.9</v>
      </c>
      <c r="BN214">
        <v>7.5</v>
      </c>
      <c r="BO214">
        <v>2.9</v>
      </c>
      <c r="BP214">
        <f t="shared" si="6"/>
        <v>8.9285388621990993</v>
      </c>
      <c r="BQ214">
        <f t="shared" si="7"/>
        <v>28.388759882035455</v>
      </c>
    </row>
    <row r="215" spans="1:69" hidden="1" x14ac:dyDescent="0.2">
      <c r="A215" t="s">
        <v>2658</v>
      </c>
      <c r="B215" t="s">
        <v>68</v>
      </c>
      <c r="C215" t="s">
        <v>1956</v>
      </c>
      <c r="D215" t="s">
        <v>70</v>
      </c>
      <c r="E215" t="s">
        <v>1767</v>
      </c>
      <c r="F215">
        <v>5</v>
      </c>
      <c r="G215">
        <v>195</v>
      </c>
      <c r="H215">
        <v>5</v>
      </c>
      <c r="I215">
        <v>5</v>
      </c>
      <c r="J215">
        <v>2</v>
      </c>
      <c r="K215" t="s">
        <v>110</v>
      </c>
      <c r="L215" t="s">
        <v>162</v>
      </c>
      <c r="M215" s="4">
        <v>1150000000</v>
      </c>
      <c r="N215">
        <v>0</v>
      </c>
      <c r="O215">
        <v>4.7296800000000001</v>
      </c>
      <c r="P215">
        <v>-74.071200000000005</v>
      </c>
      <c r="Q215" t="s">
        <v>2659</v>
      </c>
      <c r="R215">
        <v>5897435.8969999999</v>
      </c>
      <c r="S215">
        <v>0</v>
      </c>
      <c r="T215" t="s">
        <v>117</v>
      </c>
      <c r="U215" t="s">
        <v>118</v>
      </c>
      <c r="V215" t="s">
        <v>77</v>
      </c>
      <c r="W215" t="s">
        <v>119</v>
      </c>
      <c r="X215" t="s">
        <v>120</v>
      </c>
      <c r="Y215">
        <v>0.85818420885366498</v>
      </c>
      <c r="Z215">
        <v>858.18420885366504</v>
      </c>
      <c r="AA215">
        <v>4.73719444444444</v>
      </c>
      <c r="AB215">
        <v>-74.069472222222203</v>
      </c>
      <c r="AC215">
        <v>2555</v>
      </c>
      <c r="AD215">
        <v>0</v>
      </c>
      <c r="AE215" t="s">
        <v>80</v>
      </c>
      <c r="AF215" t="s">
        <v>107</v>
      </c>
      <c r="AG215" t="s">
        <v>82</v>
      </c>
      <c r="AH215" t="s">
        <v>83</v>
      </c>
      <c r="AI215" t="s">
        <v>121</v>
      </c>
      <c r="AJ215">
        <v>0.461541860331323</v>
      </c>
      <c r="AK215">
        <v>5.3959126564592399</v>
      </c>
      <c r="AL215">
        <v>1.41788905915746</v>
      </c>
      <c r="AM215">
        <v>0.33571535827840199</v>
      </c>
      <c r="AN215">
        <v>2.0320886029601799</v>
      </c>
      <c r="AO215">
        <v>0.45229591066800001</v>
      </c>
      <c r="AP215">
        <v>0.45229591066800001</v>
      </c>
      <c r="AQ215">
        <v>1</v>
      </c>
      <c r="AR215">
        <v>1</v>
      </c>
      <c r="AS215">
        <v>0</v>
      </c>
      <c r="AT215">
        <v>0</v>
      </c>
      <c r="AU215">
        <v>0</v>
      </c>
      <c r="AV215">
        <v>14</v>
      </c>
      <c r="AW215">
        <v>0</v>
      </c>
      <c r="AX215">
        <v>0</v>
      </c>
      <c r="AY215">
        <v>15.3</v>
      </c>
      <c r="AZ215">
        <v>9.8000000000000007</v>
      </c>
      <c r="BA215">
        <v>29.7</v>
      </c>
      <c r="BB215">
        <v>564</v>
      </c>
      <c r="BC215">
        <v>68</v>
      </c>
      <c r="BD215">
        <v>1.8</v>
      </c>
      <c r="BE215">
        <v>43</v>
      </c>
      <c r="BF215">
        <v>25.4</v>
      </c>
      <c r="BG215">
        <v>162</v>
      </c>
      <c r="BH215">
        <v>9.1</v>
      </c>
      <c r="BI215">
        <v>9.1999999999999993</v>
      </c>
      <c r="BJ215">
        <v>18.3</v>
      </c>
      <c r="BK215">
        <v>0.34</v>
      </c>
      <c r="BL215">
        <v>7.3</v>
      </c>
      <c r="BM215">
        <v>0.9</v>
      </c>
      <c r="BN215">
        <v>7.5</v>
      </c>
      <c r="BO215">
        <v>2.9</v>
      </c>
      <c r="BP215">
        <f t="shared" si="6"/>
        <v>9.3924132970331016</v>
      </c>
      <c r="BQ215">
        <f t="shared" si="7"/>
        <v>29.094542824765643</v>
      </c>
    </row>
    <row r="216" spans="1:69" hidden="1" x14ac:dyDescent="0.2">
      <c r="A216" t="s">
        <v>912</v>
      </c>
      <c r="B216" t="s">
        <v>68</v>
      </c>
      <c r="C216" t="s">
        <v>69</v>
      </c>
      <c r="D216" t="s">
        <v>70</v>
      </c>
      <c r="E216" t="s">
        <v>913</v>
      </c>
      <c r="F216">
        <v>6</v>
      </c>
      <c r="G216">
        <v>193</v>
      </c>
      <c r="H216">
        <v>3</v>
      </c>
      <c r="I216">
        <v>4</v>
      </c>
      <c r="J216">
        <v>2</v>
      </c>
      <c r="K216" t="s">
        <v>110</v>
      </c>
      <c r="L216" t="s">
        <v>124</v>
      </c>
      <c r="M216" s="4">
        <v>1750000000</v>
      </c>
      <c r="N216">
        <v>0</v>
      </c>
      <c r="O216">
        <v>4.7171306609999997</v>
      </c>
      <c r="P216">
        <v>-74.081291199999995</v>
      </c>
      <c r="Q216" t="s">
        <v>914</v>
      </c>
      <c r="R216">
        <v>9067357.5130000003</v>
      </c>
      <c r="S216">
        <v>0</v>
      </c>
      <c r="T216" t="s">
        <v>117</v>
      </c>
      <c r="U216" t="s">
        <v>118</v>
      </c>
      <c r="V216" t="s">
        <v>77</v>
      </c>
      <c r="W216" t="s">
        <v>119</v>
      </c>
      <c r="X216" t="s">
        <v>120</v>
      </c>
      <c r="Y216">
        <v>2.5899310000931899</v>
      </c>
      <c r="Z216">
        <v>2589.9310000931901</v>
      </c>
      <c r="AA216">
        <v>4.73719444444444</v>
      </c>
      <c r="AB216">
        <v>-74.069472222222203</v>
      </c>
      <c r="AC216">
        <v>2555</v>
      </c>
      <c r="AD216">
        <v>0</v>
      </c>
      <c r="AE216" t="s">
        <v>80</v>
      </c>
      <c r="AF216" t="s">
        <v>107</v>
      </c>
      <c r="AG216" t="s">
        <v>82</v>
      </c>
      <c r="AH216" t="s">
        <v>83</v>
      </c>
      <c r="AI216" t="s">
        <v>121</v>
      </c>
      <c r="AJ216">
        <v>0.86090773597029202</v>
      </c>
      <c r="AK216">
        <v>5.0080914366006599</v>
      </c>
      <c r="AL216">
        <v>1.09528471959044</v>
      </c>
      <c r="AM216">
        <v>0.377540660900539</v>
      </c>
      <c r="AN216">
        <v>2.7203735149309498</v>
      </c>
      <c r="AO216">
        <v>0.34457940082569199</v>
      </c>
      <c r="AP216">
        <v>0.34457940082569199</v>
      </c>
      <c r="AQ216">
        <v>0</v>
      </c>
      <c r="AR216">
        <v>1</v>
      </c>
      <c r="AS216">
        <v>0</v>
      </c>
      <c r="AT216">
        <v>0</v>
      </c>
      <c r="AU216">
        <v>0</v>
      </c>
      <c r="AV216">
        <v>10</v>
      </c>
      <c r="AW216">
        <v>0</v>
      </c>
      <c r="AX216">
        <v>0</v>
      </c>
      <c r="AY216">
        <v>15.3</v>
      </c>
      <c r="AZ216">
        <v>9.8000000000000007</v>
      </c>
      <c r="BA216">
        <v>29.7</v>
      </c>
      <c r="BB216">
        <v>564</v>
      </c>
      <c r="BC216">
        <v>68</v>
      </c>
      <c r="BD216">
        <v>1.8</v>
      </c>
      <c r="BE216">
        <v>43</v>
      </c>
      <c r="BF216">
        <v>25.4</v>
      </c>
      <c r="BG216">
        <v>162</v>
      </c>
      <c r="BH216">
        <v>9.1</v>
      </c>
      <c r="BI216">
        <v>9.1999999999999993</v>
      </c>
      <c r="BJ216">
        <v>18.3</v>
      </c>
      <c r="BK216">
        <v>0.34</v>
      </c>
      <c r="BL216">
        <v>7.3</v>
      </c>
      <c r="BM216">
        <v>0.9</v>
      </c>
      <c r="BN216">
        <v>7.5</v>
      </c>
      <c r="BO216">
        <v>2.9</v>
      </c>
      <c r="BP216">
        <f t="shared" si="6"/>
        <v>8.6208251156861682</v>
      </c>
      <c r="BQ216">
        <f t="shared" si="7"/>
        <v>27.910101990532336</v>
      </c>
    </row>
    <row r="217" spans="1:69" hidden="1" x14ac:dyDescent="0.2">
      <c r="A217" t="s">
        <v>1964</v>
      </c>
      <c r="B217" t="s">
        <v>68</v>
      </c>
      <c r="C217" t="s">
        <v>1956</v>
      </c>
      <c r="D217" t="s">
        <v>70</v>
      </c>
      <c r="E217" t="s">
        <v>913</v>
      </c>
      <c r="F217">
        <v>6</v>
      </c>
      <c r="G217">
        <v>192.5</v>
      </c>
      <c r="H217">
        <v>3</v>
      </c>
      <c r="I217">
        <v>4</v>
      </c>
      <c r="J217">
        <v>2</v>
      </c>
      <c r="K217" t="s">
        <v>110</v>
      </c>
      <c r="L217" t="s">
        <v>162</v>
      </c>
      <c r="M217" s="4">
        <v>1400000000</v>
      </c>
      <c r="N217">
        <v>0</v>
      </c>
      <c r="O217">
        <v>4.7142663000000002</v>
      </c>
      <c r="P217">
        <v>-74.08211</v>
      </c>
      <c r="Q217" t="s">
        <v>1965</v>
      </c>
      <c r="R217">
        <v>7272727.273</v>
      </c>
      <c r="S217">
        <v>0</v>
      </c>
      <c r="T217" t="s">
        <v>117</v>
      </c>
      <c r="U217" t="s">
        <v>118</v>
      </c>
      <c r="V217" t="s">
        <v>77</v>
      </c>
      <c r="W217" t="s">
        <v>119</v>
      </c>
      <c r="X217" t="s">
        <v>120</v>
      </c>
      <c r="Y217">
        <v>2.9120829499840699</v>
      </c>
      <c r="Z217">
        <v>2912.0829499840702</v>
      </c>
      <c r="AA217">
        <v>4.73719444444444</v>
      </c>
      <c r="AB217">
        <v>-74.069472222222203</v>
      </c>
      <c r="AC217">
        <v>2555</v>
      </c>
      <c r="AD217">
        <v>0</v>
      </c>
      <c r="AE217" t="s">
        <v>80</v>
      </c>
      <c r="AF217" t="s">
        <v>107</v>
      </c>
      <c r="AG217" t="s">
        <v>82</v>
      </c>
      <c r="AH217" t="s">
        <v>83</v>
      </c>
      <c r="AI217" t="s">
        <v>121</v>
      </c>
      <c r="AJ217">
        <v>1.11535213008523</v>
      </c>
      <c r="AK217">
        <v>4.9888854066022796</v>
      </c>
      <c r="AL217">
        <v>1.2195805934269299</v>
      </c>
      <c r="AM217">
        <v>0.52512435456172502</v>
      </c>
      <c r="AN217">
        <v>3.0210827875351298</v>
      </c>
      <c r="AO217">
        <v>0.49767557830792902</v>
      </c>
      <c r="AP217">
        <v>0.49767557830792902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8</v>
      </c>
      <c r="AW217">
        <v>0</v>
      </c>
      <c r="AX217">
        <v>0</v>
      </c>
      <c r="AY217">
        <v>15.3</v>
      </c>
      <c r="AZ217">
        <v>9.8000000000000007</v>
      </c>
      <c r="BA217">
        <v>29.7</v>
      </c>
      <c r="BB217">
        <v>564</v>
      </c>
      <c r="BC217">
        <v>68</v>
      </c>
      <c r="BD217">
        <v>1.8</v>
      </c>
      <c r="BE217">
        <v>43</v>
      </c>
      <c r="BF217">
        <v>25.4</v>
      </c>
      <c r="BG217">
        <v>162</v>
      </c>
      <c r="BH217">
        <v>9.1</v>
      </c>
      <c r="BI217">
        <v>9.1999999999999993</v>
      </c>
      <c r="BJ217">
        <v>18.3</v>
      </c>
      <c r="BK217">
        <v>0.34</v>
      </c>
      <c r="BL217">
        <v>7.3</v>
      </c>
      <c r="BM217">
        <v>0.9</v>
      </c>
      <c r="BN217">
        <v>7.5</v>
      </c>
      <c r="BO217">
        <v>2.9</v>
      </c>
      <c r="BP217">
        <f t="shared" si="6"/>
        <v>8.4844432407647741</v>
      </c>
      <c r="BQ217">
        <f t="shared" si="7"/>
        <v>27.695143004165526</v>
      </c>
    </row>
    <row r="218" spans="1:69" hidden="1" x14ac:dyDescent="0.2">
      <c r="A218" t="s">
        <v>2015</v>
      </c>
      <c r="B218" t="s">
        <v>68</v>
      </c>
      <c r="C218" t="s">
        <v>1956</v>
      </c>
      <c r="D218" t="s">
        <v>70</v>
      </c>
      <c r="E218" t="s">
        <v>1588</v>
      </c>
      <c r="F218">
        <v>6</v>
      </c>
      <c r="G218">
        <v>192</v>
      </c>
      <c r="H218">
        <v>4</v>
      </c>
      <c r="I218">
        <v>5</v>
      </c>
      <c r="J218">
        <v>2</v>
      </c>
      <c r="K218" t="s">
        <v>110</v>
      </c>
      <c r="L218" t="s">
        <v>133</v>
      </c>
      <c r="M218" s="4">
        <v>1400000000</v>
      </c>
      <c r="N218">
        <v>0</v>
      </c>
      <c r="O218">
        <v>4.8014950750000001</v>
      </c>
      <c r="P218">
        <v>-74.07378387</v>
      </c>
      <c r="Q218" t="s">
        <v>2016</v>
      </c>
      <c r="R218">
        <v>7291666.6670000004</v>
      </c>
      <c r="S218">
        <v>0</v>
      </c>
      <c r="T218" t="s">
        <v>151</v>
      </c>
      <c r="U218" t="s">
        <v>152</v>
      </c>
      <c r="V218" t="s">
        <v>77</v>
      </c>
      <c r="W218" t="s">
        <v>119</v>
      </c>
      <c r="X218" t="s">
        <v>153</v>
      </c>
      <c r="Y218">
        <v>3.8362090835094702</v>
      </c>
      <c r="Z218">
        <v>3836.20908350947</v>
      </c>
      <c r="AA218">
        <v>4.7837500000000004</v>
      </c>
      <c r="AB218">
        <v>-74.044138888888895</v>
      </c>
      <c r="AC218">
        <v>2580</v>
      </c>
      <c r="AD218">
        <v>0</v>
      </c>
      <c r="AE218" t="s">
        <v>154</v>
      </c>
      <c r="AF218" t="s">
        <v>107</v>
      </c>
      <c r="AG218" t="s">
        <v>82</v>
      </c>
      <c r="AH218" t="s">
        <v>83</v>
      </c>
      <c r="AI218" t="s">
        <v>121</v>
      </c>
      <c r="AJ218">
        <v>4.9252912979291299</v>
      </c>
      <c r="AK218">
        <v>0.70887886520211596</v>
      </c>
      <c r="AL218">
        <v>2.9671136308021699</v>
      </c>
      <c r="AM218">
        <v>1.1855966393237101</v>
      </c>
      <c r="AN218">
        <v>6.7616397833157897</v>
      </c>
      <c r="AO218">
        <v>2.3450867237648301</v>
      </c>
      <c r="AP218">
        <v>2.3450867237648301</v>
      </c>
      <c r="AQ218">
        <v>0</v>
      </c>
      <c r="AR218">
        <v>0</v>
      </c>
      <c r="AS218">
        <v>0</v>
      </c>
      <c r="AT218">
        <v>1</v>
      </c>
      <c r="AU218">
        <v>0</v>
      </c>
      <c r="AV218">
        <v>0</v>
      </c>
      <c r="AW218">
        <v>0</v>
      </c>
      <c r="AX218">
        <v>0</v>
      </c>
      <c r="AY218">
        <v>15.3</v>
      </c>
      <c r="AZ218">
        <v>9.8000000000000007</v>
      </c>
      <c r="BA218">
        <v>29.7</v>
      </c>
      <c r="BB218">
        <v>564</v>
      </c>
      <c r="BC218">
        <v>68</v>
      </c>
      <c r="BD218">
        <v>1.8</v>
      </c>
      <c r="BE218">
        <v>43</v>
      </c>
      <c r="BF218">
        <v>25.4</v>
      </c>
      <c r="BG218">
        <v>162</v>
      </c>
      <c r="BH218">
        <v>9.1</v>
      </c>
      <c r="BI218">
        <v>9.1999999999999993</v>
      </c>
      <c r="BJ218">
        <v>18.3</v>
      </c>
      <c r="BK218">
        <v>0.34</v>
      </c>
      <c r="BL218">
        <v>7.3</v>
      </c>
      <c r="BM218">
        <v>0.9</v>
      </c>
      <c r="BN218">
        <v>7.5</v>
      </c>
      <c r="BO218">
        <v>2.9</v>
      </c>
      <c r="BP218">
        <f t="shared" si="6"/>
        <v>8.1050719796507575</v>
      </c>
      <c r="BQ218">
        <f t="shared" si="7"/>
        <v>27.087653341199076</v>
      </c>
    </row>
    <row r="219" spans="1:69" hidden="1" x14ac:dyDescent="0.2">
      <c r="A219" t="s">
        <v>2767</v>
      </c>
      <c r="B219" t="s">
        <v>68</v>
      </c>
      <c r="C219" t="s">
        <v>1956</v>
      </c>
      <c r="D219" t="s">
        <v>70</v>
      </c>
      <c r="E219" t="s">
        <v>1025</v>
      </c>
      <c r="F219">
        <v>4</v>
      </c>
      <c r="G219">
        <v>192</v>
      </c>
      <c r="H219">
        <v>4</v>
      </c>
      <c r="I219">
        <v>3</v>
      </c>
      <c r="J219">
        <v>2</v>
      </c>
      <c r="K219" t="s">
        <v>110</v>
      </c>
      <c r="L219" t="s">
        <v>162</v>
      </c>
      <c r="M219" s="4">
        <v>650000000</v>
      </c>
      <c r="N219">
        <v>0</v>
      </c>
      <c r="O219">
        <v>4.7288497679999999</v>
      </c>
      <c r="P219">
        <v>-74.053242800000007</v>
      </c>
      <c r="Q219" t="s">
        <v>2768</v>
      </c>
      <c r="R219">
        <v>3385416.6669999999</v>
      </c>
      <c r="S219">
        <v>0</v>
      </c>
      <c r="T219" t="s">
        <v>117</v>
      </c>
      <c r="U219" t="s">
        <v>118</v>
      </c>
      <c r="V219" t="s">
        <v>77</v>
      </c>
      <c r="W219" t="s">
        <v>119</v>
      </c>
      <c r="X219" t="s">
        <v>120</v>
      </c>
      <c r="Y219">
        <v>2.0259978601268198</v>
      </c>
      <c r="Z219">
        <v>2025.9978601268199</v>
      </c>
      <c r="AA219">
        <v>4.73719444444444</v>
      </c>
      <c r="AB219">
        <v>-74.069472222222203</v>
      </c>
      <c r="AC219">
        <v>2555</v>
      </c>
      <c r="AD219">
        <v>0</v>
      </c>
      <c r="AE219" t="s">
        <v>80</v>
      </c>
      <c r="AF219" t="s">
        <v>107</v>
      </c>
      <c r="AG219" t="s">
        <v>82</v>
      </c>
      <c r="AH219" t="s">
        <v>83</v>
      </c>
      <c r="AI219" t="s">
        <v>121</v>
      </c>
      <c r="AJ219">
        <v>0.37561938092660302</v>
      </c>
      <c r="AK219">
        <v>3.4424876949698402</v>
      </c>
      <c r="AL219">
        <v>1.5373866823219799</v>
      </c>
      <c r="AM219">
        <v>0.135284361325922</v>
      </c>
      <c r="AN219">
        <v>3.2565916149146501</v>
      </c>
      <c r="AO219">
        <v>7.5012588893367399E-2</v>
      </c>
      <c r="AP219">
        <v>7.5012588893367399E-2</v>
      </c>
      <c r="AQ219">
        <v>2</v>
      </c>
      <c r="AR219">
        <v>4</v>
      </c>
      <c r="AS219">
        <v>0</v>
      </c>
      <c r="AT219">
        <v>0</v>
      </c>
      <c r="AU219">
        <v>0</v>
      </c>
      <c r="AV219">
        <v>22</v>
      </c>
      <c r="AW219">
        <v>0</v>
      </c>
      <c r="AX219">
        <v>0</v>
      </c>
      <c r="AY219">
        <v>15.3</v>
      </c>
      <c r="AZ219">
        <v>9.8000000000000007</v>
      </c>
      <c r="BA219">
        <v>29.7</v>
      </c>
      <c r="BB219">
        <v>564</v>
      </c>
      <c r="BC219">
        <v>68</v>
      </c>
      <c r="BD219">
        <v>1.8</v>
      </c>
      <c r="BE219">
        <v>43</v>
      </c>
      <c r="BF219">
        <v>25.4</v>
      </c>
      <c r="BG219">
        <v>162</v>
      </c>
      <c r="BH219">
        <v>9.1</v>
      </c>
      <c r="BI219">
        <v>9.1999999999999993</v>
      </c>
      <c r="BJ219">
        <v>18.3</v>
      </c>
      <c r="BK219">
        <v>0.34</v>
      </c>
      <c r="BL219">
        <v>7.3</v>
      </c>
      <c r="BM219">
        <v>0.9</v>
      </c>
      <c r="BN219">
        <v>7.5</v>
      </c>
      <c r="BO219">
        <v>2.9</v>
      </c>
      <c r="BP219">
        <f t="shared" si="6"/>
        <v>8.8648630551944567</v>
      </c>
      <c r="BQ219">
        <f t="shared" si="7"/>
        <v>28.290416201358422</v>
      </c>
    </row>
    <row r="220" spans="1:69" hidden="1" x14ac:dyDescent="0.2">
      <c r="A220" t="s">
        <v>691</v>
      </c>
      <c r="B220" t="s">
        <v>68</v>
      </c>
      <c r="C220" t="s">
        <v>69</v>
      </c>
      <c r="D220" t="s">
        <v>70</v>
      </c>
      <c r="E220" t="s">
        <v>557</v>
      </c>
      <c r="F220">
        <v>5</v>
      </c>
      <c r="G220">
        <v>190.17</v>
      </c>
      <c r="H220">
        <v>4</v>
      </c>
      <c r="I220">
        <v>5</v>
      </c>
      <c r="J220">
        <v>2</v>
      </c>
      <c r="K220" t="s">
        <v>110</v>
      </c>
      <c r="L220" t="s">
        <v>162</v>
      </c>
      <c r="M220" s="4">
        <v>1300000000</v>
      </c>
      <c r="N220">
        <v>0</v>
      </c>
      <c r="O220">
        <v>4.7038510000000002</v>
      </c>
      <c r="P220">
        <v>-74.069959999999995</v>
      </c>
      <c r="Q220" t="s">
        <v>692</v>
      </c>
      <c r="R220">
        <v>6835988.852</v>
      </c>
      <c r="S220">
        <v>0</v>
      </c>
      <c r="T220" t="s">
        <v>117</v>
      </c>
      <c r="U220" t="s">
        <v>118</v>
      </c>
      <c r="V220" t="s">
        <v>77</v>
      </c>
      <c r="W220" t="s">
        <v>119</v>
      </c>
      <c r="X220" t="s">
        <v>120</v>
      </c>
      <c r="Y220">
        <v>3.7121697145165702</v>
      </c>
      <c r="Z220">
        <v>3712.1697145165699</v>
      </c>
      <c r="AA220">
        <v>4.73719444444444</v>
      </c>
      <c r="AB220">
        <v>-74.069472222222203</v>
      </c>
      <c r="AC220">
        <v>2555</v>
      </c>
      <c r="AD220">
        <v>0</v>
      </c>
      <c r="AE220" t="s">
        <v>80</v>
      </c>
      <c r="AF220" t="s">
        <v>107</v>
      </c>
      <c r="AG220" t="s">
        <v>82</v>
      </c>
      <c r="AH220" t="s">
        <v>83</v>
      </c>
      <c r="AI220" t="s">
        <v>121</v>
      </c>
      <c r="AJ220">
        <v>0.34139455197177898</v>
      </c>
      <c r="AK220">
        <v>4.6619638387271101</v>
      </c>
      <c r="AL220">
        <v>0.66712385387451101</v>
      </c>
      <c r="AM220">
        <v>0.26777174852784102</v>
      </c>
      <c r="AN220">
        <v>3.5723784409783499</v>
      </c>
      <c r="AO220">
        <v>0.27387222909891601</v>
      </c>
      <c r="AP220">
        <v>0.27387222909891601</v>
      </c>
      <c r="AQ220">
        <v>1</v>
      </c>
      <c r="AR220">
        <v>3</v>
      </c>
      <c r="AS220">
        <v>0</v>
      </c>
      <c r="AT220">
        <v>0</v>
      </c>
      <c r="AU220">
        <v>1</v>
      </c>
      <c r="AV220">
        <v>39</v>
      </c>
      <c r="AW220">
        <v>0</v>
      </c>
      <c r="AX220">
        <v>0</v>
      </c>
      <c r="AY220">
        <v>15.3</v>
      </c>
      <c r="AZ220">
        <v>9.8000000000000007</v>
      </c>
      <c r="BA220">
        <v>29.7</v>
      </c>
      <c r="BB220">
        <v>564</v>
      </c>
      <c r="BC220">
        <v>68</v>
      </c>
      <c r="BD220">
        <v>1.8</v>
      </c>
      <c r="BE220">
        <v>43</v>
      </c>
      <c r="BF220">
        <v>25.4</v>
      </c>
      <c r="BG220">
        <v>162</v>
      </c>
      <c r="BH220">
        <v>9.1</v>
      </c>
      <c r="BI220">
        <v>9.1999999999999993</v>
      </c>
      <c r="BJ220">
        <v>18.3</v>
      </c>
      <c r="BK220">
        <v>0.34</v>
      </c>
      <c r="BL220">
        <v>7.3</v>
      </c>
      <c r="BM220">
        <v>0.9</v>
      </c>
      <c r="BN220">
        <v>7.5</v>
      </c>
      <c r="BO220">
        <v>2.9</v>
      </c>
      <c r="BP220">
        <f t="shared" si="6"/>
        <v>8.1549897959401374</v>
      </c>
      <c r="BQ220">
        <f t="shared" si="7"/>
        <v>27.168411938773897</v>
      </c>
    </row>
    <row r="221" spans="1:69" hidden="1" x14ac:dyDescent="0.2">
      <c r="A221" t="s">
        <v>2509</v>
      </c>
      <c r="B221" t="s">
        <v>68</v>
      </c>
      <c r="C221" t="s">
        <v>1956</v>
      </c>
      <c r="D221" t="s">
        <v>70</v>
      </c>
      <c r="E221" t="s">
        <v>1724</v>
      </c>
      <c r="F221">
        <v>6</v>
      </c>
      <c r="G221">
        <v>190</v>
      </c>
      <c r="H221">
        <v>5</v>
      </c>
      <c r="I221">
        <v>5</v>
      </c>
      <c r="J221">
        <v>2</v>
      </c>
      <c r="K221" t="s">
        <v>110</v>
      </c>
      <c r="L221" t="s">
        <v>162</v>
      </c>
      <c r="M221" s="4">
        <v>1260000000</v>
      </c>
      <c r="N221">
        <v>0</v>
      </c>
      <c r="O221">
        <v>4.7637252810000001</v>
      </c>
      <c r="P221">
        <v>-74.062408450000007</v>
      </c>
      <c r="Q221" t="s">
        <v>2510</v>
      </c>
      <c r="R221">
        <v>6631578.9469999997</v>
      </c>
      <c r="S221">
        <v>0</v>
      </c>
      <c r="T221" t="s">
        <v>151</v>
      </c>
      <c r="U221" t="s">
        <v>152</v>
      </c>
      <c r="V221" t="s">
        <v>77</v>
      </c>
      <c r="W221" t="s">
        <v>119</v>
      </c>
      <c r="X221" t="s">
        <v>153</v>
      </c>
      <c r="Y221">
        <v>3.0127393472225399</v>
      </c>
      <c r="Z221">
        <v>3012.7393472225399</v>
      </c>
      <c r="AA221">
        <v>4.7837500000000004</v>
      </c>
      <c r="AB221">
        <v>-74.044138888888895</v>
      </c>
      <c r="AC221">
        <v>2580</v>
      </c>
      <c r="AD221">
        <v>0</v>
      </c>
      <c r="AE221" t="s">
        <v>154</v>
      </c>
      <c r="AF221" t="s">
        <v>107</v>
      </c>
      <c r="AG221" t="s">
        <v>82</v>
      </c>
      <c r="AH221" t="s">
        <v>83</v>
      </c>
      <c r="AI221" t="s">
        <v>121</v>
      </c>
      <c r="AJ221">
        <v>1.99217033229164</v>
      </c>
      <c r="AK221">
        <v>4.1553341229734899</v>
      </c>
      <c r="AL221">
        <v>1.5109710873370701</v>
      </c>
      <c r="AM221">
        <v>0.50121330975045797</v>
      </c>
      <c r="AN221">
        <v>3.5394076284362002</v>
      </c>
      <c r="AO221">
        <v>1.1287310531034401E-2</v>
      </c>
      <c r="AP221">
        <v>1.1287310531034401E-2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5</v>
      </c>
      <c r="AW221">
        <v>0</v>
      </c>
      <c r="AX221">
        <v>1</v>
      </c>
      <c r="AY221">
        <v>15.3</v>
      </c>
      <c r="AZ221">
        <v>9.8000000000000007</v>
      </c>
      <c r="BA221">
        <v>29.7</v>
      </c>
      <c r="BB221">
        <v>564</v>
      </c>
      <c r="BC221">
        <v>68</v>
      </c>
      <c r="BD221">
        <v>1.8</v>
      </c>
      <c r="BE221">
        <v>43</v>
      </c>
      <c r="BF221">
        <v>25.4</v>
      </c>
      <c r="BG221">
        <v>162</v>
      </c>
      <c r="BH221">
        <v>9.1</v>
      </c>
      <c r="BI221">
        <v>9.1999999999999993</v>
      </c>
      <c r="BJ221">
        <v>18.3</v>
      </c>
      <c r="BK221">
        <v>0.34</v>
      </c>
      <c r="BL221">
        <v>7.3</v>
      </c>
      <c r="BM221">
        <v>0.9</v>
      </c>
      <c r="BN221">
        <v>7.5</v>
      </c>
      <c r="BO221">
        <v>2.9</v>
      </c>
      <c r="BP221">
        <f t="shared" si="6"/>
        <v>8.4422747124571487</v>
      </c>
      <c r="BQ221">
        <f t="shared" si="7"/>
        <v>27.628319112110855</v>
      </c>
    </row>
    <row r="222" spans="1:69" hidden="1" x14ac:dyDescent="0.2">
      <c r="A222" t="s">
        <v>2396</v>
      </c>
      <c r="B222" t="s">
        <v>68</v>
      </c>
      <c r="C222" t="s">
        <v>1956</v>
      </c>
      <c r="D222" t="s">
        <v>70</v>
      </c>
      <c r="E222" t="s">
        <v>267</v>
      </c>
      <c r="F222">
        <v>5</v>
      </c>
      <c r="G222">
        <v>190</v>
      </c>
      <c r="H222">
        <v>4</v>
      </c>
      <c r="I222">
        <v>5</v>
      </c>
      <c r="J222">
        <v>3</v>
      </c>
      <c r="K222" t="s">
        <v>110</v>
      </c>
      <c r="L222" t="s">
        <v>124</v>
      </c>
      <c r="M222" s="4">
        <v>1220000000</v>
      </c>
      <c r="N222">
        <v>0</v>
      </c>
      <c r="O222">
        <v>4.7896046639999996</v>
      </c>
      <c r="P222">
        <v>-74.059707639999999</v>
      </c>
      <c r="Q222" t="s">
        <v>2397</v>
      </c>
      <c r="R222">
        <v>6421052.6320000002</v>
      </c>
      <c r="S222">
        <v>0</v>
      </c>
      <c r="T222" t="s">
        <v>151</v>
      </c>
      <c r="U222" t="s">
        <v>152</v>
      </c>
      <c r="V222" t="s">
        <v>77</v>
      </c>
      <c r="W222" t="s">
        <v>119</v>
      </c>
      <c r="X222" t="s">
        <v>153</v>
      </c>
      <c r="Y222">
        <v>1.8459420270606299</v>
      </c>
      <c r="Z222">
        <v>1845.9420270606299</v>
      </c>
      <c r="AA222">
        <v>4.7837500000000004</v>
      </c>
      <c r="AB222">
        <v>-74.044138888888895</v>
      </c>
      <c r="AC222">
        <v>2580</v>
      </c>
      <c r="AD222">
        <v>0</v>
      </c>
      <c r="AE222" t="s">
        <v>154</v>
      </c>
      <c r="AF222" t="s">
        <v>107</v>
      </c>
      <c r="AG222" t="s">
        <v>82</v>
      </c>
      <c r="AH222" t="s">
        <v>83</v>
      </c>
      <c r="AI222" t="s">
        <v>121</v>
      </c>
      <c r="AJ222">
        <v>2.9114436023930099</v>
      </c>
      <c r="AK222">
        <v>2.7469534235438799</v>
      </c>
      <c r="AL222">
        <v>1.8165562989067601</v>
      </c>
      <c r="AM222">
        <v>2.1857132931166001</v>
      </c>
      <c r="AN222">
        <v>6.0349730126462298</v>
      </c>
      <c r="AO222">
        <v>0.85609003953282703</v>
      </c>
      <c r="AP222">
        <v>0.85609003953282703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15.3</v>
      </c>
      <c r="AZ222">
        <v>9.8000000000000007</v>
      </c>
      <c r="BA222">
        <v>29.7</v>
      </c>
      <c r="BB222">
        <v>564</v>
      </c>
      <c r="BC222">
        <v>68</v>
      </c>
      <c r="BD222">
        <v>1.8</v>
      </c>
      <c r="BE222">
        <v>43</v>
      </c>
      <c r="BF222">
        <v>25.4</v>
      </c>
      <c r="BG222">
        <v>162</v>
      </c>
      <c r="BH222">
        <v>9.1</v>
      </c>
      <c r="BI222">
        <v>9.1999999999999993</v>
      </c>
      <c r="BJ222">
        <v>18.3</v>
      </c>
      <c r="BK222">
        <v>0.34</v>
      </c>
      <c r="BL222">
        <v>7.3</v>
      </c>
      <c r="BM222">
        <v>0.9</v>
      </c>
      <c r="BN222">
        <v>7.5</v>
      </c>
      <c r="BO222">
        <v>2.9</v>
      </c>
      <c r="BP222">
        <f t="shared" si="6"/>
        <v>8.9442266342100982</v>
      </c>
      <c r="BQ222">
        <f t="shared" si="7"/>
        <v>28.412933236549996</v>
      </c>
    </row>
    <row r="223" spans="1:69" hidden="1" x14ac:dyDescent="0.2">
      <c r="A223" t="s">
        <v>3030</v>
      </c>
      <c r="B223" t="s">
        <v>68</v>
      </c>
      <c r="C223" t="s">
        <v>1956</v>
      </c>
      <c r="D223" t="s">
        <v>70</v>
      </c>
      <c r="E223" t="s">
        <v>267</v>
      </c>
      <c r="F223">
        <v>5</v>
      </c>
      <c r="G223">
        <v>190</v>
      </c>
      <c r="H223">
        <v>3</v>
      </c>
      <c r="I223">
        <v>3</v>
      </c>
      <c r="J223">
        <v>2</v>
      </c>
      <c r="K223" t="s">
        <v>110</v>
      </c>
      <c r="L223" t="s">
        <v>162</v>
      </c>
      <c r="M223" s="4">
        <v>890000000</v>
      </c>
      <c r="N223">
        <v>0</v>
      </c>
      <c r="O223">
        <v>4.7561200000000001</v>
      </c>
      <c r="P223">
        <v>-74.070040000000006</v>
      </c>
      <c r="Q223" t="s">
        <v>3031</v>
      </c>
      <c r="R223">
        <v>4684210.5259999996</v>
      </c>
      <c r="S223">
        <v>0</v>
      </c>
      <c r="T223" t="s">
        <v>117</v>
      </c>
      <c r="U223" t="s">
        <v>118</v>
      </c>
      <c r="V223" t="s">
        <v>77</v>
      </c>
      <c r="W223" t="s">
        <v>119</v>
      </c>
      <c r="X223" t="s">
        <v>120</v>
      </c>
      <c r="Y223">
        <v>2.1077245945301302</v>
      </c>
      <c r="Z223">
        <v>2107.7245945301302</v>
      </c>
      <c r="AA223">
        <v>4.73719444444444</v>
      </c>
      <c r="AB223">
        <v>-74.069472222222203</v>
      </c>
      <c r="AC223">
        <v>2555</v>
      </c>
      <c r="AD223">
        <v>0</v>
      </c>
      <c r="AE223" t="s">
        <v>80</v>
      </c>
      <c r="AF223" t="s">
        <v>107</v>
      </c>
      <c r="AG223" t="s">
        <v>82</v>
      </c>
      <c r="AH223" t="s">
        <v>83</v>
      </c>
      <c r="AI223" t="s">
        <v>121</v>
      </c>
      <c r="AJ223">
        <v>2.5810246551867202</v>
      </c>
      <c r="AK223">
        <v>4.3009854849078701</v>
      </c>
      <c r="AL223">
        <v>1.8585215137100299</v>
      </c>
      <c r="AM223">
        <v>0.585010149575375</v>
      </c>
      <c r="AN223">
        <v>2.3469263076964699</v>
      </c>
      <c r="AO223">
        <v>7.6888103817429497E-3</v>
      </c>
      <c r="AP223">
        <v>7.6888103817429497E-3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13</v>
      </c>
      <c r="AW223">
        <v>0</v>
      </c>
      <c r="AX223">
        <v>1</v>
      </c>
      <c r="AY223">
        <v>15.3</v>
      </c>
      <c r="AZ223">
        <v>9.8000000000000007</v>
      </c>
      <c r="BA223">
        <v>29.7</v>
      </c>
      <c r="BB223">
        <v>564</v>
      </c>
      <c r="BC223">
        <v>68</v>
      </c>
      <c r="BD223">
        <v>1.8</v>
      </c>
      <c r="BE223">
        <v>43</v>
      </c>
      <c r="BF223">
        <v>25.4</v>
      </c>
      <c r="BG223">
        <v>162</v>
      </c>
      <c r="BH223">
        <v>9.1</v>
      </c>
      <c r="BI223">
        <v>9.1999999999999993</v>
      </c>
      <c r="BJ223">
        <v>18.3</v>
      </c>
      <c r="BK223">
        <v>0.34</v>
      </c>
      <c r="BL223">
        <v>7.3</v>
      </c>
      <c r="BM223">
        <v>0.9</v>
      </c>
      <c r="BN223">
        <v>7.5</v>
      </c>
      <c r="BO223">
        <v>2.9</v>
      </c>
      <c r="BP223">
        <f t="shared" si="6"/>
        <v>8.8290729307357108</v>
      </c>
      <c r="BQ223">
        <f t="shared" si="7"/>
        <v>28.23498058604789</v>
      </c>
    </row>
    <row r="224" spans="1:69" hidden="1" x14ac:dyDescent="0.2">
      <c r="A224" t="s">
        <v>2007</v>
      </c>
      <c r="B224" t="s">
        <v>68</v>
      </c>
      <c r="C224" t="s">
        <v>1956</v>
      </c>
      <c r="D224" t="s">
        <v>70</v>
      </c>
      <c r="E224" t="s">
        <v>1588</v>
      </c>
      <c r="F224">
        <v>6</v>
      </c>
      <c r="G224">
        <v>189</v>
      </c>
      <c r="H224">
        <v>3</v>
      </c>
      <c r="I224">
        <v>5</v>
      </c>
      <c r="J224">
        <v>2</v>
      </c>
      <c r="K224" t="s">
        <v>110</v>
      </c>
      <c r="L224" t="s">
        <v>124</v>
      </c>
      <c r="M224" s="4">
        <v>1250000000</v>
      </c>
      <c r="N224">
        <v>0</v>
      </c>
      <c r="O224">
        <v>4.7993497850000004</v>
      </c>
      <c r="P224">
        <v>-74.073463439999998</v>
      </c>
      <c r="Q224" t="s">
        <v>2008</v>
      </c>
      <c r="R224">
        <v>6613756.6140000001</v>
      </c>
      <c r="S224">
        <v>0</v>
      </c>
      <c r="T224" t="s">
        <v>151</v>
      </c>
      <c r="U224" t="s">
        <v>152</v>
      </c>
      <c r="V224" t="s">
        <v>77</v>
      </c>
      <c r="W224" t="s">
        <v>119</v>
      </c>
      <c r="X224" t="s">
        <v>153</v>
      </c>
      <c r="Y224">
        <v>3.68748649960598</v>
      </c>
      <c r="Z224">
        <v>3687.48649960598</v>
      </c>
      <c r="AA224">
        <v>4.7837500000000004</v>
      </c>
      <c r="AB224">
        <v>-74.044138888888895</v>
      </c>
      <c r="AC224">
        <v>2580</v>
      </c>
      <c r="AD224">
        <v>0</v>
      </c>
      <c r="AE224" t="s">
        <v>154</v>
      </c>
      <c r="AF224" t="s">
        <v>107</v>
      </c>
      <c r="AG224" t="s">
        <v>82</v>
      </c>
      <c r="AH224" t="s">
        <v>83</v>
      </c>
      <c r="AI224" t="s">
        <v>121</v>
      </c>
      <c r="AJ224">
        <v>4.7292455351642797</v>
      </c>
      <c r="AK224">
        <v>0.91214576968735905</v>
      </c>
      <c r="AL224">
        <v>2.92834642743804</v>
      </c>
      <c r="AM224">
        <v>1.01129049368951</v>
      </c>
      <c r="AN224">
        <v>6.5360308208408</v>
      </c>
      <c r="AO224">
        <v>2.2443034556205599</v>
      </c>
      <c r="AP224">
        <v>2.2443034556205599</v>
      </c>
      <c r="AQ224">
        <v>0</v>
      </c>
      <c r="AR224">
        <v>0</v>
      </c>
      <c r="AS224">
        <v>0</v>
      </c>
      <c r="AT224">
        <v>1</v>
      </c>
      <c r="AU224">
        <v>0</v>
      </c>
      <c r="AV224">
        <v>0</v>
      </c>
      <c r="AW224">
        <v>0</v>
      </c>
      <c r="AX224">
        <v>0</v>
      </c>
      <c r="AY224">
        <v>15.3</v>
      </c>
      <c r="AZ224">
        <v>9.8000000000000007</v>
      </c>
      <c r="BA224">
        <v>29.7</v>
      </c>
      <c r="BB224">
        <v>564</v>
      </c>
      <c r="BC224">
        <v>68</v>
      </c>
      <c r="BD224">
        <v>1.8</v>
      </c>
      <c r="BE224">
        <v>43</v>
      </c>
      <c r="BF224">
        <v>25.4</v>
      </c>
      <c r="BG224">
        <v>162</v>
      </c>
      <c r="BH224">
        <v>9.1</v>
      </c>
      <c r="BI224">
        <v>9.1999999999999993</v>
      </c>
      <c r="BJ224">
        <v>18.3</v>
      </c>
      <c r="BK224">
        <v>0.34</v>
      </c>
      <c r="BL224">
        <v>7.3</v>
      </c>
      <c r="BM224">
        <v>0.9</v>
      </c>
      <c r="BN224">
        <v>7.5</v>
      </c>
      <c r="BO224">
        <v>2.9</v>
      </c>
      <c r="BP224">
        <f t="shared" si="6"/>
        <v>8.1649598080791304</v>
      </c>
      <c r="BQ224">
        <f t="shared" si="7"/>
        <v>27.184511196896398</v>
      </c>
    </row>
    <row r="225" spans="1:69" hidden="1" x14ac:dyDescent="0.2">
      <c r="A225" t="s">
        <v>2001</v>
      </c>
      <c r="B225" t="s">
        <v>68</v>
      </c>
      <c r="C225" t="s">
        <v>1956</v>
      </c>
      <c r="D225" t="s">
        <v>70</v>
      </c>
      <c r="E225" t="s">
        <v>1588</v>
      </c>
      <c r="F225">
        <v>6</v>
      </c>
      <c r="G225">
        <v>189</v>
      </c>
      <c r="H225">
        <v>4</v>
      </c>
      <c r="I225">
        <v>4</v>
      </c>
      <c r="J225">
        <v>2</v>
      </c>
      <c r="K225" t="s">
        <v>110</v>
      </c>
      <c r="L225" t="s">
        <v>124</v>
      </c>
      <c r="M225" s="4">
        <v>1250000000</v>
      </c>
      <c r="N225">
        <v>0</v>
      </c>
      <c r="O225">
        <v>4.8008189200000002</v>
      </c>
      <c r="P225">
        <v>-74.070663449999998</v>
      </c>
      <c r="Q225" t="s">
        <v>2002</v>
      </c>
      <c r="R225">
        <v>6613756.6140000001</v>
      </c>
      <c r="S225">
        <v>0</v>
      </c>
      <c r="T225" t="s">
        <v>151</v>
      </c>
      <c r="U225" t="s">
        <v>152</v>
      </c>
      <c r="V225" t="s">
        <v>77</v>
      </c>
      <c r="W225" t="s">
        <v>119</v>
      </c>
      <c r="X225" t="s">
        <v>153</v>
      </c>
      <c r="Y225">
        <v>3.5025681294718498</v>
      </c>
      <c r="Z225">
        <v>3502.5681294718502</v>
      </c>
      <c r="AA225">
        <v>4.7837500000000004</v>
      </c>
      <c r="AB225">
        <v>-74.044138888888895</v>
      </c>
      <c r="AC225">
        <v>2580</v>
      </c>
      <c r="AD225">
        <v>0</v>
      </c>
      <c r="AE225" t="s">
        <v>154</v>
      </c>
      <c r="AF225" t="s">
        <v>107</v>
      </c>
      <c r="AG225" t="s">
        <v>82</v>
      </c>
      <c r="AH225" t="s">
        <v>83</v>
      </c>
      <c r="AI225" t="s">
        <v>121</v>
      </c>
      <c r="AJ225">
        <v>4.6396870211077799</v>
      </c>
      <c r="AK225">
        <v>1.01807335943719</v>
      </c>
      <c r="AL225">
        <v>2.6182647166667099</v>
      </c>
      <c r="AM225">
        <v>1.3406266469619601</v>
      </c>
      <c r="AN225">
        <v>6.76291041323325</v>
      </c>
      <c r="AO225">
        <v>1.9941339011497801</v>
      </c>
      <c r="AP225">
        <v>1.9941339011497801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15.3</v>
      </c>
      <c r="AZ225">
        <v>9.8000000000000007</v>
      </c>
      <c r="BA225">
        <v>29.7</v>
      </c>
      <c r="BB225">
        <v>564</v>
      </c>
      <c r="BC225">
        <v>68</v>
      </c>
      <c r="BD225">
        <v>1.8</v>
      </c>
      <c r="BE225">
        <v>43</v>
      </c>
      <c r="BF225">
        <v>25.4</v>
      </c>
      <c r="BG225">
        <v>162</v>
      </c>
      <c r="BH225">
        <v>9.1</v>
      </c>
      <c r="BI225">
        <v>9.1999999999999993</v>
      </c>
      <c r="BJ225">
        <v>18.3</v>
      </c>
      <c r="BK225">
        <v>0.34</v>
      </c>
      <c r="BL225">
        <v>7.3</v>
      </c>
      <c r="BM225">
        <v>0.9</v>
      </c>
      <c r="BN225">
        <v>7.5</v>
      </c>
      <c r="BO225">
        <v>2.9</v>
      </c>
      <c r="BP225">
        <f t="shared" si="6"/>
        <v>8.2400405355131277</v>
      </c>
      <c r="BQ225">
        <f t="shared" si="7"/>
        <v>27.305425281341279</v>
      </c>
    </row>
    <row r="226" spans="1:69" hidden="1" x14ac:dyDescent="0.2">
      <c r="A226" t="s">
        <v>2021</v>
      </c>
      <c r="B226" t="s">
        <v>68</v>
      </c>
      <c r="C226" t="s">
        <v>1956</v>
      </c>
      <c r="D226" t="s">
        <v>70</v>
      </c>
      <c r="E226" t="s">
        <v>1588</v>
      </c>
      <c r="F226">
        <v>6</v>
      </c>
      <c r="G226">
        <v>189</v>
      </c>
      <c r="H226">
        <v>4</v>
      </c>
      <c r="I226">
        <v>4</v>
      </c>
      <c r="J226">
        <v>2</v>
      </c>
      <c r="K226" t="s">
        <v>110</v>
      </c>
      <c r="L226" t="s">
        <v>124</v>
      </c>
      <c r="M226" s="4">
        <v>1000000000</v>
      </c>
      <c r="N226">
        <v>0</v>
      </c>
      <c r="O226">
        <v>4.80037117</v>
      </c>
      <c r="P226">
        <v>-74.073196409999994</v>
      </c>
      <c r="Q226" t="s">
        <v>2022</v>
      </c>
      <c r="R226">
        <v>5291005.2910000002</v>
      </c>
      <c r="S226">
        <v>0</v>
      </c>
      <c r="T226" t="s">
        <v>151</v>
      </c>
      <c r="U226" t="s">
        <v>152</v>
      </c>
      <c r="V226" t="s">
        <v>77</v>
      </c>
      <c r="W226" t="s">
        <v>119</v>
      </c>
      <c r="X226" t="s">
        <v>153</v>
      </c>
      <c r="Y226">
        <v>3.71665467420747</v>
      </c>
      <c r="Z226">
        <v>3716.6546742074702</v>
      </c>
      <c r="AA226">
        <v>4.7837500000000004</v>
      </c>
      <c r="AB226">
        <v>-74.044138888888895</v>
      </c>
      <c r="AC226">
        <v>2580</v>
      </c>
      <c r="AD226">
        <v>0</v>
      </c>
      <c r="AE226" t="s">
        <v>154</v>
      </c>
      <c r="AF226" t="s">
        <v>107</v>
      </c>
      <c r="AG226" t="s">
        <v>82</v>
      </c>
      <c r="AH226" t="s">
        <v>83</v>
      </c>
      <c r="AI226" t="s">
        <v>121</v>
      </c>
      <c r="AJ226">
        <v>4.7900787504893296</v>
      </c>
      <c r="AK226">
        <v>0.84384938832921597</v>
      </c>
      <c r="AL226">
        <v>2.8979209628964102</v>
      </c>
      <c r="AM226">
        <v>1.11843236761011</v>
      </c>
      <c r="AN226">
        <v>6.6525565572955196</v>
      </c>
      <c r="AO226">
        <v>2.2450882786661999</v>
      </c>
      <c r="AP226">
        <v>2.2450882786661999</v>
      </c>
      <c r="AQ226">
        <v>0</v>
      </c>
      <c r="AR226">
        <v>0</v>
      </c>
      <c r="AS226">
        <v>0</v>
      </c>
      <c r="AT226">
        <v>1</v>
      </c>
      <c r="AU226">
        <v>0</v>
      </c>
      <c r="AV226">
        <v>0</v>
      </c>
      <c r="AW226">
        <v>0</v>
      </c>
      <c r="AX226">
        <v>0</v>
      </c>
      <c r="AY226">
        <v>15.3</v>
      </c>
      <c r="AZ226">
        <v>9.8000000000000007</v>
      </c>
      <c r="BA226">
        <v>29.7</v>
      </c>
      <c r="BB226">
        <v>564</v>
      </c>
      <c r="BC226">
        <v>68</v>
      </c>
      <c r="BD226">
        <v>1.8</v>
      </c>
      <c r="BE226">
        <v>43</v>
      </c>
      <c r="BF226">
        <v>25.4</v>
      </c>
      <c r="BG226">
        <v>162</v>
      </c>
      <c r="BH226">
        <v>9.1</v>
      </c>
      <c r="BI226">
        <v>9.1999999999999993</v>
      </c>
      <c r="BJ226">
        <v>18.3</v>
      </c>
      <c r="BK226">
        <v>0.34</v>
      </c>
      <c r="BL226">
        <v>7.3</v>
      </c>
      <c r="BM226">
        <v>0.9</v>
      </c>
      <c r="BN226">
        <v>7.5</v>
      </c>
      <c r="BO226">
        <v>2.9</v>
      </c>
      <c r="BP226">
        <f t="shared" si="6"/>
        <v>8.1531795442650239</v>
      </c>
      <c r="BQ226">
        <f t="shared" si="7"/>
        <v>27.165487714579182</v>
      </c>
    </row>
    <row r="227" spans="1:69" hidden="1" x14ac:dyDescent="0.2">
      <c r="A227" t="s">
        <v>3258</v>
      </c>
      <c r="B227" t="s">
        <v>68</v>
      </c>
      <c r="C227" t="s">
        <v>1956</v>
      </c>
      <c r="D227" t="s">
        <v>70</v>
      </c>
      <c r="E227" t="s">
        <v>1588</v>
      </c>
      <c r="F227">
        <v>5</v>
      </c>
      <c r="G227">
        <v>188</v>
      </c>
      <c r="H227">
        <v>4</v>
      </c>
      <c r="I227">
        <v>4</v>
      </c>
      <c r="J227">
        <v>2</v>
      </c>
      <c r="K227" t="s">
        <v>110</v>
      </c>
      <c r="L227" t="s">
        <v>124</v>
      </c>
      <c r="M227" s="4">
        <v>1000000000</v>
      </c>
      <c r="N227">
        <v>0</v>
      </c>
      <c r="O227">
        <v>4.8003678320000001</v>
      </c>
      <c r="P227">
        <v>-74.073195499999997</v>
      </c>
      <c r="Q227" t="s">
        <v>3259</v>
      </c>
      <c r="R227">
        <v>5319148.9359999998</v>
      </c>
      <c r="S227">
        <v>0</v>
      </c>
      <c r="T227" t="s">
        <v>151</v>
      </c>
      <c r="U227" t="s">
        <v>152</v>
      </c>
      <c r="V227" t="s">
        <v>77</v>
      </c>
      <c r="W227" t="s">
        <v>119</v>
      </c>
      <c r="X227" t="s">
        <v>153</v>
      </c>
      <c r="Y227">
        <v>3.7163821568160902</v>
      </c>
      <c r="Z227">
        <v>3716.3821568160902</v>
      </c>
      <c r="AA227">
        <v>4.7837500000000004</v>
      </c>
      <c r="AB227">
        <v>-74.044138888888895</v>
      </c>
      <c r="AC227">
        <v>2580</v>
      </c>
      <c r="AD227">
        <v>0</v>
      </c>
      <c r="AE227" t="s">
        <v>154</v>
      </c>
      <c r="AF227" t="s">
        <v>107</v>
      </c>
      <c r="AG227" t="s">
        <v>82</v>
      </c>
      <c r="AH227" t="s">
        <v>83</v>
      </c>
      <c r="AI227" t="s">
        <v>121</v>
      </c>
      <c r="AJ227">
        <v>4.7897410542473997</v>
      </c>
      <c r="AK227">
        <v>0.84419079927652396</v>
      </c>
      <c r="AL227">
        <v>2.89781564545682</v>
      </c>
      <c r="AM227">
        <v>1.11819758850741</v>
      </c>
      <c r="AN227">
        <v>6.65221563245845</v>
      </c>
      <c r="AO227">
        <v>2.2448864016089098</v>
      </c>
      <c r="AP227">
        <v>2.2448864016089098</v>
      </c>
      <c r="AQ227">
        <v>0</v>
      </c>
      <c r="AR227">
        <v>0</v>
      </c>
      <c r="AS227">
        <v>0</v>
      </c>
      <c r="AT227">
        <v>1</v>
      </c>
      <c r="AU227">
        <v>0</v>
      </c>
      <c r="AV227">
        <v>0</v>
      </c>
      <c r="AW227">
        <v>0</v>
      </c>
      <c r="AX227">
        <v>0</v>
      </c>
      <c r="AY227">
        <v>15.3</v>
      </c>
      <c r="AZ227">
        <v>9.8000000000000007</v>
      </c>
      <c r="BA227">
        <v>29.7</v>
      </c>
      <c r="BB227">
        <v>564</v>
      </c>
      <c r="BC227">
        <v>68</v>
      </c>
      <c r="BD227">
        <v>1.8</v>
      </c>
      <c r="BE227">
        <v>43</v>
      </c>
      <c r="BF227">
        <v>25.4</v>
      </c>
      <c r="BG227">
        <v>162</v>
      </c>
      <c r="BH227">
        <v>9.1</v>
      </c>
      <c r="BI227">
        <v>9.1999999999999993</v>
      </c>
      <c r="BJ227">
        <v>18.3</v>
      </c>
      <c r="BK227">
        <v>0.34</v>
      </c>
      <c r="BL227">
        <v>7.3</v>
      </c>
      <c r="BM227">
        <v>0.9</v>
      </c>
      <c r="BN227">
        <v>7.5</v>
      </c>
      <c r="BO227">
        <v>2.9</v>
      </c>
      <c r="BP227">
        <f t="shared" si="6"/>
        <v>8.1532895282262743</v>
      </c>
      <c r="BQ227">
        <f t="shared" si="7"/>
        <v>27.165665388788554</v>
      </c>
    </row>
    <row r="228" spans="1:69" hidden="1" x14ac:dyDescent="0.2">
      <c r="A228" t="s">
        <v>876</v>
      </c>
      <c r="B228" t="s">
        <v>68</v>
      </c>
      <c r="C228" t="s">
        <v>69</v>
      </c>
      <c r="D228" t="s">
        <v>70</v>
      </c>
      <c r="E228" t="s">
        <v>349</v>
      </c>
      <c r="F228">
        <v>6</v>
      </c>
      <c r="G228">
        <v>180.73</v>
      </c>
      <c r="H228">
        <v>3</v>
      </c>
      <c r="I228">
        <v>4</v>
      </c>
      <c r="J228">
        <v>2</v>
      </c>
      <c r="K228" t="s">
        <v>110</v>
      </c>
      <c r="L228" t="s">
        <v>162</v>
      </c>
      <c r="M228" s="4">
        <v>1000000000</v>
      </c>
      <c r="N228">
        <v>0</v>
      </c>
      <c r="O228">
        <v>4.7330959999999997</v>
      </c>
      <c r="P228">
        <v>-74.075622999999993</v>
      </c>
      <c r="Q228" t="s">
        <v>877</v>
      </c>
      <c r="R228">
        <v>5533115.6969999997</v>
      </c>
      <c r="S228">
        <v>0</v>
      </c>
      <c r="T228" t="s">
        <v>117</v>
      </c>
      <c r="U228" t="s">
        <v>118</v>
      </c>
      <c r="V228" t="s">
        <v>77</v>
      </c>
      <c r="W228" t="s">
        <v>119</v>
      </c>
      <c r="X228" t="s">
        <v>120</v>
      </c>
      <c r="Y228">
        <v>0.82083695779694499</v>
      </c>
      <c r="Z228">
        <v>820.83695779694494</v>
      </c>
      <c r="AA228">
        <v>4.73719444444444</v>
      </c>
      <c r="AB228">
        <v>-74.069472222222203</v>
      </c>
      <c r="AC228">
        <v>2555</v>
      </c>
      <c r="AD228">
        <v>0</v>
      </c>
      <c r="AE228" t="s">
        <v>80</v>
      </c>
      <c r="AF228" t="s">
        <v>107</v>
      </c>
      <c r="AG228" t="s">
        <v>82</v>
      </c>
      <c r="AH228" t="s">
        <v>83</v>
      </c>
      <c r="AI228" t="s">
        <v>121</v>
      </c>
      <c r="AJ228">
        <v>0.63124085023128396</v>
      </c>
      <c r="AK228">
        <v>5.2740734828074904</v>
      </c>
      <c r="AL228">
        <v>1.85479003696849</v>
      </c>
      <c r="AM228">
        <v>0.82567854276744901</v>
      </c>
      <c r="AN228">
        <v>1.4137954585611501</v>
      </c>
      <c r="AO228">
        <v>0.116237467374137</v>
      </c>
      <c r="AP228">
        <v>0.116237467374137</v>
      </c>
      <c r="AQ228">
        <v>0</v>
      </c>
      <c r="AR228">
        <v>2</v>
      </c>
      <c r="AS228">
        <v>0</v>
      </c>
      <c r="AT228">
        <v>0</v>
      </c>
      <c r="AU228">
        <v>0</v>
      </c>
      <c r="AV228">
        <v>7</v>
      </c>
      <c r="AW228">
        <v>0</v>
      </c>
      <c r="AX228">
        <v>0</v>
      </c>
      <c r="AY228">
        <v>15.3</v>
      </c>
      <c r="AZ228">
        <v>9.8000000000000007</v>
      </c>
      <c r="BA228">
        <v>29.7</v>
      </c>
      <c r="BB228">
        <v>564</v>
      </c>
      <c r="BC228">
        <v>68</v>
      </c>
      <c r="BD228">
        <v>1.8</v>
      </c>
      <c r="BE228">
        <v>43</v>
      </c>
      <c r="BF228">
        <v>25.4</v>
      </c>
      <c r="BG228">
        <v>162</v>
      </c>
      <c r="BH228">
        <v>9.1</v>
      </c>
      <c r="BI228">
        <v>9.1999999999999993</v>
      </c>
      <c r="BJ228">
        <v>18.3</v>
      </c>
      <c r="BK228">
        <v>0.34</v>
      </c>
      <c r="BL228">
        <v>7.3</v>
      </c>
      <c r="BM228">
        <v>0.9</v>
      </c>
      <c r="BN228">
        <v>7.5</v>
      </c>
      <c r="BO228">
        <v>2.9</v>
      </c>
      <c r="BP228">
        <f t="shared" si="6"/>
        <v>9.4097930073852538</v>
      </c>
      <c r="BQ228">
        <f t="shared" si="7"/>
        <v>29.120632944436039</v>
      </c>
    </row>
    <row r="229" spans="1:69" hidden="1" x14ac:dyDescent="0.2">
      <c r="A229" t="s">
        <v>1943</v>
      </c>
      <c r="B229" t="s">
        <v>68</v>
      </c>
      <c r="C229" t="s">
        <v>69</v>
      </c>
      <c r="D229" t="s">
        <v>70</v>
      </c>
      <c r="E229" t="s">
        <v>1767</v>
      </c>
      <c r="F229">
        <v>4</v>
      </c>
      <c r="G229">
        <v>179.87</v>
      </c>
      <c r="H229">
        <v>2</v>
      </c>
      <c r="I229">
        <v>3</v>
      </c>
      <c r="J229">
        <v>2</v>
      </c>
      <c r="K229" t="s">
        <v>110</v>
      </c>
      <c r="L229" t="s">
        <v>124</v>
      </c>
      <c r="M229" s="4">
        <v>1150000000</v>
      </c>
      <c r="N229">
        <v>0</v>
      </c>
      <c r="O229">
        <v>4.7249100000000004</v>
      </c>
      <c r="P229">
        <v>-74.059700000000007</v>
      </c>
      <c r="Q229" t="s">
        <v>1944</v>
      </c>
      <c r="R229">
        <v>6393506.4210000001</v>
      </c>
      <c r="S229">
        <v>0</v>
      </c>
      <c r="T229" t="s">
        <v>117</v>
      </c>
      <c r="U229" t="s">
        <v>118</v>
      </c>
      <c r="V229" t="s">
        <v>77</v>
      </c>
      <c r="W229" t="s">
        <v>119</v>
      </c>
      <c r="X229" t="s">
        <v>120</v>
      </c>
      <c r="Y229">
        <v>1.7451057298349899</v>
      </c>
      <c r="Z229">
        <v>1745.1057298349899</v>
      </c>
      <c r="AA229">
        <v>4.73719444444444</v>
      </c>
      <c r="AB229">
        <v>-74.069472222222203</v>
      </c>
      <c r="AC229">
        <v>2555</v>
      </c>
      <c r="AD229">
        <v>0</v>
      </c>
      <c r="AE229" t="s">
        <v>80</v>
      </c>
      <c r="AF229" t="s">
        <v>107</v>
      </c>
      <c r="AG229" t="s">
        <v>82</v>
      </c>
      <c r="AH229" t="s">
        <v>83</v>
      </c>
      <c r="AI229" t="s">
        <v>121</v>
      </c>
      <c r="AJ229">
        <v>1.0033683699559801</v>
      </c>
      <c r="AK229">
        <v>4.0483556940102696</v>
      </c>
      <c r="AL229">
        <v>1.5750121752447399</v>
      </c>
      <c r="AM229">
        <v>0.36520564830233998</v>
      </c>
      <c r="AN229">
        <v>3.37489171660184</v>
      </c>
      <c r="AO229">
        <v>0.18785593072627901</v>
      </c>
      <c r="AP229">
        <v>0.18785593072627901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16</v>
      </c>
      <c r="AW229">
        <v>0</v>
      </c>
      <c r="AX229">
        <v>0</v>
      </c>
      <c r="AY229">
        <v>15.3</v>
      </c>
      <c r="AZ229">
        <v>9.8000000000000007</v>
      </c>
      <c r="BA229">
        <v>29.7</v>
      </c>
      <c r="BB229">
        <v>564</v>
      </c>
      <c r="BC229">
        <v>68</v>
      </c>
      <c r="BD229">
        <v>1.8</v>
      </c>
      <c r="BE229">
        <v>43</v>
      </c>
      <c r="BF229">
        <v>25.4</v>
      </c>
      <c r="BG229">
        <v>162</v>
      </c>
      <c r="BH229">
        <v>9.1</v>
      </c>
      <c r="BI229">
        <v>9.1999999999999993</v>
      </c>
      <c r="BJ229">
        <v>18.3</v>
      </c>
      <c r="BK229">
        <v>0.34</v>
      </c>
      <c r="BL229">
        <v>7.3</v>
      </c>
      <c r="BM229">
        <v>0.9</v>
      </c>
      <c r="BN229">
        <v>7.5</v>
      </c>
      <c r="BO229">
        <v>2.9</v>
      </c>
      <c r="BP229">
        <f t="shared" si="6"/>
        <v>8.9889824216540344</v>
      </c>
      <c r="BQ229">
        <f t="shared" si="7"/>
        <v>28.481777826893893</v>
      </c>
    </row>
    <row r="230" spans="1:69" hidden="1" x14ac:dyDescent="0.2">
      <c r="A230" t="s">
        <v>2150</v>
      </c>
      <c r="B230" t="s">
        <v>68</v>
      </c>
      <c r="C230" t="s">
        <v>1956</v>
      </c>
      <c r="D230" t="s">
        <v>70</v>
      </c>
      <c r="E230" t="s">
        <v>267</v>
      </c>
      <c r="F230">
        <v>6</v>
      </c>
      <c r="G230">
        <v>176</v>
      </c>
      <c r="H230">
        <v>3</v>
      </c>
      <c r="I230">
        <v>4</v>
      </c>
      <c r="J230">
        <v>3</v>
      </c>
      <c r="K230" t="s">
        <v>110</v>
      </c>
      <c r="L230" t="s">
        <v>133</v>
      </c>
      <c r="M230" s="4">
        <v>1297000000</v>
      </c>
      <c r="N230">
        <v>0</v>
      </c>
      <c r="O230">
        <v>4.7952165600000001</v>
      </c>
      <c r="P230">
        <v>-74.059173580000007</v>
      </c>
      <c r="Q230" t="s">
        <v>2151</v>
      </c>
      <c r="R230">
        <v>7369318.182</v>
      </c>
      <c r="S230">
        <v>0</v>
      </c>
      <c r="T230" t="s">
        <v>151</v>
      </c>
      <c r="U230" t="s">
        <v>152</v>
      </c>
      <c r="V230" t="s">
        <v>77</v>
      </c>
      <c r="W230" t="s">
        <v>119</v>
      </c>
      <c r="X230" t="s">
        <v>153</v>
      </c>
      <c r="Y230">
        <v>2.1002188565624702</v>
      </c>
      <c r="Z230">
        <v>2100.2188565624701</v>
      </c>
      <c r="AA230">
        <v>4.7837500000000004</v>
      </c>
      <c r="AB230">
        <v>-74.044138888888895</v>
      </c>
      <c r="AC230">
        <v>2580</v>
      </c>
      <c r="AD230">
        <v>0</v>
      </c>
      <c r="AE230" t="s">
        <v>154</v>
      </c>
      <c r="AF230" t="s">
        <v>107</v>
      </c>
      <c r="AG230" t="s">
        <v>82</v>
      </c>
      <c r="AH230" t="s">
        <v>83</v>
      </c>
      <c r="AI230" t="s">
        <v>121</v>
      </c>
      <c r="AJ230">
        <v>3.3914627939464101</v>
      </c>
      <c r="AK230">
        <v>2.41531329087905</v>
      </c>
      <c r="AL230">
        <v>1.4455702223675</v>
      </c>
      <c r="AM230">
        <v>2.2486728413527199</v>
      </c>
      <c r="AN230">
        <v>6.61445205805627</v>
      </c>
      <c r="AO230">
        <v>0.60140228220639602</v>
      </c>
      <c r="AP230">
        <v>0.60140228220639602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15.3</v>
      </c>
      <c r="AZ230">
        <v>9.8000000000000007</v>
      </c>
      <c r="BA230">
        <v>29.7</v>
      </c>
      <c r="BB230">
        <v>564</v>
      </c>
      <c r="BC230">
        <v>68</v>
      </c>
      <c r="BD230">
        <v>1.8</v>
      </c>
      <c r="BE230">
        <v>43</v>
      </c>
      <c r="BF230">
        <v>25.4</v>
      </c>
      <c r="BG230">
        <v>162</v>
      </c>
      <c r="BH230">
        <v>9.1</v>
      </c>
      <c r="BI230">
        <v>9.1999999999999993</v>
      </c>
      <c r="BJ230">
        <v>18.3</v>
      </c>
      <c r="BK230">
        <v>0.34</v>
      </c>
      <c r="BL230">
        <v>7.3</v>
      </c>
      <c r="BM230">
        <v>0.9</v>
      </c>
      <c r="BN230">
        <v>7.5</v>
      </c>
      <c r="BO230">
        <v>2.9</v>
      </c>
      <c r="BP230">
        <f t="shared" si="6"/>
        <v>8.832353841224732</v>
      </c>
      <c r="BQ230">
        <f t="shared" si="7"/>
        <v>28.240067228961465</v>
      </c>
    </row>
    <row r="231" spans="1:69" hidden="1" x14ac:dyDescent="0.2">
      <c r="A231" t="s">
        <v>965</v>
      </c>
      <c r="B231" t="s">
        <v>68</v>
      </c>
      <c r="C231" t="s">
        <v>69</v>
      </c>
      <c r="D231" t="s">
        <v>70</v>
      </c>
      <c r="E231" t="s">
        <v>913</v>
      </c>
      <c r="F231">
        <v>6</v>
      </c>
      <c r="G231">
        <v>176</v>
      </c>
      <c r="H231">
        <v>3</v>
      </c>
      <c r="I231">
        <v>4</v>
      </c>
      <c r="J231">
        <v>2</v>
      </c>
      <c r="K231" t="s">
        <v>110</v>
      </c>
      <c r="L231" t="s">
        <v>162</v>
      </c>
      <c r="M231" s="4">
        <v>1295000000</v>
      </c>
      <c r="N231">
        <v>0</v>
      </c>
      <c r="O231">
        <v>4.7162179950000001</v>
      </c>
      <c r="P231">
        <v>-74.08265686</v>
      </c>
      <c r="Q231" t="s">
        <v>966</v>
      </c>
      <c r="R231">
        <v>7357954.5449999999</v>
      </c>
      <c r="S231">
        <v>0</v>
      </c>
      <c r="T231" t="s">
        <v>117</v>
      </c>
      <c r="U231" t="s">
        <v>118</v>
      </c>
      <c r="V231" t="s">
        <v>77</v>
      </c>
      <c r="W231" t="s">
        <v>119</v>
      </c>
      <c r="X231" t="s">
        <v>120</v>
      </c>
      <c r="Y231">
        <v>2.7553895160222401</v>
      </c>
      <c r="Z231">
        <v>2755.3895160222401</v>
      </c>
      <c r="AA231">
        <v>4.73719444444444</v>
      </c>
      <c r="AB231">
        <v>-74.069472222222203</v>
      </c>
      <c r="AC231">
        <v>2555</v>
      </c>
      <c r="AD231">
        <v>0</v>
      </c>
      <c r="AE231" t="s">
        <v>80</v>
      </c>
      <c r="AF231" t="s">
        <v>107</v>
      </c>
      <c r="AG231" t="s">
        <v>82</v>
      </c>
      <c r="AH231" t="s">
        <v>83</v>
      </c>
      <c r="AI231" t="s">
        <v>121</v>
      </c>
      <c r="AJ231">
        <v>1.04278561932869</v>
      </c>
      <c r="AK231">
        <v>4.8798650049623502</v>
      </c>
      <c r="AL231">
        <v>1.2482369393287001</v>
      </c>
      <c r="AM231">
        <v>0.52396241500997898</v>
      </c>
      <c r="AN231">
        <v>2.7999825141311998</v>
      </c>
      <c r="AO231">
        <v>0.32870577670410001</v>
      </c>
      <c r="AP231">
        <v>0.32870577670410001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6</v>
      </c>
      <c r="AW231">
        <v>0</v>
      </c>
      <c r="AX231">
        <v>0</v>
      </c>
      <c r="AY231">
        <v>15.3</v>
      </c>
      <c r="AZ231">
        <v>9.8000000000000007</v>
      </c>
      <c r="BA231">
        <v>29.7</v>
      </c>
      <c r="BB231">
        <v>564</v>
      </c>
      <c r="BC231">
        <v>68</v>
      </c>
      <c r="BD231">
        <v>1.8</v>
      </c>
      <c r="BE231">
        <v>43</v>
      </c>
      <c r="BF231">
        <v>25.4</v>
      </c>
      <c r="BG231">
        <v>162</v>
      </c>
      <c r="BH231">
        <v>9.1</v>
      </c>
      <c r="BI231">
        <v>9.1999999999999993</v>
      </c>
      <c r="BJ231">
        <v>18.3</v>
      </c>
      <c r="BK231">
        <v>0.34</v>
      </c>
      <c r="BL231">
        <v>7.3</v>
      </c>
      <c r="BM231">
        <v>0.9</v>
      </c>
      <c r="BN231">
        <v>7.5</v>
      </c>
      <c r="BO231">
        <v>2.9</v>
      </c>
      <c r="BP231">
        <f t="shared" si="6"/>
        <v>8.5505072154489561</v>
      </c>
      <c r="BQ231">
        <f t="shared" si="7"/>
        <v>27.79949061769209</v>
      </c>
    </row>
    <row r="232" spans="1:69" hidden="1" x14ac:dyDescent="0.2">
      <c r="A232" t="s">
        <v>722</v>
      </c>
      <c r="B232" t="s">
        <v>68</v>
      </c>
      <c r="C232" t="s">
        <v>69</v>
      </c>
      <c r="D232" t="s">
        <v>70</v>
      </c>
      <c r="E232" t="s">
        <v>532</v>
      </c>
      <c r="F232">
        <v>6</v>
      </c>
      <c r="G232">
        <v>175.57</v>
      </c>
      <c r="H232">
        <v>3</v>
      </c>
      <c r="I232">
        <v>4</v>
      </c>
      <c r="J232">
        <v>2</v>
      </c>
      <c r="K232" t="s">
        <v>110</v>
      </c>
      <c r="L232" t="s">
        <v>162</v>
      </c>
      <c r="M232" s="4">
        <v>1580000000</v>
      </c>
      <c r="N232">
        <v>0</v>
      </c>
      <c r="O232">
        <v>4.7173210000000001</v>
      </c>
      <c r="P232">
        <v>-74.079070000000002</v>
      </c>
      <c r="Q232" t="s">
        <v>723</v>
      </c>
      <c r="R232">
        <v>8999259.5549999997</v>
      </c>
      <c r="S232">
        <v>0</v>
      </c>
      <c r="T232" t="s">
        <v>117</v>
      </c>
      <c r="U232" t="s">
        <v>118</v>
      </c>
      <c r="V232" t="s">
        <v>77</v>
      </c>
      <c r="W232" t="s">
        <v>119</v>
      </c>
      <c r="X232" t="s">
        <v>120</v>
      </c>
      <c r="Y232">
        <v>2.4552080505038698</v>
      </c>
      <c r="Z232">
        <v>2455.2080505038698</v>
      </c>
      <c r="AA232">
        <v>4.73719444444444</v>
      </c>
      <c r="AB232">
        <v>-74.069472222222203</v>
      </c>
      <c r="AC232">
        <v>2555</v>
      </c>
      <c r="AD232">
        <v>0</v>
      </c>
      <c r="AE232" t="s">
        <v>80</v>
      </c>
      <c r="AF232" t="s">
        <v>107</v>
      </c>
      <c r="AG232" t="s">
        <v>82</v>
      </c>
      <c r="AH232" t="s">
        <v>83</v>
      </c>
      <c r="AI232" t="s">
        <v>121</v>
      </c>
      <c r="AJ232">
        <v>0.65092317192593996</v>
      </c>
      <c r="AK232">
        <v>5.2465165171586099</v>
      </c>
      <c r="AL232">
        <v>0.85015638776680202</v>
      </c>
      <c r="AM232">
        <v>0.15328535901126999</v>
      </c>
      <c r="AN232">
        <v>2.75102889499437</v>
      </c>
      <c r="AO232">
        <v>0.28399613184809103</v>
      </c>
      <c r="AP232">
        <v>0.28399613184809103</v>
      </c>
      <c r="AQ232">
        <v>0</v>
      </c>
      <c r="AR232">
        <v>2</v>
      </c>
      <c r="AS232">
        <v>0</v>
      </c>
      <c r="AT232">
        <v>0</v>
      </c>
      <c r="AU232">
        <v>1</v>
      </c>
      <c r="AV232">
        <v>21</v>
      </c>
      <c r="AW232">
        <v>0</v>
      </c>
      <c r="AX232">
        <v>0</v>
      </c>
      <c r="AY232">
        <v>15.3</v>
      </c>
      <c r="AZ232">
        <v>9.8000000000000007</v>
      </c>
      <c r="BA232">
        <v>29.7</v>
      </c>
      <c r="BB232">
        <v>564</v>
      </c>
      <c r="BC232">
        <v>68</v>
      </c>
      <c r="BD232">
        <v>1.8</v>
      </c>
      <c r="BE232">
        <v>43</v>
      </c>
      <c r="BF232">
        <v>25.4</v>
      </c>
      <c r="BG232">
        <v>162</v>
      </c>
      <c r="BH232">
        <v>9.1</v>
      </c>
      <c r="BI232">
        <v>9.1999999999999993</v>
      </c>
      <c r="BJ232">
        <v>18.3</v>
      </c>
      <c r="BK232">
        <v>0.34</v>
      </c>
      <c r="BL232">
        <v>7.3</v>
      </c>
      <c r="BM232">
        <v>0.9</v>
      </c>
      <c r="BN232">
        <v>7.5</v>
      </c>
      <c r="BO232">
        <v>2.9</v>
      </c>
      <c r="BP232">
        <f t="shared" si="6"/>
        <v>8.6785076761174267</v>
      </c>
      <c r="BQ232">
        <f t="shared" si="7"/>
        <v>28.000491192106338</v>
      </c>
    </row>
    <row r="233" spans="1:69" hidden="1" x14ac:dyDescent="0.2">
      <c r="A233" t="s">
        <v>1379</v>
      </c>
      <c r="B233" t="s">
        <v>68</v>
      </c>
      <c r="C233" t="s">
        <v>69</v>
      </c>
      <c r="D233" t="s">
        <v>70</v>
      </c>
      <c r="E233" t="s">
        <v>1380</v>
      </c>
      <c r="F233">
        <v>5</v>
      </c>
      <c r="G233">
        <v>175</v>
      </c>
      <c r="H233">
        <v>3</v>
      </c>
      <c r="I233">
        <v>3</v>
      </c>
      <c r="J233">
        <v>2</v>
      </c>
      <c r="K233" t="s">
        <v>110</v>
      </c>
      <c r="L233" t="s">
        <v>124</v>
      </c>
      <c r="M233" s="4">
        <v>1250000000</v>
      </c>
      <c r="N233">
        <v>0</v>
      </c>
      <c r="O233">
        <v>4.7450515610000004</v>
      </c>
      <c r="P233">
        <v>-74.068158409999995</v>
      </c>
      <c r="Q233" t="s">
        <v>1381</v>
      </c>
      <c r="R233">
        <v>7142857.1430000002</v>
      </c>
      <c r="S233">
        <v>0</v>
      </c>
      <c r="T233" t="s">
        <v>117</v>
      </c>
      <c r="U233" t="s">
        <v>118</v>
      </c>
      <c r="V233" t="s">
        <v>77</v>
      </c>
      <c r="W233" t="s">
        <v>119</v>
      </c>
      <c r="X233" t="s">
        <v>120</v>
      </c>
      <c r="Y233">
        <v>0.88671121650524398</v>
      </c>
      <c r="Z233">
        <v>886.71121650524401</v>
      </c>
      <c r="AA233">
        <v>4.73719444444444</v>
      </c>
      <c r="AB233">
        <v>-74.069472222222203</v>
      </c>
      <c r="AC233">
        <v>2555</v>
      </c>
      <c r="AD233">
        <v>0</v>
      </c>
      <c r="AE233" t="s">
        <v>80</v>
      </c>
      <c r="AF233" t="s">
        <v>107</v>
      </c>
      <c r="AG233" t="s">
        <v>82</v>
      </c>
      <c r="AH233" t="s">
        <v>83</v>
      </c>
      <c r="AI233" t="s">
        <v>121</v>
      </c>
      <c r="AJ233">
        <v>1.7706531786814099</v>
      </c>
      <c r="AK233">
        <v>5.2869131366024096</v>
      </c>
      <c r="AL233">
        <v>1.8674251934483199</v>
      </c>
      <c r="AM233">
        <v>0.62318105288456205</v>
      </c>
      <c r="AN233">
        <v>1.9437936190826901</v>
      </c>
      <c r="AO233">
        <v>0.11236527521020299</v>
      </c>
      <c r="AP233">
        <v>0.11236527521020299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14</v>
      </c>
      <c r="AW233">
        <v>0</v>
      </c>
      <c r="AX233">
        <v>0</v>
      </c>
      <c r="AY233">
        <v>15.3</v>
      </c>
      <c r="AZ233">
        <v>9.8000000000000007</v>
      </c>
      <c r="BA233">
        <v>29.7</v>
      </c>
      <c r="BB233">
        <v>564</v>
      </c>
      <c r="BC233">
        <v>68</v>
      </c>
      <c r="BD233">
        <v>1.8</v>
      </c>
      <c r="BE233">
        <v>43</v>
      </c>
      <c r="BF233">
        <v>25.4</v>
      </c>
      <c r="BG233">
        <v>162</v>
      </c>
      <c r="BH233">
        <v>9.1</v>
      </c>
      <c r="BI233">
        <v>9.1999999999999993</v>
      </c>
      <c r="BJ233">
        <v>18.3</v>
      </c>
      <c r="BK233">
        <v>0.34</v>
      </c>
      <c r="BL233">
        <v>7.3</v>
      </c>
      <c r="BM233">
        <v>0.9</v>
      </c>
      <c r="BN233">
        <v>7.5</v>
      </c>
      <c r="BO233">
        <v>2.9</v>
      </c>
      <c r="BP233">
        <f t="shared" si="6"/>
        <v>9.3791597532364666</v>
      </c>
      <c r="BQ233">
        <f t="shared" si="7"/>
        <v>29.074630116244581</v>
      </c>
    </row>
    <row r="234" spans="1:69" hidden="1" x14ac:dyDescent="0.2">
      <c r="A234" t="s">
        <v>2191</v>
      </c>
      <c r="B234" t="s">
        <v>68</v>
      </c>
      <c r="C234" t="s">
        <v>1956</v>
      </c>
      <c r="D234" t="s">
        <v>70</v>
      </c>
      <c r="E234" t="s">
        <v>1603</v>
      </c>
      <c r="F234">
        <v>4</v>
      </c>
      <c r="G234">
        <v>175</v>
      </c>
      <c r="H234">
        <v>4</v>
      </c>
      <c r="I234">
        <v>4</v>
      </c>
      <c r="J234">
        <v>2</v>
      </c>
      <c r="K234" t="s">
        <v>110</v>
      </c>
      <c r="L234" t="s">
        <v>124</v>
      </c>
      <c r="M234" s="4">
        <v>850000000</v>
      </c>
      <c r="N234">
        <v>0</v>
      </c>
      <c r="O234">
        <v>4.7340006829999997</v>
      </c>
      <c r="P234">
        <v>-74.046058650000006</v>
      </c>
      <c r="Q234" t="s">
        <v>2192</v>
      </c>
      <c r="R234">
        <v>4857142.8569999998</v>
      </c>
      <c r="S234">
        <v>0</v>
      </c>
      <c r="T234" t="s">
        <v>117</v>
      </c>
      <c r="U234" t="s">
        <v>118</v>
      </c>
      <c r="V234" t="s">
        <v>77</v>
      </c>
      <c r="W234" t="s">
        <v>119</v>
      </c>
      <c r="X234" t="s">
        <v>120</v>
      </c>
      <c r="Y234">
        <v>2.6217077789157202</v>
      </c>
      <c r="Z234">
        <v>2621.7077789157202</v>
      </c>
      <c r="AA234">
        <v>4.73719444444444</v>
      </c>
      <c r="AB234">
        <v>-74.069472222222203</v>
      </c>
      <c r="AC234">
        <v>2555</v>
      </c>
      <c r="AD234">
        <v>0</v>
      </c>
      <c r="AE234" t="s">
        <v>80</v>
      </c>
      <c r="AF234" t="s">
        <v>107</v>
      </c>
      <c r="AG234" t="s">
        <v>82</v>
      </c>
      <c r="AH234" t="s">
        <v>83</v>
      </c>
      <c r="AI234" t="s">
        <v>108</v>
      </c>
      <c r="AJ234">
        <v>0.35715506484840298</v>
      </c>
      <c r="AK234">
        <v>2.6718636531469402</v>
      </c>
      <c r="AL234">
        <v>0.68598438563990904</v>
      </c>
      <c r="AM234">
        <v>0.37492290694245101</v>
      </c>
      <c r="AN234">
        <v>2.2989423654052299</v>
      </c>
      <c r="AO234">
        <v>0.20734208890536299</v>
      </c>
      <c r="AP234">
        <v>0.20734208890536299</v>
      </c>
      <c r="AQ234">
        <v>1</v>
      </c>
      <c r="AR234">
        <v>4</v>
      </c>
      <c r="AS234">
        <v>0</v>
      </c>
      <c r="AT234">
        <v>0</v>
      </c>
      <c r="AU234">
        <v>1</v>
      </c>
      <c r="AV234">
        <v>31</v>
      </c>
      <c r="AW234">
        <v>0</v>
      </c>
      <c r="AX234">
        <v>0</v>
      </c>
      <c r="AY234">
        <v>15.3</v>
      </c>
      <c r="AZ234">
        <v>9.8000000000000007</v>
      </c>
      <c r="BA234">
        <v>29.7</v>
      </c>
      <c r="BB234">
        <v>564</v>
      </c>
      <c r="BC234">
        <v>68</v>
      </c>
      <c r="BD234">
        <v>1.8</v>
      </c>
      <c r="BE234">
        <v>43</v>
      </c>
      <c r="BF234">
        <v>25.4</v>
      </c>
      <c r="BG234">
        <v>162</v>
      </c>
      <c r="BH234">
        <v>9.1</v>
      </c>
      <c r="BI234">
        <v>9.1999999999999993</v>
      </c>
      <c r="BJ234">
        <v>18.3</v>
      </c>
      <c r="BK234">
        <v>0.34</v>
      </c>
      <c r="BL234">
        <v>7.3</v>
      </c>
      <c r="BM234">
        <v>0.9</v>
      </c>
      <c r="BN234">
        <v>7.5</v>
      </c>
      <c r="BO234">
        <v>2.9</v>
      </c>
      <c r="BP234">
        <f t="shared" si="6"/>
        <v>8.6072756431829784</v>
      </c>
      <c r="BQ234">
        <f t="shared" si="7"/>
        <v>27.888824669751397</v>
      </c>
    </row>
    <row r="235" spans="1:69" hidden="1" x14ac:dyDescent="0.2">
      <c r="A235" t="s">
        <v>2601</v>
      </c>
      <c r="B235" t="s">
        <v>68</v>
      </c>
      <c r="C235" t="s">
        <v>1956</v>
      </c>
      <c r="D235" t="s">
        <v>70</v>
      </c>
      <c r="E235" t="s">
        <v>1724</v>
      </c>
      <c r="F235">
        <v>4</v>
      </c>
      <c r="G235">
        <v>175</v>
      </c>
      <c r="H235">
        <v>4</v>
      </c>
      <c r="I235">
        <v>3</v>
      </c>
      <c r="J235">
        <v>2</v>
      </c>
      <c r="K235" t="s">
        <v>110</v>
      </c>
      <c r="L235" t="s">
        <v>162</v>
      </c>
      <c r="M235" s="4">
        <v>720000000</v>
      </c>
      <c r="N235">
        <v>0</v>
      </c>
      <c r="O235">
        <v>4.7647280690000002</v>
      </c>
      <c r="P235">
        <v>-74.057182310000002</v>
      </c>
      <c r="Q235" t="s">
        <v>2602</v>
      </c>
      <c r="R235">
        <v>4114285.7140000002</v>
      </c>
      <c r="S235">
        <v>0</v>
      </c>
      <c r="T235" t="s">
        <v>151</v>
      </c>
      <c r="U235" t="s">
        <v>152</v>
      </c>
      <c r="V235" t="s">
        <v>77</v>
      </c>
      <c r="W235" t="s">
        <v>119</v>
      </c>
      <c r="X235" t="s">
        <v>153</v>
      </c>
      <c r="Y235">
        <v>2.5646671366623299</v>
      </c>
      <c r="Z235">
        <v>2564.66713666233</v>
      </c>
      <c r="AA235">
        <v>4.7837500000000004</v>
      </c>
      <c r="AB235">
        <v>-74.044138888888895</v>
      </c>
      <c r="AC235">
        <v>2580</v>
      </c>
      <c r="AD235">
        <v>0</v>
      </c>
      <c r="AE235" t="s">
        <v>154</v>
      </c>
      <c r="AF235" t="s">
        <v>107</v>
      </c>
      <c r="AG235" t="s">
        <v>82</v>
      </c>
      <c r="AH235" t="s">
        <v>83</v>
      </c>
      <c r="AI235" t="s">
        <v>121</v>
      </c>
      <c r="AJ235">
        <v>1.42064324087703</v>
      </c>
      <c r="AK235">
        <v>3.80703277783386</v>
      </c>
      <c r="AL235">
        <v>1.3191402447552401</v>
      </c>
      <c r="AM235">
        <v>0.71181592608669897</v>
      </c>
      <c r="AN235">
        <v>4.0453010016699604</v>
      </c>
      <c r="AO235">
        <v>0.41348430210299802</v>
      </c>
      <c r="AP235">
        <v>0.41348430210299802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5</v>
      </c>
      <c r="AW235">
        <v>0</v>
      </c>
      <c r="AX235">
        <v>1</v>
      </c>
      <c r="AY235">
        <v>15.3</v>
      </c>
      <c r="AZ235">
        <v>9.8000000000000007</v>
      </c>
      <c r="BA235">
        <v>29.7</v>
      </c>
      <c r="BB235">
        <v>564</v>
      </c>
      <c r="BC235">
        <v>68</v>
      </c>
      <c r="BD235">
        <v>1.8</v>
      </c>
      <c r="BE235">
        <v>43</v>
      </c>
      <c r="BF235">
        <v>25.4</v>
      </c>
      <c r="BG235">
        <v>162</v>
      </c>
      <c r="BH235">
        <v>9.1</v>
      </c>
      <c r="BI235">
        <v>9.1999999999999993</v>
      </c>
      <c r="BJ235">
        <v>18.3</v>
      </c>
      <c r="BK235">
        <v>0.34</v>
      </c>
      <c r="BL235">
        <v>7.3</v>
      </c>
      <c r="BM235">
        <v>0.9</v>
      </c>
      <c r="BN235">
        <v>7.5</v>
      </c>
      <c r="BO235">
        <v>2.9</v>
      </c>
      <c r="BP235">
        <f t="shared" si="6"/>
        <v>8.6316127293110139</v>
      </c>
      <c r="BQ235">
        <f t="shared" si="7"/>
        <v>27.927029930116291</v>
      </c>
    </row>
    <row r="236" spans="1:69" hidden="1" x14ac:dyDescent="0.2">
      <c r="A236" t="s">
        <v>556</v>
      </c>
      <c r="B236" t="s">
        <v>68</v>
      </c>
      <c r="C236" t="s">
        <v>69</v>
      </c>
      <c r="D236" t="s">
        <v>70</v>
      </c>
      <c r="E236" t="s">
        <v>557</v>
      </c>
      <c r="F236">
        <v>5</v>
      </c>
      <c r="G236">
        <v>172.94</v>
      </c>
      <c r="H236">
        <v>3</v>
      </c>
      <c r="I236">
        <v>5</v>
      </c>
      <c r="J236">
        <v>2</v>
      </c>
      <c r="K236" t="s">
        <v>110</v>
      </c>
      <c r="L236" t="s">
        <v>124</v>
      </c>
      <c r="M236" s="4">
        <v>1655000000</v>
      </c>
      <c r="N236">
        <v>0</v>
      </c>
      <c r="O236">
        <v>4.7053409999999998</v>
      </c>
      <c r="P236">
        <v>-74.067781999999994</v>
      </c>
      <c r="Q236" t="s">
        <v>558</v>
      </c>
      <c r="R236">
        <v>9569792.9920000006</v>
      </c>
      <c r="S236">
        <v>0</v>
      </c>
      <c r="T236" t="s">
        <v>117</v>
      </c>
      <c r="U236" t="s">
        <v>118</v>
      </c>
      <c r="V236" t="s">
        <v>77</v>
      </c>
      <c r="W236" t="s">
        <v>119</v>
      </c>
      <c r="X236" t="s">
        <v>120</v>
      </c>
      <c r="Y236">
        <v>3.5508639101164401</v>
      </c>
      <c r="Z236">
        <v>3550.8639101164399</v>
      </c>
      <c r="AA236">
        <v>4.73719444444444</v>
      </c>
      <c r="AB236">
        <v>-74.069472222222203</v>
      </c>
      <c r="AC236">
        <v>2555</v>
      </c>
      <c r="AD236">
        <v>0</v>
      </c>
      <c r="AE236" t="s">
        <v>80</v>
      </c>
      <c r="AF236" t="s">
        <v>107</v>
      </c>
      <c r="AG236" t="s">
        <v>82</v>
      </c>
      <c r="AH236" t="s">
        <v>83</v>
      </c>
      <c r="AI236" t="s">
        <v>121</v>
      </c>
      <c r="AJ236">
        <v>0.40458568473006901</v>
      </c>
      <c r="AK236">
        <v>4.5786424531908398</v>
      </c>
      <c r="AL236">
        <v>0.85505354699962499</v>
      </c>
      <c r="AM236">
        <v>0.42356517592765403</v>
      </c>
      <c r="AN236">
        <v>3.8181106303374799</v>
      </c>
      <c r="AO236">
        <v>0.30794811539463501</v>
      </c>
      <c r="AP236">
        <v>0.30794811539463501</v>
      </c>
      <c r="AQ236">
        <v>1</v>
      </c>
      <c r="AR236">
        <v>3</v>
      </c>
      <c r="AS236">
        <v>0</v>
      </c>
      <c r="AT236">
        <v>0</v>
      </c>
      <c r="AU236">
        <v>1</v>
      </c>
      <c r="AV236">
        <v>36</v>
      </c>
      <c r="AW236">
        <v>0</v>
      </c>
      <c r="AX236">
        <v>0</v>
      </c>
      <c r="AY236">
        <v>15.3</v>
      </c>
      <c r="AZ236">
        <v>9.8000000000000007</v>
      </c>
      <c r="BA236">
        <v>29.7</v>
      </c>
      <c r="BB236">
        <v>564</v>
      </c>
      <c r="BC236">
        <v>68</v>
      </c>
      <c r="BD236">
        <v>1.8</v>
      </c>
      <c r="BE236">
        <v>43</v>
      </c>
      <c r="BF236">
        <v>25.4</v>
      </c>
      <c r="BG236">
        <v>162</v>
      </c>
      <c r="BH236">
        <v>9.1</v>
      </c>
      <c r="BI236">
        <v>9.1999999999999993</v>
      </c>
      <c r="BJ236">
        <v>18.3</v>
      </c>
      <c r="BK236">
        <v>0.34</v>
      </c>
      <c r="BL236">
        <v>7.3</v>
      </c>
      <c r="BM236">
        <v>0.9</v>
      </c>
      <c r="BN236">
        <v>7.5</v>
      </c>
      <c r="BO236">
        <v>2.9</v>
      </c>
      <c r="BP236">
        <f t="shared" si="6"/>
        <v>8.2203650834412567</v>
      </c>
      <c r="BQ236">
        <f t="shared" si="7"/>
        <v>27.273793932895611</v>
      </c>
    </row>
    <row r="237" spans="1:69" hidden="1" x14ac:dyDescent="0.2">
      <c r="A237" t="s">
        <v>2138</v>
      </c>
      <c r="B237" t="s">
        <v>68</v>
      </c>
      <c r="C237" t="s">
        <v>1956</v>
      </c>
      <c r="D237" t="s">
        <v>70</v>
      </c>
      <c r="E237" t="s">
        <v>277</v>
      </c>
      <c r="F237">
        <v>5</v>
      </c>
      <c r="G237">
        <v>170</v>
      </c>
      <c r="H237">
        <v>3</v>
      </c>
      <c r="I237">
        <v>4</v>
      </c>
      <c r="J237">
        <v>2</v>
      </c>
      <c r="K237" t="s">
        <v>110</v>
      </c>
      <c r="L237" t="s">
        <v>162</v>
      </c>
      <c r="M237" s="4">
        <v>1450000000</v>
      </c>
      <c r="N237">
        <v>0</v>
      </c>
      <c r="O237">
        <v>4.7265377040000001</v>
      </c>
      <c r="P237">
        <v>-74.064186100000001</v>
      </c>
      <c r="Q237" t="s">
        <v>2139</v>
      </c>
      <c r="R237">
        <v>8529411.7650000006</v>
      </c>
      <c r="S237">
        <v>0</v>
      </c>
      <c r="T237" t="s">
        <v>117</v>
      </c>
      <c r="U237" t="s">
        <v>118</v>
      </c>
      <c r="V237" t="s">
        <v>77</v>
      </c>
      <c r="W237" t="s">
        <v>119</v>
      </c>
      <c r="X237" t="s">
        <v>120</v>
      </c>
      <c r="Y237">
        <v>1.3233403858947399</v>
      </c>
      <c r="Z237">
        <v>1323.3403858947399</v>
      </c>
      <c r="AA237">
        <v>4.73719444444444</v>
      </c>
      <c r="AB237">
        <v>-74.069472222222203</v>
      </c>
      <c r="AC237">
        <v>2555</v>
      </c>
      <c r="AD237">
        <v>0</v>
      </c>
      <c r="AE237" t="s">
        <v>80</v>
      </c>
      <c r="AF237" t="s">
        <v>107</v>
      </c>
      <c r="AG237" t="s">
        <v>82</v>
      </c>
      <c r="AH237" t="s">
        <v>83</v>
      </c>
      <c r="AI237" t="s">
        <v>121</v>
      </c>
      <c r="AJ237">
        <v>1.1727028974729601</v>
      </c>
      <c r="AK237">
        <v>4.5674415484530302</v>
      </c>
      <c r="AL237">
        <v>1.3373466137016801</v>
      </c>
      <c r="AM237">
        <v>6.2098983490890602E-2</v>
      </c>
      <c r="AN237">
        <v>2.8615924806266202</v>
      </c>
      <c r="AO237">
        <v>0.46566499048681298</v>
      </c>
      <c r="AP237">
        <v>0.46566499048681298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20</v>
      </c>
      <c r="AW237">
        <v>0</v>
      </c>
      <c r="AX237">
        <v>0</v>
      </c>
      <c r="AY237">
        <v>15.3</v>
      </c>
      <c r="AZ237">
        <v>9.8000000000000007</v>
      </c>
      <c r="BA237">
        <v>29.7</v>
      </c>
      <c r="BB237">
        <v>564</v>
      </c>
      <c r="BC237">
        <v>68</v>
      </c>
      <c r="BD237">
        <v>1.8</v>
      </c>
      <c r="BE237">
        <v>43</v>
      </c>
      <c r="BF237">
        <v>25.4</v>
      </c>
      <c r="BG237">
        <v>162</v>
      </c>
      <c r="BH237">
        <v>9.1</v>
      </c>
      <c r="BI237">
        <v>9.1999999999999993</v>
      </c>
      <c r="BJ237">
        <v>18.3</v>
      </c>
      <c r="BK237">
        <v>0.34</v>
      </c>
      <c r="BL237">
        <v>7.3</v>
      </c>
      <c r="BM237">
        <v>0.9</v>
      </c>
      <c r="BN237">
        <v>7.5</v>
      </c>
      <c r="BO237">
        <v>2.9</v>
      </c>
      <c r="BP237">
        <f t="shared" si="6"/>
        <v>9.1786215607320223</v>
      </c>
      <c r="BQ237">
        <f t="shared" si="7"/>
        <v>28.771544961242778</v>
      </c>
    </row>
    <row r="238" spans="1:69" hidden="1" x14ac:dyDescent="0.2">
      <c r="A238" t="s">
        <v>3007</v>
      </c>
      <c r="B238" t="s">
        <v>68</v>
      </c>
      <c r="C238" t="s">
        <v>1956</v>
      </c>
      <c r="D238" t="s">
        <v>70</v>
      </c>
      <c r="E238" t="s">
        <v>267</v>
      </c>
      <c r="F238">
        <v>5</v>
      </c>
      <c r="G238">
        <v>170</v>
      </c>
      <c r="H238">
        <v>3</v>
      </c>
      <c r="I238">
        <v>3</v>
      </c>
      <c r="J238">
        <v>2</v>
      </c>
      <c r="K238" t="s">
        <v>110</v>
      </c>
      <c r="L238" t="s">
        <v>162</v>
      </c>
      <c r="M238" s="4">
        <v>820000000</v>
      </c>
      <c r="N238">
        <v>0</v>
      </c>
      <c r="O238">
        <v>4.7561200000000001</v>
      </c>
      <c r="P238">
        <v>-74.070040000000006</v>
      </c>
      <c r="Q238" t="s">
        <v>3008</v>
      </c>
      <c r="R238">
        <v>4823529.4119999995</v>
      </c>
      <c r="S238">
        <v>0</v>
      </c>
      <c r="T238" t="s">
        <v>117</v>
      </c>
      <c r="U238" t="s">
        <v>118</v>
      </c>
      <c r="V238" t="s">
        <v>77</v>
      </c>
      <c r="W238" t="s">
        <v>119</v>
      </c>
      <c r="X238" t="s">
        <v>120</v>
      </c>
      <c r="Y238">
        <v>2.1077245945301302</v>
      </c>
      <c r="Z238">
        <v>2107.7245945301302</v>
      </c>
      <c r="AA238">
        <v>4.73719444444444</v>
      </c>
      <c r="AB238">
        <v>-74.069472222222203</v>
      </c>
      <c r="AC238">
        <v>2555</v>
      </c>
      <c r="AD238">
        <v>0</v>
      </c>
      <c r="AE238" t="s">
        <v>80</v>
      </c>
      <c r="AF238" t="s">
        <v>107</v>
      </c>
      <c r="AG238" t="s">
        <v>82</v>
      </c>
      <c r="AH238" t="s">
        <v>83</v>
      </c>
      <c r="AI238" t="s">
        <v>121</v>
      </c>
      <c r="AJ238">
        <v>2.5810246551867202</v>
      </c>
      <c r="AK238">
        <v>4.3009854849078701</v>
      </c>
      <c r="AL238">
        <v>1.8585215137100299</v>
      </c>
      <c r="AM238">
        <v>0.585010149575375</v>
      </c>
      <c r="AN238">
        <v>2.3469263076964699</v>
      </c>
      <c r="AO238">
        <v>7.6888103817429497E-3</v>
      </c>
      <c r="AP238">
        <v>7.6888103817429497E-3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13</v>
      </c>
      <c r="AW238">
        <v>0</v>
      </c>
      <c r="AX238">
        <v>1</v>
      </c>
      <c r="AY238">
        <v>15.3</v>
      </c>
      <c r="AZ238">
        <v>9.8000000000000007</v>
      </c>
      <c r="BA238">
        <v>29.7</v>
      </c>
      <c r="BB238">
        <v>564</v>
      </c>
      <c r="BC238">
        <v>68</v>
      </c>
      <c r="BD238">
        <v>1.8</v>
      </c>
      <c r="BE238">
        <v>43</v>
      </c>
      <c r="BF238">
        <v>25.4</v>
      </c>
      <c r="BG238">
        <v>162</v>
      </c>
      <c r="BH238">
        <v>9.1</v>
      </c>
      <c r="BI238">
        <v>9.1999999999999993</v>
      </c>
      <c r="BJ238">
        <v>18.3</v>
      </c>
      <c r="BK238">
        <v>0.34</v>
      </c>
      <c r="BL238">
        <v>7.3</v>
      </c>
      <c r="BM238">
        <v>0.9</v>
      </c>
      <c r="BN238">
        <v>7.5</v>
      </c>
      <c r="BO238">
        <v>2.9</v>
      </c>
      <c r="BP238">
        <f t="shared" si="6"/>
        <v>8.8290729307357108</v>
      </c>
      <c r="BQ238">
        <f t="shared" si="7"/>
        <v>28.23498058604789</v>
      </c>
    </row>
    <row r="239" spans="1:69" hidden="1" x14ac:dyDescent="0.2">
      <c r="A239" t="s">
        <v>1230</v>
      </c>
      <c r="B239" t="s">
        <v>68</v>
      </c>
      <c r="C239" t="s">
        <v>69</v>
      </c>
      <c r="D239" t="s">
        <v>70</v>
      </c>
      <c r="E239" t="s">
        <v>1231</v>
      </c>
      <c r="F239">
        <v>6</v>
      </c>
      <c r="G239">
        <v>169.69</v>
      </c>
      <c r="H239">
        <v>4</v>
      </c>
      <c r="I239">
        <v>4</v>
      </c>
      <c r="J239">
        <v>2</v>
      </c>
      <c r="K239" t="s">
        <v>110</v>
      </c>
      <c r="L239" t="s">
        <v>124</v>
      </c>
      <c r="M239" s="4">
        <v>1290000000</v>
      </c>
      <c r="N239">
        <v>0</v>
      </c>
      <c r="O239">
        <v>4.7585455000000003</v>
      </c>
      <c r="P239">
        <v>-74.067805399999997</v>
      </c>
      <c r="Q239" t="s">
        <v>1232</v>
      </c>
      <c r="R239">
        <v>7602097.943</v>
      </c>
      <c r="S239">
        <v>0</v>
      </c>
      <c r="T239" t="s">
        <v>117</v>
      </c>
      <c r="U239" t="s">
        <v>118</v>
      </c>
      <c r="V239" t="s">
        <v>77</v>
      </c>
      <c r="W239" t="s">
        <v>119</v>
      </c>
      <c r="X239" t="s">
        <v>120</v>
      </c>
      <c r="Y239">
        <v>2.3839708592265301</v>
      </c>
      <c r="Z239">
        <v>2383.9708592265301</v>
      </c>
      <c r="AA239">
        <v>4.73719444444444</v>
      </c>
      <c r="AB239">
        <v>-74.069472222222203</v>
      </c>
      <c r="AC239">
        <v>2555</v>
      </c>
      <c r="AD239">
        <v>0</v>
      </c>
      <c r="AE239" t="s">
        <v>80</v>
      </c>
      <c r="AF239" t="s">
        <v>107</v>
      </c>
      <c r="AG239" t="s">
        <v>82</v>
      </c>
      <c r="AH239" t="s">
        <v>83</v>
      </c>
      <c r="AI239" t="s">
        <v>121</v>
      </c>
      <c r="AJ239">
        <v>2.4512243585660798</v>
      </c>
      <c r="AK239">
        <v>4.22571320860831</v>
      </c>
      <c r="AL239">
        <v>1.68560538655613</v>
      </c>
      <c r="AM239">
        <v>0.51926949564155001</v>
      </c>
      <c r="AN239">
        <v>2.7113669969538199</v>
      </c>
      <c r="AO239">
        <v>0.28309183136351201</v>
      </c>
      <c r="AP239">
        <v>0.28309183136351201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14</v>
      </c>
      <c r="AW239">
        <v>0</v>
      </c>
      <c r="AX239">
        <v>1</v>
      </c>
      <c r="AY239">
        <v>15.3</v>
      </c>
      <c r="AZ239">
        <v>9.8000000000000007</v>
      </c>
      <c r="BA239">
        <v>29.7</v>
      </c>
      <c r="BB239">
        <v>564</v>
      </c>
      <c r="BC239">
        <v>68</v>
      </c>
      <c r="BD239">
        <v>1.8</v>
      </c>
      <c r="BE239">
        <v>43</v>
      </c>
      <c r="BF239">
        <v>25.4</v>
      </c>
      <c r="BG239">
        <v>162</v>
      </c>
      <c r="BH239">
        <v>9.1</v>
      </c>
      <c r="BI239">
        <v>9.1999999999999993</v>
      </c>
      <c r="BJ239">
        <v>18.3</v>
      </c>
      <c r="BK239">
        <v>0.34</v>
      </c>
      <c r="BL239">
        <v>7.3</v>
      </c>
      <c r="BM239">
        <v>0.9</v>
      </c>
      <c r="BN239">
        <v>7.5</v>
      </c>
      <c r="BO239">
        <v>2.9</v>
      </c>
      <c r="BP239">
        <f t="shared" si="6"/>
        <v>8.7091642048155293</v>
      </c>
      <c r="BQ239">
        <f t="shared" si="7"/>
        <v>28.048404371164782</v>
      </c>
    </row>
    <row r="240" spans="1:69" hidden="1" x14ac:dyDescent="0.2">
      <c r="A240" t="s">
        <v>3002</v>
      </c>
      <c r="B240" t="s">
        <v>68</v>
      </c>
      <c r="C240" t="s">
        <v>1956</v>
      </c>
      <c r="D240" t="s">
        <v>70</v>
      </c>
      <c r="E240" t="s">
        <v>267</v>
      </c>
      <c r="F240">
        <v>5</v>
      </c>
      <c r="G240">
        <v>169</v>
      </c>
      <c r="H240">
        <v>3</v>
      </c>
      <c r="I240">
        <v>3</v>
      </c>
      <c r="J240">
        <v>2</v>
      </c>
      <c r="K240" t="s">
        <v>110</v>
      </c>
      <c r="L240" t="s">
        <v>162</v>
      </c>
      <c r="M240" s="4">
        <v>890000000</v>
      </c>
      <c r="N240">
        <v>0</v>
      </c>
      <c r="O240">
        <v>4.7561200000000001</v>
      </c>
      <c r="P240">
        <v>-74.070040000000006</v>
      </c>
      <c r="Q240" t="s">
        <v>3003</v>
      </c>
      <c r="R240">
        <v>5266272.1890000002</v>
      </c>
      <c r="S240">
        <v>0</v>
      </c>
      <c r="T240" t="s">
        <v>117</v>
      </c>
      <c r="U240" t="s">
        <v>118</v>
      </c>
      <c r="V240" t="s">
        <v>77</v>
      </c>
      <c r="W240" t="s">
        <v>119</v>
      </c>
      <c r="X240" t="s">
        <v>120</v>
      </c>
      <c r="Y240">
        <v>2.1077245945301302</v>
      </c>
      <c r="Z240">
        <v>2107.7245945301302</v>
      </c>
      <c r="AA240">
        <v>4.73719444444444</v>
      </c>
      <c r="AB240">
        <v>-74.069472222222203</v>
      </c>
      <c r="AC240">
        <v>2555</v>
      </c>
      <c r="AD240">
        <v>0</v>
      </c>
      <c r="AE240" t="s">
        <v>80</v>
      </c>
      <c r="AF240" t="s">
        <v>107</v>
      </c>
      <c r="AG240" t="s">
        <v>82</v>
      </c>
      <c r="AH240" t="s">
        <v>83</v>
      </c>
      <c r="AI240" t="s">
        <v>121</v>
      </c>
      <c r="AJ240">
        <v>2.5810246551867202</v>
      </c>
      <c r="AK240">
        <v>4.3009854849078701</v>
      </c>
      <c r="AL240">
        <v>1.8585215137100299</v>
      </c>
      <c r="AM240">
        <v>0.585010149575375</v>
      </c>
      <c r="AN240">
        <v>2.3469263076964699</v>
      </c>
      <c r="AO240">
        <v>7.6888103817429497E-3</v>
      </c>
      <c r="AP240">
        <v>7.6888103817429497E-3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13</v>
      </c>
      <c r="AW240">
        <v>0</v>
      </c>
      <c r="AX240">
        <v>1</v>
      </c>
      <c r="AY240">
        <v>15.3</v>
      </c>
      <c r="AZ240">
        <v>9.8000000000000007</v>
      </c>
      <c r="BA240">
        <v>29.7</v>
      </c>
      <c r="BB240">
        <v>564</v>
      </c>
      <c r="BC240">
        <v>68</v>
      </c>
      <c r="BD240">
        <v>1.8</v>
      </c>
      <c r="BE240">
        <v>43</v>
      </c>
      <c r="BF240">
        <v>25.4</v>
      </c>
      <c r="BG240">
        <v>162</v>
      </c>
      <c r="BH240">
        <v>9.1</v>
      </c>
      <c r="BI240">
        <v>9.1999999999999993</v>
      </c>
      <c r="BJ240">
        <v>18.3</v>
      </c>
      <c r="BK240">
        <v>0.34</v>
      </c>
      <c r="BL240">
        <v>7.3</v>
      </c>
      <c r="BM240">
        <v>0.9</v>
      </c>
      <c r="BN240">
        <v>7.5</v>
      </c>
      <c r="BO240">
        <v>2.9</v>
      </c>
      <c r="BP240">
        <f t="shared" si="6"/>
        <v>8.8290729307357108</v>
      </c>
      <c r="BQ240">
        <f t="shared" si="7"/>
        <v>28.23498058604789</v>
      </c>
    </row>
    <row r="241" spans="1:69" hidden="1" x14ac:dyDescent="0.2">
      <c r="A241" t="s">
        <v>3038</v>
      </c>
      <c r="B241" t="s">
        <v>68</v>
      </c>
      <c r="C241" t="s">
        <v>1956</v>
      </c>
      <c r="D241" t="s">
        <v>70</v>
      </c>
      <c r="E241" t="s">
        <v>267</v>
      </c>
      <c r="F241">
        <v>5</v>
      </c>
      <c r="G241">
        <v>169</v>
      </c>
      <c r="H241">
        <v>3</v>
      </c>
      <c r="I241">
        <v>3</v>
      </c>
      <c r="J241">
        <v>2</v>
      </c>
      <c r="K241" t="s">
        <v>110</v>
      </c>
      <c r="L241" t="s">
        <v>162</v>
      </c>
      <c r="M241" s="4">
        <v>820000000</v>
      </c>
      <c r="N241">
        <v>0</v>
      </c>
      <c r="O241">
        <v>4.7561200000000001</v>
      </c>
      <c r="P241">
        <v>-74.070040000000006</v>
      </c>
      <c r="Q241" t="s">
        <v>3039</v>
      </c>
      <c r="R241">
        <v>4852071.0060000001</v>
      </c>
      <c r="S241">
        <v>0</v>
      </c>
      <c r="T241" t="s">
        <v>117</v>
      </c>
      <c r="U241" t="s">
        <v>118</v>
      </c>
      <c r="V241" t="s">
        <v>77</v>
      </c>
      <c r="W241" t="s">
        <v>119</v>
      </c>
      <c r="X241" t="s">
        <v>120</v>
      </c>
      <c r="Y241">
        <v>2.1077245945301302</v>
      </c>
      <c r="Z241">
        <v>2107.7245945301302</v>
      </c>
      <c r="AA241">
        <v>4.73719444444444</v>
      </c>
      <c r="AB241">
        <v>-74.069472222222203</v>
      </c>
      <c r="AC241">
        <v>2555</v>
      </c>
      <c r="AD241">
        <v>0</v>
      </c>
      <c r="AE241" t="s">
        <v>80</v>
      </c>
      <c r="AF241" t="s">
        <v>107</v>
      </c>
      <c r="AG241" t="s">
        <v>82</v>
      </c>
      <c r="AH241" t="s">
        <v>83</v>
      </c>
      <c r="AI241" t="s">
        <v>121</v>
      </c>
      <c r="AJ241">
        <v>2.5810246551867202</v>
      </c>
      <c r="AK241">
        <v>4.3009854849078701</v>
      </c>
      <c r="AL241">
        <v>1.8585215137100299</v>
      </c>
      <c r="AM241">
        <v>0.585010149575375</v>
      </c>
      <c r="AN241">
        <v>2.3469263076964699</v>
      </c>
      <c r="AO241">
        <v>7.6888103817429497E-3</v>
      </c>
      <c r="AP241">
        <v>7.6888103817429497E-3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13</v>
      </c>
      <c r="AW241">
        <v>0</v>
      </c>
      <c r="AX241">
        <v>1</v>
      </c>
      <c r="AY241">
        <v>15.3</v>
      </c>
      <c r="AZ241">
        <v>9.8000000000000007</v>
      </c>
      <c r="BA241">
        <v>29.7</v>
      </c>
      <c r="BB241">
        <v>564</v>
      </c>
      <c r="BC241">
        <v>68</v>
      </c>
      <c r="BD241">
        <v>1.8</v>
      </c>
      <c r="BE241">
        <v>43</v>
      </c>
      <c r="BF241">
        <v>25.4</v>
      </c>
      <c r="BG241">
        <v>162</v>
      </c>
      <c r="BH241">
        <v>9.1</v>
      </c>
      <c r="BI241">
        <v>9.1999999999999993</v>
      </c>
      <c r="BJ241">
        <v>18.3</v>
      </c>
      <c r="BK241">
        <v>0.34</v>
      </c>
      <c r="BL241">
        <v>7.3</v>
      </c>
      <c r="BM241">
        <v>0.9</v>
      </c>
      <c r="BN241">
        <v>7.5</v>
      </c>
      <c r="BO241">
        <v>2.9</v>
      </c>
      <c r="BP241">
        <f t="shared" si="6"/>
        <v>8.8290729307357108</v>
      </c>
      <c r="BQ241">
        <f t="shared" si="7"/>
        <v>28.23498058604789</v>
      </c>
    </row>
    <row r="242" spans="1:69" hidden="1" x14ac:dyDescent="0.2">
      <c r="A242" t="s">
        <v>3239</v>
      </c>
      <c r="B242" t="s">
        <v>68</v>
      </c>
      <c r="C242" t="s">
        <v>1956</v>
      </c>
      <c r="D242" t="s">
        <v>70</v>
      </c>
      <c r="E242" t="s">
        <v>928</v>
      </c>
      <c r="F242">
        <v>4</v>
      </c>
      <c r="G242">
        <v>168</v>
      </c>
      <c r="H242">
        <v>3</v>
      </c>
      <c r="I242">
        <v>3</v>
      </c>
      <c r="J242">
        <v>2</v>
      </c>
      <c r="K242" t="s">
        <v>110</v>
      </c>
      <c r="L242" t="s">
        <v>115</v>
      </c>
      <c r="M242" s="4">
        <v>839000000</v>
      </c>
      <c r="N242">
        <v>0</v>
      </c>
      <c r="O242">
        <v>4.7338647839999997</v>
      </c>
      <c r="P242">
        <v>-74.058540339999993</v>
      </c>
      <c r="Q242" t="s">
        <v>3240</v>
      </c>
      <c r="R242">
        <v>4994047.6189999999</v>
      </c>
      <c r="S242">
        <v>0</v>
      </c>
      <c r="T242" t="s">
        <v>117</v>
      </c>
      <c r="U242" t="s">
        <v>118</v>
      </c>
      <c r="V242" t="s">
        <v>77</v>
      </c>
      <c r="W242" t="s">
        <v>119</v>
      </c>
      <c r="X242" t="s">
        <v>120</v>
      </c>
      <c r="Y242">
        <v>1.2681541832494601</v>
      </c>
      <c r="Z242">
        <v>1268.1541832494599</v>
      </c>
      <c r="AA242">
        <v>4.73719444444444</v>
      </c>
      <c r="AB242">
        <v>-74.069472222222203</v>
      </c>
      <c r="AC242">
        <v>2555</v>
      </c>
      <c r="AD242">
        <v>0</v>
      </c>
      <c r="AE242" t="s">
        <v>80</v>
      </c>
      <c r="AF242" t="s">
        <v>107</v>
      </c>
      <c r="AG242" t="s">
        <v>82</v>
      </c>
      <c r="AH242" t="s">
        <v>83</v>
      </c>
      <c r="AI242" t="s">
        <v>121</v>
      </c>
      <c r="AJ242">
        <v>1.0220919415715199</v>
      </c>
      <c r="AK242">
        <v>4.0538579073310101</v>
      </c>
      <c r="AL242">
        <v>2.0615187590574902</v>
      </c>
      <c r="AM242">
        <v>0.26151367839393003</v>
      </c>
      <c r="AN242">
        <v>3.0831734840326499</v>
      </c>
      <c r="AO242">
        <v>4.94961792254906E-2</v>
      </c>
      <c r="AP242">
        <v>4.94961792254906E-2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13</v>
      </c>
      <c r="AW242">
        <v>0</v>
      </c>
      <c r="AX242">
        <v>0</v>
      </c>
      <c r="AY242">
        <v>15.3</v>
      </c>
      <c r="AZ242">
        <v>9.8000000000000007</v>
      </c>
      <c r="BA242">
        <v>29.7</v>
      </c>
      <c r="BB242">
        <v>564</v>
      </c>
      <c r="BC242">
        <v>68</v>
      </c>
      <c r="BD242">
        <v>1.8</v>
      </c>
      <c r="BE242">
        <v>43</v>
      </c>
      <c r="BF242">
        <v>25.4</v>
      </c>
      <c r="BG242">
        <v>162</v>
      </c>
      <c r="BH242">
        <v>9.1</v>
      </c>
      <c r="BI242">
        <v>9.1999999999999993</v>
      </c>
      <c r="BJ242">
        <v>18.3</v>
      </c>
      <c r="BK242">
        <v>0.34</v>
      </c>
      <c r="BL242">
        <v>7.3</v>
      </c>
      <c r="BM242">
        <v>0.9</v>
      </c>
      <c r="BN242">
        <v>7.5</v>
      </c>
      <c r="BO242">
        <v>2.9</v>
      </c>
      <c r="BP242">
        <f t="shared" si="6"/>
        <v>9.2037292354880407</v>
      </c>
      <c r="BQ242">
        <f t="shared" si="7"/>
        <v>28.809677223621105</v>
      </c>
    </row>
    <row r="243" spans="1:69" hidden="1" x14ac:dyDescent="0.2">
      <c r="A243" t="s">
        <v>2070</v>
      </c>
      <c r="B243" t="s">
        <v>68</v>
      </c>
      <c r="C243" t="s">
        <v>1956</v>
      </c>
      <c r="D243" t="s">
        <v>70</v>
      </c>
      <c r="E243" t="s">
        <v>1588</v>
      </c>
      <c r="F243">
        <v>6</v>
      </c>
      <c r="G243">
        <v>167.17</v>
      </c>
      <c r="H243">
        <v>4</v>
      </c>
      <c r="I243">
        <v>5</v>
      </c>
      <c r="J243">
        <v>2</v>
      </c>
      <c r="K243" t="s">
        <v>110</v>
      </c>
      <c r="L243" t="s">
        <v>124</v>
      </c>
      <c r="M243" s="4">
        <v>1100000000</v>
      </c>
      <c r="N243">
        <v>0</v>
      </c>
      <c r="O243">
        <v>4.80037117</v>
      </c>
      <c r="P243">
        <v>-74.073196409999994</v>
      </c>
      <c r="Q243" t="s">
        <v>2071</v>
      </c>
      <c r="R243">
        <v>6580128.0130000003</v>
      </c>
      <c r="S243">
        <v>0</v>
      </c>
      <c r="T243" t="s">
        <v>151</v>
      </c>
      <c r="U243" t="s">
        <v>152</v>
      </c>
      <c r="V243" t="s">
        <v>77</v>
      </c>
      <c r="W243" t="s">
        <v>119</v>
      </c>
      <c r="X243" t="s">
        <v>153</v>
      </c>
      <c r="Y243">
        <v>3.71665467420747</v>
      </c>
      <c r="Z243">
        <v>3716.6546742074702</v>
      </c>
      <c r="AA243">
        <v>4.7837500000000004</v>
      </c>
      <c r="AB243">
        <v>-74.044138888888895</v>
      </c>
      <c r="AC243">
        <v>2580</v>
      </c>
      <c r="AD243">
        <v>0</v>
      </c>
      <c r="AE243" t="s">
        <v>154</v>
      </c>
      <c r="AF243" t="s">
        <v>107</v>
      </c>
      <c r="AG243" t="s">
        <v>82</v>
      </c>
      <c r="AH243" t="s">
        <v>83</v>
      </c>
      <c r="AI243" t="s">
        <v>121</v>
      </c>
      <c r="AJ243">
        <v>4.7900787504893296</v>
      </c>
      <c r="AK243">
        <v>0.84384938832921597</v>
      </c>
      <c r="AL243">
        <v>2.8979209628964102</v>
      </c>
      <c r="AM243">
        <v>1.11843236761011</v>
      </c>
      <c r="AN243">
        <v>6.6525565572955196</v>
      </c>
      <c r="AO243">
        <v>2.2450882786661999</v>
      </c>
      <c r="AP243">
        <v>2.2450882786661999</v>
      </c>
      <c r="AQ243">
        <v>0</v>
      </c>
      <c r="AR243">
        <v>0</v>
      </c>
      <c r="AS243">
        <v>0</v>
      </c>
      <c r="AT243">
        <v>1</v>
      </c>
      <c r="AU243">
        <v>0</v>
      </c>
      <c r="AV243">
        <v>0</v>
      </c>
      <c r="AW243">
        <v>0</v>
      </c>
      <c r="AX243">
        <v>0</v>
      </c>
      <c r="AY243">
        <v>15.3</v>
      </c>
      <c r="AZ243">
        <v>9.8000000000000007</v>
      </c>
      <c r="BA243">
        <v>29.7</v>
      </c>
      <c r="BB243">
        <v>564</v>
      </c>
      <c r="BC243">
        <v>68</v>
      </c>
      <c r="BD243">
        <v>1.8</v>
      </c>
      <c r="BE243">
        <v>43</v>
      </c>
      <c r="BF243">
        <v>25.4</v>
      </c>
      <c r="BG243">
        <v>162</v>
      </c>
      <c r="BH243">
        <v>9.1</v>
      </c>
      <c r="BI243">
        <v>9.1999999999999993</v>
      </c>
      <c r="BJ243">
        <v>18.3</v>
      </c>
      <c r="BK243">
        <v>0.34</v>
      </c>
      <c r="BL243">
        <v>7.3</v>
      </c>
      <c r="BM243">
        <v>0.9</v>
      </c>
      <c r="BN243">
        <v>7.5</v>
      </c>
      <c r="BO243">
        <v>2.9</v>
      </c>
      <c r="BP243">
        <f t="shared" si="6"/>
        <v>8.1531795442650239</v>
      </c>
      <c r="BQ243">
        <f t="shared" si="7"/>
        <v>27.165487714579182</v>
      </c>
    </row>
    <row r="244" spans="1:69" hidden="1" x14ac:dyDescent="0.2">
      <c r="A244" t="s">
        <v>2556</v>
      </c>
      <c r="B244" t="s">
        <v>68</v>
      </c>
      <c r="C244" t="s">
        <v>1956</v>
      </c>
      <c r="D244" t="s">
        <v>70</v>
      </c>
      <c r="E244" t="s">
        <v>2261</v>
      </c>
      <c r="F244">
        <v>6</v>
      </c>
      <c r="G244">
        <v>167</v>
      </c>
      <c r="H244">
        <v>4</v>
      </c>
      <c r="I244">
        <v>5</v>
      </c>
      <c r="J244">
        <v>2</v>
      </c>
      <c r="K244" t="s">
        <v>110</v>
      </c>
      <c r="L244" t="s">
        <v>124</v>
      </c>
      <c r="M244" s="4">
        <v>1100000000</v>
      </c>
      <c r="N244">
        <v>0</v>
      </c>
      <c r="O244">
        <v>4.80105</v>
      </c>
      <c r="P244">
        <v>-74.068799999999996</v>
      </c>
      <c r="Q244" t="s">
        <v>2557</v>
      </c>
      <c r="R244">
        <v>6586826.3470000001</v>
      </c>
      <c r="S244">
        <v>0</v>
      </c>
      <c r="T244" t="s">
        <v>151</v>
      </c>
      <c r="U244" t="s">
        <v>152</v>
      </c>
      <c r="V244" t="s">
        <v>77</v>
      </c>
      <c r="W244" t="s">
        <v>119</v>
      </c>
      <c r="X244" t="s">
        <v>153</v>
      </c>
      <c r="Y244">
        <v>3.3455450932348199</v>
      </c>
      <c r="Z244">
        <v>3345.5450932348199</v>
      </c>
      <c r="AA244">
        <v>4.7837500000000004</v>
      </c>
      <c r="AB244">
        <v>-74.044138888888895</v>
      </c>
      <c r="AC244">
        <v>2580</v>
      </c>
      <c r="AD244">
        <v>0</v>
      </c>
      <c r="AE244" t="s">
        <v>154</v>
      </c>
      <c r="AF244" t="s">
        <v>107</v>
      </c>
      <c r="AG244" t="s">
        <v>82</v>
      </c>
      <c r="AH244" t="s">
        <v>83</v>
      </c>
      <c r="AI244" t="s">
        <v>121</v>
      </c>
      <c r="AJ244">
        <v>4.5287617179422099</v>
      </c>
      <c r="AK244">
        <v>1.17051234638972</v>
      </c>
      <c r="AL244">
        <v>2.41282607146616</v>
      </c>
      <c r="AM244">
        <v>1.5105826192232199</v>
      </c>
      <c r="AN244">
        <v>6.84007137455602</v>
      </c>
      <c r="AO244">
        <v>1.81164841559351</v>
      </c>
      <c r="AP244">
        <v>1.81164841559351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15.3</v>
      </c>
      <c r="AZ244">
        <v>9.8000000000000007</v>
      </c>
      <c r="BA244">
        <v>29.7</v>
      </c>
      <c r="BB244">
        <v>564</v>
      </c>
      <c r="BC244">
        <v>68</v>
      </c>
      <c r="BD244">
        <v>1.8</v>
      </c>
      <c r="BE244">
        <v>43</v>
      </c>
      <c r="BF244">
        <v>25.4</v>
      </c>
      <c r="BG244">
        <v>162</v>
      </c>
      <c r="BH244">
        <v>9.1</v>
      </c>
      <c r="BI244">
        <v>9.1999999999999993</v>
      </c>
      <c r="BJ244">
        <v>18.3</v>
      </c>
      <c r="BK244">
        <v>0.34</v>
      </c>
      <c r="BL244">
        <v>7.3</v>
      </c>
      <c r="BM244">
        <v>0.9</v>
      </c>
      <c r="BN244">
        <v>7.5</v>
      </c>
      <c r="BO244">
        <v>2.9</v>
      </c>
      <c r="BP244">
        <f t="shared" si="6"/>
        <v>8.3043369593892482</v>
      </c>
      <c r="BQ244">
        <f t="shared" si="7"/>
        <v>27.408521359640108</v>
      </c>
    </row>
    <row r="245" spans="1:69" hidden="1" x14ac:dyDescent="0.2">
      <c r="A245" t="s">
        <v>708</v>
      </c>
      <c r="B245" t="s">
        <v>68</v>
      </c>
      <c r="C245" t="s">
        <v>69</v>
      </c>
      <c r="D245" t="s">
        <v>70</v>
      </c>
      <c r="E245" t="s">
        <v>709</v>
      </c>
      <c r="F245">
        <v>5</v>
      </c>
      <c r="G245">
        <v>166.15</v>
      </c>
      <c r="H245">
        <v>3</v>
      </c>
      <c r="I245">
        <v>3</v>
      </c>
      <c r="J245">
        <v>2</v>
      </c>
      <c r="K245" t="s">
        <v>110</v>
      </c>
      <c r="L245" t="s">
        <v>162</v>
      </c>
      <c r="M245" s="4">
        <v>895000000</v>
      </c>
      <c r="N245">
        <v>0</v>
      </c>
      <c r="O245">
        <v>4.7248650000000003</v>
      </c>
      <c r="P245">
        <v>-74.062875000000005</v>
      </c>
      <c r="Q245" t="s">
        <v>710</v>
      </c>
      <c r="R245">
        <v>5386698.7659999998</v>
      </c>
      <c r="S245">
        <v>0</v>
      </c>
      <c r="T245" t="s">
        <v>117</v>
      </c>
      <c r="U245" t="s">
        <v>118</v>
      </c>
      <c r="V245" t="s">
        <v>77</v>
      </c>
      <c r="W245" t="s">
        <v>119</v>
      </c>
      <c r="X245" t="s">
        <v>120</v>
      </c>
      <c r="Y245">
        <v>1.55545823302299</v>
      </c>
      <c r="Z245">
        <v>1555.45823302299</v>
      </c>
      <c r="AA245">
        <v>4.73719444444444</v>
      </c>
      <c r="AB245">
        <v>-74.069472222222203</v>
      </c>
      <c r="AC245">
        <v>2555</v>
      </c>
      <c r="AD245">
        <v>0</v>
      </c>
      <c r="AE245" t="s">
        <v>80</v>
      </c>
      <c r="AF245" t="s">
        <v>107</v>
      </c>
      <c r="AG245" t="s">
        <v>82</v>
      </c>
      <c r="AH245" t="s">
        <v>83</v>
      </c>
      <c r="AI245" t="s">
        <v>121</v>
      </c>
      <c r="AJ245">
        <v>1.33036082958143</v>
      </c>
      <c r="AK245">
        <v>4.3964880648169702</v>
      </c>
      <c r="AL245">
        <v>1.29658530989743</v>
      </c>
      <c r="AM245">
        <v>0.175784622374271</v>
      </c>
      <c r="AN245">
        <v>3.0875208042711102</v>
      </c>
      <c r="AO245">
        <v>0.49430757729277403</v>
      </c>
      <c r="AP245">
        <v>0.49430757729277403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21</v>
      </c>
      <c r="AW245">
        <v>0</v>
      </c>
      <c r="AX245">
        <v>0</v>
      </c>
      <c r="AY245">
        <v>15.3</v>
      </c>
      <c r="AZ245">
        <v>9.8000000000000007</v>
      </c>
      <c r="BA245">
        <v>29.7</v>
      </c>
      <c r="BB245">
        <v>564</v>
      </c>
      <c r="BC245">
        <v>68</v>
      </c>
      <c r="BD245">
        <v>1.8</v>
      </c>
      <c r="BE245">
        <v>43</v>
      </c>
      <c r="BF245">
        <v>25.4</v>
      </c>
      <c r="BG245">
        <v>162</v>
      </c>
      <c r="BH245">
        <v>9.1</v>
      </c>
      <c r="BI245">
        <v>9.1999999999999993</v>
      </c>
      <c r="BJ245">
        <v>18.3</v>
      </c>
      <c r="BK245">
        <v>0.34</v>
      </c>
      <c r="BL245">
        <v>7.3</v>
      </c>
      <c r="BM245">
        <v>0.9</v>
      </c>
      <c r="BN245">
        <v>7.5</v>
      </c>
      <c r="BO245">
        <v>2.9</v>
      </c>
      <c r="BP245">
        <f t="shared" si="6"/>
        <v>9.0737642777834751</v>
      </c>
      <c r="BQ245">
        <f t="shared" si="7"/>
        <v>28.611709245473961</v>
      </c>
    </row>
    <row r="246" spans="1:69" hidden="1" x14ac:dyDescent="0.2">
      <c r="A246" t="s">
        <v>1414</v>
      </c>
      <c r="B246" t="s">
        <v>68</v>
      </c>
      <c r="C246" t="s">
        <v>69</v>
      </c>
      <c r="D246" t="s">
        <v>70</v>
      </c>
      <c r="E246" t="s">
        <v>455</v>
      </c>
      <c r="F246">
        <v>6</v>
      </c>
      <c r="G246">
        <v>166</v>
      </c>
      <c r="H246">
        <v>3</v>
      </c>
      <c r="I246">
        <v>5</v>
      </c>
      <c r="J246">
        <v>4</v>
      </c>
      <c r="K246" t="s">
        <v>110</v>
      </c>
      <c r="L246" t="s">
        <v>111</v>
      </c>
      <c r="M246" s="4">
        <v>1330000000</v>
      </c>
      <c r="N246">
        <v>0</v>
      </c>
      <c r="O246">
        <v>4.741711617</v>
      </c>
      <c r="P246">
        <v>-74.074104309999996</v>
      </c>
      <c r="Q246" t="s">
        <v>1415</v>
      </c>
      <c r="R246">
        <v>8012048.193</v>
      </c>
      <c r="S246">
        <v>0</v>
      </c>
      <c r="T246" t="s">
        <v>117</v>
      </c>
      <c r="U246" t="s">
        <v>118</v>
      </c>
      <c r="V246" t="s">
        <v>77</v>
      </c>
      <c r="W246" t="s">
        <v>119</v>
      </c>
      <c r="X246" t="s">
        <v>120</v>
      </c>
      <c r="Y246">
        <v>0.71897747891943098</v>
      </c>
      <c r="Z246">
        <v>718.97747891943095</v>
      </c>
      <c r="AA246">
        <v>4.73719444444444</v>
      </c>
      <c r="AB246">
        <v>-74.069472222222203</v>
      </c>
      <c r="AC246">
        <v>2555</v>
      </c>
      <c r="AD246">
        <v>0</v>
      </c>
      <c r="AE246" t="s">
        <v>80</v>
      </c>
      <c r="AF246" t="s">
        <v>107</v>
      </c>
      <c r="AG246" t="s">
        <v>82</v>
      </c>
      <c r="AH246" t="s">
        <v>83</v>
      </c>
      <c r="AI246" t="s">
        <v>121</v>
      </c>
      <c r="AJ246">
        <v>1.0257894740594</v>
      </c>
      <c r="AK246">
        <v>4.9130331474529001</v>
      </c>
      <c r="AL246">
        <v>2.6229479001849199</v>
      </c>
      <c r="AM246">
        <v>0.94499465881549605</v>
      </c>
      <c r="AN246">
        <v>1.2429753916500701</v>
      </c>
      <c r="AO246">
        <v>8.8845211294589194E-2</v>
      </c>
      <c r="AP246">
        <v>8.8845211294589194E-2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3</v>
      </c>
      <c r="AW246">
        <v>0</v>
      </c>
      <c r="AX246">
        <v>0</v>
      </c>
      <c r="AY246">
        <v>15.3</v>
      </c>
      <c r="AZ246">
        <v>9.8000000000000007</v>
      </c>
      <c r="BA246">
        <v>29.7</v>
      </c>
      <c r="BB246">
        <v>564</v>
      </c>
      <c r="BC246">
        <v>68</v>
      </c>
      <c r="BD246">
        <v>1.8</v>
      </c>
      <c r="BE246">
        <v>43</v>
      </c>
      <c r="BF246">
        <v>25.4</v>
      </c>
      <c r="BG246">
        <v>162</v>
      </c>
      <c r="BH246">
        <v>9.1</v>
      </c>
      <c r="BI246">
        <v>9.1999999999999993</v>
      </c>
      <c r="BJ246">
        <v>18.3</v>
      </c>
      <c r="BK246">
        <v>0.34</v>
      </c>
      <c r="BL246">
        <v>7.3</v>
      </c>
      <c r="BM246">
        <v>0.9</v>
      </c>
      <c r="BN246">
        <v>7.5</v>
      </c>
      <c r="BO246">
        <v>2.9</v>
      </c>
      <c r="BP246">
        <f t="shared" si="6"/>
        <v>9.4573574098269493</v>
      </c>
      <c r="BQ246">
        <f t="shared" si="7"/>
        <v>29.191909130712865</v>
      </c>
    </row>
    <row r="247" spans="1:69" hidden="1" x14ac:dyDescent="0.2">
      <c r="A247" t="s">
        <v>3231</v>
      </c>
      <c r="B247" t="s">
        <v>68</v>
      </c>
      <c r="C247" t="s">
        <v>1956</v>
      </c>
      <c r="D247" t="s">
        <v>70</v>
      </c>
      <c r="E247" t="s">
        <v>3217</v>
      </c>
      <c r="F247">
        <v>6</v>
      </c>
      <c r="G247">
        <v>165.85</v>
      </c>
      <c r="H247">
        <v>4</v>
      </c>
      <c r="I247">
        <v>4</v>
      </c>
      <c r="J247">
        <v>2</v>
      </c>
      <c r="K247" t="s">
        <v>110</v>
      </c>
      <c r="L247" t="s">
        <v>124</v>
      </c>
      <c r="M247" s="4">
        <v>1200000000</v>
      </c>
      <c r="N247">
        <v>0</v>
      </c>
      <c r="O247">
        <v>4.7993499999999996</v>
      </c>
      <c r="P247">
        <v>-74.073459999999997</v>
      </c>
      <c r="Q247" t="s">
        <v>3232</v>
      </c>
      <c r="R247">
        <v>7235453.7230000002</v>
      </c>
      <c r="S247">
        <v>0</v>
      </c>
      <c r="T247" t="s">
        <v>151</v>
      </c>
      <c r="U247" t="s">
        <v>152</v>
      </c>
      <c r="V247" t="s">
        <v>77</v>
      </c>
      <c r="W247" t="s">
        <v>119</v>
      </c>
      <c r="X247" t="s">
        <v>153</v>
      </c>
      <c r="Y247">
        <v>3.6871611395105699</v>
      </c>
      <c r="Z247">
        <v>3687.1611395105701</v>
      </c>
      <c r="AA247">
        <v>4.7837500000000004</v>
      </c>
      <c r="AB247">
        <v>-74.044138888888895</v>
      </c>
      <c r="AC247">
        <v>2580</v>
      </c>
      <c r="AD247">
        <v>0</v>
      </c>
      <c r="AE247" t="s">
        <v>154</v>
      </c>
      <c r="AF247" t="s">
        <v>107</v>
      </c>
      <c r="AG247" t="s">
        <v>82</v>
      </c>
      <c r="AH247" t="s">
        <v>83</v>
      </c>
      <c r="AI247" t="s">
        <v>121</v>
      </c>
      <c r="AJ247">
        <v>4.7289952597657896</v>
      </c>
      <c r="AK247">
        <v>0.91236428975934503</v>
      </c>
      <c r="AL247">
        <v>2.9279645638132799</v>
      </c>
      <c r="AM247">
        <v>1.0115505489813901</v>
      </c>
      <c r="AN247">
        <v>6.5361307493788603</v>
      </c>
      <c r="AO247">
        <v>2.2439383550145502</v>
      </c>
      <c r="AP247">
        <v>2.2439383550145502</v>
      </c>
      <c r="AQ247">
        <v>0</v>
      </c>
      <c r="AR247">
        <v>0</v>
      </c>
      <c r="AS247">
        <v>0</v>
      </c>
      <c r="AT247">
        <v>1</v>
      </c>
      <c r="AU247">
        <v>0</v>
      </c>
      <c r="AV247">
        <v>0</v>
      </c>
      <c r="AW247">
        <v>0</v>
      </c>
      <c r="AX247">
        <v>0</v>
      </c>
      <c r="AY247">
        <v>15.3</v>
      </c>
      <c r="AZ247">
        <v>9.8000000000000007</v>
      </c>
      <c r="BA247">
        <v>29.7</v>
      </c>
      <c r="BB247">
        <v>564</v>
      </c>
      <c r="BC247">
        <v>68</v>
      </c>
      <c r="BD247">
        <v>1.8</v>
      </c>
      <c r="BE247">
        <v>43</v>
      </c>
      <c r="BF247">
        <v>25.4</v>
      </c>
      <c r="BG247">
        <v>162</v>
      </c>
      <c r="BH247">
        <v>9.1</v>
      </c>
      <c r="BI247">
        <v>9.1999999999999993</v>
      </c>
      <c r="BJ247">
        <v>18.3</v>
      </c>
      <c r="BK247">
        <v>0.34</v>
      </c>
      <c r="BL247">
        <v>7.3</v>
      </c>
      <c r="BM247">
        <v>0.9</v>
      </c>
      <c r="BN247">
        <v>7.5</v>
      </c>
      <c r="BO247">
        <v>2.9</v>
      </c>
      <c r="BP247">
        <f t="shared" si="6"/>
        <v>8.1650913084671153</v>
      </c>
      <c r="BQ247">
        <f t="shared" si="7"/>
        <v>27.184723471848947</v>
      </c>
    </row>
    <row r="248" spans="1:69" hidden="1" x14ac:dyDescent="0.2">
      <c r="A248" t="s">
        <v>348</v>
      </c>
      <c r="B248" t="s">
        <v>68</v>
      </c>
      <c r="C248" t="s">
        <v>69</v>
      </c>
      <c r="D248" t="s">
        <v>70</v>
      </c>
      <c r="E248" t="s">
        <v>349</v>
      </c>
      <c r="F248">
        <v>6</v>
      </c>
      <c r="G248">
        <v>165.4</v>
      </c>
      <c r="H248">
        <v>3</v>
      </c>
      <c r="I248">
        <v>3</v>
      </c>
      <c r="J248">
        <v>3</v>
      </c>
      <c r="K248" t="s">
        <v>110</v>
      </c>
      <c r="L248" t="s">
        <v>111</v>
      </c>
      <c r="M248" s="4">
        <v>1650000000</v>
      </c>
      <c r="N248">
        <v>0</v>
      </c>
      <c r="O248">
        <v>4.7428929999999996</v>
      </c>
      <c r="P248">
        <v>-74.075484000000003</v>
      </c>
      <c r="Q248" t="s">
        <v>350</v>
      </c>
      <c r="R248">
        <v>9975816.2029999997</v>
      </c>
      <c r="S248">
        <v>0</v>
      </c>
      <c r="T248" t="s">
        <v>117</v>
      </c>
      <c r="U248" t="s">
        <v>118</v>
      </c>
      <c r="V248" t="s">
        <v>77</v>
      </c>
      <c r="W248" t="s">
        <v>119</v>
      </c>
      <c r="X248" t="s">
        <v>120</v>
      </c>
      <c r="Y248">
        <v>0.92044602673895504</v>
      </c>
      <c r="Z248">
        <v>920.44602673895497</v>
      </c>
      <c r="AA248">
        <v>4.73719444444444</v>
      </c>
      <c r="AB248">
        <v>-74.069472222222203</v>
      </c>
      <c r="AC248">
        <v>2555</v>
      </c>
      <c r="AD248">
        <v>0</v>
      </c>
      <c r="AE248" t="s">
        <v>80</v>
      </c>
      <c r="AF248" t="s">
        <v>107</v>
      </c>
      <c r="AG248" t="s">
        <v>82</v>
      </c>
      <c r="AH248" t="s">
        <v>83</v>
      </c>
      <c r="AI248" t="s">
        <v>121</v>
      </c>
      <c r="AJ248">
        <v>1.0189483938498101</v>
      </c>
      <c r="AK248">
        <v>4.7178536404104996</v>
      </c>
      <c r="AL248">
        <v>2.69861137464589</v>
      </c>
      <c r="AM248">
        <v>0.89391377712652798</v>
      </c>
      <c r="AN248">
        <v>1.1017640540962099</v>
      </c>
      <c r="AO248">
        <v>2.4248676681473E-2</v>
      </c>
      <c r="AP248">
        <v>2.4248676681473E-2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7</v>
      </c>
      <c r="AW248">
        <v>0</v>
      </c>
      <c r="AX248">
        <v>0</v>
      </c>
      <c r="AY248">
        <v>15.3</v>
      </c>
      <c r="AZ248">
        <v>9.8000000000000007</v>
      </c>
      <c r="BA248">
        <v>29.7</v>
      </c>
      <c r="BB248">
        <v>564</v>
      </c>
      <c r="BC248">
        <v>68</v>
      </c>
      <c r="BD248">
        <v>1.8</v>
      </c>
      <c r="BE248">
        <v>43</v>
      </c>
      <c r="BF248">
        <v>25.4</v>
      </c>
      <c r="BG248">
        <v>162</v>
      </c>
      <c r="BH248">
        <v>9.1</v>
      </c>
      <c r="BI248">
        <v>9.1999999999999993</v>
      </c>
      <c r="BJ248">
        <v>18.3</v>
      </c>
      <c r="BK248">
        <v>0.34</v>
      </c>
      <c r="BL248">
        <v>7.3</v>
      </c>
      <c r="BM248">
        <v>0.9</v>
      </c>
      <c r="BN248">
        <v>7.5</v>
      </c>
      <c r="BO248">
        <v>2.9</v>
      </c>
      <c r="BP248">
        <f t="shared" si="6"/>
        <v>9.3635108161083433</v>
      </c>
      <c r="BQ248">
        <f t="shared" si="7"/>
        <v>29.051099791912172</v>
      </c>
    </row>
    <row r="249" spans="1:69" hidden="1" x14ac:dyDescent="0.2">
      <c r="A249" t="s">
        <v>2744</v>
      </c>
      <c r="B249" t="s">
        <v>68</v>
      </c>
      <c r="C249" t="s">
        <v>1956</v>
      </c>
      <c r="D249" t="s">
        <v>70</v>
      </c>
      <c r="E249" t="s">
        <v>277</v>
      </c>
      <c r="F249">
        <v>5</v>
      </c>
      <c r="G249">
        <v>164</v>
      </c>
      <c r="H249">
        <v>3</v>
      </c>
      <c r="I249">
        <v>4</v>
      </c>
      <c r="J249">
        <v>2</v>
      </c>
      <c r="K249" t="s">
        <v>110</v>
      </c>
      <c r="L249" t="s">
        <v>124</v>
      </c>
      <c r="M249" s="4">
        <v>850000000</v>
      </c>
      <c r="N249">
        <v>0</v>
      </c>
      <c r="O249">
        <v>4.72471</v>
      </c>
      <c r="P249">
        <v>-74.063389999999998</v>
      </c>
      <c r="Q249" t="s">
        <v>2745</v>
      </c>
      <c r="R249">
        <v>5182926.8289999999</v>
      </c>
      <c r="S249">
        <v>0</v>
      </c>
      <c r="T249" t="s">
        <v>117</v>
      </c>
      <c r="U249" t="s">
        <v>118</v>
      </c>
      <c r="V249" t="s">
        <v>77</v>
      </c>
      <c r="W249" t="s">
        <v>119</v>
      </c>
      <c r="X249" t="s">
        <v>120</v>
      </c>
      <c r="Y249">
        <v>1.54490894069039</v>
      </c>
      <c r="Z249">
        <v>1544.90894069039</v>
      </c>
      <c r="AA249">
        <v>4.73719444444444</v>
      </c>
      <c r="AB249">
        <v>-74.069472222222203</v>
      </c>
      <c r="AC249">
        <v>2555</v>
      </c>
      <c r="AD249">
        <v>0</v>
      </c>
      <c r="AE249" t="s">
        <v>80</v>
      </c>
      <c r="AF249" t="s">
        <v>107</v>
      </c>
      <c r="AG249" t="s">
        <v>82</v>
      </c>
      <c r="AH249" t="s">
        <v>83</v>
      </c>
      <c r="AI249" t="s">
        <v>121</v>
      </c>
      <c r="AJ249">
        <v>1.2926942352845701</v>
      </c>
      <c r="AK249">
        <v>4.45096957456723</v>
      </c>
      <c r="AL249">
        <v>1.24346089733295</v>
      </c>
      <c r="AM249">
        <v>0.15832913502287899</v>
      </c>
      <c r="AN249">
        <v>3.0520347486386799</v>
      </c>
      <c r="AO249">
        <v>0.53497594230655299</v>
      </c>
      <c r="AP249">
        <v>0.53497594230655299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22</v>
      </c>
      <c r="AW249">
        <v>0</v>
      </c>
      <c r="AX249">
        <v>0</v>
      </c>
      <c r="AY249">
        <v>15.3</v>
      </c>
      <c r="AZ249">
        <v>9.8000000000000007</v>
      </c>
      <c r="BA249">
        <v>29.7</v>
      </c>
      <c r="BB249">
        <v>564</v>
      </c>
      <c r="BC249">
        <v>68</v>
      </c>
      <c r="BD249">
        <v>1.8</v>
      </c>
      <c r="BE249">
        <v>43</v>
      </c>
      <c r="BF249">
        <v>25.4</v>
      </c>
      <c r="BG249">
        <v>162</v>
      </c>
      <c r="BH249">
        <v>9.1</v>
      </c>
      <c r="BI249">
        <v>9.1999999999999993</v>
      </c>
      <c r="BJ249">
        <v>18.3</v>
      </c>
      <c r="BK249">
        <v>0.34</v>
      </c>
      <c r="BL249">
        <v>7.3</v>
      </c>
      <c r="BM249">
        <v>0.9</v>
      </c>
      <c r="BN249">
        <v>7.5</v>
      </c>
      <c r="BO249">
        <v>2.9</v>
      </c>
      <c r="BP249">
        <f t="shared" si="6"/>
        <v>9.0785037438268041</v>
      </c>
      <c r="BQ249">
        <f t="shared" si="7"/>
        <v>28.618954161419275</v>
      </c>
    </row>
    <row r="250" spans="1:69" hidden="1" x14ac:dyDescent="0.2">
      <c r="A250" t="s">
        <v>994</v>
      </c>
      <c r="B250" t="s">
        <v>68</v>
      </c>
      <c r="C250" t="s">
        <v>69</v>
      </c>
      <c r="D250" t="s">
        <v>70</v>
      </c>
      <c r="E250" t="s">
        <v>532</v>
      </c>
      <c r="F250">
        <v>6</v>
      </c>
      <c r="G250">
        <v>162.72</v>
      </c>
      <c r="H250">
        <v>3</v>
      </c>
      <c r="I250">
        <v>3</v>
      </c>
      <c r="J250">
        <v>3</v>
      </c>
      <c r="K250" t="s">
        <v>110</v>
      </c>
      <c r="L250" t="s">
        <v>162</v>
      </c>
      <c r="M250" s="4">
        <v>900000000</v>
      </c>
      <c r="N250">
        <v>0</v>
      </c>
      <c r="O250">
        <v>4.7201599999999999</v>
      </c>
      <c r="P250">
        <v>-74.077250000000006</v>
      </c>
      <c r="Q250" t="s">
        <v>995</v>
      </c>
      <c r="R250">
        <v>5530973.4510000004</v>
      </c>
      <c r="S250">
        <v>0</v>
      </c>
      <c r="T250" t="s">
        <v>117</v>
      </c>
      <c r="U250" t="s">
        <v>118</v>
      </c>
      <c r="V250" t="s">
        <v>77</v>
      </c>
      <c r="W250" t="s">
        <v>119</v>
      </c>
      <c r="X250" t="s">
        <v>120</v>
      </c>
      <c r="Y250">
        <v>2.0833555373073702</v>
      </c>
      <c r="Z250">
        <v>2083.35553730737</v>
      </c>
      <c r="AA250">
        <v>4.73719444444444</v>
      </c>
      <c r="AB250">
        <v>-74.069472222222203</v>
      </c>
      <c r="AC250">
        <v>2555</v>
      </c>
      <c r="AD250">
        <v>0</v>
      </c>
      <c r="AE250" t="s">
        <v>80</v>
      </c>
      <c r="AF250" t="s">
        <v>107</v>
      </c>
      <c r="AG250" t="s">
        <v>82</v>
      </c>
      <c r="AH250" t="s">
        <v>83</v>
      </c>
      <c r="AI250" t="s">
        <v>121</v>
      </c>
      <c r="AJ250">
        <v>0.30688802155078099</v>
      </c>
      <c r="AK250">
        <v>5.3788378161252703</v>
      </c>
      <c r="AL250">
        <v>0.74295959556851199</v>
      </c>
      <c r="AM250">
        <v>0.40941849343175202</v>
      </c>
      <c r="AN250">
        <v>2.5131334200373701</v>
      </c>
      <c r="AO250">
        <v>5.9876856593420397E-3</v>
      </c>
      <c r="AP250">
        <v>5.9876856593420397E-3</v>
      </c>
      <c r="AQ250">
        <v>1</v>
      </c>
      <c r="AR250">
        <v>2</v>
      </c>
      <c r="AS250">
        <v>0</v>
      </c>
      <c r="AT250">
        <v>0</v>
      </c>
      <c r="AU250">
        <v>1</v>
      </c>
      <c r="AV250">
        <v>24</v>
      </c>
      <c r="AW250">
        <v>0</v>
      </c>
      <c r="AX250">
        <v>0</v>
      </c>
      <c r="AY250">
        <v>15.3</v>
      </c>
      <c r="AZ250">
        <v>9.8000000000000007</v>
      </c>
      <c r="BA250">
        <v>29.7</v>
      </c>
      <c r="BB250">
        <v>564</v>
      </c>
      <c r="BC250">
        <v>68</v>
      </c>
      <c r="BD250">
        <v>1.8</v>
      </c>
      <c r="BE250">
        <v>43</v>
      </c>
      <c r="BF250">
        <v>25.4</v>
      </c>
      <c r="BG250">
        <v>162</v>
      </c>
      <c r="BH250">
        <v>9.1</v>
      </c>
      <c r="BI250">
        <v>9.1999999999999993</v>
      </c>
      <c r="BJ250">
        <v>18.3</v>
      </c>
      <c r="BK250">
        <v>0.34</v>
      </c>
      <c r="BL250">
        <v>7.3</v>
      </c>
      <c r="BM250">
        <v>0.9</v>
      </c>
      <c r="BN250">
        <v>7.5</v>
      </c>
      <c r="BO250">
        <v>2.9</v>
      </c>
      <c r="BP250">
        <f t="shared" si="6"/>
        <v>8.8397295879194768</v>
      </c>
      <c r="BQ250">
        <f t="shared" si="7"/>
        <v>28.251498852574066</v>
      </c>
    </row>
    <row r="251" spans="1:69" hidden="1" x14ac:dyDescent="0.2">
      <c r="A251" t="s">
        <v>1766</v>
      </c>
      <c r="B251" t="s">
        <v>68</v>
      </c>
      <c r="C251" t="s">
        <v>69</v>
      </c>
      <c r="D251" t="s">
        <v>70</v>
      </c>
      <c r="E251" t="s">
        <v>1767</v>
      </c>
      <c r="F251">
        <v>5</v>
      </c>
      <c r="G251">
        <v>161.69999999999999</v>
      </c>
      <c r="H251">
        <v>3</v>
      </c>
      <c r="I251">
        <v>4</v>
      </c>
      <c r="J251">
        <v>2</v>
      </c>
      <c r="K251" t="s">
        <v>110</v>
      </c>
      <c r="L251" t="s">
        <v>124</v>
      </c>
      <c r="M251" s="4">
        <v>1160000000</v>
      </c>
      <c r="N251">
        <v>0</v>
      </c>
      <c r="O251">
        <v>4.7328200000000002</v>
      </c>
      <c r="P251">
        <v>-74.064099999999996</v>
      </c>
      <c r="Q251" t="s">
        <v>1768</v>
      </c>
      <c r="R251">
        <v>7173778.602</v>
      </c>
      <c r="S251">
        <v>0</v>
      </c>
      <c r="T251" t="s">
        <v>117</v>
      </c>
      <c r="U251" t="s">
        <v>118</v>
      </c>
      <c r="V251" t="s">
        <v>77</v>
      </c>
      <c r="W251" t="s">
        <v>119</v>
      </c>
      <c r="X251" t="s">
        <v>120</v>
      </c>
      <c r="Y251">
        <v>0.769634623659051</v>
      </c>
      <c r="Z251">
        <v>769.63462365905104</v>
      </c>
      <c r="AA251">
        <v>4.73719444444444</v>
      </c>
      <c r="AB251">
        <v>-74.069472222222203</v>
      </c>
      <c r="AC251">
        <v>2555</v>
      </c>
      <c r="AD251">
        <v>0</v>
      </c>
      <c r="AE251" t="s">
        <v>80</v>
      </c>
      <c r="AF251" t="s">
        <v>107</v>
      </c>
      <c r="AG251" t="s">
        <v>82</v>
      </c>
      <c r="AH251" t="s">
        <v>83</v>
      </c>
      <c r="AI251" t="s">
        <v>121</v>
      </c>
      <c r="AJ251">
        <v>1.31861353244683</v>
      </c>
      <c r="AK251">
        <v>4.6681788807356597</v>
      </c>
      <c r="AL251">
        <v>1.9422227693517999</v>
      </c>
      <c r="AM251">
        <v>0.24328687459515899</v>
      </c>
      <c r="AN251">
        <v>2.5362784710370199</v>
      </c>
      <c r="AO251">
        <v>0.21554385001892001</v>
      </c>
      <c r="AP251">
        <v>0.21554385001892001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18</v>
      </c>
      <c r="AW251">
        <v>0</v>
      </c>
      <c r="AX251">
        <v>0</v>
      </c>
      <c r="AY251">
        <v>15.3</v>
      </c>
      <c r="AZ251">
        <v>9.8000000000000007</v>
      </c>
      <c r="BA251">
        <v>29.7</v>
      </c>
      <c r="BB251">
        <v>564</v>
      </c>
      <c r="BC251">
        <v>68</v>
      </c>
      <c r="BD251">
        <v>1.8</v>
      </c>
      <c r="BE251">
        <v>43</v>
      </c>
      <c r="BF251">
        <v>25.4</v>
      </c>
      <c r="BG251">
        <v>162</v>
      </c>
      <c r="BH251">
        <v>9.1</v>
      </c>
      <c r="BI251">
        <v>9.1999999999999993</v>
      </c>
      <c r="BJ251">
        <v>18.3</v>
      </c>
      <c r="BK251">
        <v>0.34</v>
      </c>
      <c r="BL251">
        <v>7.3</v>
      </c>
      <c r="BM251">
        <v>0.9</v>
      </c>
      <c r="BN251">
        <v>7.5</v>
      </c>
      <c r="BO251">
        <v>2.9</v>
      </c>
      <c r="BP251">
        <f t="shared" si="6"/>
        <v>9.4336725227073082</v>
      </c>
      <c r="BQ251">
        <f t="shared" si="7"/>
        <v>29.156440005871417</v>
      </c>
    </row>
    <row r="252" spans="1:69" hidden="1" x14ac:dyDescent="0.2">
      <c r="A252" t="s">
        <v>2783</v>
      </c>
      <c r="B252" t="s">
        <v>68</v>
      </c>
      <c r="C252" t="s">
        <v>1956</v>
      </c>
      <c r="D252" t="s">
        <v>70</v>
      </c>
      <c r="E252" t="s">
        <v>1724</v>
      </c>
      <c r="F252">
        <v>6</v>
      </c>
      <c r="G252">
        <v>160.47999999999999</v>
      </c>
      <c r="H252">
        <v>3</v>
      </c>
      <c r="I252">
        <v>5</v>
      </c>
      <c r="J252">
        <v>4</v>
      </c>
      <c r="K252" t="s">
        <v>110</v>
      </c>
      <c r="L252" t="s">
        <v>162</v>
      </c>
      <c r="M252" s="4">
        <v>2000000000</v>
      </c>
      <c r="N252">
        <v>0</v>
      </c>
      <c r="O252">
        <v>4.7646253449999998</v>
      </c>
      <c r="P252">
        <v>-74.063086510000005</v>
      </c>
      <c r="Q252" t="s">
        <v>2784</v>
      </c>
      <c r="R252">
        <v>12462612.16</v>
      </c>
      <c r="S252">
        <v>0</v>
      </c>
      <c r="T252" t="s">
        <v>151</v>
      </c>
      <c r="U252" t="s">
        <v>152</v>
      </c>
      <c r="V252" t="s">
        <v>77</v>
      </c>
      <c r="W252" t="s">
        <v>119</v>
      </c>
      <c r="X252" t="s">
        <v>153</v>
      </c>
      <c r="Y252">
        <v>2.9917366845339899</v>
      </c>
      <c r="Z252">
        <v>2991.7366845339898</v>
      </c>
      <c r="AA252">
        <v>4.7837500000000004</v>
      </c>
      <c r="AB252">
        <v>-74.044138888888895</v>
      </c>
      <c r="AC252">
        <v>2580</v>
      </c>
      <c r="AD252">
        <v>0</v>
      </c>
      <c r="AE252" t="s">
        <v>154</v>
      </c>
      <c r="AF252" t="s">
        <v>107</v>
      </c>
      <c r="AG252" t="s">
        <v>82</v>
      </c>
      <c r="AH252" t="s">
        <v>83</v>
      </c>
      <c r="AI252" t="s">
        <v>121</v>
      </c>
      <c r="AJ252">
        <v>2.0717822973484399</v>
      </c>
      <c r="AK252">
        <v>4.0313462919187204</v>
      </c>
      <c r="AL252">
        <v>1.63540745234769</v>
      </c>
      <c r="AM252">
        <v>0.59349534814627702</v>
      </c>
      <c r="AN252">
        <v>3.5569206422980999</v>
      </c>
      <c r="AO252">
        <v>1.6349897306229301E-2</v>
      </c>
      <c r="AP252">
        <v>1.6349897306229301E-2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5</v>
      </c>
      <c r="AW252">
        <v>0</v>
      </c>
      <c r="AX252">
        <v>1</v>
      </c>
      <c r="AY252">
        <v>15.3</v>
      </c>
      <c r="AZ252">
        <v>9.8000000000000007</v>
      </c>
      <c r="BA252">
        <v>29.7</v>
      </c>
      <c r="BB252">
        <v>564</v>
      </c>
      <c r="BC252">
        <v>68</v>
      </c>
      <c r="BD252">
        <v>1.8</v>
      </c>
      <c r="BE252">
        <v>43</v>
      </c>
      <c r="BF252">
        <v>25.4</v>
      </c>
      <c r="BG252">
        <v>162</v>
      </c>
      <c r="BH252">
        <v>9.1</v>
      </c>
      <c r="BI252">
        <v>9.1999999999999993</v>
      </c>
      <c r="BJ252">
        <v>18.3</v>
      </c>
      <c r="BK252">
        <v>0.34</v>
      </c>
      <c r="BL252">
        <v>7.3</v>
      </c>
      <c r="BM252">
        <v>0.9</v>
      </c>
      <c r="BN252">
        <v>7.5</v>
      </c>
      <c r="BO252">
        <v>2.9</v>
      </c>
      <c r="BP252">
        <f t="shared" si="6"/>
        <v>8.4510561336700309</v>
      </c>
      <c r="BQ252">
        <f t="shared" si="7"/>
        <v>27.642249061015246</v>
      </c>
    </row>
    <row r="253" spans="1:69" hidden="1" x14ac:dyDescent="0.2">
      <c r="A253" t="s">
        <v>3111</v>
      </c>
      <c r="B253" t="s">
        <v>68</v>
      </c>
      <c r="C253" t="s">
        <v>1956</v>
      </c>
      <c r="D253" t="s">
        <v>70</v>
      </c>
      <c r="E253" t="s">
        <v>1588</v>
      </c>
      <c r="F253">
        <v>6</v>
      </c>
      <c r="G253">
        <v>160</v>
      </c>
      <c r="H253">
        <v>3</v>
      </c>
      <c r="I253">
        <v>5</v>
      </c>
      <c r="J253">
        <v>2</v>
      </c>
      <c r="K253" t="s">
        <v>110</v>
      </c>
      <c r="L253" t="s">
        <v>111</v>
      </c>
      <c r="M253" s="4">
        <v>1100000000</v>
      </c>
      <c r="N253">
        <v>0</v>
      </c>
      <c r="O253">
        <v>4.80037117</v>
      </c>
      <c r="P253">
        <v>-74.073196409999994</v>
      </c>
      <c r="Q253" t="s">
        <v>3112</v>
      </c>
      <c r="R253">
        <v>6875000</v>
      </c>
      <c r="S253">
        <v>0</v>
      </c>
      <c r="T253" t="s">
        <v>151</v>
      </c>
      <c r="U253" t="s">
        <v>152</v>
      </c>
      <c r="V253" t="s">
        <v>77</v>
      </c>
      <c r="W253" t="s">
        <v>119</v>
      </c>
      <c r="X253" t="s">
        <v>153</v>
      </c>
      <c r="Y253">
        <v>3.71665467420747</v>
      </c>
      <c r="Z253">
        <v>3716.6546742074702</v>
      </c>
      <c r="AA253">
        <v>4.7837500000000004</v>
      </c>
      <c r="AB253">
        <v>-74.044138888888895</v>
      </c>
      <c r="AC253">
        <v>2580</v>
      </c>
      <c r="AD253">
        <v>0</v>
      </c>
      <c r="AE253" t="s">
        <v>154</v>
      </c>
      <c r="AF253" t="s">
        <v>107</v>
      </c>
      <c r="AG253" t="s">
        <v>82</v>
      </c>
      <c r="AH253" t="s">
        <v>83</v>
      </c>
      <c r="AI253" t="s">
        <v>121</v>
      </c>
      <c r="AJ253">
        <v>4.7900787504893296</v>
      </c>
      <c r="AK253">
        <v>0.84384938832921597</v>
      </c>
      <c r="AL253">
        <v>2.8979209628964102</v>
      </c>
      <c r="AM253">
        <v>1.11843236761011</v>
      </c>
      <c r="AN253">
        <v>6.6525565572955196</v>
      </c>
      <c r="AO253">
        <v>2.2450882786661999</v>
      </c>
      <c r="AP253">
        <v>2.2450882786661999</v>
      </c>
      <c r="AQ253">
        <v>0</v>
      </c>
      <c r="AR253">
        <v>0</v>
      </c>
      <c r="AS253">
        <v>0</v>
      </c>
      <c r="AT253">
        <v>1</v>
      </c>
      <c r="AU253">
        <v>0</v>
      </c>
      <c r="AV253">
        <v>0</v>
      </c>
      <c r="AW253">
        <v>0</v>
      </c>
      <c r="AX253">
        <v>0</v>
      </c>
      <c r="AY253">
        <v>15.3</v>
      </c>
      <c r="AZ253">
        <v>9.8000000000000007</v>
      </c>
      <c r="BA253">
        <v>29.7</v>
      </c>
      <c r="BB253">
        <v>564</v>
      </c>
      <c r="BC253">
        <v>68</v>
      </c>
      <c r="BD253">
        <v>1.8</v>
      </c>
      <c r="BE253">
        <v>43</v>
      </c>
      <c r="BF253">
        <v>25.4</v>
      </c>
      <c r="BG253">
        <v>162</v>
      </c>
      <c r="BH253">
        <v>9.1</v>
      </c>
      <c r="BI253">
        <v>9.1999999999999993</v>
      </c>
      <c r="BJ253">
        <v>18.3</v>
      </c>
      <c r="BK253">
        <v>0.34</v>
      </c>
      <c r="BL253">
        <v>7.3</v>
      </c>
      <c r="BM253">
        <v>0.9</v>
      </c>
      <c r="BN253">
        <v>7.5</v>
      </c>
      <c r="BO253">
        <v>2.9</v>
      </c>
      <c r="BP253">
        <f t="shared" si="6"/>
        <v>8.1531795442650239</v>
      </c>
      <c r="BQ253">
        <f t="shared" si="7"/>
        <v>27.165487714579182</v>
      </c>
    </row>
    <row r="254" spans="1:69" hidden="1" x14ac:dyDescent="0.2">
      <c r="A254" t="s">
        <v>2121</v>
      </c>
      <c r="B254" t="s">
        <v>68</v>
      </c>
      <c r="C254" t="s">
        <v>1956</v>
      </c>
      <c r="D254" t="s">
        <v>70</v>
      </c>
      <c r="E254" t="s">
        <v>1987</v>
      </c>
      <c r="F254">
        <v>5</v>
      </c>
      <c r="G254">
        <v>160</v>
      </c>
      <c r="H254">
        <v>4</v>
      </c>
      <c r="I254">
        <v>3</v>
      </c>
      <c r="J254">
        <v>1</v>
      </c>
      <c r="K254" t="s">
        <v>110</v>
      </c>
      <c r="L254" t="s">
        <v>124</v>
      </c>
      <c r="M254" s="4">
        <v>750000000</v>
      </c>
      <c r="N254">
        <v>0</v>
      </c>
      <c r="O254">
        <v>4.7664051059999997</v>
      </c>
      <c r="P254">
        <v>-74.042663570000002</v>
      </c>
      <c r="Q254" t="s">
        <v>2122</v>
      </c>
      <c r="R254">
        <v>4687500</v>
      </c>
      <c r="S254">
        <v>0</v>
      </c>
      <c r="T254" t="s">
        <v>151</v>
      </c>
      <c r="U254" t="s">
        <v>152</v>
      </c>
      <c r="V254" t="s">
        <v>77</v>
      </c>
      <c r="W254" t="s">
        <v>119</v>
      </c>
      <c r="X254" t="s">
        <v>153</v>
      </c>
      <c r="Y254">
        <v>1.93774855045836</v>
      </c>
      <c r="Z254">
        <v>1937.7485504583599</v>
      </c>
      <c r="AA254">
        <v>4.7837500000000004</v>
      </c>
      <c r="AB254">
        <v>-74.044138888888895</v>
      </c>
      <c r="AC254">
        <v>2580</v>
      </c>
      <c r="AD254">
        <v>0</v>
      </c>
      <c r="AE254" t="s">
        <v>154</v>
      </c>
      <c r="AF254" t="s">
        <v>107</v>
      </c>
      <c r="AG254" t="s">
        <v>82</v>
      </c>
      <c r="AH254" t="s">
        <v>83</v>
      </c>
      <c r="AI254" t="s">
        <v>108</v>
      </c>
      <c r="AJ254">
        <v>0.285139719662238</v>
      </c>
      <c r="AK254">
        <v>2.1890943932211702</v>
      </c>
      <c r="AL254">
        <v>1.8752661806711901</v>
      </c>
      <c r="AM254">
        <v>0.33453331455942398</v>
      </c>
      <c r="AN254">
        <v>3.2668441325653199</v>
      </c>
      <c r="AO254">
        <v>0.26059286788941299</v>
      </c>
      <c r="AP254">
        <v>0.26059286788941299</v>
      </c>
      <c r="AQ254">
        <v>2</v>
      </c>
      <c r="AR254">
        <v>2</v>
      </c>
      <c r="AS254">
        <v>0</v>
      </c>
      <c r="AT254">
        <v>0</v>
      </c>
      <c r="AU254">
        <v>0</v>
      </c>
      <c r="AV254">
        <v>13</v>
      </c>
      <c r="AW254">
        <v>0</v>
      </c>
      <c r="AX254">
        <v>0</v>
      </c>
      <c r="AY254">
        <v>15.3</v>
      </c>
      <c r="AZ254">
        <v>9.8000000000000007</v>
      </c>
      <c r="BA254">
        <v>29.7</v>
      </c>
      <c r="BB254">
        <v>564</v>
      </c>
      <c r="BC254">
        <v>68</v>
      </c>
      <c r="BD254">
        <v>1.8</v>
      </c>
      <c r="BE254">
        <v>43</v>
      </c>
      <c r="BF254">
        <v>25.4</v>
      </c>
      <c r="BG254">
        <v>162</v>
      </c>
      <c r="BH254">
        <v>9.1</v>
      </c>
      <c r="BI254">
        <v>9.1999999999999993</v>
      </c>
      <c r="BJ254">
        <v>18.3</v>
      </c>
      <c r="BK254">
        <v>0.34</v>
      </c>
      <c r="BL254">
        <v>7.3</v>
      </c>
      <c r="BM254">
        <v>0.9</v>
      </c>
      <c r="BN254">
        <v>7.5</v>
      </c>
      <c r="BO254">
        <v>2.9</v>
      </c>
      <c r="BP254">
        <f t="shared" si="6"/>
        <v>8.9036725031515633</v>
      </c>
      <c r="BQ254">
        <f t="shared" si="7"/>
        <v>28.350398332315706</v>
      </c>
    </row>
    <row r="255" spans="1:69" hidden="1" x14ac:dyDescent="0.2">
      <c r="A255" t="s">
        <v>1124</v>
      </c>
      <c r="B255" t="s">
        <v>68</v>
      </c>
      <c r="C255" t="s">
        <v>69</v>
      </c>
      <c r="D255" t="s">
        <v>70</v>
      </c>
      <c r="E255" t="s">
        <v>140</v>
      </c>
      <c r="F255">
        <v>5</v>
      </c>
      <c r="G255">
        <v>157.26</v>
      </c>
      <c r="H255">
        <v>4</v>
      </c>
      <c r="I255">
        <v>4</v>
      </c>
      <c r="J255">
        <v>2</v>
      </c>
      <c r="K255" t="s">
        <v>110</v>
      </c>
      <c r="L255" t="s">
        <v>133</v>
      </c>
      <c r="M255" s="4">
        <v>1260000000</v>
      </c>
      <c r="N255">
        <v>0</v>
      </c>
      <c r="O255">
        <v>4.7426104999999996</v>
      </c>
      <c r="P255">
        <v>-74.054869999999994</v>
      </c>
      <c r="Q255" t="s">
        <v>1125</v>
      </c>
      <c r="R255">
        <v>8012209.0810000002</v>
      </c>
      <c r="S255">
        <v>0</v>
      </c>
      <c r="T255" t="s">
        <v>117</v>
      </c>
      <c r="U255" t="s">
        <v>118</v>
      </c>
      <c r="V255" t="s">
        <v>77</v>
      </c>
      <c r="W255" t="s">
        <v>119</v>
      </c>
      <c r="X255" t="s">
        <v>120</v>
      </c>
      <c r="Y255">
        <v>1.72851111775981</v>
      </c>
      <c r="Z255">
        <v>1728.5111177598101</v>
      </c>
      <c r="AA255">
        <v>4.73719444444444</v>
      </c>
      <c r="AB255">
        <v>-74.069472222222203</v>
      </c>
      <c r="AC255">
        <v>2555</v>
      </c>
      <c r="AD255">
        <v>0</v>
      </c>
      <c r="AE255" t="s">
        <v>80</v>
      </c>
      <c r="AF255" t="s">
        <v>107</v>
      </c>
      <c r="AG255" t="s">
        <v>82</v>
      </c>
      <c r="AH255" t="s">
        <v>83</v>
      </c>
      <c r="AI255" t="s">
        <v>121</v>
      </c>
      <c r="AJ255">
        <v>0.76550910836885699</v>
      </c>
      <c r="AK255">
        <v>3.8064793343015002</v>
      </c>
      <c r="AL255">
        <v>1.1994747960183401</v>
      </c>
      <c r="AM255">
        <v>0.43335209129386598</v>
      </c>
      <c r="AN255">
        <v>3.12192442468131</v>
      </c>
      <c r="AO255">
        <v>8.35351075541447E-2</v>
      </c>
      <c r="AP255">
        <v>8.35351075541447E-2</v>
      </c>
      <c r="AQ255">
        <v>0</v>
      </c>
      <c r="AR255">
        <v>2</v>
      </c>
      <c r="AS255">
        <v>0</v>
      </c>
      <c r="AT255">
        <v>0</v>
      </c>
      <c r="AU255">
        <v>0</v>
      </c>
      <c r="AV255">
        <v>12</v>
      </c>
      <c r="AW255">
        <v>0</v>
      </c>
      <c r="AX255">
        <v>0</v>
      </c>
      <c r="AY255">
        <v>15.3</v>
      </c>
      <c r="AZ255">
        <v>9.8000000000000007</v>
      </c>
      <c r="BA255">
        <v>29.7</v>
      </c>
      <c r="BB255">
        <v>564</v>
      </c>
      <c r="BC255">
        <v>68</v>
      </c>
      <c r="BD255">
        <v>1.8</v>
      </c>
      <c r="BE255">
        <v>43</v>
      </c>
      <c r="BF255">
        <v>25.4</v>
      </c>
      <c r="BG255">
        <v>162</v>
      </c>
      <c r="BH255">
        <v>9.1</v>
      </c>
      <c r="BI255">
        <v>9.1999999999999993</v>
      </c>
      <c r="BJ255">
        <v>18.3</v>
      </c>
      <c r="BK255">
        <v>0.34</v>
      </c>
      <c r="BL255">
        <v>7.3</v>
      </c>
      <c r="BM255">
        <v>0.9</v>
      </c>
      <c r="BN255">
        <v>7.5</v>
      </c>
      <c r="BO255">
        <v>2.9</v>
      </c>
      <c r="BP255">
        <f t="shared" si="6"/>
        <v>8.9963693046282742</v>
      </c>
      <c r="BQ255">
        <f t="shared" si="7"/>
        <v>28.493123543379056</v>
      </c>
    </row>
    <row r="256" spans="1:69" hidden="1" x14ac:dyDescent="0.2">
      <c r="A256" t="s">
        <v>2942</v>
      </c>
      <c r="B256" t="s">
        <v>68</v>
      </c>
      <c r="C256" t="s">
        <v>1956</v>
      </c>
      <c r="D256" t="s">
        <v>70</v>
      </c>
      <c r="E256" t="s">
        <v>2943</v>
      </c>
      <c r="F256">
        <v>5</v>
      </c>
      <c r="G256">
        <v>157</v>
      </c>
      <c r="H256">
        <v>5</v>
      </c>
      <c r="I256">
        <v>5</v>
      </c>
      <c r="J256">
        <v>3</v>
      </c>
      <c r="K256" t="s">
        <v>110</v>
      </c>
      <c r="L256" t="s">
        <v>162</v>
      </c>
      <c r="M256" s="4">
        <v>1300000000</v>
      </c>
      <c r="N256">
        <v>0</v>
      </c>
      <c r="O256">
        <v>4.7094696000000003</v>
      </c>
      <c r="P256">
        <v>-74.0704116</v>
      </c>
      <c r="Q256" t="s">
        <v>2944</v>
      </c>
      <c r="R256">
        <v>8280254.7769999998</v>
      </c>
      <c r="S256">
        <v>0</v>
      </c>
      <c r="T256" t="s">
        <v>117</v>
      </c>
      <c r="U256" t="s">
        <v>118</v>
      </c>
      <c r="V256" t="s">
        <v>77</v>
      </c>
      <c r="W256" t="s">
        <v>119</v>
      </c>
      <c r="X256" t="s">
        <v>120</v>
      </c>
      <c r="Y256">
        <v>3.08807459935784</v>
      </c>
      <c r="Z256">
        <v>3088.0745993578398</v>
      </c>
      <c r="AA256">
        <v>4.73719444444444</v>
      </c>
      <c r="AB256">
        <v>-74.069472222222203</v>
      </c>
      <c r="AC256">
        <v>2555</v>
      </c>
      <c r="AD256">
        <v>0</v>
      </c>
      <c r="AE256" t="s">
        <v>80</v>
      </c>
      <c r="AF256" t="s">
        <v>107</v>
      </c>
      <c r="AG256" t="s">
        <v>82</v>
      </c>
      <c r="AH256" t="s">
        <v>83</v>
      </c>
      <c r="AI256" t="s">
        <v>121</v>
      </c>
      <c r="AJ256">
        <v>0.31862649046008201</v>
      </c>
      <c r="AK256">
        <v>5.0269872281975401</v>
      </c>
      <c r="AL256">
        <v>0.82339424871885403</v>
      </c>
      <c r="AM256">
        <v>0.132382856409199</v>
      </c>
      <c r="AN256">
        <v>3.8976607907383101</v>
      </c>
      <c r="AO256">
        <v>0.39095182842074599</v>
      </c>
      <c r="AP256">
        <v>0.39095182842074599</v>
      </c>
      <c r="AQ256">
        <v>2</v>
      </c>
      <c r="AR256">
        <v>2</v>
      </c>
      <c r="AS256">
        <v>0</v>
      </c>
      <c r="AT256">
        <v>0</v>
      </c>
      <c r="AU256">
        <v>1</v>
      </c>
      <c r="AV256">
        <v>37</v>
      </c>
      <c r="AW256">
        <v>0</v>
      </c>
      <c r="AX256">
        <v>0</v>
      </c>
      <c r="AY256">
        <v>15.3</v>
      </c>
      <c r="AZ256">
        <v>9.8000000000000007</v>
      </c>
      <c r="BA256">
        <v>29.7</v>
      </c>
      <c r="BB256">
        <v>564</v>
      </c>
      <c r="BC256">
        <v>68</v>
      </c>
      <c r="BD256">
        <v>1.8</v>
      </c>
      <c r="BE256">
        <v>43</v>
      </c>
      <c r="BF256">
        <v>25.4</v>
      </c>
      <c r="BG256">
        <v>162</v>
      </c>
      <c r="BH256">
        <v>9.1</v>
      </c>
      <c r="BI256">
        <v>9.1999999999999993</v>
      </c>
      <c r="BJ256">
        <v>18.3</v>
      </c>
      <c r="BK256">
        <v>0.34</v>
      </c>
      <c r="BL256">
        <v>7.3</v>
      </c>
      <c r="BM256">
        <v>0.9</v>
      </c>
      <c r="BN256">
        <v>7.5</v>
      </c>
      <c r="BO256">
        <v>2.9</v>
      </c>
      <c r="BP256">
        <f t="shared" si="6"/>
        <v>8.4108512950701702</v>
      </c>
      <c r="BQ256">
        <f t="shared" si="7"/>
        <v>27.578410970542688</v>
      </c>
    </row>
    <row r="257" spans="1:69" hidden="1" x14ac:dyDescent="0.2">
      <c r="A257" t="s">
        <v>3135</v>
      </c>
      <c r="B257" t="s">
        <v>68</v>
      </c>
      <c r="C257" t="s">
        <v>1956</v>
      </c>
      <c r="D257" t="s">
        <v>70</v>
      </c>
      <c r="E257" t="s">
        <v>1555</v>
      </c>
      <c r="F257">
        <v>4</v>
      </c>
      <c r="G257">
        <v>155</v>
      </c>
      <c r="H257">
        <v>3</v>
      </c>
      <c r="I257">
        <v>5</v>
      </c>
      <c r="J257">
        <v>2</v>
      </c>
      <c r="K257" t="s">
        <v>110</v>
      </c>
      <c r="L257" t="s">
        <v>162</v>
      </c>
      <c r="M257" s="4">
        <v>730000000</v>
      </c>
      <c r="N257">
        <v>0</v>
      </c>
      <c r="O257">
        <v>4.7385973999999997</v>
      </c>
      <c r="P257">
        <v>-74.047821299999995</v>
      </c>
      <c r="Q257" t="s">
        <v>3136</v>
      </c>
      <c r="R257">
        <v>4709677.4189999998</v>
      </c>
      <c r="S257">
        <v>0</v>
      </c>
      <c r="T257" t="s">
        <v>117</v>
      </c>
      <c r="U257" t="s">
        <v>118</v>
      </c>
      <c r="V257" t="s">
        <v>77</v>
      </c>
      <c r="W257" t="s">
        <v>119</v>
      </c>
      <c r="X257" t="s">
        <v>120</v>
      </c>
      <c r="Y257">
        <v>2.4070060436293099</v>
      </c>
      <c r="Z257">
        <v>2407.0060436293102</v>
      </c>
      <c r="AA257">
        <v>4.73719444444444</v>
      </c>
      <c r="AB257">
        <v>-74.069472222222203</v>
      </c>
      <c r="AC257">
        <v>2555</v>
      </c>
      <c r="AD257">
        <v>0</v>
      </c>
      <c r="AE257" t="s">
        <v>80</v>
      </c>
      <c r="AF257" t="s">
        <v>107</v>
      </c>
      <c r="AG257" t="s">
        <v>82</v>
      </c>
      <c r="AH257" t="s">
        <v>83</v>
      </c>
      <c r="AI257" t="s">
        <v>108</v>
      </c>
      <c r="AJ257">
        <v>0.36720423961888699</v>
      </c>
      <c r="AK257">
        <v>2.9370634051900599</v>
      </c>
      <c r="AL257">
        <v>1.0751456326765301</v>
      </c>
      <c r="AM257">
        <v>0.14850711132347599</v>
      </c>
      <c r="AN257">
        <v>2.3606473583335799</v>
      </c>
      <c r="AO257">
        <v>0.39302566189510701</v>
      </c>
      <c r="AP257">
        <v>0.39302566189510701</v>
      </c>
      <c r="AQ257">
        <v>2</v>
      </c>
      <c r="AR257">
        <v>4</v>
      </c>
      <c r="AS257">
        <v>0</v>
      </c>
      <c r="AT257">
        <v>0</v>
      </c>
      <c r="AU257">
        <v>0</v>
      </c>
      <c r="AV257">
        <v>31</v>
      </c>
      <c r="AW257">
        <v>0</v>
      </c>
      <c r="AX257">
        <v>0</v>
      </c>
      <c r="AY257">
        <v>15.3</v>
      </c>
      <c r="AZ257">
        <v>9.8000000000000007</v>
      </c>
      <c r="BA257">
        <v>29.7</v>
      </c>
      <c r="BB257">
        <v>564</v>
      </c>
      <c r="BC257">
        <v>68</v>
      </c>
      <c r="BD257">
        <v>1.8</v>
      </c>
      <c r="BE257">
        <v>43</v>
      </c>
      <c r="BF257">
        <v>25.4</v>
      </c>
      <c r="BG257">
        <v>162</v>
      </c>
      <c r="BH257">
        <v>9.1</v>
      </c>
      <c r="BI257">
        <v>9.1999999999999993</v>
      </c>
      <c r="BJ257">
        <v>18.3</v>
      </c>
      <c r="BK257">
        <v>0.34</v>
      </c>
      <c r="BL257">
        <v>7.3</v>
      </c>
      <c r="BM257">
        <v>0.9</v>
      </c>
      <c r="BN257">
        <v>7.5</v>
      </c>
      <c r="BO257">
        <v>2.9</v>
      </c>
      <c r="BP257">
        <f t="shared" si="6"/>
        <v>8.699239312707542</v>
      </c>
      <c r="BQ257">
        <f t="shared" si="7"/>
        <v>28.032902252684067</v>
      </c>
    </row>
    <row r="258" spans="1:69" hidden="1" x14ac:dyDescent="0.2">
      <c r="A258" t="s">
        <v>853</v>
      </c>
      <c r="B258" t="s">
        <v>68</v>
      </c>
      <c r="C258" t="s">
        <v>69</v>
      </c>
      <c r="D258" t="s">
        <v>70</v>
      </c>
      <c r="E258" t="s">
        <v>532</v>
      </c>
      <c r="F258">
        <v>6</v>
      </c>
      <c r="G258">
        <v>153.32</v>
      </c>
      <c r="H258">
        <v>3</v>
      </c>
      <c r="I258">
        <v>4</v>
      </c>
      <c r="J258">
        <v>2</v>
      </c>
      <c r="K258" t="s">
        <v>110</v>
      </c>
      <c r="L258" t="s">
        <v>124</v>
      </c>
      <c r="M258" s="4">
        <v>1200000000</v>
      </c>
      <c r="N258">
        <v>0</v>
      </c>
      <c r="O258">
        <v>4.7099609999999998</v>
      </c>
      <c r="P258">
        <v>-74.080689000000007</v>
      </c>
      <c r="Q258" t="s">
        <v>854</v>
      </c>
      <c r="R258">
        <v>7826767.5449999999</v>
      </c>
      <c r="S258">
        <v>0</v>
      </c>
      <c r="T258" t="s">
        <v>117</v>
      </c>
      <c r="U258" t="s">
        <v>118</v>
      </c>
      <c r="V258" t="s">
        <v>77</v>
      </c>
      <c r="W258" t="s">
        <v>119</v>
      </c>
      <c r="X258" t="s">
        <v>120</v>
      </c>
      <c r="Y258">
        <v>3.2770752734514899</v>
      </c>
      <c r="Z258">
        <v>3277.0752734514899</v>
      </c>
      <c r="AA258">
        <v>4.73719444444444</v>
      </c>
      <c r="AB258">
        <v>-74.069472222222203</v>
      </c>
      <c r="AC258">
        <v>2555</v>
      </c>
      <c r="AD258">
        <v>0</v>
      </c>
      <c r="AE258" t="s">
        <v>80</v>
      </c>
      <c r="AF258" t="s">
        <v>107</v>
      </c>
      <c r="AG258" t="s">
        <v>82</v>
      </c>
      <c r="AH258" t="s">
        <v>83</v>
      </c>
      <c r="AI258" t="s">
        <v>121</v>
      </c>
      <c r="AJ258">
        <v>0.95630696643320601</v>
      </c>
      <c r="AK258">
        <v>5.2777029231104198</v>
      </c>
      <c r="AL258">
        <v>1.2794007730058801</v>
      </c>
      <c r="AM258">
        <v>0.215895476690354</v>
      </c>
      <c r="AN258">
        <v>3.2869780713390599</v>
      </c>
      <c r="AO258">
        <v>0.21356666240786401</v>
      </c>
      <c r="AP258">
        <v>0.21356666240786401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12</v>
      </c>
      <c r="AW258">
        <v>0</v>
      </c>
      <c r="AX258">
        <v>0</v>
      </c>
      <c r="AY258">
        <v>15.3</v>
      </c>
      <c r="AZ258">
        <v>9.8000000000000007</v>
      </c>
      <c r="BA258">
        <v>29.7</v>
      </c>
      <c r="BB258">
        <v>564</v>
      </c>
      <c r="BC258">
        <v>68</v>
      </c>
      <c r="BD258">
        <v>1.8</v>
      </c>
      <c r="BE258">
        <v>43</v>
      </c>
      <c r="BF258">
        <v>25.4</v>
      </c>
      <c r="BG258">
        <v>162</v>
      </c>
      <c r="BH258">
        <v>9.1</v>
      </c>
      <c r="BI258">
        <v>9.1999999999999993</v>
      </c>
      <c r="BJ258">
        <v>18.3</v>
      </c>
      <c r="BK258">
        <v>0.34</v>
      </c>
      <c r="BL258">
        <v>7.3</v>
      </c>
      <c r="BM258">
        <v>0.9</v>
      </c>
      <c r="BN258">
        <v>7.5</v>
      </c>
      <c r="BO258">
        <v>2.9</v>
      </c>
      <c r="BP258">
        <f t="shared" ref="BP258:BP321" si="8">+AZ258*EXP(-0.0495*Y258)</f>
        <v>8.3325302340388152</v>
      </c>
      <c r="BQ258">
        <f t="shared" ref="BQ258:BQ321" si="9">+BA258*EXP(-0.024*Y258)</f>
        <v>27.453598142719599</v>
      </c>
    </row>
    <row r="259" spans="1:69" hidden="1" x14ac:dyDescent="0.2">
      <c r="A259" t="s">
        <v>702</v>
      </c>
      <c r="B259" t="s">
        <v>68</v>
      </c>
      <c r="C259" t="s">
        <v>69</v>
      </c>
      <c r="D259" t="s">
        <v>70</v>
      </c>
      <c r="E259" t="s">
        <v>532</v>
      </c>
      <c r="F259">
        <v>6</v>
      </c>
      <c r="G259">
        <v>153.32</v>
      </c>
      <c r="H259">
        <v>3</v>
      </c>
      <c r="I259">
        <v>4</v>
      </c>
      <c r="J259">
        <v>2</v>
      </c>
      <c r="K259" t="s">
        <v>110</v>
      </c>
      <c r="L259" t="s">
        <v>124</v>
      </c>
      <c r="M259" s="4">
        <v>1150000000</v>
      </c>
      <c r="N259">
        <v>0</v>
      </c>
      <c r="O259">
        <v>4.7084989999999998</v>
      </c>
      <c r="P259">
        <v>-74.082565000000002</v>
      </c>
      <c r="Q259" t="s">
        <v>703</v>
      </c>
      <c r="R259">
        <v>7500652.2309999997</v>
      </c>
      <c r="S259">
        <v>0</v>
      </c>
      <c r="T259" t="s">
        <v>117</v>
      </c>
      <c r="U259" t="s">
        <v>118</v>
      </c>
      <c r="V259" t="s">
        <v>77</v>
      </c>
      <c r="W259" t="s">
        <v>119</v>
      </c>
      <c r="X259" t="s">
        <v>120</v>
      </c>
      <c r="Y259">
        <v>3.5091026479452498</v>
      </c>
      <c r="Z259">
        <v>3509.1026479452498</v>
      </c>
      <c r="AA259">
        <v>4.73719444444444</v>
      </c>
      <c r="AB259">
        <v>-74.069472222222203</v>
      </c>
      <c r="AC259">
        <v>2555</v>
      </c>
      <c r="AD259">
        <v>0</v>
      </c>
      <c r="AE259" t="s">
        <v>80</v>
      </c>
      <c r="AF259" t="s">
        <v>107</v>
      </c>
      <c r="AG259" t="s">
        <v>82</v>
      </c>
      <c r="AH259" t="s">
        <v>83</v>
      </c>
      <c r="AI259" t="s">
        <v>121</v>
      </c>
      <c r="AJ259">
        <v>1.2014046998496599</v>
      </c>
      <c r="AK259">
        <v>5.13884189955471</v>
      </c>
      <c r="AL259">
        <v>1.1123368853828799</v>
      </c>
      <c r="AM259">
        <v>0.46484255601087299</v>
      </c>
      <c r="AN259">
        <v>3.0243944943474799</v>
      </c>
      <c r="AO259">
        <v>0.41051593439182998</v>
      </c>
      <c r="AP259">
        <v>0.41051593439182998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9</v>
      </c>
      <c r="AW259">
        <v>0</v>
      </c>
      <c r="AX259">
        <v>0</v>
      </c>
      <c r="AY259">
        <v>15.3</v>
      </c>
      <c r="AZ259">
        <v>9.8000000000000007</v>
      </c>
      <c r="BA259">
        <v>29.7</v>
      </c>
      <c r="BB259">
        <v>564</v>
      </c>
      <c r="BC259">
        <v>68</v>
      </c>
      <c r="BD259">
        <v>1.8</v>
      </c>
      <c r="BE259">
        <v>43</v>
      </c>
      <c r="BF259">
        <v>25.4</v>
      </c>
      <c r="BG259">
        <v>162</v>
      </c>
      <c r="BH259">
        <v>9.1</v>
      </c>
      <c r="BI259">
        <v>9.1999999999999993</v>
      </c>
      <c r="BJ259">
        <v>18.3</v>
      </c>
      <c r="BK259">
        <v>0.34</v>
      </c>
      <c r="BL259">
        <v>7.3</v>
      </c>
      <c r="BM259">
        <v>0.9</v>
      </c>
      <c r="BN259">
        <v>7.5</v>
      </c>
      <c r="BO259">
        <v>2.9</v>
      </c>
      <c r="BP259">
        <f t="shared" si="8"/>
        <v>8.2373756540193739</v>
      </c>
      <c r="BQ259">
        <f t="shared" si="9"/>
        <v>27.301143349772186</v>
      </c>
    </row>
    <row r="260" spans="1:69" hidden="1" x14ac:dyDescent="0.2">
      <c r="A260" t="s">
        <v>2918</v>
      </c>
      <c r="B260" t="s">
        <v>68</v>
      </c>
      <c r="C260" t="s">
        <v>1956</v>
      </c>
      <c r="D260" t="s">
        <v>70</v>
      </c>
      <c r="E260" t="s">
        <v>1312</v>
      </c>
      <c r="F260">
        <v>3</v>
      </c>
      <c r="G260">
        <v>153</v>
      </c>
      <c r="H260">
        <v>4</v>
      </c>
      <c r="I260">
        <v>2</v>
      </c>
      <c r="J260">
        <v>1</v>
      </c>
      <c r="K260" t="s">
        <v>110</v>
      </c>
      <c r="L260" t="s">
        <v>162</v>
      </c>
      <c r="M260" s="4">
        <v>810000000</v>
      </c>
      <c r="N260">
        <v>0</v>
      </c>
      <c r="O260">
        <v>4.7410300000000003</v>
      </c>
      <c r="P260">
        <v>-74.043760000000006</v>
      </c>
      <c r="Q260" t="s">
        <v>2919</v>
      </c>
      <c r="R260">
        <v>5294117.6469999999</v>
      </c>
      <c r="S260">
        <v>0</v>
      </c>
      <c r="T260" t="s">
        <v>117</v>
      </c>
      <c r="U260" t="s">
        <v>118</v>
      </c>
      <c r="V260" t="s">
        <v>77</v>
      </c>
      <c r="W260" t="s">
        <v>119</v>
      </c>
      <c r="X260" t="s">
        <v>120</v>
      </c>
      <c r="Y260">
        <v>2.8842644810651299</v>
      </c>
      <c r="Z260">
        <v>2884.26448106513</v>
      </c>
      <c r="AA260">
        <v>4.73719444444444</v>
      </c>
      <c r="AB260">
        <v>-74.069472222222203</v>
      </c>
      <c r="AC260">
        <v>2555</v>
      </c>
      <c r="AD260">
        <v>0</v>
      </c>
      <c r="AE260" t="s">
        <v>80</v>
      </c>
      <c r="AF260" t="s">
        <v>107</v>
      </c>
      <c r="AG260" t="s">
        <v>82</v>
      </c>
      <c r="AH260" t="s">
        <v>83</v>
      </c>
      <c r="AI260" t="s">
        <v>108</v>
      </c>
      <c r="AJ260">
        <v>0.48020301670820098</v>
      </c>
      <c r="AK260">
        <v>2.5835063102910998</v>
      </c>
      <c r="AL260">
        <v>0.99335087322245796</v>
      </c>
      <c r="AM260">
        <v>0.101576772913897</v>
      </c>
      <c r="AN260">
        <v>1.88873091631794</v>
      </c>
      <c r="AO260">
        <v>0.21489993321930201</v>
      </c>
      <c r="AP260">
        <v>0.21489993321930201</v>
      </c>
      <c r="AQ260">
        <v>1</v>
      </c>
      <c r="AR260">
        <v>3</v>
      </c>
      <c r="AS260">
        <v>0</v>
      </c>
      <c r="AT260">
        <v>0</v>
      </c>
      <c r="AU260">
        <v>1</v>
      </c>
      <c r="AV260">
        <v>37</v>
      </c>
      <c r="AW260">
        <v>0</v>
      </c>
      <c r="AX260">
        <v>0</v>
      </c>
      <c r="AY260">
        <v>15.3</v>
      </c>
      <c r="AZ260">
        <v>9.8000000000000007</v>
      </c>
      <c r="BA260">
        <v>29.7</v>
      </c>
      <c r="BB260">
        <v>564</v>
      </c>
      <c r="BC260">
        <v>68</v>
      </c>
      <c r="BD260">
        <v>1.8</v>
      </c>
      <c r="BE260">
        <v>43</v>
      </c>
      <c r="BF260">
        <v>25.4</v>
      </c>
      <c r="BG260">
        <v>162</v>
      </c>
      <c r="BH260">
        <v>9.1</v>
      </c>
      <c r="BI260">
        <v>9.1999999999999993</v>
      </c>
      <c r="BJ260">
        <v>18.3</v>
      </c>
      <c r="BK260">
        <v>0.34</v>
      </c>
      <c r="BL260">
        <v>7.3</v>
      </c>
      <c r="BM260">
        <v>0.9</v>
      </c>
      <c r="BN260">
        <v>7.5</v>
      </c>
      <c r="BO260">
        <v>2.9</v>
      </c>
      <c r="BP260">
        <f t="shared" si="8"/>
        <v>8.4961344873428288</v>
      </c>
      <c r="BQ260">
        <f t="shared" si="9"/>
        <v>27.713639653456823</v>
      </c>
    </row>
    <row r="261" spans="1:69" hidden="1" x14ac:dyDescent="0.2">
      <c r="A261" t="s">
        <v>2547</v>
      </c>
      <c r="B261" t="s">
        <v>68</v>
      </c>
      <c r="C261" t="s">
        <v>1956</v>
      </c>
      <c r="D261" t="s">
        <v>70</v>
      </c>
      <c r="E261" t="s">
        <v>267</v>
      </c>
      <c r="F261">
        <v>6</v>
      </c>
      <c r="G261">
        <v>151.87</v>
      </c>
      <c r="H261">
        <v>3</v>
      </c>
      <c r="I261">
        <v>4</v>
      </c>
      <c r="J261">
        <v>2</v>
      </c>
      <c r="K261" t="s">
        <v>110</v>
      </c>
      <c r="L261" t="s">
        <v>124</v>
      </c>
      <c r="M261" s="4">
        <v>990000000</v>
      </c>
      <c r="N261">
        <v>0</v>
      </c>
      <c r="O261">
        <v>4.7939686779999997</v>
      </c>
      <c r="P261">
        <v>-74.059997559999999</v>
      </c>
      <c r="Q261" t="s">
        <v>2548</v>
      </c>
      <c r="R261">
        <v>6518733.1270000003</v>
      </c>
      <c r="S261">
        <v>0</v>
      </c>
      <c r="T261" t="s">
        <v>151</v>
      </c>
      <c r="U261" t="s">
        <v>152</v>
      </c>
      <c r="V261" t="s">
        <v>77</v>
      </c>
      <c r="W261" t="s">
        <v>119</v>
      </c>
      <c r="X261" t="s">
        <v>153</v>
      </c>
      <c r="Y261">
        <v>2.0949547206089898</v>
      </c>
      <c r="Z261">
        <v>2094.9547206089901</v>
      </c>
      <c r="AA261">
        <v>4.7837500000000004</v>
      </c>
      <c r="AB261">
        <v>-74.044138888888895</v>
      </c>
      <c r="AC261">
        <v>2580</v>
      </c>
      <c r="AD261">
        <v>0</v>
      </c>
      <c r="AE261" t="s">
        <v>154</v>
      </c>
      <c r="AF261" t="s">
        <v>107</v>
      </c>
      <c r="AG261" t="s">
        <v>82</v>
      </c>
      <c r="AH261" t="s">
        <v>83</v>
      </c>
      <c r="AI261" t="s">
        <v>121</v>
      </c>
      <c r="AJ261">
        <v>3.32276533133376</v>
      </c>
      <c r="AK261">
        <v>2.4194734193849601</v>
      </c>
      <c r="AL261">
        <v>1.5842510886873999</v>
      </c>
      <c r="AM261">
        <v>2.1418666492752299</v>
      </c>
      <c r="AN261">
        <v>6.4505005854721196</v>
      </c>
      <c r="AO261">
        <v>0.69186044047607498</v>
      </c>
      <c r="AP261">
        <v>0.69186044047607498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15.3</v>
      </c>
      <c r="AZ261">
        <v>9.8000000000000007</v>
      </c>
      <c r="BA261">
        <v>29.7</v>
      </c>
      <c r="BB261">
        <v>564</v>
      </c>
      <c r="BC261">
        <v>68</v>
      </c>
      <c r="BD261">
        <v>1.8</v>
      </c>
      <c r="BE261">
        <v>43</v>
      </c>
      <c r="BF261">
        <v>25.4</v>
      </c>
      <c r="BG261">
        <v>162</v>
      </c>
      <c r="BH261">
        <v>9.1</v>
      </c>
      <c r="BI261">
        <v>9.1999999999999993</v>
      </c>
      <c r="BJ261">
        <v>18.3</v>
      </c>
      <c r="BK261">
        <v>0.34</v>
      </c>
      <c r="BL261">
        <v>7.3</v>
      </c>
      <c r="BM261">
        <v>0.9</v>
      </c>
      <c r="BN261">
        <v>7.5</v>
      </c>
      <c r="BO261">
        <v>2.9</v>
      </c>
      <c r="BP261">
        <f t="shared" si="8"/>
        <v>8.8346556293203822</v>
      </c>
      <c r="BQ261">
        <f t="shared" si="9"/>
        <v>28.243635283626904</v>
      </c>
    </row>
    <row r="262" spans="1:69" hidden="1" x14ac:dyDescent="0.2">
      <c r="A262" t="s">
        <v>843</v>
      </c>
      <c r="B262" t="s">
        <v>68</v>
      </c>
      <c r="C262" t="s">
        <v>69</v>
      </c>
      <c r="D262" t="s">
        <v>70</v>
      </c>
      <c r="E262" t="s">
        <v>349</v>
      </c>
      <c r="F262">
        <v>6</v>
      </c>
      <c r="G262">
        <v>151.41999999999999</v>
      </c>
      <c r="H262">
        <v>3</v>
      </c>
      <c r="I262">
        <v>3</v>
      </c>
      <c r="J262">
        <v>2</v>
      </c>
      <c r="K262" t="s">
        <v>110</v>
      </c>
      <c r="L262" t="s">
        <v>162</v>
      </c>
      <c r="M262" s="4">
        <v>880000000</v>
      </c>
      <c r="N262">
        <v>0</v>
      </c>
      <c r="O262">
        <v>4.7327440000000003</v>
      </c>
      <c r="P262">
        <v>-74.074603999999994</v>
      </c>
      <c r="Q262" t="s">
        <v>844</v>
      </c>
      <c r="R262">
        <v>5811649.716</v>
      </c>
      <c r="S262">
        <v>0</v>
      </c>
      <c r="T262" t="s">
        <v>117</v>
      </c>
      <c r="U262" t="s">
        <v>118</v>
      </c>
      <c r="V262" t="s">
        <v>77</v>
      </c>
      <c r="W262" t="s">
        <v>119</v>
      </c>
      <c r="X262" t="s">
        <v>120</v>
      </c>
      <c r="Y262">
        <v>0.75469485389051105</v>
      </c>
      <c r="Z262">
        <v>754.69485389051101</v>
      </c>
      <c r="AA262">
        <v>4.73719444444444</v>
      </c>
      <c r="AB262">
        <v>-74.069472222222203</v>
      </c>
      <c r="AC262">
        <v>2555</v>
      </c>
      <c r="AD262">
        <v>0</v>
      </c>
      <c r="AE262" t="s">
        <v>80</v>
      </c>
      <c r="AF262" t="s">
        <v>107</v>
      </c>
      <c r="AG262" t="s">
        <v>82</v>
      </c>
      <c r="AH262" t="s">
        <v>83</v>
      </c>
      <c r="AI262" t="s">
        <v>121</v>
      </c>
      <c r="AJ262">
        <v>0.58455903267585296</v>
      </c>
      <c r="AK262">
        <v>5.38789206188547</v>
      </c>
      <c r="AL262">
        <v>1.7914996184340399</v>
      </c>
      <c r="AM262">
        <v>0.74390977011034398</v>
      </c>
      <c r="AN262">
        <v>1.5255587135779101</v>
      </c>
      <c r="AO262">
        <v>2.8652480057635399E-4</v>
      </c>
      <c r="AP262">
        <v>2.8652480057635399E-4</v>
      </c>
      <c r="AQ262">
        <v>0</v>
      </c>
      <c r="AR262">
        <v>2</v>
      </c>
      <c r="AS262">
        <v>0</v>
      </c>
      <c r="AT262">
        <v>0</v>
      </c>
      <c r="AU262">
        <v>0</v>
      </c>
      <c r="AV262">
        <v>11</v>
      </c>
      <c r="AW262">
        <v>0</v>
      </c>
      <c r="AX262">
        <v>0</v>
      </c>
      <c r="AY262">
        <v>15.3</v>
      </c>
      <c r="AZ262">
        <v>9.8000000000000007</v>
      </c>
      <c r="BA262">
        <v>29.7</v>
      </c>
      <c r="BB262">
        <v>564</v>
      </c>
      <c r="BC262">
        <v>68</v>
      </c>
      <c r="BD262">
        <v>1.8</v>
      </c>
      <c r="BE262">
        <v>43</v>
      </c>
      <c r="BF262">
        <v>25.4</v>
      </c>
      <c r="BG262">
        <v>162</v>
      </c>
      <c r="BH262">
        <v>9.1</v>
      </c>
      <c r="BI262">
        <v>9.1999999999999993</v>
      </c>
      <c r="BJ262">
        <v>18.3</v>
      </c>
      <c r="BK262">
        <v>0.34</v>
      </c>
      <c r="BL262">
        <v>7.3</v>
      </c>
      <c r="BM262">
        <v>0.9</v>
      </c>
      <c r="BN262">
        <v>7.5</v>
      </c>
      <c r="BO262">
        <v>2.9</v>
      </c>
      <c r="BP262">
        <f t="shared" si="8"/>
        <v>9.4406514792536207</v>
      </c>
      <c r="BQ262">
        <f t="shared" si="9"/>
        <v>29.166896052313508</v>
      </c>
    </row>
    <row r="263" spans="1:69" hidden="1" x14ac:dyDescent="0.2">
      <c r="A263" t="s">
        <v>4202</v>
      </c>
      <c r="B263" t="s">
        <v>68</v>
      </c>
      <c r="C263" t="s">
        <v>3294</v>
      </c>
      <c r="D263" t="s">
        <v>70</v>
      </c>
      <c r="E263" t="s">
        <v>2456</v>
      </c>
      <c r="F263">
        <v>5</v>
      </c>
      <c r="G263">
        <v>150</v>
      </c>
      <c r="H263">
        <v>3</v>
      </c>
      <c r="I263">
        <v>3</v>
      </c>
      <c r="J263">
        <v>2</v>
      </c>
      <c r="K263" t="s">
        <v>110</v>
      </c>
      <c r="L263" t="s">
        <v>162</v>
      </c>
      <c r="M263" s="4">
        <v>770000000</v>
      </c>
      <c r="N263">
        <v>0</v>
      </c>
      <c r="O263">
        <v>4.7207926000000002</v>
      </c>
      <c r="P263">
        <v>-74.074768000000006</v>
      </c>
      <c r="Q263" t="s">
        <v>4203</v>
      </c>
      <c r="R263">
        <v>5133333.3329999996</v>
      </c>
      <c r="S263">
        <v>0</v>
      </c>
      <c r="T263" t="s">
        <v>117</v>
      </c>
      <c r="U263" t="s">
        <v>118</v>
      </c>
      <c r="V263" t="s">
        <v>77</v>
      </c>
      <c r="W263" t="s">
        <v>119</v>
      </c>
      <c r="X263" t="s">
        <v>120</v>
      </c>
      <c r="Y263">
        <v>1.91804207748638</v>
      </c>
      <c r="Z263">
        <v>1918.0420774863801</v>
      </c>
      <c r="AA263">
        <v>4.73719444444444</v>
      </c>
      <c r="AB263">
        <v>-74.069472222222203</v>
      </c>
      <c r="AC263">
        <v>2555</v>
      </c>
      <c r="AD263">
        <v>0</v>
      </c>
      <c r="AE263" t="s">
        <v>80</v>
      </c>
      <c r="AF263" t="s">
        <v>107</v>
      </c>
      <c r="AG263" t="s">
        <v>82</v>
      </c>
      <c r="AH263" t="s">
        <v>83</v>
      </c>
      <c r="AI263" t="s">
        <v>121</v>
      </c>
      <c r="AJ263">
        <v>5.2815802702927503E-2</v>
      </c>
      <c r="AK263">
        <v>5.6262528370061196</v>
      </c>
      <c r="AL263">
        <v>0.57249370046869297</v>
      </c>
      <c r="AM263">
        <v>0.28036028106592198</v>
      </c>
      <c r="AN263">
        <v>2.5612404988485502</v>
      </c>
      <c r="AO263">
        <v>0.120358298935377</v>
      </c>
      <c r="AP263">
        <v>0.120358298935377</v>
      </c>
      <c r="AQ263">
        <v>1</v>
      </c>
      <c r="AR263">
        <v>2</v>
      </c>
      <c r="AS263">
        <v>0</v>
      </c>
      <c r="AT263">
        <v>0</v>
      </c>
      <c r="AU263">
        <v>1</v>
      </c>
      <c r="AV263">
        <v>31</v>
      </c>
      <c r="AW263">
        <v>0</v>
      </c>
      <c r="AX263">
        <v>0</v>
      </c>
      <c r="AY263">
        <v>15.3</v>
      </c>
      <c r="AZ263">
        <v>9.8000000000000007</v>
      </c>
      <c r="BA263">
        <v>29.7</v>
      </c>
      <c r="BB263">
        <v>564</v>
      </c>
      <c r="BC263">
        <v>68</v>
      </c>
      <c r="BD263">
        <v>1.8</v>
      </c>
      <c r="BE263">
        <v>43</v>
      </c>
      <c r="BF263">
        <v>25.4</v>
      </c>
      <c r="BG263">
        <v>162</v>
      </c>
      <c r="BH263">
        <v>9.1</v>
      </c>
      <c r="BI263">
        <v>9.1999999999999993</v>
      </c>
      <c r="BJ263">
        <v>18.3</v>
      </c>
      <c r="BK263">
        <v>0.34</v>
      </c>
      <c r="BL263">
        <v>7.3</v>
      </c>
      <c r="BM263">
        <v>0.9</v>
      </c>
      <c r="BN263">
        <v>7.5</v>
      </c>
      <c r="BO263">
        <v>2.9</v>
      </c>
      <c r="BP263">
        <f t="shared" si="8"/>
        <v>8.9123620097267757</v>
      </c>
      <c r="BQ263">
        <f t="shared" si="9"/>
        <v>28.363809976223617</v>
      </c>
    </row>
    <row r="264" spans="1:69" hidden="1" x14ac:dyDescent="0.2">
      <c r="A264" t="s">
        <v>1494</v>
      </c>
      <c r="B264" t="s">
        <v>68</v>
      </c>
      <c r="C264" t="s">
        <v>69</v>
      </c>
      <c r="D264" t="s">
        <v>70</v>
      </c>
      <c r="E264" t="s">
        <v>1495</v>
      </c>
      <c r="F264">
        <v>5</v>
      </c>
      <c r="G264">
        <v>149.5</v>
      </c>
      <c r="H264">
        <v>3</v>
      </c>
      <c r="I264">
        <v>3</v>
      </c>
      <c r="J264">
        <v>2</v>
      </c>
      <c r="K264" t="s">
        <v>110</v>
      </c>
      <c r="L264" t="s">
        <v>133</v>
      </c>
      <c r="M264" s="4">
        <v>1300000000</v>
      </c>
      <c r="N264">
        <v>0</v>
      </c>
      <c r="O264">
        <v>4.7396690000000001</v>
      </c>
      <c r="P264">
        <v>-74.054878799999997</v>
      </c>
      <c r="Q264" t="s">
        <v>1496</v>
      </c>
      <c r="R264">
        <v>8695652.1740000006</v>
      </c>
      <c r="S264">
        <v>0</v>
      </c>
      <c r="T264" t="s">
        <v>117</v>
      </c>
      <c r="U264" t="s">
        <v>118</v>
      </c>
      <c r="V264" t="s">
        <v>77</v>
      </c>
      <c r="W264" t="s">
        <v>119</v>
      </c>
      <c r="X264" t="s">
        <v>120</v>
      </c>
      <c r="Y264">
        <v>1.64224782663776</v>
      </c>
      <c r="Z264">
        <v>1642.24782663776</v>
      </c>
      <c r="AA264">
        <v>4.73719444444444</v>
      </c>
      <c r="AB264">
        <v>-74.069472222222203</v>
      </c>
      <c r="AC264">
        <v>2555</v>
      </c>
      <c r="AD264">
        <v>0</v>
      </c>
      <c r="AE264" t="s">
        <v>80</v>
      </c>
      <c r="AF264" t="s">
        <v>107</v>
      </c>
      <c r="AG264" t="s">
        <v>82</v>
      </c>
      <c r="AH264" t="s">
        <v>83</v>
      </c>
      <c r="AI264" t="s">
        <v>121</v>
      </c>
      <c r="AJ264">
        <v>0.80200740251793401</v>
      </c>
      <c r="AK264">
        <v>3.7267242534438099</v>
      </c>
      <c r="AL264">
        <v>1.5225872966385301</v>
      </c>
      <c r="AM264">
        <v>0.110038874304085</v>
      </c>
      <c r="AN264">
        <v>3.1274765472508199</v>
      </c>
      <c r="AO264">
        <v>4.7014017760218497E-2</v>
      </c>
      <c r="AP264">
        <v>4.7014017760218497E-2</v>
      </c>
      <c r="AQ264">
        <v>0</v>
      </c>
      <c r="AR264">
        <v>2</v>
      </c>
      <c r="AS264">
        <v>0</v>
      </c>
      <c r="AT264">
        <v>0</v>
      </c>
      <c r="AU264">
        <v>0</v>
      </c>
      <c r="AV264">
        <v>11</v>
      </c>
      <c r="AW264">
        <v>0</v>
      </c>
      <c r="AX264">
        <v>0</v>
      </c>
      <c r="AY264">
        <v>15.3</v>
      </c>
      <c r="AZ264">
        <v>9.8000000000000007</v>
      </c>
      <c r="BA264">
        <v>29.7</v>
      </c>
      <c r="BB264">
        <v>564</v>
      </c>
      <c r="BC264">
        <v>68</v>
      </c>
      <c r="BD264">
        <v>1.8</v>
      </c>
      <c r="BE264">
        <v>43</v>
      </c>
      <c r="BF264">
        <v>25.4</v>
      </c>
      <c r="BG264">
        <v>162</v>
      </c>
      <c r="BH264">
        <v>9.1</v>
      </c>
      <c r="BI264">
        <v>9.1999999999999993</v>
      </c>
      <c r="BJ264">
        <v>18.3</v>
      </c>
      <c r="BK264">
        <v>0.34</v>
      </c>
      <c r="BL264">
        <v>7.3</v>
      </c>
      <c r="BM264">
        <v>0.9</v>
      </c>
      <c r="BN264">
        <v>7.5</v>
      </c>
      <c r="BO264">
        <v>2.9</v>
      </c>
      <c r="BP264">
        <f t="shared" si="8"/>
        <v>9.0348662307116516</v>
      </c>
      <c r="BQ264">
        <f t="shared" si="9"/>
        <v>28.552174504118323</v>
      </c>
    </row>
    <row r="265" spans="1:69" hidden="1" x14ac:dyDescent="0.2">
      <c r="A265" t="s">
        <v>1723</v>
      </c>
      <c r="B265" t="s">
        <v>68</v>
      </c>
      <c r="C265" t="s">
        <v>69</v>
      </c>
      <c r="D265" t="s">
        <v>70</v>
      </c>
      <c r="E265" t="s">
        <v>1724</v>
      </c>
      <c r="F265">
        <v>5</v>
      </c>
      <c r="G265">
        <v>148</v>
      </c>
      <c r="H265">
        <v>3</v>
      </c>
      <c r="I265">
        <v>3</v>
      </c>
      <c r="J265">
        <v>2</v>
      </c>
      <c r="K265" t="s">
        <v>110</v>
      </c>
      <c r="L265" t="s">
        <v>111</v>
      </c>
      <c r="M265" s="4">
        <v>1300000000</v>
      </c>
      <c r="N265">
        <v>0</v>
      </c>
      <c r="O265">
        <v>4.7586538999999997</v>
      </c>
      <c r="P265">
        <v>-74.064512399999998</v>
      </c>
      <c r="Q265" t="s">
        <v>1725</v>
      </c>
      <c r="R265">
        <v>8783783.784</v>
      </c>
      <c r="S265">
        <v>0</v>
      </c>
      <c r="T265" t="s">
        <v>117</v>
      </c>
      <c r="U265" t="s">
        <v>118</v>
      </c>
      <c r="V265" t="s">
        <v>77</v>
      </c>
      <c r="W265" t="s">
        <v>119</v>
      </c>
      <c r="X265" t="s">
        <v>120</v>
      </c>
      <c r="Y265">
        <v>2.4514046450849101</v>
      </c>
      <c r="Z265">
        <v>2451.40464508491</v>
      </c>
      <c r="AA265">
        <v>4.73719444444444</v>
      </c>
      <c r="AB265">
        <v>-74.069472222222203</v>
      </c>
      <c r="AC265">
        <v>2555</v>
      </c>
      <c r="AD265">
        <v>0</v>
      </c>
      <c r="AE265" t="s">
        <v>80</v>
      </c>
      <c r="AF265" t="s">
        <v>107</v>
      </c>
      <c r="AG265" t="s">
        <v>82</v>
      </c>
      <c r="AH265" t="s">
        <v>83</v>
      </c>
      <c r="AI265" t="s">
        <v>121</v>
      </c>
      <c r="AJ265">
        <v>2.09539717692906</v>
      </c>
      <c r="AK265">
        <v>4.4394347433484898</v>
      </c>
      <c r="AL265">
        <v>1.35292219480767</v>
      </c>
      <c r="AM265">
        <v>0.16245052189928799</v>
      </c>
      <c r="AN265">
        <v>2.99124111596872</v>
      </c>
      <c r="AO265">
        <v>0.36631502041505698</v>
      </c>
      <c r="AP265">
        <v>0.36631502041505698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15</v>
      </c>
      <c r="AW265">
        <v>0</v>
      </c>
      <c r="AX265">
        <v>1</v>
      </c>
      <c r="AY265">
        <v>15.3</v>
      </c>
      <c r="AZ265">
        <v>9.8000000000000007</v>
      </c>
      <c r="BA265">
        <v>29.7</v>
      </c>
      <c r="BB265">
        <v>564</v>
      </c>
      <c r="BC265">
        <v>68</v>
      </c>
      <c r="BD265">
        <v>1.8</v>
      </c>
      <c r="BE265">
        <v>43</v>
      </c>
      <c r="BF265">
        <v>25.4</v>
      </c>
      <c r="BG265">
        <v>162</v>
      </c>
      <c r="BH265">
        <v>9.1</v>
      </c>
      <c r="BI265">
        <v>9.1999999999999993</v>
      </c>
      <c r="BJ265">
        <v>18.3</v>
      </c>
      <c r="BK265">
        <v>0.34</v>
      </c>
      <c r="BL265">
        <v>7.3</v>
      </c>
      <c r="BM265">
        <v>0.9</v>
      </c>
      <c r="BN265">
        <v>7.5</v>
      </c>
      <c r="BO265">
        <v>2.9</v>
      </c>
      <c r="BP265">
        <f t="shared" si="8"/>
        <v>8.6801417201467927</v>
      </c>
      <c r="BQ265">
        <f t="shared" si="9"/>
        <v>28.003047242043298</v>
      </c>
    </row>
    <row r="266" spans="1:69" hidden="1" x14ac:dyDescent="0.2">
      <c r="A266" t="s">
        <v>1997</v>
      </c>
      <c r="B266" t="s">
        <v>68</v>
      </c>
      <c r="C266" t="s">
        <v>1956</v>
      </c>
      <c r="D266" t="s">
        <v>70</v>
      </c>
      <c r="E266" t="s">
        <v>928</v>
      </c>
      <c r="F266">
        <v>4</v>
      </c>
      <c r="G266">
        <v>147</v>
      </c>
      <c r="H266">
        <v>4</v>
      </c>
      <c r="I266">
        <v>4</v>
      </c>
      <c r="J266">
        <v>2</v>
      </c>
      <c r="K266" t="s">
        <v>110</v>
      </c>
      <c r="L266" t="s">
        <v>124</v>
      </c>
      <c r="M266" s="4">
        <v>830000000</v>
      </c>
      <c r="N266">
        <v>0</v>
      </c>
      <c r="O266">
        <v>4.7338529999999999</v>
      </c>
      <c r="P266">
        <v>-74.060103999999995</v>
      </c>
      <c r="Q266" t="s">
        <v>1998</v>
      </c>
      <c r="R266">
        <v>5646258.5029999996</v>
      </c>
      <c r="S266">
        <v>0</v>
      </c>
      <c r="T266" t="s">
        <v>117</v>
      </c>
      <c r="U266" t="s">
        <v>118</v>
      </c>
      <c r="V266" t="s">
        <v>77</v>
      </c>
      <c r="W266" t="s">
        <v>119</v>
      </c>
      <c r="X266" t="s">
        <v>120</v>
      </c>
      <c r="Y266">
        <v>1.1038644148782299</v>
      </c>
      <c r="Z266">
        <v>1103.86441487823</v>
      </c>
      <c r="AA266">
        <v>4.73719444444444</v>
      </c>
      <c r="AB266">
        <v>-74.069472222222203</v>
      </c>
      <c r="AC266">
        <v>2555</v>
      </c>
      <c r="AD266">
        <v>0</v>
      </c>
      <c r="AE266" t="s">
        <v>80</v>
      </c>
      <c r="AF266" t="s">
        <v>107</v>
      </c>
      <c r="AG266" t="s">
        <v>82</v>
      </c>
      <c r="AH266" t="s">
        <v>83</v>
      </c>
      <c r="AI266" t="s">
        <v>121</v>
      </c>
      <c r="AJ266">
        <v>1.18720261489707</v>
      </c>
      <c r="AK266">
        <v>4.2270976567040401</v>
      </c>
      <c r="AL266">
        <v>2.2346018027672598</v>
      </c>
      <c r="AM266">
        <v>0.43168645754533203</v>
      </c>
      <c r="AN266">
        <v>2.9170250212858799</v>
      </c>
      <c r="AO266">
        <v>0.22024111866233401</v>
      </c>
      <c r="AP266">
        <v>0.22024111866233401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19</v>
      </c>
      <c r="AW266">
        <v>0</v>
      </c>
      <c r="AX266">
        <v>0</v>
      </c>
      <c r="AY266">
        <v>15.3</v>
      </c>
      <c r="AZ266">
        <v>9.8000000000000007</v>
      </c>
      <c r="BA266">
        <v>29.7</v>
      </c>
      <c r="BB266">
        <v>564</v>
      </c>
      <c r="BC266">
        <v>68</v>
      </c>
      <c r="BD266">
        <v>1.8</v>
      </c>
      <c r="BE266">
        <v>43</v>
      </c>
      <c r="BF266">
        <v>25.4</v>
      </c>
      <c r="BG266">
        <v>162</v>
      </c>
      <c r="BH266">
        <v>9.1</v>
      </c>
      <c r="BI266">
        <v>9.1999999999999993</v>
      </c>
      <c r="BJ266">
        <v>18.3</v>
      </c>
      <c r="BK266">
        <v>0.34</v>
      </c>
      <c r="BL266">
        <v>7.3</v>
      </c>
      <c r="BM266">
        <v>0.9</v>
      </c>
      <c r="BN266">
        <v>7.5</v>
      </c>
      <c r="BO266">
        <v>2.9</v>
      </c>
      <c r="BP266">
        <f t="shared" si="8"/>
        <v>9.2788822944882217</v>
      </c>
      <c r="BQ266">
        <f t="shared" si="9"/>
        <v>28.923496713441025</v>
      </c>
    </row>
    <row r="267" spans="1:69" hidden="1" x14ac:dyDescent="0.2">
      <c r="A267" t="s">
        <v>1809</v>
      </c>
      <c r="B267" t="s">
        <v>68</v>
      </c>
      <c r="C267" t="s">
        <v>69</v>
      </c>
      <c r="D267" t="s">
        <v>70</v>
      </c>
      <c r="E267" t="s">
        <v>174</v>
      </c>
      <c r="F267">
        <v>5</v>
      </c>
      <c r="G267">
        <v>146.72999999999999</v>
      </c>
      <c r="H267">
        <v>3</v>
      </c>
      <c r="I267">
        <v>4</v>
      </c>
      <c r="J267">
        <v>2</v>
      </c>
      <c r="K267" t="s">
        <v>110</v>
      </c>
      <c r="L267" t="s">
        <v>124</v>
      </c>
      <c r="M267" s="4">
        <v>1300000000</v>
      </c>
      <c r="N267">
        <v>0</v>
      </c>
      <c r="O267">
        <v>4.7370896340000002</v>
      </c>
      <c r="P267">
        <v>-74.062744140000007</v>
      </c>
      <c r="Q267" t="s">
        <v>1810</v>
      </c>
      <c r="R267">
        <v>8859810.5360000003</v>
      </c>
      <c r="S267">
        <v>0</v>
      </c>
      <c r="T267" t="s">
        <v>117</v>
      </c>
      <c r="U267" t="s">
        <v>118</v>
      </c>
      <c r="V267" t="s">
        <v>77</v>
      </c>
      <c r="W267" t="s">
        <v>119</v>
      </c>
      <c r="X267" t="s">
        <v>120</v>
      </c>
      <c r="Y267">
        <v>0.74649944624008002</v>
      </c>
      <c r="Z267">
        <v>746.49944624008003</v>
      </c>
      <c r="AA267">
        <v>4.73719444444444</v>
      </c>
      <c r="AB267">
        <v>-74.069472222222203</v>
      </c>
      <c r="AC267">
        <v>2555</v>
      </c>
      <c r="AD267">
        <v>0</v>
      </c>
      <c r="AE267" t="s">
        <v>80</v>
      </c>
      <c r="AF267" t="s">
        <v>107</v>
      </c>
      <c r="AG267" t="s">
        <v>82</v>
      </c>
      <c r="AH267" t="s">
        <v>83</v>
      </c>
      <c r="AI267" t="s">
        <v>121</v>
      </c>
      <c r="AJ267">
        <v>1.5240312148984201</v>
      </c>
      <c r="AK267">
        <v>4.5440441097689801</v>
      </c>
      <c r="AL267">
        <v>2.0712308519875</v>
      </c>
      <c r="AM267">
        <v>0.28110436661889399</v>
      </c>
      <c r="AN267">
        <v>2.54729543665167</v>
      </c>
      <c r="AO267">
        <v>0.123856945521019</v>
      </c>
      <c r="AP267">
        <v>0.123856945521019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14</v>
      </c>
      <c r="AW267">
        <v>0</v>
      </c>
      <c r="AX267">
        <v>0</v>
      </c>
      <c r="AY267">
        <v>15.3</v>
      </c>
      <c r="AZ267">
        <v>9.8000000000000007</v>
      </c>
      <c r="BA267">
        <v>29.7</v>
      </c>
      <c r="BB267">
        <v>564</v>
      </c>
      <c r="BC267">
        <v>68</v>
      </c>
      <c r="BD267">
        <v>1.8</v>
      </c>
      <c r="BE267">
        <v>43</v>
      </c>
      <c r="BF267">
        <v>25.4</v>
      </c>
      <c r="BG267">
        <v>162</v>
      </c>
      <c r="BH267">
        <v>9.1</v>
      </c>
      <c r="BI267">
        <v>9.1999999999999993</v>
      </c>
      <c r="BJ267">
        <v>18.3</v>
      </c>
      <c r="BK267">
        <v>0.34</v>
      </c>
      <c r="BL267">
        <v>7.3</v>
      </c>
      <c r="BM267">
        <v>0.9</v>
      </c>
      <c r="BN267">
        <v>7.5</v>
      </c>
      <c r="BO267">
        <v>2.9</v>
      </c>
      <c r="BP267">
        <f t="shared" si="8"/>
        <v>9.4444820705584327</v>
      </c>
      <c r="BQ267">
        <f t="shared" si="9"/>
        <v>29.172633447011588</v>
      </c>
    </row>
    <row r="268" spans="1:69" hidden="1" x14ac:dyDescent="0.2">
      <c r="A268" t="s">
        <v>1346</v>
      </c>
      <c r="B268" t="s">
        <v>68</v>
      </c>
      <c r="C268" t="s">
        <v>69</v>
      </c>
      <c r="D268" t="s">
        <v>70</v>
      </c>
      <c r="E268" t="s">
        <v>709</v>
      </c>
      <c r="F268">
        <v>6</v>
      </c>
      <c r="G268">
        <v>146</v>
      </c>
      <c r="H268">
        <v>3</v>
      </c>
      <c r="I268">
        <v>4</v>
      </c>
      <c r="J268">
        <v>2</v>
      </c>
      <c r="K268" t="s">
        <v>110</v>
      </c>
      <c r="L268" t="s">
        <v>124</v>
      </c>
      <c r="M268" s="4">
        <v>1100000000</v>
      </c>
      <c r="N268">
        <v>0</v>
      </c>
      <c r="O268">
        <v>4.7585455000000003</v>
      </c>
      <c r="P268">
        <v>-74.067805399999997</v>
      </c>
      <c r="Q268" t="s">
        <v>1347</v>
      </c>
      <c r="R268">
        <v>7534246.5750000002</v>
      </c>
      <c r="S268">
        <v>0</v>
      </c>
      <c r="T268" t="s">
        <v>117</v>
      </c>
      <c r="U268" t="s">
        <v>118</v>
      </c>
      <c r="V268" t="s">
        <v>77</v>
      </c>
      <c r="W268" t="s">
        <v>119</v>
      </c>
      <c r="X268" t="s">
        <v>120</v>
      </c>
      <c r="Y268">
        <v>2.3839708592265301</v>
      </c>
      <c r="Z268">
        <v>2383.9708592265301</v>
      </c>
      <c r="AA268">
        <v>4.73719444444444</v>
      </c>
      <c r="AB268">
        <v>-74.069472222222203</v>
      </c>
      <c r="AC268">
        <v>2555</v>
      </c>
      <c r="AD268">
        <v>0</v>
      </c>
      <c r="AE268" t="s">
        <v>80</v>
      </c>
      <c r="AF268" t="s">
        <v>107</v>
      </c>
      <c r="AG268" t="s">
        <v>82</v>
      </c>
      <c r="AH268" t="s">
        <v>83</v>
      </c>
      <c r="AI268" t="s">
        <v>121</v>
      </c>
      <c r="AJ268">
        <v>2.4512243585660798</v>
      </c>
      <c r="AK268">
        <v>4.22571320860831</v>
      </c>
      <c r="AL268">
        <v>1.68560538655613</v>
      </c>
      <c r="AM268">
        <v>0.51926949564155001</v>
      </c>
      <c r="AN268">
        <v>2.7113669969538199</v>
      </c>
      <c r="AO268">
        <v>0.28309183136351201</v>
      </c>
      <c r="AP268">
        <v>0.28309183136351201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14</v>
      </c>
      <c r="AW268">
        <v>0</v>
      </c>
      <c r="AX268">
        <v>1</v>
      </c>
      <c r="AY268">
        <v>15.3</v>
      </c>
      <c r="AZ268">
        <v>9.8000000000000007</v>
      </c>
      <c r="BA268">
        <v>29.7</v>
      </c>
      <c r="BB268">
        <v>564</v>
      </c>
      <c r="BC268">
        <v>68</v>
      </c>
      <c r="BD268">
        <v>1.8</v>
      </c>
      <c r="BE268">
        <v>43</v>
      </c>
      <c r="BF268">
        <v>25.4</v>
      </c>
      <c r="BG268">
        <v>162</v>
      </c>
      <c r="BH268">
        <v>9.1</v>
      </c>
      <c r="BI268">
        <v>9.1999999999999993</v>
      </c>
      <c r="BJ268">
        <v>18.3</v>
      </c>
      <c r="BK268">
        <v>0.34</v>
      </c>
      <c r="BL268">
        <v>7.3</v>
      </c>
      <c r="BM268">
        <v>0.9</v>
      </c>
      <c r="BN268">
        <v>7.5</v>
      </c>
      <c r="BO268">
        <v>2.9</v>
      </c>
      <c r="BP268">
        <f t="shared" si="8"/>
        <v>8.7091642048155293</v>
      </c>
      <c r="BQ268">
        <f t="shared" si="9"/>
        <v>28.048404371164782</v>
      </c>
    </row>
    <row r="269" spans="1:69" hidden="1" x14ac:dyDescent="0.2">
      <c r="A269" t="s">
        <v>2826</v>
      </c>
      <c r="B269" t="s">
        <v>68</v>
      </c>
      <c r="C269" t="s">
        <v>1956</v>
      </c>
      <c r="D269" t="s">
        <v>70</v>
      </c>
      <c r="E269" t="s">
        <v>2827</v>
      </c>
      <c r="F269">
        <v>5</v>
      </c>
      <c r="G269">
        <v>145</v>
      </c>
      <c r="H269">
        <v>3</v>
      </c>
      <c r="I269">
        <v>4</v>
      </c>
      <c r="J269">
        <v>2</v>
      </c>
      <c r="K269" t="s">
        <v>110</v>
      </c>
      <c r="L269" t="s">
        <v>124</v>
      </c>
      <c r="M269" s="4">
        <v>798000000</v>
      </c>
      <c r="N269">
        <v>0</v>
      </c>
      <c r="O269">
        <v>4.7561723999999996</v>
      </c>
      <c r="P269">
        <v>-74.069957200000005</v>
      </c>
      <c r="Q269" t="s">
        <v>2828</v>
      </c>
      <c r="R269">
        <v>5503448.2759999996</v>
      </c>
      <c r="S269">
        <v>0</v>
      </c>
      <c r="T269" t="s">
        <v>117</v>
      </c>
      <c r="U269" t="s">
        <v>118</v>
      </c>
      <c r="V269" t="s">
        <v>77</v>
      </c>
      <c r="W269" t="s">
        <v>119</v>
      </c>
      <c r="X269" t="s">
        <v>120</v>
      </c>
      <c r="Y269">
        <v>2.1133013335481898</v>
      </c>
      <c r="Z269">
        <v>2113.3013335481901</v>
      </c>
      <c r="AA269">
        <v>4.73719444444444</v>
      </c>
      <c r="AB269">
        <v>-74.069472222222203</v>
      </c>
      <c r="AC269">
        <v>2555</v>
      </c>
      <c r="AD269">
        <v>0</v>
      </c>
      <c r="AE269" t="s">
        <v>80</v>
      </c>
      <c r="AF269" t="s">
        <v>107</v>
      </c>
      <c r="AG269" t="s">
        <v>82</v>
      </c>
      <c r="AH269" t="s">
        <v>83</v>
      </c>
      <c r="AI269" t="s">
        <v>121</v>
      </c>
      <c r="AJ269">
        <v>2.5904576078643502</v>
      </c>
      <c r="AK269">
        <v>4.3012740610713198</v>
      </c>
      <c r="AL269">
        <v>1.85042291884673</v>
      </c>
      <c r="AM269">
        <v>0.59546031515494402</v>
      </c>
      <c r="AN269">
        <v>2.3575601420200401</v>
      </c>
      <c r="AO269">
        <v>8.6799975842776801E-4</v>
      </c>
      <c r="AP269">
        <v>8.6799975842776801E-4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14</v>
      </c>
      <c r="AW269">
        <v>0</v>
      </c>
      <c r="AX269">
        <v>1</v>
      </c>
      <c r="AY269">
        <v>15.3</v>
      </c>
      <c r="AZ269">
        <v>9.8000000000000007</v>
      </c>
      <c r="BA269">
        <v>29.7</v>
      </c>
      <c r="BB269">
        <v>564</v>
      </c>
      <c r="BC269">
        <v>68</v>
      </c>
      <c r="BD269">
        <v>1.8</v>
      </c>
      <c r="BE269">
        <v>43</v>
      </c>
      <c r="BF269">
        <v>25.4</v>
      </c>
      <c r="BG269">
        <v>162</v>
      </c>
      <c r="BH269">
        <v>9.1</v>
      </c>
      <c r="BI269">
        <v>9.1999999999999993</v>
      </c>
      <c r="BJ269">
        <v>18.3</v>
      </c>
      <c r="BK269">
        <v>0.34</v>
      </c>
      <c r="BL269">
        <v>7.3</v>
      </c>
      <c r="BM269">
        <v>0.9</v>
      </c>
      <c r="BN269">
        <v>7.5</v>
      </c>
      <c r="BO269">
        <v>2.9</v>
      </c>
      <c r="BP269">
        <f t="shared" si="8"/>
        <v>8.8266360140473292</v>
      </c>
      <c r="BQ269">
        <f t="shared" si="9"/>
        <v>28.231201820102029</v>
      </c>
    </row>
    <row r="270" spans="1:69" hidden="1" x14ac:dyDescent="0.2">
      <c r="A270" t="s">
        <v>1446</v>
      </c>
      <c r="B270" t="s">
        <v>68</v>
      </c>
      <c r="C270" t="s">
        <v>69</v>
      </c>
      <c r="D270" t="s">
        <v>70</v>
      </c>
      <c r="E270" t="s">
        <v>709</v>
      </c>
      <c r="F270">
        <v>4</v>
      </c>
      <c r="G270">
        <v>144</v>
      </c>
      <c r="H270">
        <v>3</v>
      </c>
      <c r="I270">
        <v>5</v>
      </c>
      <c r="J270">
        <v>2</v>
      </c>
      <c r="K270" t="s">
        <v>110</v>
      </c>
      <c r="L270" t="s">
        <v>124</v>
      </c>
      <c r="M270" s="4">
        <v>1150000000</v>
      </c>
      <c r="N270">
        <v>0</v>
      </c>
      <c r="O270">
        <v>4.7584882469999998</v>
      </c>
      <c r="P270">
        <v>-74.066648479999998</v>
      </c>
      <c r="Q270" t="s">
        <v>1447</v>
      </c>
      <c r="R270">
        <v>7986111.1109999996</v>
      </c>
      <c r="S270">
        <v>0</v>
      </c>
      <c r="T270" t="s">
        <v>117</v>
      </c>
      <c r="U270" t="s">
        <v>118</v>
      </c>
      <c r="V270" t="s">
        <v>77</v>
      </c>
      <c r="W270" t="s">
        <v>119</v>
      </c>
      <c r="X270" t="s">
        <v>120</v>
      </c>
      <c r="Y270">
        <v>2.3910248121942002</v>
      </c>
      <c r="Z270">
        <v>2391.0248121942</v>
      </c>
      <c r="AA270">
        <v>4.73719444444444</v>
      </c>
      <c r="AB270">
        <v>-74.069472222222203</v>
      </c>
      <c r="AC270">
        <v>2555</v>
      </c>
      <c r="AD270">
        <v>0</v>
      </c>
      <c r="AE270" t="s">
        <v>80</v>
      </c>
      <c r="AF270" t="s">
        <v>107</v>
      </c>
      <c r="AG270" t="s">
        <v>82</v>
      </c>
      <c r="AH270" t="s">
        <v>83</v>
      </c>
      <c r="AI270" t="s">
        <v>121</v>
      </c>
      <c r="AJ270">
        <v>2.3239187963189698</v>
      </c>
      <c r="AK270">
        <v>4.3068789974692603</v>
      </c>
      <c r="AL270">
        <v>1.56323312054651</v>
      </c>
      <c r="AM270">
        <v>0.39426782952837502</v>
      </c>
      <c r="AN270">
        <v>2.8003484835167498</v>
      </c>
      <c r="AO270">
        <v>0.30735041224765403</v>
      </c>
      <c r="AP270">
        <v>0.30735041224765403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13</v>
      </c>
      <c r="AW270">
        <v>0</v>
      </c>
      <c r="AX270">
        <v>1</v>
      </c>
      <c r="AY270">
        <v>15.3</v>
      </c>
      <c r="AZ270">
        <v>9.8000000000000007</v>
      </c>
      <c r="BA270">
        <v>29.7</v>
      </c>
      <c r="BB270">
        <v>564</v>
      </c>
      <c r="BC270">
        <v>68</v>
      </c>
      <c r="BD270">
        <v>1.8</v>
      </c>
      <c r="BE270">
        <v>43</v>
      </c>
      <c r="BF270">
        <v>25.4</v>
      </c>
      <c r="BG270">
        <v>162</v>
      </c>
      <c r="BH270">
        <v>9.1</v>
      </c>
      <c r="BI270">
        <v>9.1999999999999993</v>
      </c>
      <c r="BJ270">
        <v>18.3</v>
      </c>
      <c r="BK270">
        <v>0.34</v>
      </c>
      <c r="BL270">
        <v>7.3</v>
      </c>
      <c r="BM270">
        <v>0.9</v>
      </c>
      <c r="BN270">
        <v>7.5</v>
      </c>
      <c r="BO270">
        <v>2.9</v>
      </c>
      <c r="BP270">
        <f t="shared" si="8"/>
        <v>8.7061237509479987</v>
      </c>
      <c r="BQ270">
        <f t="shared" si="9"/>
        <v>28.043656322080246</v>
      </c>
    </row>
    <row r="271" spans="1:69" hidden="1" x14ac:dyDescent="0.2">
      <c r="A271" t="s">
        <v>1257</v>
      </c>
      <c r="B271" t="s">
        <v>68</v>
      </c>
      <c r="C271" t="s">
        <v>69</v>
      </c>
      <c r="D271" t="s">
        <v>70</v>
      </c>
      <c r="E271" t="s">
        <v>277</v>
      </c>
      <c r="F271">
        <v>5</v>
      </c>
      <c r="G271">
        <v>144</v>
      </c>
      <c r="H271">
        <v>3</v>
      </c>
      <c r="I271">
        <v>3</v>
      </c>
      <c r="J271">
        <v>2</v>
      </c>
      <c r="K271" t="s">
        <v>110</v>
      </c>
      <c r="L271" t="s">
        <v>124</v>
      </c>
      <c r="M271" s="4">
        <v>1100000000</v>
      </c>
      <c r="N271">
        <v>0</v>
      </c>
      <c r="O271">
        <v>4.7251563069999998</v>
      </c>
      <c r="P271">
        <v>-74.062553410000007</v>
      </c>
      <c r="Q271" t="s">
        <v>1258</v>
      </c>
      <c r="R271">
        <v>7638888.8890000004</v>
      </c>
      <c r="S271">
        <v>0</v>
      </c>
      <c r="T271" t="s">
        <v>117</v>
      </c>
      <c r="U271" t="s">
        <v>118</v>
      </c>
      <c r="V271" t="s">
        <v>77</v>
      </c>
      <c r="W271" t="s">
        <v>119</v>
      </c>
      <c r="X271" t="s">
        <v>120</v>
      </c>
      <c r="Y271">
        <v>1.54433900045606</v>
      </c>
      <c r="Z271">
        <v>1544.3390004560599</v>
      </c>
      <c r="AA271">
        <v>4.73719444444444</v>
      </c>
      <c r="AB271">
        <v>-74.069472222222203</v>
      </c>
      <c r="AC271">
        <v>2555</v>
      </c>
      <c r="AD271">
        <v>0</v>
      </c>
      <c r="AE271" t="s">
        <v>80</v>
      </c>
      <c r="AF271" t="s">
        <v>107</v>
      </c>
      <c r="AG271" t="s">
        <v>82</v>
      </c>
      <c r="AH271" t="s">
        <v>83</v>
      </c>
      <c r="AI271" t="s">
        <v>121</v>
      </c>
      <c r="AJ271">
        <v>1.3070123289381801</v>
      </c>
      <c r="AK271">
        <v>4.3654333669409802</v>
      </c>
      <c r="AL271">
        <v>1.3446171878580599</v>
      </c>
      <c r="AM271">
        <v>0.18321882305879</v>
      </c>
      <c r="AN271">
        <v>3.0975358254256502</v>
      </c>
      <c r="AO271">
        <v>0.46211703433124102</v>
      </c>
      <c r="AP271">
        <v>0.46211703433124102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21</v>
      </c>
      <c r="AW271">
        <v>0</v>
      </c>
      <c r="AX271">
        <v>0</v>
      </c>
      <c r="AY271">
        <v>15.3</v>
      </c>
      <c r="AZ271">
        <v>9.8000000000000007</v>
      </c>
      <c r="BA271">
        <v>29.7</v>
      </c>
      <c r="BB271">
        <v>564</v>
      </c>
      <c r="BC271">
        <v>68</v>
      </c>
      <c r="BD271">
        <v>1.8</v>
      </c>
      <c r="BE271">
        <v>43</v>
      </c>
      <c r="BF271">
        <v>25.4</v>
      </c>
      <c r="BG271">
        <v>162</v>
      </c>
      <c r="BH271">
        <v>9.1</v>
      </c>
      <c r="BI271">
        <v>9.1999999999999993</v>
      </c>
      <c r="BJ271">
        <v>18.3</v>
      </c>
      <c r="BK271">
        <v>0.34</v>
      </c>
      <c r="BL271">
        <v>7.3</v>
      </c>
      <c r="BM271">
        <v>0.9</v>
      </c>
      <c r="BN271">
        <v>7.5</v>
      </c>
      <c r="BO271">
        <v>2.9</v>
      </c>
      <c r="BP271">
        <f t="shared" si="8"/>
        <v>9.0787598705649977</v>
      </c>
      <c r="BQ271">
        <f t="shared" si="9"/>
        <v>28.619345630339222</v>
      </c>
    </row>
    <row r="272" spans="1:69" hidden="1" x14ac:dyDescent="0.2">
      <c r="A272" t="s">
        <v>3034</v>
      </c>
      <c r="B272" t="s">
        <v>68</v>
      </c>
      <c r="C272" t="s">
        <v>1956</v>
      </c>
      <c r="D272" t="s">
        <v>70</v>
      </c>
      <c r="E272" t="s">
        <v>267</v>
      </c>
      <c r="F272">
        <v>5</v>
      </c>
      <c r="G272">
        <v>143.05000000000001</v>
      </c>
      <c r="H272">
        <v>3</v>
      </c>
      <c r="I272">
        <v>3</v>
      </c>
      <c r="J272">
        <v>2</v>
      </c>
      <c r="K272" t="s">
        <v>110</v>
      </c>
      <c r="L272" t="s">
        <v>162</v>
      </c>
      <c r="M272" s="4">
        <v>760000000</v>
      </c>
      <c r="N272">
        <v>0</v>
      </c>
      <c r="O272">
        <v>4.7561200000000001</v>
      </c>
      <c r="P272">
        <v>-74.070040000000006</v>
      </c>
      <c r="Q272" t="s">
        <v>3035</v>
      </c>
      <c r="R272">
        <v>5312827.6830000002</v>
      </c>
      <c r="S272">
        <v>0</v>
      </c>
      <c r="T272" t="s">
        <v>117</v>
      </c>
      <c r="U272" t="s">
        <v>118</v>
      </c>
      <c r="V272" t="s">
        <v>77</v>
      </c>
      <c r="W272" t="s">
        <v>119</v>
      </c>
      <c r="X272" t="s">
        <v>120</v>
      </c>
      <c r="Y272">
        <v>2.1077245945301302</v>
      </c>
      <c r="Z272">
        <v>2107.7245945301302</v>
      </c>
      <c r="AA272">
        <v>4.73719444444444</v>
      </c>
      <c r="AB272">
        <v>-74.069472222222203</v>
      </c>
      <c r="AC272">
        <v>2555</v>
      </c>
      <c r="AD272">
        <v>0</v>
      </c>
      <c r="AE272" t="s">
        <v>80</v>
      </c>
      <c r="AF272" t="s">
        <v>107</v>
      </c>
      <c r="AG272" t="s">
        <v>82</v>
      </c>
      <c r="AH272" t="s">
        <v>83</v>
      </c>
      <c r="AI272" t="s">
        <v>121</v>
      </c>
      <c r="AJ272">
        <v>2.5810246551867202</v>
      </c>
      <c r="AK272">
        <v>4.3009854849078701</v>
      </c>
      <c r="AL272">
        <v>1.8585215137100299</v>
      </c>
      <c r="AM272">
        <v>0.585010149575375</v>
      </c>
      <c r="AN272">
        <v>2.3469263076964699</v>
      </c>
      <c r="AO272">
        <v>7.6888103817429497E-3</v>
      </c>
      <c r="AP272">
        <v>7.6888103817429497E-3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13</v>
      </c>
      <c r="AW272">
        <v>0</v>
      </c>
      <c r="AX272">
        <v>1</v>
      </c>
      <c r="AY272">
        <v>15.3</v>
      </c>
      <c r="AZ272">
        <v>9.8000000000000007</v>
      </c>
      <c r="BA272">
        <v>29.7</v>
      </c>
      <c r="BB272">
        <v>564</v>
      </c>
      <c r="BC272">
        <v>68</v>
      </c>
      <c r="BD272">
        <v>1.8</v>
      </c>
      <c r="BE272">
        <v>43</v>
      </c>
      <c r="BF272">
        <v>25.4</v>
      </c>
      <c r="BG272">
        <v>162</v>
      </c>
      <c r="BH272">
        <v>9.1</v>
      </c>
      <c r="BI272">
        <v>9.1999999999999993</v>
      </c>
      <c r="BJ272">
        <v>18.3</v>
      </c>
      <c r="BK272">
        <v>0.34</v>
      </c>
      <c r="BL272">
        <v>7.3</v>
      </c>
      <c r="BM272">
        <v>0.9</v>
      </c>
      <c r="BN272">
        <v>7.5</v>
      </c>
      <c r="BO272">
        <v>2.9</v>
      </c>
      <c r="BP272">
        <f t="shared" si="8"/>
        <v>8.8290729307357108</v>
      </c>
      <c r="BQ272">
        <f t="shared" si="9"/>
        <v>28.23498058604789</v>
      </c>
    </row>
    <row r="273" spans="1:69" hidden="1" x14ac:dyDescent="0.2">
      <c r="A273" t="s">
        <v>3199</v>
      </c>
      <c r="B273" t="s">
        <v>68</v>
      </c>
      <c r="C273" t="s">
        <v>1956</v>
      </c>
      <c r="D273" t="s">
        <v>70</v>
      </c>
      <c r="E273" t="s">
        <v>1588</v>
      </c>
      <c r="F273">
        <v>6</v>
      </c>
      <c r="G273">
        <v>142</v>
      </c>
      <c r="H273">
        <v>4</v>
      </c>
      <c r="I273">
        <v>4</v>
      </c>
      <c r="J273">
        <v>2</v>
      </c>
      <c r="K273" t="s">
        <v>110</v>
      </c>
      <c r="L273" t="s">
        <v>133</v>
      </c>
      <c r="M273" s="4">
        <v>950000000</v>
      </c>
      <c r="N273">
        <v>0</v>
      </c>
      <c r="O273">
        <v>4.7987099999999998</v>
      </c>
      <c r="P273">
        <v>-74.071150000000003</v>
      </c>
      <c r="Q273" t="s">
        <v>3200</v>
      </c>
      <c r="R273">
        <v>6690140.8449999997</v>
      </c>
      <c r="S273">
        <v>0</v>
      </c>
      <c r="T273" t="s">
        <v>151</v>
      </c>
      <c r="U273" t="s">
        <v>152</v>
      </c>
      <c r="V273" t="s">
        <v>77</v>
      </c>
      <c r="W273" t="s">
        <v>119</v>
      </c>
      <c r="X273" t="s">
        <v>153</v>
      </c>
      <c r="Y273">
        <v>3.42804694651063</v>
      </c>
      <c r="Z273">
        <v>3428.0469465106298</v>
      </c>
      <c r="AA273">
        <v>4.7837500000000004</v>
      </c>
      <c r="AB273">
        <v>-74.044138888888895</v>
      </c>
      <c r="AC273">
        <v>2580</v>
      </c>
      <c r="AD273">
        <v>0</v>
      </c>
      <c r="AE273" t="s">
        <v>154</v>
      </c>
      <c r="AF273" t="s">
        <v>107</v>
      </c>
      <c r="AG273" t="s">
        <v>82</v>
      </c>
      <c r="AH273" t="s">
        <v>83</v>
      </c>
      <c r="AI273" t="s">
        <v>121</v>
      </c>
      <c r="AJ273">
        <v>4.50106253937596</v>
      </c>
      <c r="AK273">
        <v>1.13305608819558</v>
      </c>
      <c r="AL273">
        <v>2.6749646413131498</v>
      </c>
      <c r="AM273">
        <v>1.14521720398764</v>
      </c>
      <c r="AN273">
        <v>6.5237151980591799</v>
      </c>
      <c r="AO273">
        <v>1.9784146700130301</v>
      </c>
      <c r="AP273">
        <v>1.9784146700130301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15.3</v>
      </c>
      <c r="AZ273">
        <v>9.8000000000000007</v>
      </c>
      <c r="BA273">
        <v>29.7</v>
      </c>
      <c r="BB273">
        <v>564</v>
      </c>
      <c r="BC273">
        <v>68</v>
      </c>
      <c r="BD273">
        <v>1.8</v>
      </c>
      <c r="BE273">
        <v>43</v>
      </c>
      <c r="BF273">
        <v>25.4</v>
      </c>
      <c r="BG273">
        <v>162</v>
      </c>
      <c r="BH273">
        <v>9.1</v>
      </c>
      <c r="BI273">
        <v>9.1999999999999993</v>
      </c>
      <c r="BJ273">
        <v>18.3</v>
      </c>
      <c r="BK273">
        <v>0.34</v>
      </c>
      <c r="BL273">
        <v>7.3</v>
      </c>
      <c r="BM273">
        <v>0.9</v>
      </c>
      <c r="BN273">
        <v>7.5</v>
      </c>
      <c r="BO273">
        <v>2.9</v>
      </c>
      <c r="BP273">
        <f t="shared" si="8"/>
        <v>8.2704925162273479</v>
      </c>
      <c r="BQ273">
        <f t="shared" si="9"/>
        <v>27.354304961408108</v>
      </c>
    </row>
    <row r="274" spans="1:69" hidden="1" x14ac:dyDescent="0.2">
      <c r="A274" t="s">
        <v>1881</v>
      </c>
      <c r="B274" t="s">
        <v>68</v>
      </c>
      <c r="C274" t="s">
        <v>69</v>
      </c>
      <c r="D274" t="s">
        <v>70</v>
      </c>
      <c r="E274" t="s">
        <v>1767</v>
      </c>
      <c r="F274">
        <v>5</v>
      </c>
      <c r="G274">
        <v>141</v>
      </c>
      <c r="H274">
        <v>3</v>
      </c>
      <c r="I274">
        <v>4</v>
      </c>
      <c r="J274">
        <v>3</v>
      </c>
      <c r="K274" t="s">
        <v>110</v>
      </c>
      <c r="L274" t="s">
        <v>111</v>
      </c>
      <c r="M274" s="4">
        <v>1790000000</v>
      </c>
      <c r="N274">
        <v>0</v>
      </c>
      <c r="O274">
        <v>4.7355499999999999</v>
      </c>
      <c r="P274">
        <v>-74.065100000000001</v>
      </c>
      <c r="Q274" t="s">
        <v>1882</v>
      </c>
      <c r="R274">
        <v>12695035.460000001</v>
      </c>
      <c r="S274">
        <v>0</v>
      </c>
      <c r="T274" t="s">
        <v>117</v>
      </c>
      <c r="U274" t="s">
        <v>118</v>
      </c>
      <c r="V274" t="s">
        <v>77</v>
      </c>
      <c r="W274" t="s">
        <v>119</v>
      </c>
      <c r="X274" t="s">
        <v>120</v>
      </c>
      <c r="Y274">
        <v>0.51844523258964204</v>
      </c>
      <c r="Z274">
        <v>518.44523258964205</v>
      </c>
      <c r="AA274">
        <v>4.73719444444444</v>
      </c>
      <c r="AB274">
        <v>-74.069472222222203</v>
      </c>
      <c r="AC274">
        <v>2555</v>
      </c>
      <c r="AD274">
        <v>0</v>
      </c>
      <c r="AE274" t="s">
        <v>80</v>
      </c>
      <c r="AF274" t="s">
        <v>107</v>
      </c>
      <c r="AG274" t="s">
        <v>82</v>
      </c>
      <c r="AH274" t="s">
        <v>83</v>
      </c>
      <c r="AI274" t="s">
        <v>121</v>
      </c>
      <c r="AJ274">
        <v>1.3923249842808201</v>
      </c>
      <c r="AK274">
        <v>4.7895459021765401</v>
      </c>
      <c r="AL274">
        <v>2.1818501339158201</v>
      </c>
      <c r="AM274">
        <v>0.281945709606855</v>
      </c>
      <c r="AN274">
        <v>2.33269170350823</v>
      </c>
      <c r="AO274">
        <v>0.324448942148583</v>
      </c>
      <c r="AP274">
        <v>0.324448942148583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16</v>
      </c>
      <c r="AW274">
        <v>0</v>
      </c>
      <c r="AX274">
        <v>0</v>
      </c>
      <c r="AY274">
        <v>15.3</v>
      </c>
      <c r="AZ274">
        <v>9.8000000000000007</v>
      </c>
      <c r="BA274">
        <v>29.7</v>
      </c>
      <c r="BB274">
        <v>564</v>
      </c>
      <c r="BC274">
        <v>68</v>
      </c>
      <c r="BD274">
        <v>1.8</v>
      </c>
      <c r="BE274">
        <v>43</v>
      </c>
      <c r="BF274">
        <v>25.4</v>
      </c>
      <c r="BG274">
        <v>162</v>
      </c>
      <c r="BH274">
        <v>9.1</v>
      </c>
      <c r="BI274">
        <v>9.1999999999999993</v>
      </c>
      <c r="BJ274">
        <v>18.3</v>
      </c>
      <c r="BK274">
        <v>0.34</v>
      </c>
      <c r="BL274">
        <v>7.3</v>
      </c>
      <c r="BM274">
        <v>0.9</v>
      </c>
      <c r="BN274">
        <v>7.5</v>
      </c>
      <c r="BO274">
        <v>2.9</v>
      </c>
      <c r="BP274">
        <f t="shared" si="8"/>
        <v>9.5517018868571402</v>
      </c>
      <c r="BQ274">
        <f t="shared" si="9"/>
        <v>29.332741815512072</v>
      </c>
    </row>
    <row r="275" spans="1:69" hidden="1" x14ac:dyDescent="0.2">
      <c r="A275" t="s">
        <v>3161</v>
      </c>
      <c r="B275" t="s">
        <v>68</v>
      </c>
      <c r="C275" t="s">
        <v>1956</v>
      </c>
      <c r="D275" t="s">
        <v>70</v>
      </c>
      <c r="E275" t="s">
        <v>290</v>
      </c>
      <c r="F275">
        <v>4</v>
      </c>
      <c r="G275">
        <v>141</v>
      </c>
      <c r="H275">
        <v>3</v>
      </c>
      <c r="I275">
        <v>3</v>
      </c>
      <c r="J275">
        <v>3</v>
      </c>
      <c r="K275" t="s">
        <v>110</v>
      </c>
      <c r="L275" t="s">
        <v>124</v>
      </c>
      <c r="M275" s="4">
        <v>700000000</v>
      </c>
      <c r="N275">
        <v>0</v>
      </c>
      <c r="O275">
        <v>4.7686859999999998</v>
      </c>
      <c r="P275">
        <v>-74.033511180000005</v>
      </c>
      <c r="Q275" t="s">
        <v>3162</v>
      </c>
      <c r="R275">
        <v>4964539.0070000002</v>
      </c>
      <c r="S275">
        <v>0</v>
      </c>
      <c r="T275" t="s">
        <v>151</v>
      </c>
      <c r="U275" t="s">
        <v>152</v>
      </c>
      <c r="V275" t="s">
        <v>77</v>
      </c>
      <c r="W275" t="s">
        <v>119</v>
      </c>
      <c r="X275" t="s">
        <v>153</v>
      </c>
      <c r="Y275">
        <v>2.0498789177742101</v>
      </c>
      <c r="Z275">
        <v>2049.8789177742101</v>
      </c>
      <c r="AA275">
        <v>4.7837500000000004</v>
      </c>
      <c r="AB275">
        <v>-74.044138888888895</v>
      </c>
      <c r="AC275">
        <v>2580</v>
      </c>
      <c r="AD275">
        <v>0</v>
      </c>
      <c r="AE275" t="s">
        <v>154</v>
      </c>
      <c r="AF275" t="s">
        <v>107</v>
      </c>
      <c r="AG275" t="s">
        <v>82</v>
      </c>
      <c r="AH275" t="s">
        <v>83</v>
      </c>
      <c r="AI275" t="s">
        <v>108</v>
      </c>
      <c r="AJ275">
        <v>1.1155618122778299</v>
      </c>
      <c r="AK275">
        <v>1.18273318790951</v>
      </c>
      <c r="AL275">
        <v>1.9857589727863001</v>
      </c>
      <c r="AM275">
        <v>0.412729184214016</v>
      </c>
      <c r="AN275">
        <v>3.09293956293839</v>
      </c>
      <c r="AO275">
        <v>0.15727184695287399</v>
      </c>
      <c r="AP275">
        <v>0.15727184695287399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6</v>
      </c>
      <c r="AW275">
        <v>0</v>
      </c>
      <c r="AX275">
        <v>0</v>
      </c>
      <c r="AY275">
        <v>15.3</v>
      </c>
      <c r="AZ275">
        <v>9.8000000000000007</v>
      </c>
      <c r="BA275">
        <v>29.7</v>
      </c>
      <c r="BB275">
        <v>564</v>
      </c>
      <c r="BC275">
        <v>68</v>
      </c>
      <c r="BD275">
        <v>1.8</v>
      </c>
      <c r="BE275">
        <v>43</v>
      </c>
      <c r="BF275">
        <v>25.4</v>
      </c>
      <c r="BG275">
        <v>162</v>
      </c>
      <c r="BH275">
        <v>9.1</v>
      </c>
      <c r="BI275">
        <v>9.1999999999999993</v>
      </c>
      <c r="BJ275">
        <v>18.3</v>
      </c>
      <c r="BK275">
        <v>0.34</v>
      </c>
      <c r="BL275">
        <v>7.3</v>
      </c>
      <c r="BM275">
        <v>0.9</v>
      </c>
      <c r="BN275">
        <v>7.5</v>
      </c>
      <c r="BO275">
        <v>2.9</v>
      </c>
      <c r="BP275">
        <f t="shared" si="8"/>
        <v>8.8543899824583292</v>
      </c>
      <c r="BQ275">
        <f t="shared" si="9"/>
        <v>28.274206325665713</v>
      </c>
    </row>
    <row r="276" spans="1:69" hidden="1" x14ac:dyDescent="0.2">
      <c r="A276" t="s">
        <v>2125</v>
      </c>
      <c r="B276" t="s">
        <v>68</v>
      </c>
      <c r="C276" t="s">
        <v>1956</v>
      </c>
      <c r="D276" t="s">
        <v>70</v>
      </c>
      <c r="E276" t="s">
        <v>181</v>
      </c>
      <c r="F276">
        <v>5</v>
      </c>
      <c r="G276">
        <v>140</v>
      </c>
      <c r="H276">
        <v>4</v>
      </c>
      <c r="I276">
        <v>4</v>
      </c>
      <c r="J276">
        <v>2</v>
      </c>
      <c r="K276" t="s">
        <v>110</v>
      </c>
      <c r="L276" t="s">
        <v>124</v>
      </c>
      <c r="M276" s="4">
        <v>780000000</v>
      </c>
      <c r="N276">
        <v>0</v>
      </c>
      <c r="O276">
        <v>4.7283368110000001</v>
      </c>
      <c r="P276">
        <v>-74.072082519999995</v>
      </c>
      <c r="Q276" t="s">
        <v>2126</v>
      </c>
      <c r="R276">
        <v>5571428.5710000005</v>
      </c>
      <c r="S276">
        <v>0</v>
      </c>
      <c r="T276" t="s">
        <v>117</v>
      </c>
      <c r="U276" t="s">
        <v>118</v>
      </c>
      <c r="V276" t="s">
        <v>77</v>
      </c>
      <c r="W276" t="s">
        <v>119</v>
      </c>
      <c r="X276" t="s">
        <v>120</v>
      </c>
      <c r="Y276">
        <v>1.02767209164381</v>
      </c>
      <c r="Z276">
        <v>1027.6720916438101</v>
      </c>
      <c r="AA276">
        <v>4.73719444444444</v>
      </c>
      <c r="AB276">
        <v>-74.069472222222203</v>
      </c>
      <c r="AC276">
        <v>2555</v>
      </c>
      <c r="AD276">
        <v>0</v>
      </c>
      <c r="AE276" t="s">
        <v>80</v>
      </c>
      <c r="AF276" t="s">
        <v>107</v>
      </c>
      <c r="AG276" t="s">
        <v>82</v>
      </c>
      <c r="AH276" t="s">
        <v>83</v>
      </c>
      <c r="AI276" t="s">
        <v>121</v>
      </c>
      <c r="AJ276">
        <v>0.308560042961396</v>
      </c>
      <c r="AK276">
        <v>5.4639790050438197</v>
      </c>
      <c r="AL276">
        <v>1.2713918999431999</v>
      </c>
      <c r="AM276">
        <v>0.44086818170225001</v>
      </c>
      <c r="AN276">
        <v>2.0590768384814702</v>
      </c>
      <c r="AO276">
        <v>0.38717633141487001</v>
      </c>
      <c r="AP276">
        <v>0.38717633141487001</v>
      </c>
      <c r="AQ276">
        <v>1</v>
      </c>
      <c r="AR276">
        <v>2</v>
      </c>
      <c r="AS276">
        <v>0</v>
      </c>
      <c r="AT276">
        <v>0</v>
      </c>
      <c r="AU276">
        <v>0</v>
      </c>
      <c r="AV276">
        <v>20</v>
      </c>
      <c r="AW276">
        <v>0</v>
      </c>
      <c r="AX276">
        <v>0</v>
      </c>
      <c r="AY276">
        <v>15.3</v>
      </c>
      <c r="AZ276">
        <v>9.8000000000000007</v>
      </c>
      <c r="BA276">
        <v>29.7</v>
      </c>
      <c r="BB276">
        <v>564</v>
      </c>
      <c r="BC276">
        <v>68</v>
      </c>
      <c r="BD276">
        <v>1.8</v>
      </c>
      <c r="BE276">
        <v>43</v>
      </c>
      <c r="BF276">
        <v>25.4</v>
      </c>
      <c r="BG276">
        <v>162</v>
      </c>
      <c r="BH276">
        <v>9.1</v>
      </c>
      <c r="BI276">
        <v>9.1999999999999993</v>
      </c>
      <c r="BJ276">
        <v>18.3</v>
      </c>
      <c r="BK276">
        <v>0.34</v>
      </c>
      <c r="BL276">
        <v>7.3</v>
      </c>
      <c r="BM276">
        <v>0.9</v>
      </c>
      <c r="BN276">
        <v>7.5</v>
      </c>
      <c r="BO276">
        <v>2.9</v>
      </c>
      <c r="BP276">
        <f t="shared" si="8"/>
        <v>9.3139438607790481</v>
      </c>
      <c r="BQ276">
        <f t="shared" si="9"/>
        <v>28.976435062495074</v>
      </c>
    </row>
    <row r="277" spans="1:69" hidden="1" x14ac:dyDescent="0.2">
      <c r="A277" t="s">
        <v>2885</v>
      </c>
      <c r="B277" t="s">
        <v>68</v>
      </c>
      <c r="C277" t="s">
        <v>1956</v>
      </c>
      <c r="D277" t="s">
        <v>70</v>
      </c>
      <c r="E277" t="s">
        <v>1987</v>
      </c>
      <c r="F277">
        <v>5</v>
      </c>
      <c r="G277">
        <v>140</v>
      </c>
      <c r="H277">
        <v>3</v>
      </c>
      <c r="I277">
        <v>3</v>
      </c>
      <c r="J277">
        <v>2</v>
      </c>
      <c r="K277" t="s">
        <v>110</v>
      </c>
      <c r="L277" t="s">
        <v>162</v>
      </c>
      <c r="M277" s="4">
        <v>685000000</v>
      </c>
      <c r="N277">
        <v>0</v>
      </c>
      <c r="O277">
        <v>4.7642350200000001</v>
      </c>
      <c r="P277">
        <v>-74.042564389999995</v>
      </c>
      <c r="Q277" t="s">
        <v>2886</v>
      </c>
      <c r="R277">
        <v>4892857.1430000002</v>
      </c>
      <c r="S277">
        <v>0</v>
      </c>
      <c r="T277" t="s">
        <v>151</v>
      </c>
      <c r="U277" t="s">
        <v>152</v>
      </c>
      <c r="V277" t="s">
        <v>77</v>
      </c>
      <c r="W277" t="s">
        <v>119</v>
      </c>
      <c r="X277" t="s">
        <v>153</v>
      </c>
      <c r="Y277">
        <v>2.1794079758685299</v>
      </c>
      <c r="Z277">
        <v>2179.4079758685298</v>
      </c>
      <c r="AA277">
        <v>4.7837500000000004</v>
      </c>
      <c r="AB277">
        <v>-74.044138888888895</v>
      </c>
      <c r="AC277">
        <v>2580</v>
      </c>
      <c r="AD277">
        <v>0</v>
      </c>
      <c r="AE277" t="s">
        <v>154</v>
      </c>
      <c r="AF277" t="s">
        <v>107</v>
      </c>
      <c r="AG277" t="s">
        <v>82</v>
      </c>
      <c r="AH277" t="s">
        <v>83</v>
      </c>
      <c r="AI277" t="s">
        <v>108</v>
      </c>
      <c r="AJ277">
        <v>0.23080352105268101</v>
      </c>
      <c r="AK277">
        <v>2.20169651844162</v>
      </c>
      <c r="AL277">
        <v>1.70590807246772</v>
      </c>
      <c r="AM277">
        <v>0.37890493191338898</v>
      </c>
      <c r="AN277">
        <v>3.0615258623527102</v>
      </c>
      <c r="AO277">
        <v>0.102811469089158</v>
      </c>
      <c r="AP277">
        <v>0.102811469089158</v>
      </c>
      <c r="AQ277">
        <v>1</v>
      </c>
      <c r="AR277">
        <v>2</v>
      </c>
      <c r="AS277">
        <v>0</v>
      </c>
      <c r="AT277">
        <v>0</v>
      </c>
      <c r="AU277">
        <v>0</v>
      </c>
      <c r="AV277">
        <v>15</v>
      </c>
      <c r="AW277">
        <v>0</v>
      </c>
      <c r="AX277">
        <v>0</v>
      </c>
      <c r="AY277">
        <v>15.3</v>
      </c>
      <c r="AZ277">
        <v>9.8000000000000007</v>
      </c>
      <c r="BA277">
        <v>29.7</v>
      </c>
      <c r="BB277">
        <v>564</v>
      </c>
      <c r="BC277">
        <v>68</v>
      </c>
      <c r="BD277">
        <v>1.8</v>
      </c>
      <c r="BE277">
        <v>43</v>
      </c>
      <c r="BF277">
        <v>25.4</v>
      </c>
      <c r="BG277">
        <v>162</v>
      </c>
      <c r="BH277">
        <v>9.1</v>
      </c>
      <c r="BI277">
        <v>9.1999999999999993</v>
      </c>
      <c r="BJ277">
        <v>18.3</v>
      </c>
      <c r="BK277">
        <v>0.34</v>
      </c>
      <c r="BL277">
        <v>7.3</v>
      </c>
      <c r="BM277">
        <v>0.9</v>
      </c>
      <c r="BN277">
        <v>7.5</v>
      </c>
      <c r="BO277">
        <v>2.9</v>
      </c>
      <c r="BP277">
        <f t="shared" si="8"/>
        <v>8.7978000056489147</v>
      </c>
      <c r="BQ277">
        <f t="shared" si="9"/>
        <v>28.186446853632869</v>
      </c>
    </row>
    <row r="278" spans="1:69" hidden="1" x14ac:dyDescent="0.2">
      <c r="A278" t="s">
        <v>899</v>
      </c>
      <c r="B278" t="s">
        <v>68</v>
      </c>
      <c r="C278" t="s">
        <v>69</v>
      </c>
      <c r="D278" t="s">
        <v>70</v>
      </c>
      <c r="E278" t="s">
        <v>900</v>
      </c>
      <c r="F278">
        <v>5</v>
      </c>
      <c r="G278">
        <v>135</v>
      </c>
      <c r="H278">
        <v>3</v>
      </c>
      <c r="I278">
        <v>4</v>
      </c>
      <c r="J278">
        <v>2</v>
      </c>
      <c r="K278" t="s">
        <v>110</v>
      </c>
      <c r="L278" t="s">
        <v>111</v>
      </c>
      <c r="M278" s="4">
        <v>1200000000</v>
      </c>
      <c r="N278">
        <v>0</v>
      </c>
      <c r="O278">
        <v>4.7339639660000001</v>
      </c>
      <c r="P278">
        <v>-74.062614440000004</v>
      </c>
      <c r="Q278" t="s">
        <v>901</v>
      </c>
      <c r="R278">
        <v>8888888.8890000004</v>
      </c>
      <c r="S278">
        <v>0</v>
      </c>
      <c r="T278" t="s">
        <v>117</v>
      </c>
      <c r="U278" t="s">
        <v>118</v>
      </c>
      <c r="V278" t="s">
        <v>77</v>
      </c>
      <c r="W278" t="s">
        <v>119</v>
      </c>
      <c r="X278" t="s">
        <v>120</v>
      </c>
      <c r="Y278">
        <v>0.84150930879493202</v>
      </c>
      <c r="Z278">
        <v>841.50930879493205</v>
      </c>
      <c r="AA278">
        <v>4.73719444444444</v>
      </c>
      <c r="AB278">
        <v>-74.069472222222203</v>
      </c>
      <c r="AC278">
        <v>2555</v>
      </c>
      <c r="AD278">
        <v>0</v>
      </c>
      <c r="AE278" t="s">
        <v>80</v>
      </c>
      <c r="AF278" t="s">
        <v>107</v>
      </c>
      <c r="AG278" t="s">
        <v>82</v>
      </c>
      <c r="AH278" t="s">
        <v>83</v>
      </c>
      <c r="AI278" t="s">
        <v>121</v>
      </c>
      <c r="AJ278">
        <v>1.4595805590267701</v>
      </c>
      <c r="AK278">
        <v>4.5056833247072898</v>
      </c>
      <c r="AL278">
        <v>2.12808982884175</v>
      </c>
      <c r="AM278">
        <v>0.43222036739261099</v>
      </c>
      <c r="AN278">
        <v>2.6477109742690099</v>
      </c>
      <c r="AO278">
        <v>0.26525448045657102</v>
      </c>
      <c r="AP278">
        <v>0.26525448045657102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22</v>
      </c>
      <c r="AW278">
        <v>0</v>
      </c>
      <c r="AX278">
        <v>0</v>
      </c>
      <c r="AY278">
        <v>15.3</v>
      </c>
      <c r="AZ278">
        <v>9.8000000000000007</v>
      </c>
      <c r="BA278">
        <v>29.7</v>
      </c>
      <c r="BB278">
        <v>564</v>
      </c>
      <c r="BC278">
        <v>68</v>
      </c>
      <c r="BD278">
        <v>1.8</v>
      </c>
      <c r="BE278">
        <v>43</v>
      </c>
      <c r="BF278">
        <v>25.4</v>
      </c>
      <c r="BG278">
        <v>162</v>
      </c>
      <c r="BH278">
        <v>9.1</v>
      </c>
      <c r="BI278">
        <v>9.1999999999999993</v>
      </c>
      <c r="BJ278">
        <v>18.3</v>
      </c>
      <c r="BK278">
        <v>0.34</v>
      </c>
      <c r="BL278">
        <v>7.3</v>
      </c>
      <c r="BM278">
        <v>0.9</v>
      </c>
      <c r="BN278">
        <v>7.5</v>
      </c>
      <c r="BO278">
        <v>2.9</v>
      </c>
      <c r="BP278">
        <f t="shared" si="8"/>
        <v>9.4001690663034356</v>
      </c>
      <c r="BQ278">
        <f t="shared" si="9"/>
        <v>29.106188721192698</v>
      </c>
    </row>
    <row r="279" spans="1:69" hidden="1" x14ac:dyDescent="0.2">
      <c r="A279" t="s">
        <v>765</v>
      </c>
      <c r="B279" t="s">
        <v>68</v>
      </c>
      <c r="C279" t="s">
        <v>69</v>
      </c>
      <c r="D279" t="s">
        <v>70</v>
      </c>
      <c r="E279" t="s">
        <v>661</v>
      </c>
      <c r="F279">
        <v>5</v>
      </c>
      <c r="G279">
        <v>134</v>
      </c>
      <c r="H279">
        <v>3</v>
      </c>
      <c r="I279">
        <v>4</v>
      </c>
      <c r="J279">
        <v>2</v>
      </c>
      <c r="K279" t="s">
        <v>110</v>
      </c>
      <c r="L279" t="s">
        <v>124</v>
      </c>
      <c r="M279" s="4">
        <v>890000000</v>
      </c>
      <c r="N279">
        <v>0</v>
      </c>
      <c r="O279">
        <v>4.7442603109999997</v>
      </c>
      <c r="P279">
        <v>-74.065078740000004</v>
      </c>
      <c r="Q279" t="s">
        <v>766</v>
      </c>
      <c r="R279">
        <v>6641791.0449999999</v>
      </c>
      <c r="S279">
        <v>0</v>
      </c>
      <c r="T279" t="s">
        <v>117</v>
      </c>
      <c r="U279" t="s">
        <v>118</v>
      </c>
      <c r="V279" t="s">
        <v>77</v>
      </c>
      <c r="W279" t="s">
        <v>119</v>
      </c>
      <c r="X279" t="s">
        <v>120</v>
      </c>
      <c r="Y279">
        <v>0.92534094154875701</v>
      </c>
      <c r="Z279">
        <v>925.34094154875697</v>
      </c>
      <c r="AA279">
        <v>4.73719444444444</v>
      </c>
      <c r="AB279">
        <v>-74.069472222222203</v>
      </c>
      <c r="AC279">
        <v>2555</v>
      </c>
      <c r="AD279">
        <v>0</v>
      </c>
      <c r="AE279" t="s">
        <v>80</v>
      </c>
      <c r="AF279" t="s">
        <v>107</v>
      </c>
      <c r="AG279" t="s">
        <v>82</v>
      </c>
      <c r="AH279" t="s">
        <v>83</v>
      </c>
      <c r="AI279" t="s">
        <v>121</v>
      </c>
      <c r="AJ279">
        <v>1.91114875974767</v>
      </c>
      <c r="AK279">
        <v>4.9451612229608202</v>
      </c>
      <c r="AL279">
        <v>1.63177746733011</v>
      </c>
      <c r="AM279">
        <v>0.35500310388501599</v>
      </c>
      <c r="AN279">
        <v>2.2651642884496801</v>
      </c>
      <c r="AO279">
        <v>3.2772866091432401E-2</v>
      </c>
      <c r="AP279">
        <v>3.2772866091432401E-2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14</v>
      </c>
      <c r="AW279">
        <v>0</v>
      </c>
      <c r="AX279">
        <v>0</v>
      </c>
      <c r="AY279">
        <v>15.3</v>
      </c>
      <c r="AZ279">
        <v>9.8000000000000007</v>
      </c>
      <c r="BA279">
        <v>29.7</v>
      </c>
      <c r="BB279">
        <v>564</v>
      </c>
      <c r="BC279">
        <v>68</v>
      </c>
      <c r="BD279">
        <v>1.8</v>
      </c>
      <c r="BE279">
        <v>43</v>
      </c>
      <c r="BF279">
        <v>25.4</v>
      </c>
      <c r="BG279">
        <v>162</v>
      </c>
      <c r="BH279">
        <v>9.1</v>
      </c>
      <c r="BI279">
        <v>9.1999999999999993</v>
      </c>
      <c r="BJ279">
        <v>18.3</v>
      </c>
      <c r="BK279">
        <v>0.34</v>
      </c>
      <c r="BL279">
        <v>7.3</v>
      </c>
      <c r="BM279">
        <v>0.9</v>
      </c>
      <c r="BN279">
        <v>7.5</v>
      </c>
      <c r="BO279">
        <v>2.9</v>
      </c>
      <c r="BP279">
        <f t="shared" si="8"/>
        <v>9.3612423283503929</v>
      </c>
      <c r="BQ279">
        <f t="shared" si="9"/>
        <v>29.047687128565752</v>
      </c>
    </row>
    <row r="280" spans="1:69" hidden="1" x14ac:dyDescent="0.2">
      <c r="A280" t="s">
        <v>1323</v>
      </c>
      <c r="B280" t="s">
        <v>68</v>
      </c>
      <c r="C280" t="s">
        <v>69</v>
      </c>
      <c r="D280" t="s">
        <v>70</v>
      </c>
      <c r="E280" t="s">
        <v>140</v>
      </c>
      <c r="F280">
        <v>4</v>
      </c>
      <c r="G280">
        <v>133</v>
      </c>
      <c r="H280">
        <v>4</v>
      </c>
      <c r="I280">
        <v>3</v>
      </c>
      <c r="J280">
        <v>2</v>
      </c>
      <c r="K280" t="s">
        <v>110</v>
      </c>
      <c r="L280" t="s">
        <v>124</v>
      </c>
      <c r="M280" s="4">
        <v>837000000</v>
      </c>
      <c r="N280">
        <v>0</v>
      </c>
      <c r="O280">
        <v>4.7432631000000001</v>
      </c>
      <c r="P280">
        <v>-74.054946799999996</v>
      </c>
      <c r="Q280" t="s">
        <v>1324</v>
      </c>
      <c r="R280">
        <v>6293233.0829999996</v>
      </c>
      <c r="S280">
        <v>0</v>
      </c>
      <c r="T280" t="s">
        <v>117</v>
      </c>
      <c r="U280" t="s">
        <v>118</v>
      </c>
      <c r="V280" t="s">
        <v>77</v>
      </c>
      <c r="W280" t="s">
        <v>119</v>
      </c>
      <c r="X280" t="s">
        <v>120</v>
      </c>
      <c r="Y280">
        <v>1.7473104486137501</v>
      </c>
      <c r="Z280">
        <v>1747.3104486137499</v>
      </c>
      <c r="AA280">
        <v>4.73719444444444</v>
      </c>
      <c r="AB280">
        <v>-74.069472222222203</v>
      </c>
      <c r="AC280">
        <v>2555</v>
      </c>
      <c r="AD280">
        <v>0</v>
      </c>
      <c r="AE280" t="s">
        <v>80</v>
      </c>
      <c r="AF280" t="s">
        <v>107</v>
      </c>
      <c r="AG280" t="s">
        <v>82</v>
      </c>
      <c r="AH280" t="s">
        <v>83</v>
      </c>
      <c r="AI280" t="s">
        <v>121</v>
      </c>
      <c r="AJ280">
        <v>0.784429592042858</v>
      </c>
      <c r="AK280">
        <v>3.8360065968572701</v>
      </c>
      <c r="AL280">
        <v>1.1291480455371199</v>
      </c>
      <c r="AM280">
        <v>0.50504661569446496</v>
      </c>
      <c r="AN280">
        <v>3.13399266385635</v>
      </c>
      <c r="AO280">
        <v>9.6201208154341994E-2</v>
      </c>
      <c r="AP280">
        <v>9.6201208154341994E-2</v>
      </c>
      <c r="AQ280">
        <v>0</v>
      </c>
      <c r="AR280">
        <v>2</v>
      </c>
      <c r="AS280">
        <v>0</v>
      </c>
      <c r="AT280">
        <v>0</v>
      </c>
      <c r="AU280">
        <v>0</v>
      </c>
      <c r="AV280">
        <v>11</v>
      </c>
      <c r="AW280">
        <v>0</v>
      </c>
      <c r="AX280">
        <v>0</v>
      </c>
      <c r="AY280">
        <v>15.3</v>
      </c>
      <c r="AZ280">
        <v>9.8000000000000007</v>
      </c>
      <c r="BA280">
        <v>29.7</v>
      </c>
      <c r="BB280">
        <v>564</v>
      </c>
      <c r="BC280">
        <v>68</v>
      </c>
      <c r="BD280">
        <v>1.8</v>
      </c>
      <c r="BE280">
        <v>43</v>
      </c>
      <c r="BF280">
        <v>25.4</v>
      </c>
      <c r="BG280">
        <v>162</v>
      </c>
      <c r="BH280">
        <v>9.1</v>
      </c>
      <c r="BI280">
        <v>9.1999999999999993</v>
      </c>
      <c r="BJ280">
        <v>18.3</v>
      </c>
      <c r="BK280">
        <v>0.34</v>
      </c>
      <c r="BL280">
        <v>7.3</v>
      </c>
      <c r="BM280">
        <v>0.9</v>
      </c>
      <c r="BN280">
        <v>7.5</v>
      </c>
      <c r="BO280">
        <v>2.9</v>
      </c>
      <c r="BP280">
        <f t="shared" si="8"/>
        <v>8.9880014753539221</v>
      </c>
      <c r="BQ280">
        <f t="shared" si="9"/>
        <v>28.480270803314745</v>
      </c>
    </row>
    <row r="281" spans="1:69" hidden="1" x14ac:dyDescent="0.2">
      <c r="A281" t="s">
        <v>2065</v>
      </c>
      <c r="B281" t="s">
        <v>68</v>
      </c>
      <c r="C281" t="s">
        <v>1956</v>
      </c>
      <c r="D281" t="s">
        <v>70</v>
      </c>
      <c r="E281" t="s">
        <v>1426</v>
      </c>
      <c r="F281">
        <v>4</v>
      </c>
      <c r="G281">
        <v>133</v>
      </c>
      <c r="H281">
        <v>3</v>
      </c>
      <c r="I281">
        <v>2</v>
      </c>
      <c r="J281">
        <v>0</v>
      </c>
      <c r="K281" t="s">
        <v>110</v>
      </c>
      <c r="L281" t="s">
        <v>124</v>
      </c>
      <c r="M281" s="4">
        <v>660000000</v>
      </c>
      <c r="N281">
        <v>0</v>
      </c>
      <c r="O281">
        <v>4.756042957</v>
      </c>
      <c r="P281">
        <v>-74.038986210000004</v>
      </c>
      <c r="Q281" t="s">
        <v>2066</v>
      </c>
      <c r="R281">
        <v>4962406.0149999997</v>
      </c>
      <c r="S281">
        <v>0</v>
      </c>
      <c r="T281" t="s">
        <v>151</v>
      </c>
      <c r="U281" t="s">
        <v>152</v>
      </c>
      <c r="V281" t="s">
        <v>77</v>
      </c>
      <c r="W281" t="s">
        <v>119</v>
      </c>
      <c r="X281" t="s">
        <v>153</v>
      </c>
      <c r="Y281">
        <v>3.1368535729729499</v>
      </c>
      <c r="Z281">
        <v>3136.8535729729501</v>
      </c>
      <c r="AA281">
        <v>4.7837500000000004</v>
      </c>
      <c r="AB281">
        <v>-74.044138888888895</v>
      </c>
      <c r="AC281">
        <v>2580</v>
      </c>
      <c r="AD281">
        <v>0</v>
      </c>
      <c r="AE281" t="s">
        <v>154</v>
      </c>
      <c r="AF281" t="s">
        <v>107</v>
      </c>
      <c r="AG281" t="s">
        <v>82</v>
      </c>
      <c r="AH281" t="s">
        <v>83</v>
      </c>
      <c r="AI281" t="s">
        <v>108</v>
      </c>
      <c r="AJ281">
        <v>0.79813955637591805</v>
      </c>
      <c r="AK281">
        <v>1.88652517885741</v>
      </c>
      <c r="AL281">
        <v>1.0873696601035101</v>
      </c>
      <c r="AM281">
        <v>0.800029075783247</v>
      </c>
      <c r="AN281">
        <v>2.10131802366775</v>
      </c>
      <c r="AO281">
        <v>8.50193180752086E-2</v>
      </c>
      <c r="AP281">
        <v>8.50193180752086E-2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8</v>
      </c>
      <c r="AW281">
        <v>0</v>
      </c>
      <c r="AX281">
        <v>0</v>
      </c>
      <c r="AY281">
        <v>15.3</v>
      </c>
      <c r="AZ281">
        <v>9.8000000000000007</v>
      </c>
      <c r="BA281">
        <v>29.7</v>
      </c>
      <c r="BB281">
        <v>564</v>
      </c>
      <c r="BC281">
        <v>68</v>
      </c>
      <c r="BD281">
        <v>1.8</v>
      </c>
      <c r="BE281">
        <v>43</v>
      </c>
      <c r="BF281">
        <v>25.4</v>
      </c>
      <c r="BG281">
        <v>162</v>
      </c>
      <c r="BH281">
        <v>9.1</v>
      </c>
      <c r="BI281">
        <v>9.1999999999999993</v>
      </c>
      <c r="BJ281">
        <v>18.3</v>
      </c>
      <c r="BK281">
        <v>0.34</v>
      </c>
      <c r="BL281">
        <v>7.3</v>
      </c>
      <c r="BM281">
        <v>0.9</v>
      </c>
      <c r="BN281">
        <v>7.5</v>
      </c>
      <c r="BO281">
        <v>2.9</v>
      </c>
      <c r="BP281">
        <f t="shared" si="8"/>
        <v>8.3905672950608903</v>
      </c>
      <c r="BQ281">
        <f t="shared" si="9"/>
        <v>27.546143943711439</v>
      </c>
    </row>
    <row r="282" spans="1:69" hidden="1" x14ac:dyDescent="0.2">
      <c r="A282" t="s">
        <v>3289</v>
      </c>
      <c r="B282" t="s">
        <v>68</v>
      </c>
      <c r="C282" t="s">
        <v>1956</v>
      </c>
      <c r="D282" t="s">
        <v>70</v>
      </c>
      <c r="E282" t="s">
        <v>174</v>
      </c>
      <c r="F282">
        <v>4</v>
      </c>
      <c r="G282">
        <v>132</v>
      </c>
      <c r="H282">
        <v>4</v>
      </c>
      <c r="I282">
        <v>3</v>
      </c>
      <c r="J282">
        <v>2</v>
      </c>
      <c r="K282" t="s">
        <v>110</v>
      </c>
      <c r="L282" t="s">
        <v>124</v>
      </c>
      <c r="M282" s="4">
        <v>750000000</v>
      </c>
      <c r="N282">
        <v>0</v>
      </c>
      <c r="O282">
        <v>4.7395477000000001</v>
      </c>
      <c r="P282">
        <v>-74.064999999999998</v>
      </c>
      <c r="Q282" t="s">
        <v>3290</v>
      </c>
      <c r="R282">
        <v>5681818.182</v>
      </c>
      <c r="S282">
        <v>0</v>
      </c>
      <c r="T282" t="s">
        <v>117</v>
      </c>
      <c r="U282" t="s">
        <v>118</v>
      </c>
      <c r="V282" t="s">
        <v>77</v>
      </c>
      <c r="W282" t="s">
        <v>119</v>
      </c>
      <c r="X282" t="s">
        <v>120</v>
      </c>
      <c r="Y282">
        <v>0.56105579093924096</v>
      </c>
      <c r="Z282">
        <v>561.05579093924098</v>
      </c>
      <c r="AA282">
        <v>4.73719444444444</v>
      </c>
      <c r="AB282">
        <v>-74.069472222222203</v>
      </c>
      <c r="AC282">
        <v>2555</v>
      </c>
      <c r="AD282">
        <v>0</v>
      </c>
      <c r="AE282" t="s">
        <v>80</v>
      </c>
      <c r="AF282" t="s">
        <v>107</v>
      </c>
      <c r="AG282" t="s">
        <v>82</v>
      </c>
      <c r="AH282" t="s">
        <v>83</v>
      </c>
      <c r="AI282" t="s">
        <v>121</v>
      </c>
      <c r="AJ282">
        <v>1.7169474685414501</v>
      </c>
      <c r="AK282">
        <v>4.8279831014377104</v>
      </c>
      <c r="AL282">
        <v>1.99023554336734</v>
      </c>
      <c r="AM282">
        <v>0.14625400497773</v>
      </c>
      <c r="AN282">
        <v>2.2613764303214801</v>
      </c>
      <c r="AO282">
        <v>0.10631316227066</v>
      </c>
      <c r="AP282">
        <v>0.10631316227066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9</v>
      </c>
      <c r="AW282">
        <v>0</v>
      </c>
      <c r="AX282">
        <v>0</v>
      </c>
      <c r="AY282">
        <v>15.3</v>
      </c>
      <c r="AZ282">
        <v>9.8000000000000007</v>
      </c>
      <c r="BA282">
        <v>29.7</v>
      </c>
      <c r="BB282">
        <v>564</v>
      </c>
      <c r="BC282">
        <v>68</v>
      </c>
      <c r="BD282">
        <v>1.8</v>
      </c>
      <c r="BE282">
        <v>43</v>
      </c>
      <c r="BF282">
        <v>25.4</v>
      </c>
      <c r="BG282">
        <v>162</v>
      </c>
      <c r="BH282">
        <v>9.1</v>
      </c>
      <c r="BI282">
        <v>9.1999999999999993</v>
      </c>
      <c r="BJ282">
        <v>18.3</v>
      </c>
      <c r="BK282">
        <v>0.34</v>
      </c>
      <c r="BL282">
        <v>7.3</v>
      </c>
      <c r="BM282">
        <v>0.9</v>
      </c>
      <c r="BN282">
        <v>7.5</v>
      </c>
      <c r="BO282">
        <v>2.9</v>
      </c>
      <c r="BP282">
        <f t="shared" si="8"/>
        <v>9.5315764529746172</v>
      </c>
      <c r="BQ282">
        <f t="shared" si="9"/>
        <v>29.302759920508073</v>
      </c>
    </row>
    <row r="283" spans="1:69" hidden="1" x14ac:dyDescent="0.2">
      <c r="A283" t="s">
        <v>1587</v>
      </c>
      <c r="B283" t="s">
        <v>68</v>
      </c>
      <c r="C283" t="s">
        <v>69</v>
      </c>
      <c r="D283" t="s">
        <v>70</v>
      </c>
      <c r="E283" t="s">
        <v>1588</v>
      </c>
      <c r="F283">
        <v>6</v>
      </c>
      <c r="G283">
        <v>131.24</v>
      </c>
      <c r="H283">
        <v>3</v>
      </c>
      <c r="I283">
        <v>3</v>
      </c>
      <c r="J283">
        <v>2</v>
      </c>
      <c r="K283" t="s">
        <v>110</v>
      </c>
      <c r="L283" t="s">
        <v>124</v>
      </c>
      <c r="M283" s="4">
        <v>1100000000</v>
      </c>
      <c r="N283">
        <v>0</v>
      </c>
      <c r="O283">
        <v>4.7994880230000003</v>
      </c>
      <c r="P283">
        <v>-74.073547230000003</v>
      </c>
      <c r="Q283" t="s">
        <v>1589</v>
      </c>
      <c r="R283">
        <v>8381590.9780000001</v>
      </c>
      <c r="S283">
        <v>0</v>
      </c>
      <c r="T283" t="s">
        <v>151</v>
      </c>
      <c r="U283" t="s">
        <v>152</v>
      </c>
      <c r="V283" t="s">
        <v>77</v>
      </c>
      <c r="W283" t="s">
        <v>119</v>
      </c>
      <c r="X283" t="s">
        <v>153</v>
      </c>
      <c r="Y283">
        <v>3.7029442669270098</v>
      </c>
      <c r="Z283">
        <v>3702.9442669270102</v>
      </c>
      <c r="AA283">
        <v>4.7837500000000004</v>
      </c>
      <c r="AB283">
        <v>-74.044138888888895</v>
      </c>
      <c r="AC283">
        <v>2580</v>
      </c>
      <c r="AD283">
        <v>0</v>
      </c>
      <c r="AE283" t="s">
        <v>154</v>
      </c>
      <c r="AF283" t="s">
        <v>107</v>
      </c>
      <c r="AG283" t="s">
        <v>82</v>
      </c>
      <c r="AH283" t="s">
        <v>83</v>
      </c>
      <c r="AI283" t="s">
        <v>121</v>
      </c>
      <c r="AJ283">
        <v>4.7466555657863099</v>
      </c>
      <c r="AK283">
        <v>0.89440507422379301</v>
      </c>
      <c r="AL283">
        <v>2.9372673609623501</v>
      </c>
      <c r="AM283">
        <v>1.0173639813109201</v>
      </c>
      <c r="AN283">
        <v>6.5491407083400199</v>
      </c>
      <c r="AO283">
        <v>2.2569581198970901</v>
      </c>
      <c r="AP283">
        <v>2.2569581198970901</v>
      </c>
      <c r="AQ283">
        <v>0</v>
      </c>
      <c r="AR283">
        <v>0</v>
      </c>
      <c r="AS283">
        <v>0</v>
      </c>
      <c r="AT283">
        <v>1</v>
      </c>
      <c r="AU283">
        <v>0</v>
      </c>
      <c r="AV283">
        <v>0</v>
      </c>
      <c r="AW283">
        <v>0</v>
      </c>
      <c r="AX283">
        <v>0</v>
      </c>
      <c r="AY283">
        <v>15.3</v>
      </c>
      <c r="AZ283">
        <v>9.8000000000000007</v>
      </c>
      <c r="BA283">
        <v>29.7</v>
      </c>
      <c r="BB283">
        <v>564</v>
      </c>
      <c r="BC283">
        <v>68</v>
      </c>
      <c r="BD283">
        <v>1.8</v>
      </c>
      <c r="BE283">
        <v>43</v>
      </c>
      <c r="BF283">
        <v>25.4</v>
      </c>
      <c r="BG283">
        <v>162</v>
      </c>
      <c r="BH283">
        <v>9.1</v>
      </c>
      <c r="BI283">
        <v>9.1999999999999993</v>
      </c>
      <c r="BJ283">
        <v>18.3</v>
      </c>
      <c r="BK283">
        <v>0.34</v>
      </c>
      <c r="BL283">
        <v>7.3</v>
      </c>
      <c r="BM283">
        <v>0.9</v>
      </c>
      <c r="BN283">
        <v>7.5</v>
      </c>
      <c r="BO283">
        <v>2.9</v>
      </c>
      <c r="BP283">
        <f t="shared" si="8"/>
        <v>8.1587147012147003</v>
      </c>
      <c r="BQ283">
        <f t="shared" si="9"/>
        <v>27.174427983008115</v>
      </c>
    </row>
    <row r="284" spans="1:69" hidden="1" x14ac:dyDescent="0.2">
      <c r="A284" t="s">
        <v>2373</v>
      </c>
      <c r="B284" t="s">
        <v>68</v>
      </c>
      <c r="C284" t="s">
        <v>1956</v>
      </c>
      <c r="D284" t="s">
        <v>70</v>
      </c>
      <c r="E284" t="s">
        <v>709</v>
      </c>
      <c r="F284">
        <v>4</v>
      </c>
      <c r="G284">
        <v>131.07</v>
      </c>
      <c r="H284">
        <v>5</v>
      </c>
      <c r="I284">
        <v>4</v>
      </c>
      <c r="J284">
        <v>2</v>
      </c>
      <c r="K284" t="s">
        <v>110</v>
      </c>
      <c r="L284" t="s">
        <v>162</v>
      </c>
      <c r="M284" s="4">
        <v>1100000000</v>
      </c>
      <c r="N284">
        <v>0</v>
      </c>
      <c r="O284">
        <v>4.7538020000000003</v>
      </c>
      <c r="P284">
        <v>-74.049519000000004</v>
      </c>
      <c r="Q284" t="s">
        <v>2374</v>
      </c>
      <c r="R284">
        <v>8392462.0429999996</v>
      </c>
      <c r="S284">
        <v>0</v>
      </c>
      <c r="T284" t="s">
        <v>117</v>
      </c>
      <c r="U284" t="s">
        <v>118</v>
      </c>
      <c r="V284" t="s">
        <v>77</v>
      </c>
      <c r="W284" t="s">
        <v>119</v>
      </c>
      <c r="X284" t="s">
        <v>120</v>
      </c>
      <c r="Y284">
        <v>2.8840494870062399</v>
      </c>
      <c r="Z284">
        <v>2884.0494870062398</v>
      </c>
      <c r="AA284">
        <v>4.73719444444444</v>
      </c>
      <c r="AB284">
        <v>-74.069472222222203</v>
      </c>
      <c r="AC284">
        <v>2555</v>
      </c>
      <c r="AD284">
        <v>0</v>
      </c>
      <c r="AE284" t="s">
        <v>80</v>
      </c>
      <c r="AF284" t="s">
        <v>107</v>
      </c>
      <c r="AG284" t="s">
        <v>82</v>
      </c>
      <c r="AH284" t="s">
        <v>83</v>
      </c>
      <c r="AI284" t="s">
        <v>121</v>
      </c>
      <c r="AJ284">
        <v>0.39573480855691201</v>
      </c>
      <c r="AK284">
        <v>3.0721470382851699</v>
      </c>
      <c r="AL284">
        <v>0.44400244657048499</v>
      </c>
      <c r="AM284">
        <v>0.29529307752442802</v>
      </c>
      <c r="AN284">
        <v>2.8669956202682401</v>
      </c>
      <c r="AO284">
        <v>8.0241027589089305E-3</v>
      </c>
      <c r="AP284">
        <v>8.0241027589089305E-3</v>
      </c>
      <c r="AQ284">
        <v>1</v>
      </c>
      <c r="AR284">
        <v>2</v>
      </c>
      <c r="AS284">
        <v>0</v>
      </c>
      <c r="AT284">
        <v>0</v>
      </c>
      <c r="AU284">
        <v>1</v>
      </c>
      <c r="AV284">
        <v>20</v>
      </c>
      <c r="AW284">
        <v>0</v>
      </c>
      <c r="AX284">
        <v>0</v>
      </c>
      <c r="AY284">
        <v>15.3</v>
      </c>
      <c r="AZ284">
        <v>9.8000000000000007</v>
      </c>
      <c r="BA284">
        <v>29.7</v>
      </c>
      <c r="BB284">
        <v>564</v>
      </c>
      <c r="BC284">
        <v>68</v>
      </c>
      <c r="BD284">
        <v>1.8</v>
      </c>
      <c r="BE284">
        <v>43</v>
      </c>
      <c r="BF284">
        <v>25.4</v>
      </c>
      <c r="BG284">
        <v>162</v>
      </c>
      <c r="BH284">
        <v>9.1</v>
      </c>
      <c r="BI284">
        <v>9.1999999999999993</v>
      </c>
      <c r="BJ284">
        <v>18.3</v>
      </c>
      <c r="BK284">
        <v>0.34</v>
      </c>
      <c r="BL284">
        <v>7.3</v>
      </c>
      <c r="BM284">
        <v>0.9</v>
      </c>
      <c r="BN284">
        <v>7.5</v>
      </c>
      <c r="BO284">
        <v>2.9</v>
      </c>
      <c r="BP284">
        <f t="shared" si="8"/>
        <v>8.4962249054366481</v>
      </c>
      <c r="BQ284">
        <f t="shared" si="9"/>
        <v>27.713782652254764</v>
      </c>
    </row>
    <row r="285" spans="1:69" hidden="1" x14ac:dyDescent="0.2">
      <c r="A285" t="s">
        <v>1811</v>
      </c>
      <c r="B285" t="s">
        <v>68</v>
      </c>
      <c r="C285" t="s">
        <v>69</v>
      </c>
      <c r="D285" t="s">
        <v>70</v>
      </c>
      <c r="E285" t="s">
        <v>928</v>
      </c>
      <c r="F285">
        <v>4</v>
      </c>
      <c r="G285">
        <v>130</v>
      </c>
      <c r="H285">
        <v>3</v>
      </c>
      <c r="I285">
        <v>3</v>
      </c>
      <c r="J285">
        <v>2</v>
      </c>
      <c r="K285" t="s">
        <v>110</v>
      </c>
      <c r="L285" t="s">
        <v>124</v>
      </c>
      <c r="M285" s="4">
        <v>860000000</v>
      </c>
      <c r="N285">
        <v>0</v>
      </c>
      <c r="O285">
        <v>4.7333626750000004</v>
      </c>
      <c r="P285">
        <v>-74.057548519999997</v>
      </c>
      <c r="Q285" t="s">
        <v>1812</v>
      </c>
      <c r="R285">
        <v>6615384.6150000002</v>
      </c>
      <c r="S285">
        <v>0</v>
      </c>
      <c r="T285" t="s">
        <v>117</v>
      </c>
      <c r="U285" t="s">
        <v>118</v>
      </c>
      <c r="V285" t="s">
        <v>77</v>
      </c>
      <c r="W285" t="s">
        <v>119</v>
      </c>
      <c r="X285" t="s">
        <v>120</v>
      </c>
      <c r="Y285">
        <v>1.3898818263044199</v>
      </c>
      <c r="Z285">
        <v>1389.88182630442</v>
      </c>
      <c r="AA285">
        <v>4.73719444444444</v>
      </c>
      <c r="AB285">
        <v>-74.069472222222203</v>
      </c>
      <c r="AC285">
        <v>2555</v>
      </c>
      <c r="AD285">
        <v>0</v>
      </c>
      <c r="AE285" t="s">
        <v>80</v>
      </c>
      <c r="AF285" t="s">
        <v>107</v>
      </c>
      <c r="AG285" t="s">
        <v>82</v>
      </c>
      <c r="AH285" t="s">
        <v>83</v>
      </c>
      <c r="AI285" t="s">
        <v>121</v>
      </c>
      <c r="AJ285">
        <v>0.90028839110510195</v>
      </c>
      <c r="AK285">
        <v>3.9424973051666501</v>
      </c>
      <c r="AL285">
        <v>1.9494205697136699</v>
      </c>
      <c r="AM285">
        <v>0.14418727689283001</v>
      </c>
      <c r="AN285">
        <v>3.2041393366671098</v>
      </c>
      <c r="AO285">
        <v>6.8155433922309203E-2</v>
      </c>
      <c r="AP285">
        <v>6.8155433922309203E-2</v>
      </c>
      <c r="AQ285">
        <v>0</v>
      </c>
      <c r="AR285">
        <v>2</v>
      </c>
      <c r="AS285">
        <v>0</v>
      </c>
      <c r="AT285">
        <v>0</v>
      </c>
      <c r="AU285">
        <v>0</v>
      </c>
      <c r="AV285">
        <v>11</v>
      </c>
      <c r="AW285">
        <v>0</v>
      </c>
      <c r="AX285">
        <v>0</v>
      </c>
      <c r="AY285">
        <v>15.3</v>
      </c>
      <c r="AZ285">
        <v>9.8000000000000007</v>
      </c>
      <c r="BA285">
        <v>29.7</v>
      </c>
      <c r="BB285">
        <v>564</v>
      </c>
      <c r="BC285">
        <v>68</v>
      </c>
      <c r="BD285">
        <v>1.8</v>
      </c>
      <c r="BE285">
        <v>43</v>
      </c>
      <c r="BF285">
        <v>25.4</v>
      </c>
      <c r="BG285">
        <v>162</v>
      </c>
      <c r="BH285">
        <v>9.1</v>
      </c>
      <c r="BI285">
        <v>9.1999999999999993</v>
      </c>
      <c r="BJ285">
        <v>18.3</v>
      </c>
      <c r="BK285">
        <v>0.34</v>
      </c>
      <c r="BL285">
        <v>7.3</v>
      </c>
      <c r="BM285">
        <v>0.9</v>
      </c>
      <c r="BN285">
        <v>7.5</v>
      </c>
      <c r="BO285">
        <v>2.9</v>
      </c>
      <c r="BP285">
        <f t="shared" si="8"/>
        <v>9.1484387404948855</v>
      </c>
      <c r="BQ285">
        <f t="shared" si="9"/>
        <v>28.725633630004985</v>
      </c>
    </row>
    <row r="286" spans="1:69" hidden="1" x14ac:dyDescent="0.2">
      <c r="A286" t="s">
        <v>1826</v>
      </c>
      <c r="B286" t="s">
        <v>68</v>
      </c>
      <c r="C286" t="s">
        <v>69</v>
      </c>
      <c r="D286" t="s">
        <v>70</v>
      </c>
      <c r="E286" t="s">
        <v>455</v>
      </c>
      <c r="F286">
        <v>6</v>
      </c>
      <c r="G286">
        <v>129</v>
      </c>
      <c r="H286">
        <v>3</v>
      </c>
      <c r="I286">
        <v>4</v>
      </c>
      <c r="J286">
        <v>2</v>
      </c>
      <c r="K286" t="s">
        <v>110</v>
      </c>
      <c r="L286" t="s">
        <v>133</v>
      </c>
      <c r="M286" s="4">
        <v>1100000000</v>
      </c>
      <c r="N286">
        <v>0</v>
      </c>
      <c r="O286">
        <v>4.758545399</v>
      </c>
      <c r="P286">
        <v>-74.06780243</v>
      </c>
      <c r="Q286" t="s">
        <v>1827</v>
      </c>
      <c r="R286">
        <v>8527131.7829999998</v>
      </c>
      <c r="S286">
        <v>0</v>
      </c>
      <c r="T286" t="s">
        <v>117</v>
      </c>
      <c r="U286" t="s">
        <v>118</v>
      </c>
      <c r="V286" t="s">
        <v>77</v>
      </c>
      <c r="W286" t="s">
        <v>119</v>
      </c>
      <c r="X286" t="s">
        <v>120</v>
      </c>
      <c r="Y286">
        <v>2.3839852290960599</v>
      </c>
      <c r="Z286">
        <v>2383.9852290960598</v>
      </c>
      <c r="AA286">
        <v>4.73719444444444</v>
      </c>
      <c r="AB286">
        <v>-74.069472222222203</v>
      </c>
      <c r="AC286">
        <v>2555</v>
      </c>
      <c r="AD286">
        <v>0</v>
      </c>
      <c r="AE286" t="s">
        <v>80</v>
      </c>
      <c r="AF286" t="s">
        <v>107</v>
      </c>
      <c r="AG286" t="s">
        <v>82</v>
      </c>
      <c r="AH286" t="s">
        <v>83</v>
      </c>
      <c r="AI286" t="s">
        <v>121</v>
      </c>
      <c r="AJ286">
        <v>2.4508982940199902</v>
      </c>
      <c r="AK286">
        <v>4.2259144479716904</v>
      </c>
      <c r="AL286">
        <v>1.68529180641223</v>
      </c>
      <c r="AM286">
        <v>0.51894568896390103</v>
      </c>
      <c r="AN286">
        <v>2.7115949257172498</v>
      </c>
      <c r="AO286">
        <v>0.28318885718171699</v>
      </c>
      <c r="AP286">
        <v>0.28318885718171699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14</v>
      </c>
      <c r="AW286">
        <v>0</v>
      </c>
      <c r="AX286">
        <v>1</v>
      </c>
      <c r="AY286">
        <v>15.3</v>
      </c>
      <c r="AZ286">
        <v>9.8000000000000007</v>
      </c>
      <c r="BA286">
        <v>29.7</v>
      </c>
      <c r="BB286">
        <v>564</v>
      </c>
      <c r="BC286">
        <v>68</v>
      </c>
      <c r="BD286">
        <v>1.8</v>
      </c>
      <c r="BE286">
        <v>43</v>
      </c>
      <c r="BF286">
        <v>25.4</v>
      </c>
      <c r="BG286">
        <v>162</v>
      </c>
      <c r="BH286">
        <v>9.1</v>
      </c>
      <c r="BI286">
        <v>9.1999999999999993</v>
      </c>
      <c r="BJ286">
        <v>18.3</v>
      </c>
      <c r="BK286">
        <v>0.34</v>
      </c>
      <c r="BL286">
        <v>7.3</v>
      </c>
      <c r="BM286">
        <v>0.9</v>
      </c>
      <c r="BN286">
        <v>7.5</v>
      </c>
      <c r="BO286">
        <v>2.9</v>
      </c>
      <c r="BP286">
        <f t="shared" si="8"/>
        <v>8.7091580099148409</v>
      </c>
      <c r="BQ286">
        <f t="shared" si="9"/>
        <v>28.048394697920578</v>
      </c>
    </row>
    <row r="287" spans="1:69" hidden="1" x14ac:dyDescent="0.2">
      <c r="A287" t="s">
        <v>1771</v>
      </c>
      <c r="B287" t="s">
        <v>68</v>
      </c>
      <c r="C287" t="s">
        <v>69</v>
      </c>
      <c r="D287" t="s">
        <v>70</v>
      </c>
      <c r="E287" t="s">
        <v>349</v>
      </c>
      <c r="F287">
        <v>6</v>
      </c>
      <c r="G287">
        <v>128</v>
      </c>
      <c r="H287">
        <v>2</v>
      </c>
      <c r="I287">
        <v>3</v>
      </c>
      <c r="J287">
        <v>2</v>
      </c>
      <c r="K287" t="s">
        <v>110</v>
      </c>
      <c r="L287" t="s">
        <v>111</v>
      </c>
      <c r="M287" s="4">
        <v>1901000000</v>
      </c>
      <c r="N287">
        <v>0</v>
      </c>
      <c r="O287">
        <v>4.7277239</v>
      </c>
      <c r="P287">
        <v>-74.084555600000002</v>
      </c>
      <c r="Q287" t="s">
        <v>1772</v>
      </c>
      <c r="R287">
        <v>14851562.5</v>
      </c>
      <c r="S287">
        <v>0</v>
      </c>
      <c r="T287" t="s">
        <v>117</v>
      </c>
      <c r="U287" t="s">
        <v>118</v>
      </c>
      <c r="V287" t="s">
        <v>77</v>
      </c>
      <c r="W287" t="s">
        <v>119</v>
      </c>
      <c r="X287" t="s">
        <v>120</v>
      </c>
      <c r="Y287">
        <v>1.9777651876747699</v>
      </c>
      <c r="Z287">
        <v>1977.76518767477</v>
      </c>
      <c r="AA287">
        <v>4.73719444444444</v>
      </c>
      <c r="AB287">
        <v>-74.069472222222203</v>
      </c>
      <c r="AC287">
        <v>2555</v>
      </c>
      <c r="AD287">
        <v>0</v>
      </c>
      <c r="AE287" t="s">
        <v>80</v>
      </c>
      <c r="AF287" t="s">
        <v>107</v>
      </c>
      <c r="AG287" t="s">
        <v>82</v>
      </c>
      <c r="AH287" t="s">
        <v>83</v>
      </c>
      <c r="AI287" t="s">
        <v>121</v>
      </c>
      <c r="AJ287">
        <v>0.94690781154231096</v>
      </c>
      <c r="AK287">
        <v>4.47838592977355</v>
      </c>
      <c r="AL287">
        <v>1.88834715713707</v>
      </c>
      <c r="AM287">
        <v>0.53370552681580896</v>
      </c>
      <c r="AN287">
        <v>1.5152375426895099</v>
      </c>
      <c r="AO287">
        <v>3.2425144061989798E-2</v>
      </c>
      <c r="AP287">
        <v>3.2425144061989798E-2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5</v>
      </c>
      <c r="AW287">
        <v>0</v>
      </c>
      <c r="AX287">
        <v>0</v>
      </c>
      <c r="AY287">
        <v>15.3</v>
      </c>
      <c r="AZ287">
        <v>9.8000000000000007</v>
      </c>
      <c r="BA287">
        <v>29.7</v>
      </c>
      <c r="BB287">
        <v>564</v>
      </c>
      <c r="BC287">
        <v>68</v>
      </c>
      <c r="BD287">
        <v>1.8</v>
      </c>
      <c r="BE287">
        <v>43</v>
      </c>
      <c r="BF287">
        <v>25.4</v>
      </c>
      <c r="BG287">
        <v>162</v>
      </c>
      <c r="BH287">
        <v>9.1</v>
      </c>
      <c r="BI287">
        <v>9.1999999999999993</v>
      </c>
      <c r="BJ287">
        <v>18.3</v>
      </c>
      <c r="BK287">
        <v>0.34</v>
      </c>
      <c r="BL287">
        <v>7.3</v>
      </c>
      <c r="BM287">
        <v>0.9</v>
      </c>
      <c r="BN287">
        <v>7.5</v>
      </c>
      <c r="BO287">
        <v>2.9</v>
      </c>
      <c r="BP287">
        <f t="shared" si="8"/>
        <v>8.8860533550178467</v>
      </c>
      <c r="BQ287">
        <f t="shared" si="9"/>
        <v>28.323183700344064</v>
      </c>
    </row>
    <row r="288" spans="1:69" hidden="1" x14ac:dyDescent="0.2">
      <c r="A288" t="s">
        <v>961</v>
      </c>
      <c r="B288" t="s">
        <v>68</v>
      </c>
      <c r="C288" t="s">
        <v>69</v>
      </c>
      <c r="D288" t="s">
        <v>70</v>
      </c>
      <c r="E288" t="s">
        <v>181</v>
      </c>
      <c r="F288">
        <v>5</v>
      </c>
      <c r="G288">
        <v>127.35</v>
      </c>
      <c r="H288">
        <v>3</v>
      </c>
      <c r="I288">
        <v>3</v>
      </c>
      <c r="J288">
        <v>2</v>
      </c>
      <c r="K288" t="s">
        <v>110</v>
      </c>
      <c r="L288" t="s">
        <v>124</v>
      </c>
      <c r="M288" s="4">
        <v>850000000</v>
      </c>
      <c r="N288">
        <v>0</v>
      </c>
      <c r="O288">
        <v>4.7302350000000004</v>
      </c>
      <c r="P288">
        <v>-74.074020000000004</v>
      </c>
      <c r="Q288" t="s">
        <v>962</v>
      </c>
      <c r="R288">
        <v>6674519.0420000004</v>
      </c>
      <c r="S288">
        <v>0</v>
      </c>
      <c r="T288" t="s">
        <v>117</v>
      </c>
      <c r="U288" t="s">
        <v>118</v>
      </c>
      <c r="V288" t="s">
        <v>77</v>
      </c>
      <c r="W288" t="s">
        <v>119</v>
      </c>
      <c r="X288" t="s">
        <v>120</v>
      </c>
      <c r="Y288">
        <v>0.92452358922385203</v>
      </c>
      <c r="Z288">
        <v>924.52358922385201</v>
      </c>
      <c r="AA288">
        <v>4.73719444444444</v>
      </c>
      <c r="AB288">
        <v>-74.069472222222203</v>
      </c>
      <c r="AC288">
        <v>2555</v>
      </c>
      <c r="AD288">
        <v>0</v>
      </c>
      <c r="AE288" t="s">
        <v>80</v>
      </c>
      <c r="AF288" t="s">
        <v>107</v>
      </c>
      <c r="AG288" t="s">
        <v>82</v>
      </c>
      <c r="AH288" t="s">
        <v>83</v>
      </c>
      <c r="AI288" t="s">
        <v>121</v>
      </c>
      <c r="AJ288">
        <v>0.31687791187023501</v>
      </c>
      <c r="AK288">
        <v>5.6079887028299797</v>
      </c>
      <c r="AL288">
        <v>1.5069240924743701</v>
      </c>
      <c r="AM288">
        <v>0.65418283956752699</v>
      </c>
      <c r="AN288">
        <v>1.7588290046753099</v>
      </c>
      <c r="AO288">
        <v>0.175134836989566</v>
      </c>
      <c r="AP288">
        <v>0.175134836989566</v>
      </c>
      <c r="AQ288">
        <v>1</v>
      </c>
      <c r="AR288">
        <v>3</v>
      </c>
      <c r="AS288">
        <v>0</v>
      </c>
      <c r="AT288">
        <v>0</v>
      </c>
      <c r="AU288">
        <v>0</v>
      </c>
      <c r="AV288">
        <v>9</v>
      </c>
      <c r="AW288">
        <v>0</v>
      </c>
      <c r="AX288">
        <v>0</v>
      </c>
      <c r="AY288">
        <v>15.3</v>
      </c>
      <c r="AZ288">
        <v>9.8000000000000007</v>
      </c>
      <c r="BA288">
        <v>29.7</v>
      </c>
      <c r="BB288">
        <v>564</v>
      </c>
      <c r="BC288">
        <v>68</v>
      </c>
      <c r="BD288">
        <v>1.8</v>
      </c>
      <c r="BE288">
        <v>43</v>
      </c>
      <c r="BF288">
        <v>25.4</v>
      </c>
      <c r="BG288">
        <v>162</v>
      </c>
      <c r="BH288">
        <v>9.1</v>
      </c>
      <c r="BI288">
        <v>9.1999999999999993</v>
      </c>
      <c r="BJ288">
        <v>18.3</v>
      </c>
      <c r="BK288">
        <v>0.34</v>
      </c>
      <c r="BL288">
        <v>7.3</v>
      </c>
      <c r="BM288">
        <v>0.9</v>
      </c>
      <c r="BN288">
        <v>7.5</v>
      </c>
      <c r="BO288">
        <v>2.9</v>
      </c>
      <c r="BP288">
        <f t="shared" si="8"/>
        <v>9.3616210819547891</v>
      </c>
      <c r="BQ288">
        <f t="shared" si="9"/>
        <v>29.048256946825227</v>
      </c>
    </row>
    <row r="289" spans="1:69" hidden="1" x14ac:dyDescent="0.2">
      <c r="A289" t="s">
        <v>2892</v>
      </c>
      <c r="B289" t="s">
        <v>68</v>
      </c>
      <c r="C289" t="s">
        <v>1956</v>
      </c>
      <c r="D289" t="s">
        <v>70</v>
      </c>
      <c r="E289" t="s">
        <v>2893</v>
      </c>
      <c r="F289">
        <v>4</v>
      </c>
      <c r="G289">
        <v>126</v>
      </c>
      <c r="H289">
        <v>3</v>
      </c>
      <c r="I289">
        <v>3</v>
      </c>
      <c r="J289">
        <v>2</v>
      </c>
      <c r="K289" t="s">
        <v>110</v>
      </c>
      <c r="L289" t="s">
        <v>124</v>
      </c>
      <c r="M289" s="4">
        <v>740000000</v>
      </c>
      <c r="N289">
        <v>0</v>
      </c>
      <c r="O289">
        <v>4.7553782</v>
      </c>
      <c r="P289">
        <v>-74.039280000000005</v>
      </c>
      <c r="Q289" t="s">
        <v>2894</v>
      </c>
      <c r="R289">
        <v>5873015.8729999997</v>
      </c>
      <c r="S289">
        <v>0</v>
      </c>
      <c r="T289" t="s">
        <v>151</v>
      </c>
      <c r="U289" t="s">
        <v>152</v>
      </c>
      <c r="V289" t="s">
        <v>77</v>
      </c>
      <c r="W289" t="s">
        <v>119</v>
      </c>
      <c r="X289" t="s">
        <v>153</v>
      </c>
      <c r="Y289">
        <v>3.20399968899443</v>
      </c>
      <c r="Z289">
        <v>3203.99968899443</v>
      </c>
      <c r="AA289">
        <v>4.7837500000000004</v>
      </c>
      <c r="AB289">
        <v>-74.044138888888895</v>
      </c>
      <c r="AC289">
        <v>2580</v>
      </c>
      <c r="AD289">
        <v>0</v>
      </c>
      <c r="AE289" t="s">
        <v>154</v>
      </c>
      <c r="AF289" t="s">
        <v>107</v>
      </c>
      <c r="AG289" t="s">
        <v>82</v>
      </c>
      <c r="AH289" t="s">
        <v>83</v>
      </c>
      <c r="AI289" t="s">
        <v>108</v>
      </c>
      <c r="AJ289">
        <v>0.75461765120985502</v>
      </c>
      <c r="AK289">
        <v>1.92476959218035</v>
      </c>
      <c r="AL289">
        <v>1.0802341572441301</v>
      </c>
      <c r="AM289">
        <v>0.72162514258433896</v>
      </c>
      <c r="AN289">
        <v>2.0676014003045</v>
      </c>
      <c r="AO289">
        <v>9.6967541510963803E-3</v>
      </c>
      <c r="AP289">
        <v>9.6967541510963803E-3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9</v>
      </c>
      <c r="AW289">
        <v>0</v>
      </c>
      <c r="AX289">
        <v>0</v>
      </c>
      <c r="AY289">
        <v>15.3</v>
      </c>
      <c r="AZ289">
        <v>9.8000000000000007</v>
      </c>
      <c r="BA289">
        <v>29.7</v>
      </c>
      <c r="BB289">
        <v>564</v>
      </c>
      <c r="BC289">
        <v>68</v>
      </c>
      <c r="BD289">
        <v>1.8</v>
      </c>
      <c r="BE289">
        <v>43</v>
      </c>
      <c r="BF289">
        <v>25.4</v>
      </c>
      <c r="BG289">
        <v>162</v>
      </c>
      <c r="BH289">
        <v>9.1</v>
      </c>
      <c r="BI289">
        <v>9.1999999999999993</v>
      </c>
      <c r="BJ289">
        <v>18.3</v>
      </c>
      <c r="BK289">
        <v>0.34</v>
      </c>
      <c r="BL289">
        <v>7.3</v>
      </c>
      <c r="BM289">
        <v>0.9</v>
      </c>
      <c r="BN289">
        <v>7.5</v>
      </c>
      <c r="BO289">
        <v>2.9</v>
      </c>
      <c r="BP289">
        <f t="shared" si="8"/>
        <v>8.3627255866394439</v>
      </c>
      <c r="BQ289">
        <f t="shared" si="9"/>
        <v>27.50178889468912</v>
      </c>
    </row>
    <row r="290" spans="1:69" hidden="1" x14ac:dyDescent="0.2">
      <c r="A290" t="s">
        <v>312</v>
      </c>
      <c r="B290" t="s">
        <v>68</v>
      </c>
      <c r="C290" t="s">
        <v>69</v>
      </c>
      <c r="D290" t="s">
        <v>70</v>
      </c>
      <c r="E290" t="s">
        <v>313</v>
      </c>
      <c r="F290">
        <v>5</v>
      </c>
      <c r="G290">
        <v>124.26</v>
      </c>
      <c r="H290">
        <v>3</v>
      </c>
      <c r="I290">
        <v>2</v>
      </c>
      <c r="J290">
        <v>2</v>
      </c>
      <c r="K290" t="s">
        <v>110</v>
      </c>
      <c r="L290" t="s">
        <v>115</v>
      </c>
      <c r="M290" s="4">
        <v>979000000</v>
      </c>
      <c r="N290">
        <v>0</v>
      </c>
      <c r="O290">
        <v>4.7087545000000004</v>
      </c>
      <c r="P290">
        <v>-74.061580000000006</v>
      </c>
      <c r="Q290" t="s">
        <v>314</v>
      </c>
      <c r="R290">
        <v>7878641.5580000002</v>
      </c>
      <c r="S290">
        <v>0</v>
      </c>
      <c r="T290" t="s">
        <v>117</v>
      </c>
      <c r="U290" t="s">
        <v>118</v>
      </c>
      <c r="V290" t="s">
        <v>77</v>
      </c>
      <c r="W290" t="s">
        <v>119</v>
      </c>
      <c r="X290" t="s">
        <v>120</v>
      </c>
      <c r="Y290">
        <v>3.2847651070139801</v>
      </c>
      <c r="Z290">
        <v>3284.76510701398</v>
      </c>
      <c r="AA290">
        <v>4.73719444444444</v>
      </c>
      <c r="AB290">
        <v>-74.069472222222203</v>
      </c>
      <c r="AC290">
        <v>2555</v>
      </c>
      <c r="AD290">
        <v>0</v>
      </c>
      <c r="AE290" t="s">
        <v>80</v>
      </c>
      <c r="AF290" t="s">
        <v>107</v>
      </c>
      <c r="AG290" t="s">
        <v>82</v>
      </c>
      <c r="AH290" t="s">
        <v>83</v>
      </c>
      <c r="AI290" t="s">
        <v>121</v>
      </c>
      <c r="AJ290">
        <v>0.93370155079594497</v>
      </c>
      <c r="AK290">
        <v>4.0480285963913998</v>
      </c>
      <c r="AL290">
        <v>1.41076514250314</v>
      </c>
      <c r="AM290">
        <v>0.38594662798155899</v>
      </c>
      <c r="AN290">
        <v>4.4665450876381998</v>
      </c>
      <c r="AO290">
        <v>0.15188518175218799</v>
      </c>
      <c r="AP290">
        <v>0.15188518175218799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20</v>
      </c>
      <c r="AW290">
        <v>0</v>
      </c>
      <c r="AX290">
        <v>0</v>
      </c>
      <c r="AY290">
        <v>15.3</v>
      </c>
      <c r="AZ290">
        <v>9.8000000000000007</v>
      </c>
      <c r="BA290">
        <v>29.7</v>
      </c>
      <c r="BB290">
        <v>564</v>
      </c>
      <c r="BC290">
        <v>68</v>
      </c>
      <c r="BD290">
        <v>1.8</v>
      </c>
      <c r="BE290">
        <v>43</v>
      </c>
      <c r="BF290">
        <v>25.4</v>
      </c>
      <c r="BG290">
        <v>162</v>
      </c>
      <c r="BH290">
        <v>9.1</v>
      </c>
      <c r="BI290">
        <v>9.1999999999999993</v>
      </c>
      <c r="BJ290">
        <v>18.3</v>
      </c>
      <c r="BK290">
        <v>0.34</v>
      </c>
      <c r="BL290">
        <v>7.3</v>
      </c>
      <c r="BM290">
        <v>0.9</v>
      </c>
      <c r="BN290">
        <v>7.5</v>
      </c>
      <c r="BO290">
        <v>2.9</v>
      </c>
      <c r="BP290">
        <f t="shared" si="8"/>
        <v>8.3293590869731542</v>
      </c>
      <c r="BQ290">
        <f t="shared" si="9"/>
        <v>27.448531883828416</v>
      </c>
    </row>
    <row r="291" spans="1:69" hidden="1" x14ac:dyDescent="0.2">
      <c r="A291" t="s">
        <v>726</v>
      </c>
      <c r="B291" t="s">
        <v>68</v>
      </c>
      <c r="C291" t="s">
        <v>69</v>
      </c>
      <c r="D291" t="s">
        <v>70</v>
      </c>
      <c r="E291" t="s">
        <v>174</v>
      </c>
      <c r="F291">
        <v>5</v>
      </c>
      <c r="G291">
        <v>123</v>
      </c>
      <c r="H291">
        <v>3</v>
      </c>
      <c r="I291">
        <v>2</v>
      </c>
      <c r="J291">
        <v>1</v>
      </c>
      <c r="K291" t="s">
        <v>110</v>
      </c>
      <c r="L291" t="s">
        <v>162</v>
      </c>
      <c r="M291" s="4">
        <v>688000000</v>
      </c>
      <c r="N291">
        <v>0</v>
      </c>
      <c r="O291">
        <v>4.7366365740000003</v>
      </c>
      <c r="P291">
        <v>-74.06294604</v>
      </c>
      <c r="Q291" t="s">
        <v>727</v>
      </c>
      <c r="R291">
        <v>5593495.9349999996</v>
      </c>
      <c r="S291">
        <v>0</v>
      </c>
      <c r="T291" t="s">
        <v>117</v>
      </c>
      <c r="U291" t="s">
        <v>118</v>
      </c>
      <c r="V291" t="s">
        <v>77</v>
      </c>
      <c r="W291" t="s">
        <v>119</v>
      </c>
      <c r="X291" t="s">
        <v>120</v>
      </c>
      <c r="Y291">
        <v>0.72666837724334199</v>
      </c>
      <c r="Z291">
        <v>726.66837724334198</v>
      </c>
      <c r="AA291">
        <v>4.73719444444444</v>
      </c>
      <c r="AB291">
        <v>-74.069472222222203</v>
      </c>
      <c r="AC291">
        <v>2555</v>
      </c>
      <c r="AD291">
        <v>0</v>
      </c>
      <c r="AE291" t="s">
        <v>80</v>
      </c>
      <c r="AF291" t="s">
        <v>107</v>
      </c>
      <c r="AG291" t="s">
        <v>82</v>
      </c>
      <c r="AH291" t="s">
        <v>83</v>
      </c>
      <c r="AI291" t="s">
        <v>121</v>
      </c>
      <c r="AJ291">
        <v>1.5378889518502901</v>
      </c>
      <c r="AK291">
        <v>4.5612277069475198</v>
      </c>
      <c r="AL291">
        <v>2.12582399737378</v>
      </c>
      <c r="AM291">
        <v>0.28578575698073699</v>
      </c>
      <c r="AN291">
        <v>2.53526376833008</v>
      </c>
      <c r="AO291">
        <v>0.119637064584981</v>
      </c>
      <c r="AP291">
        <v>0.119637064584981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14</v>
      </c>
      <c r="AW291">
        <v>0</v>
      </c>
      <c r="AX291">
        <v>0</v>
      </c>
      <c r="AY291">
        <v>15.3</v>
      </c>
      <c r="AZ291">
        <v>9.8000000000000007</v>
      </c>
      <c r="BA291">
        <v>29.7</v>
      </c>
      <c r="BB291">
        <v>564</v>
      </c>
      <c r="BC291">
        <v>68</v>
      </c>
      <c r="BD291">
        <v>1.8</v>
      </c>
      <c r="BE291">
        <v>43</v>
      </c>
      <c r="BF291">
        <v>25.4</v>
      </c>
      <c r="BG291">
        <v>162</v>
      </c>
      <c r="BH291">
        <v>9.1</v>
      </c>
      <c r="BI291">
        <v>9.1999999999999993</v>
      </c>
      <c r="BJ291">
        <v>18.3</v>
      </c>
      <c r="BK291">
        <v>0.34</v>
      </c>
      <c r="BL291">
        <v>7.3</v>
      </c>
      <c r="BM291">
        <v>0.9</v>
      </c>
      <c r="BN291">
        <v>7.5</v>
      </c>
      <c r="BO291">
        <v>2.9</v>
      </c>
      <c r="BP291">
        <f t="shared" si="8"/>
        <v>9.4537576841517819</v>
      </c>
      <c r="BQ291">
        <f t="shared" si="9"/>
        <v>29.18652133985146</v>
      </c>
    </row>
    <row r="292" spans="1:69" hidden="1" x14ac:dyDescent="0.2">
      <c r="A292" t="s">
        <v>482</v>
      </c>
      <c r="B292" t="s">
        <v>68</v>
      </c>
      <c r="C292" t="s">
        <v>69</v>
      </c>
      <c r="D292" t="s">
        <v>70</v>
      </c>
      <c r="E292" t="s">
        <v>483</v>
      </c>
      <c r="F292">
        <v>5</v>
      </c>
      <c r="G292">
        <v>122</v>
      </c>
      <c r="H292">
        <v>3</v>
      </c>
      <c r="I292">
        <v>3</v>
      </c>
      <c r="J292">
        <v>2</v>
      </c>
      <c r="K292" t="s">
        <v>110</v>
      </c>
      <c r="L292" t="s">
        <v>133</v>
      </c>
      <c r="M292" s="4">
        <v>800000000</v>
      </c>
      <c r="N292">
        <v>0</v>
      </c>
      <c r="O292">
        <v>4.7226986999999996</v>
      </c>
      <c r="P292">
        <v>-74.072815000000006</v>
      </c>
      <c r="Q292" t="s">
        <v>484</v>
      </c>
      <c r="R292">
        <v>6557377.0489999996</v>
      </c>
      <c r="S292">
        <v>0</v>
      </c>
      <c r="T292" t="s">
        <v>117</v>
      </c>
      <c r="U292" t="s">
        <v>118</v>
      </c>
      <c r="V292" t="s">
        <v>77</v>
      </c>
      <c r="W292" t="s">
        <v>119</v>
      </c>
      <c r="X292" t="s">
        <v>120</v>
      </c>
      <c r="Y292">
        <v>1.6557246241246499</v>
      </c>
      <c r="Z292">
        <v>1655.7246241246501</v>
      </c>
      <c r="AA292">
        <v>4.73719444444444</v>
      </c>
      <c r="AB292">
        <v>-74.069472222222203</v>
      </c>
      <c r="AC292">
        <v>2555</v>
      </c>
      <c r="AD292">
        <v>0</v>
      </c>
      <c r="AE292" t="s">
        <v>80</v>
      </c>
      <c r="AF292" t="s">
        <v>107</v>
      </c>
      <c r="AG292" t="s">
        <v>82</v>
      </c>
      <c r="AH292" t="s">
        <v>83</v>
      </c>
      <c r="AI292" t="s">
        <v>121</v>
      </c>
      <c r="AJ292">
        <v>0.26315370591797699</v>
      </c>
      <c r="AK292">
        <v>5.4517811118957997</v>
      </c>
      <c r="AL292">
        <v>0.66450466731536095</v>
      </c>
      <c r="AM292">
        <v>0.27059765690104298</v>
      </c>
      <c r="AN292">
        <v>2.4894483488677599</v>
      </c>
      <c r="AO292">
        <v>0.30026091906902003</v>
      </c>
      <c r="AP292">
        <v>0.30026091906902003</v>
      </c>
      <c r="AQ292">
        <v>1</v>
      </c>
      <c r="AR292">
        <v>2</v>
      </c>
      <c r="AS292">
        <v>0</v>
      </c>
      <c r="AT292">
        <v>0</v>
      </c>
      <c r="AU292">
        <v>1</v>
      </c>
      <c r="AV292">
        <v>29</v>
      </c>
      <c r="AW292">
        <v>0</v>
      </c>
      <c r="AX292">
        <v>0</v>
      </c>
      <c r="AY292">
        <v>15.3</v>
      </c>
      <c r="AZ292">
        <v>9.8000000000000007</v>
      </c>
      <c r="BA292">
        <v>29.7</v>
      </c>
      <c r="BB292">
        <v>564</v>
      </c>
      <c r="BC292">
        <v>68</v>
      </c>
      <c r="BD292">
        <v>1.8</v>
      </c>
      <c r="BE292">
        <v>43</v>
      </c>
      <c r="BF292">
        <v>25.4</v>
      </c>
      <c r="BG292">
        <v>162</v>
      </c>
      <c r="BH292">
        <v>9.1</v>
      </c>
      <c r="BI292">
        <v>9.1999999999999993</v>
      </c>
      <c r="BJ292">
        <v>18.3</v>
      </c>
      <c r="BK292">
        <v>0.34</v>
      </c>
      <c r="BL292">
        <v>7.3</v>
      </c>
      <c r="BM292">
        <v>0.9</v>
      </c>
      <c r="BN292">
        <v>7.5</v>
      </c>
      <c r="BO292">
        <v>2.9</v>
      </c>
      <c r="BP292">
        <f t="shared" si="8"/>
        <v>9.0288410680381865</v>
      </c>
      <c r="BQ292">
        <f t="shared" si="9"/>
        <v>28.542940992490362</v>
      </c>
    </row>
    <row r="293" spans="1:69" hidden="1" x14ac:dyDescent="0.2">
      <c r="A293" t="s">
        <v>113</v>
      </c>
      <c r="B293" t="s">
        <v>68</v>
      </c>
      <c r="C293" t="s">
        <v>69</v>
      </c>
      <c r="D293" t="s">
        <v>70</v>
      </c>
      <c r="E293" t="s">
        <v>114</v>
      </c>
      <c r="F293">
        <v>5</v>
      </c>
      <c r="G293">
        <v>122</v>
      </c>
      <c r="H293">
        <v>3</v>
      </c>
      <c r="I293">
        <v>3</v>
      </c>
      <c r="J293">
        <v>2</v>
      </c>
      <c r="K293" t="s">
        <v>110</v>
      </c>
      <c r="L293" t="s">
        <v>115</v>
      </c>
      <c r="M293" s="4">
        <v>649000000</v>
      </c>
      <c r="N293">
        <v>0</v>
      </c>
      <c r="O293">
        <v>4.7118130000000003</v>
      </c>
      <c r="P293">
        <v>-74.078230000000005</v>
      </c>
      <c r="Q293" t="s">
        <v>116</v>
      </c>
      <c r="R293">
        <v>5319672.1310000001</v>
      </c>
      <c r="S293">
        <v>0</v>
      </c>
      <c r="T293" t="s">
        <v>117</v>
      </c>
      <c r="U293" t="s">
        <v>118</v>
      </c>
      <c r="V293" t="s">
        <v>77</v>
      </c>
      <c r="W293" t="s">
        <v>119</v>
      </c>
      <c r="X293" t="s">
        <v>120</v>
      </c>
      <c r="Y293">
        <v>2.9878368503072101</v>
      </c>
      <c r="Z293">
        <v>2987.8368503072102</v>
      </c>
      <c r="AA293">
        <v>4.73719444444444</v>
      </c>
      <c r="AB293">
        <v>-74.069472222222203</v>
      </c>
      <c r="AC293">
        <v>2555</v>
      </c>
      <c r="AD293">
        <v>0</v>
      </c>
      <c r="AE293" t="s">
        <v>80</v>
      </c>
      <c r="AF293" t="s">
        <v>107</v>
      </c>
      <c r="AG293" t="s">
        <v>82</v>
      </c>
      <c r="AH293" t="s">
        <v>83</v>
      </c>
      <c r="AI293" t="s">
        <v>121</v>
      </c>
      <c r="AJ293">
        <v>0.65702919784239999</v>
      </c>
      <c r="AK293">
        <v>5.4755671435270701</v>
      </c>
      <c r="AL293">
        <v>0.93849137178653297</v>
      </c>
      <c r="AM293">
        <v>0.16089636884286901</v>
      </c>
      <c r="AN293">
        <v>3.3641794823045301</v>
      </c>
      <c r="AO293">
        <v>0.27973505305721202</v>
      </c>
      <c r="AP293">
        <v>0.27973505305721202</v>
      </c>
      <c r="AQ293">
        <v>0</v>
      </c>
      <c r="AR293">
        <v>2</v>
      </c>
      <c r="AS293">
        <v>0</v>
      </c>
      <c r="AT293">
        <v>0</v>
      </c>
      <c r="AU293">
        <v>1</v>
      </c>
      <c r="AV293">
        <v>28</v>
      </c>
      <c r="AW293">
        <v>0</v>
      </c>
      <c r="AX293">
        <v>0</v>
      </c>
      <c r="AY293">
        <v>15.3</v>
      </c>
      <c r="AZ293">
        <v>9.8000000000000007</v>
      </c>
      <c r="BA293">
        <v>29.7</v>
      </c>
      <c r="BB293">
        <v>564</v>
      </c>
      <c r="BC293">
        <v>68</v>
      </c>
      <c r="BD293">
        <v>1.8</v>
      </c>
      <c r="BE293">
        <v>43</v>
      </c>
      <c r="BF293">
        <v>25.4</v>
      </c>
      <c r="BG293">
        <v>162</v>
      </c>
      <c r="BH293">
        <v>9.1</v>
      </c>
      <c r="BI293">
        <v>9.1999999999999993</v>
      </c>
      <c r="BJ293">
        <v>18.3</v>
      </c>
      <c r="BK293">
        <v>0.34</v>
      </c>
      <c r="BL293">
        <v>7.3</v>
      </c>
      <c r="BM293">
        <v>0.9</v>
      </c>
      <c r="BN293">
        <v>7.5</v>
      </c>
      <c r="BO293">
        <v>2.9</v>
      </c>
      <c r="BP293">
        <f t="shared" si="8"/>
        <v>8.4526876981841799</v>
      </c>
      <c r="BQ293">
        <f t="shared" si="9"/>
        <v>27.644836386630889</v>
      </c>
    </row>
    <row r="294" spans="1:69" hidden="1" x14ac:dyDescent="0.2">
      <c r="A294" t="s">
        <v>1994</v>
      </c>
      <c r="B294" t="s">
        <v>68</v>
      </c>
      <c r="C294" t="s">
        <v>1956</v>
      </c>
      <c r="D294" t="s">
        <v>70</v>
      </c>
      <c r="E294" t="s">
        <v>1995</v>
      </c>
      <c r="F294">
        <v>5</v>
      </c>
      <c r="G294">
        <v>120</v>
      </c>
      <c r="H294">
        <v>3</v>
      </c>
      <c r="I294">
        <v>3</v>
      </c>
      <c r="J294">
        <v>2</v>
      </c>
      <c r="K294" t="s">
        <v>110</v>
      </c>
      <c r="L294" t="s">
        <v>162</v>
      </c>
      <c r="M294" s="4">
        <v>690000000</v>
      </c>
      <c r="N294">
        <v>0</v>
      </c>
      <c r="O294">
        <v>4.7657509999999998</v>
      </c>
      <c r="P294">
        <v>-74.042626999999996</v>
      </c>
      <c r="Q294" t="s">
        <v>1996</v>
      </c>
      <c r="R294">
        <v>5750000</v>
      </c>
      <c r="S294">
        <v>0</v>
      </c>
      <c r="T294" t="s">
        <v>151</v>
      </c>
      <c r="U294" t="s">
        <v>152</v>
      </c>
      <c r="V294" t="s">
        <v>77</v>
      </c>
      <c r="W294" t="s">
        <v>119</v>
      </c>
      <c r="X294" t="s">
        <v>153</v>
      </c>
      <c r="Y294">
        <v>2.01064687198624</v>
      </c>
      <c r="Z294">
        <v>2010.6468719862401</v>
      </c>
      <c r="AA294">
        <v>4.7837500000000004</v>
      </c>
      <c r="AB294">
        <v>-74.044138888888895</v>
      </c>
      <c r="AC294">
        <v>2580</v>
      </c>
      <c r="AD294">
        <v>0</v>
      </c>
      <c r="AE294" t="s">
        <v>154</v>
      </c>
      <c r="AF294" t="s">
        <v>107</v>
      </c>
      <c r="AG294" t="s">
        <v>82</v>
      </c>
      <c r="AH294" t="s">
        <v>83</v>
      </c>
      <c r="AI294" t="s">
        <v>108</v>
      </c>
      <c r="AJ294">
        <v>0.334309392108667</v>
      </c>
      <c r="AK294">
        <v>2.1893938538477902</v>
      </c>
      <c r="AL294">
        <v>1.82303595677373</v>
      </c>
      <c r="AM294">
        <v>0.329897278531816</v>
      </c>
      <c r="AN294">
        <v>3.2040416020644802</v>
      </c>
      <c r="AO294">
        <v>0.23191970996751901</v>
      </c>
      <c r="AP294">
        <v>0.23191970996751901</v>
      </c>
      <c r="AQ294">
        <v>2</v>
      </c>
      <c r="AR294">
        <v>2</v>
      </c>
      <c r="AS294">
        <v>0</v>
      </c>
      <c r="AT294">
        <v>0</v>
      </c>
      <c r="AU294">
        <v>0</v>
      </c>
      <c r="AV294">
        <v>14</v>
      </c>
      <c r="AW294">
        <v>0</v>
      </c>
      <c r="AX294">
        <v>0</v>
      </c>
      <c r="AY294">
        <v>15.3</v>
      </c>
      <c r="AZ294">
        <v>9.8000000000000007</v>
      </c>
      <c r="BA294">
        <v>29.7</v>
      </c>
      <c r="BB294">
        <v>564</v>
      </c>
      <c r="BC294">
        <v>68</v>
      </c>
      <c r="BD294">
        <v>1.8</v>
      </c>
      <c r="BE294">
        <v>43</v>
      </c>
      <c r="BF294">
        <v>25.4</v>
      </c>
      <c r="BG294">
        <v>162</v>
      </c>
      <c r="BH294">
        <v>9.1</v>
      </c>
      <c r="BI294">
        <v>9.1999999999999993</v>
      </c>
      <c r="BJ294">
        <v>18.3</v>
      </c>
      <c r="BK294">
        <v>0.34</v>
      </c>
      <c r="BL294">
        <v>7.3</v>
      </c>
      <c r="BM294">
        <v>0.9</v>
      </c>
      <c r="BN294">
        <v>7.5</v>
      </c>
      <c r="BO294">
        <v>2.9</v>
      </c>
      <c r="BP294">
        <f t="shared" si="8"/>
        <v>8.8716017933434621</v>
      </c>
      <c r="BQ294">
        <f t="shared" si="9"/>
        <v>28.300840981855064</v>
      </c>
    </row>
    <row r="295" spans="1:69" hidden="1" x14ac:dyDescent="0.2">
      <c r="A295" t="s">
        <v>2443</v>
      </c>
      <c r="B295" t="s">
        <v>68</v>
      </c>
      <c r="C295" t="s">
        <v>1956</v>
      </c>
      <c r="D295" t="s">
        <v>70</v>
      </c>
      <c r="E295" t="s">
        <v>1306</v>
      </c>
      <c r="F295">
        <v>4</v>
      </c>
      <c r="G295">
        <v>120</v>
      </c>
      <c r="H295">
        <v>3</v>
      </c>
      <c r="I295">
        <v>4</v>
      </c>
      <c r="J295">
        <v>2</v>
      </c>
      <c r="K295" t="s">
        <v>110</v>
      </c>
      <c r="L295" t="s">
        <v>111</v>
      </c>
      <c r="M295" s="4">
        <v>650000000</v>
      </c>
      <c r="N295">
        <v>0</v>
      </c>
      <c r="O295">
        <v>4.7384851000000001</v>
      </c>
      <c r="P295">
        <v>-74.047470599999997</v>
      </c>
      <c r="Q295" t="s">
        <v>2444</v>
      </c>
      <c r="R295">
        <v>5416666.6670000004</v>
      </c>
      <c r="S295">
        <v>0</v>
      </c>
      <c r="T295" t="s">
        <v>117</v>
      </c>
      <c r="U295" t="s">
        <v>118</v>
      </c>
      <c r="V295" t="s">
        <v>77</v>
      </c>
      <c r="W295" t="s">
        <v>119</v>
      </c>
      <c r="X295" t="s">
        <v>120</v>
      </c>
      <c r="Y295">
        <v>2.4450654837747701</v>
      </c>
      <c r="Z295">
        <v>2445.0654837747702</v>
      </c>
      <c r="AA295">
        <v>4.73719444444444</v>
      </c>
      <c r="AB295">
        <v>-74.069472222222203</v>
      </c>
      <c r="AC295">
        <v>2555</v>
      </c>
      <c r="AD295">
        <v>0</v>
      </c>
      <c r="AE295" t="s">
        <v>80</v>
      </c>
      <c r="AF295" t="s">
        <v>107</v>
      </c>
      <c r="AG295" t="s">
        <v>82</v>
      </c>
      <c r="AH295" t="s">
        <v>83</v>
      </c>
      <c r="AI295" t="s">
        <v>108</v>
      </c>
      <c r="AJ295">
        <v>0.38360081334685597</v>
      </c>
      <c r="AK295">
        <v>2.8963954522628401</v>
      </c>
      <c r="AL295">
        <v>1.03646481615564</v>
      </c>
      <c r="AM295">
        <v>0.13790681483997999</v>
      </c>
      <c r="AN295">
        <v>2.3239101287656201</v>
      </c>
      <c r="AO295">
        <v>0.38109782824758198</v>
      </c>
      <c r="AP295">
        <v>0.38109782824758198</v>
      </c>
      <c r="AQ295">
        <v>2</v>
      </c>
      <c r="AR295">
        <v>4</v>
      </c>
      <c r="AS295">
        <v>0</v>
      </c>
      <c r="AT295">
        <v>0</v>
      </c>
      <c r="AU295">
        <v>0</v>
      </c>
      <c r="AV295">
        <v>33</v>
      </c>
      <c r="AW295">
        <v>0</v>
      </c>
      <c r="AX295">
        <v>0</v>
      </c>
      <c r="AY295">
        <v>15.3</v>
      </c>
      <c r="AZ295">
        <v>9.8000000000000007</v>
      </c>
      <c r="BA295">
        <v>29.7</v>
      </c>
      <c r="BB295">
        <v>564</v>
      </c>
      <c r="BC295">
        <v>68</v>
      </c>
      <c r="BD295">
        <v>1.8</v>
      </c>
      <c r="BE295">
        <v>43</v>
      </c>
      <c r="BF295">
        <v>25.4</v>
      </c>
      <c r="BG295">
        <v>162</v>
      </c>
      <c r="BH295">
        <v>9.1</v>
      </c>
      <c r="BI295">
        <v>9.1999999999999993</v>
      </c>
      <c r="BJ295">
        <v>18.3</v>
      </c>
      <c r="BK295">
        <v>0.34</v>
      </c>
      <c r="BL295">
        <v>7.3</v>
      </c>
      <c r="BM295">
        <v>0.9</v>
      </c>
      <c r="BN295">
        <v>7.5</v>
      </c>
      <c r="BO295">
        <v>2.9</v>
      </c>
      <c r="BP295">
        <f t="shared" si="8"/>
        <v>8.6828658760474831</v>
      </c>
      <c r="BQ295">
        <f t="shared" si="9"/>
        <v>28.007307946153993</v>
      </c>
    </row>
    <row r="296" spans="1:69" hidden="1" x14ac:dyDescent="0.2">
      <c r="A296" t="s">
        <v>1986</v>
      </c>
      <c r="B296" t="s">
        <v>68</v>
      </c>
      <c r="C296" t="s">
        <v>1956</v>
      </c>
      <c r="D296" t="s">
        <v>70</v>
      </c>
      <c r="E296" t="s">
        <v>1987</v>
      </c>
      <c r="F296">
        <v>5</v>
      </c>
      <c r="G296">
        <v>120</v>
      </c>
      <c r="H296">
        <v>3</v>
      </c>
      <c r="I296">
        <v>3</v>
      </c>
      <c r="J296">
        <v>2</v>
      </c>
      <c r="K296" t="s">
        <v>110</v>
      </c>
      <c r="L296" t="s">
        <v>162</v>
      </c>
      <c r="M296" s="4">
        <v>650000000</v>
      </c>
      <c r="N296">
        <v>0</v>
      </c>
      <c r="O296">
        <v>4.7639810000000002</v>
      </c>
      <c r="P296">
        <v>-74.043143999999998</v>
      </c>
      <c r="Q296" t="s">
        <v>1988</v>
      </c>
      <c r="R296">
        <v>5416666.6670000004</v>
      </c>
      <c r="S296">
        <v>0</v>
      </c>
      <c r="T296" t="s">
        <v>151</v>
      </c>
      <c r="U296" t="s">
        <v>152</v>
      </c>
      <c r="V296" t="s">
        <v>77</v>
      </c>
      <c r="W296" t="s">
        <v>119</v>
      </c>
      <c r="X296" t="s">
        <v>153</v>
      </c>
      <c r="Y296">
        <v>2.2034407729792602</v>
      </c>
      <c r="Z296">
        <v>2203.4407729792601</v>
      </c>
      <c r="AA296">
        <v>4.7837500000000004</v>
      </c>
      <c r="AB296">
        <v>-74.044138888888895</v>
      </c>
      <c r="AC296">
        <v>2580</v>
      </c>
      <c r="AD296">
        <v>0</v>
      </c>
      <c r="AE296" t="s">
        <v>154</v>
      </c>
      <c r="AF296" t="s">
        <v>107</v>
      </c>
      <c r="AG296" t="s">
        <v>82</v>
      </c>
      <c r="AH296" t="s">
        <v>83</v>
      </c>
      <c r="AI296" t="s">
        <v>108</v>
      </c>
      <c r="AJ296">
        <v>0.16073400268237301</v>
      </c>
      <c r="AK296">
        <v>2.2695528138910799</v>
      </c>
      <c r="AL296">
        <v>1.6406807316577201</v>
      </c>
      <c r="AM296">
        <v>0.38971855869560701</v>
      </c>
      <c r="AN296">
        <v>3.0761381571880499</v>
      </c>
      <c r="AO296">
        <v>0.108083728180966</v>
      </c>
      <c r="AP296">
        <v>0.108083728180966</v>
      </c>
      <c r="AQ296">
        <v>1</v>
      </c>
      <c r="AR296">
        <v>2</v>
      </c>
      <c r="AS296">
        <v>0</v>
      </c>
      <c r="AT296">
        <v>0</v>
      </c>
      <c r="AU296">
        <v>0</v>
      </c>
      <c r="AV296">
        <v>15</v>
      </c>
      <c r="AW296">
        <v>0</v>
      </c>
      <c r="AX296">
        <v>0</v>
      </c>
      <c r="AY296">
        <v>15.3</v>
      </c>
      <c r="AZ296">
        <v>9.8000000000000007</v>
      </c>
      <c r="BA296">
        <v>29.7</v>
      </c>
      <c r="BB296">
        <v>564</v>
      </c>
      <c r="BC296">
        <v>68</v>
      </c>
      <c r="BD296">
        <v>1.8</v>
      </c>
      <c r="BE296">
        <v>43</v>
      </c>
      <c r="BF296">
        <v>25.4</v>
      </c>
      <c r="BG296">
        <v>162</v>
      </c>
      <c r="BH296">
        <v>9.1</v>
      </c>
      <c r="BI296">
        <v>9.1999999999999993</v>
      </c>
      <c r="BJ296">
        <v>18.3</v>
      </c>
      <c r="BK296">
        <v>0.34</v>
      </c>
      <c r="BL296">
        <v>7.3</v>
      </c>
      <c r="BM296">
        <v>0.9</v>
      </c>
      <c r="BN296">
        <v>7.5</v>
      </c>
      <c r="BO296">
        <v>2.9</v>
      </c>
      <c r="BP296">
        <f t="shared" si="8"/>
        <v>8.7873401592652396</v>
      </c>
      <c r="BQ296">
        <f t="shared" si="9"/>
        <v>28.170193961508826</v>
      </c>
    </row>
    <row r="297" spans="1:69" hidden="1" x14ac:dyDescent="0.2">
      <c r="A297" t="s">
        <v>3153</v>
      </c>
      <c r="B297" t="s">
        <v>68</v>
      </c>
      <c r="C297" t="s">
        <v>1956</v>
      </c>
      <c r="D297" t="s">
        <v>70</v>
      </c>
      <c r="E297" t="s">
        <v>2505</v>
      </c>
      <c r="F297">
        <v>3</v>
      </c>
      <c r="G297">
        <v>120</v>
      </c>
      <c r="H297">
        <v>4</v>
      </c>
      <c r="I297">
        <v>2</v>
      </c>
      <c r="J297">
        <v>2</v>
      </c>
      <c r="K297" t="s">
        <v>110</v>
      </c>
      <c r="L297" t="s">
        <v>162</v>
      </c>
      <c r="M297" s="4">
        <v>530000000</v>
      </c>
      <c r="N297">
        <v>0</v>
      </c>
      <c r="O297">
        <v>4.7100181579999996</v>
      </c>
      <c r="P297">
        <v>-74.095420840000003</v>
      </c>
      <c r="Q297" t="s">
        <v>3154</v>
      </c>
      <c r="R297">
        <v>4416666.6670000004</v>
      </c>
      <c r="S297">
        <v>0</v>
      </c>
      <c r="T297" t="s">
        <v>117</v>
      </c>
      <c r="U297" t="s">
        <v>118</v>
      </c>
      <c r="V297" t="s">
        <v>77</v>
      </c>
      <c r="W297" t="s">
        <v>119</v>
      </c>
      <c r="X297" t="s">
        <v>120</v>
      </c>
      <c r="Y297">
        <v>4.1760616183713903</v>
      </c>
      <c r="Z297">
        <v>4176.0616183713901</v>
      </c>
      <c r="AA297">
        <v>4.73719444444444</v>
      </c>
      <c r="AB297">
        <v>-74.069472222222203</v>
      </c>
      <c r="AC297">
        <v>2555</v>
      </c>
      <c r="AD297">
        <v>0</v>
      </c>
      <c r="AE297" t="s">
        <v>80</v>
      </c>
      <c r="AF297" t="s">
        <v>107</v>
      </c>
      <c r="AG297" t="s">
        <v>82</v>
      </c>
      <c r="AH297" t="s">
        <v>83</v>
      </c>
      <c r="AI297" t="s">
        <v>412</v>
      </c>
      <c r="AJ297">
        <v>0.99242686230108801</v>
      </c>
      <c r="AK297">
        <v>3.7696281824474398</v>
      </c>
      <c r="AL297">
        <v>1.13468498856231</v>
      </c>
      <c r="AM297">
        <v>0.27074738645984903</v>
      </c>
      <c r="AN297">
        <v>2.3528566611820998</v>
      </c>
      <c r="AO297">
        <v>0.23070869228789601</v>
      </c>
      <c r="AP297">
        <v>0.23070869228789601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8</v>
      </c>
      <c r="AW297">
        <v>0</v>
      </c>
      <c r="AX297">
        <v>0</v>
      </c>
      <c r="AY297">
        <v>15.3</v>
      </c>
      <c r="AZ297">
        <v>9.8000000000000007</v>
      </c>
      <c r="BA297">
        <v>29.7</v>
      </c>
      <c r="BB297">
        <v>564</v>
      </c>
      <c r="BC297">
        <v>68</v>
      </c>
      <c r="BD297">
        <v>1.8</v>
      </c>
      <c r="BE297">
        <v>43</v>
      </c>
      <c r="BF297">
        <v>25.4</v>
      </c>
      <c r="BG297">
        <v>162</v>
      </c>
      <c r="BH297">
        <v>9.1</v>
      </c>
      <c r="BI297">
        <v>9.1999999999999993</v>
      </c>
      <c r="BJ297">
        <v>18.3</v>
      </c>
      <c r="BK297">
        <v>0.34</v>
      </c>
      <c r="BL297">
        <v>7.3</v>
      </c>
      <c r="BM297">
        <v>0.9</v>
      </c>
      <c r="BN297">
        <v>7.5</v>
      </c>
      <c r="BO297">
        <v>2.9</v>
      </c>
      <c r="BP297">
        <f t="shared" si="8"/>
        <v>7.9698632580102613</v>
      </c>
      <c r="BQ297">
        <f t="shared" si="9"/>
        <v>26.867612554495548</v>
      </c>
    </row>
    <row r="298" spans="1:69" hidden="1" x14ac:dyDescent="0.2">
      <c r="A298" t="s">
        <v>2313</v>
      </c>
      <c r="B298" t="s">
        <v>68</v>
      </c>
      <c r="C298" t="s">
        <v>1956</v>
      </c>
      <c r="D298" t="s">
        <v>70</v>
      </c>
      <c r="E298" t="s">
        <v>429</v>
      </c>
      <c r="F298">
        <v>4</v>
      </c>
      <c r="G298">
        <v>118</v>
      </c>
      <c r="H298">
        <v>4</v>
      </c>
      <c r="I298">
        <v>4</v>
      </c>
      <c r="J298">
        <v>2</v>
      </c>
      <c r="K298" t="s">
        <v>110</v>
      </c>
      <c r="L298" t="s">
        <v>162</v>
      </c>
      <c r="M298" s="4">
        <v>749500000</v>
      </c>
      <c r="N298">
        <v>0</v>
      </c>
      <c r="O298">
        <v>4.7292084689999996</v>
      </c>
      <c r="P298">
        <v>-74.047256469999994</v>
      </c>
      <c r="Q298" t="s">
        <v>2314</v>
      </c>
      <c r="R298">
        <v>6351694.915</v>
      </c>
      <c r="S298">
        <v>0</v>
      </c>
      <c r="T298" t="s">
        <v>117</v>
      </c>
      <c r="U298" t="s">
        <v>118</v>
      </c>
      <c r="V298" t="s">
        <v>77</v>
      </c>
      <c r="W298" t="s">
        <v>119</v>
      </c>
      <c r="X298" t="s">
        <v>120</v>
      </c>
      <c r="Y298">
        <v>2.6200431917917801</v>
      </c>
      <c r="Z298">
        <v>2620.0431917917799</v>
      </c>
      <c r="AA298">
        <v>4.73719444444444</v>
      </c>
      <c r="AB298">
        <v>-74.069472222222203</v>
      </c>
      <c r="AC298">
        <v>2555</v>
      </c>
      <c r="AD298">
        <v>0</v>
      </c>
      <c r="AE298" t="s">
        <v>80</v>
      </c>
      <c r="AF298" t="s">
        <v>107</v>
      </c>
      <c r="AG298" t="s">
        <v>82</v>
      </c>
      <c r="AH298" t="s">
        <v>83</v>
      </c>
      <c r="AI298" t="s">
        <v>108</v>
      </c>
      <c r="AJ298">
        <v>0.33883393514648402</v>
      </c>
      <c r="AK298">
        <v>2.8267945772575702</v>
      </c>
      <c r="AL298">
        <v>0.90399918024954795</v>
      </c>
      <c r="AM298">
        <v>0.15194905573491599</v>
      </c>
      <c r="AN298">
        <v>2.6522823867141501</v>
      </c>
      <c r="AO298">
        <v>0.25809969450908699</v>
      </c>
      <c r="AP298">
        <v>0.25809969450908699</v>
      </c>
      <c r="AQ298">
        <v>2</v>
      </c>
      <c r="AR298">
        <v>3</v>
      </c>
      <c r="AS298">
        <v>0</v>
      </c>
      <c r="AT298">
        <v>0</v>
      </c>
      <c r="AU298">
        <v>1</v>
      </c>
      <c r="AV298">
        <v>33</v>
      </c>
      <c r="AW298">
        <v>0</v>
      </c>
      <c r="AX298">
        <v>0</v>
      </c>
      <c r="AY298">
        <v>15.3</v>
      </c>
      <c r="AZ298">
        <v>9.8000000000000007</v>
      </c>
      <c r="BA298">
        <v>29.7</v>
      </c>
      <c r="BB298">
        <v>564</v>
      </c>
      <c r="BC298">
        <v>68</v>
      </c>
      <c r="BD298">
        <v>1.8</v>
      </c>
      <c r="BE298">
        <v>43</v>
      </c>
      <c r="BF298">
        <v>25.4</v>
      </c>
      <c r="BG298">
        <v>162</v>
      </c>
      <c r="BH298">
        <v>9.1</v>
      </c>
      <c r="BI298">
        <v>9.1999999999999993</v>
      </c>
      <c r="BJ298">
        <v>18.3</v>
      </c>
      <c r="BK298">
        <v>0.34</v>
      </c>
      <c r="BL298">
        <v>7.3</v>
      </c>
      <c r="BM298">
        <v>0.9</v>
      </c>
      <c r="BN298">
        <v>7.5</v>
      </c>
      <c r="BO298">
        <v>2.9</v>
      </c>
      <c r="BP298">
        <f t="shared" si="8"/>
        <v>8.6079848866326536</v>
      </c>
      <c r="BQ298">
        <f t="shared" si="9"/>
        <v>27.889938853089841</v>
      </c>
    </row>
    <row r="299" spans="1:69" hidden="1" x14ac:dyDescent="0.2">
      <c r="A299" t="s">
        <v>3182</v>
      </c>
      <c r="B299" t="s">
        <v>68</v>
      </c>
      <c r="C299" t="s">
        <v>1956</v>
      </c>
      <c r="D299" t="s">
        <v>70</v>
      </c>
      <c r="E299" t="s">
        <v>1987</v>
      </c>
      <c r="F299">
        <v>5</v>
      </c>
      <c r="G299">
        <v>118</v>
      </c>
      <c r="H299">
        <v>4</v>
      </c>
      <c r="I299">
        <v>4</v>
      </c>
      <c r="J299">
        <v>2</v>
      </c>
      <c r="K299" t="s">
        <v>110</v>
      </c>
      <c r="L299" t="s">
        <v>111</v>
      </c>
      <c r="M299" s="4">
        <v>650000000</v>
      </c>
      <c r="N299">
        <v>0</v>
      </c>
      <c r="O299">
        <v>4.7655537519999998</v>
      </c>
      <c r="P299">
        <v>-74.04293638</v>
      </c>
      <c r="Q299" t="s">
        <v>3183</v>
      </c>
      <c r="R299">
        <v>5508474.5760000004</v>
      </c>
      <c r="S299">
        <v>0</v>
      </c>
      <c r="T299" t="s">
        <v>151</v>
      </c>
      <c r="U299" t="s">
        <v>152</v>
      </c>
      <c r="V299" t="s">
        <v>77</v>
      </c>
      <c r="W299" t="s">
        <v>119</v>
      </c>
      <c r="X299" t="s">
        <v>153</v>
      </c>
      <c r="Y299">
        <v>2.0299848573793602</v>
      </c>
      <c r="Z299">
        <v>2029.9848573793599</v>
      </c>
      <c r="AA299">
        <v>4.7837500000000004</v>
      </c>
      <c r="AB299">
        <v>-74.044138888888895</v>
      </c>
      <c r="AC299">
        <v>2580</v>
      </c>
      <c r="AD299">
        <v>0</v>
      </c>
      <c r="AE299" t="s">
        <v>154</v>
      </c>
      <c r="AF299" t="s">
        <v>107</v>
      </c>
      <c r="AG299" t="s">
        <v>82</v>
      </c>
      <c r="AH299" t="s">
        <v>83</v>
      </c>
      <c r="AI299" t="s">
        <v>108</v>
      </c>
      <c r="AJ299">
        <v>0.29658875303409798</v>
      </c>
      <c r="AK299">
        <v>2.2253453084062098</v>
      </c>
      <c r="AL299">
        <v>1.7840375682427501</v>
      </c>
      <c r="AM299">
        <v>0.36667851710791899</v>
      </c>
      <c r="AN299">
        <v>3.2049601440558502</v>
      </c>
      <c r="AO299">
        <v>0.19271537116677001</v>
      </c>
      <c r="AP299">
        <v>0.19271537116677001</v>
      </c>
      <c r="AQ299">
        <v>2</v>
      </c>
      <c r="AR299">
        <v>2</v>
      </c>
      <c r="AS299">
        <v>0</v>
      </c>
      <c r="AT299">
        <v>0</v>
      </c>
      <c r="AU299">
        <v>0</v>
      </c>
      <c r="AV299">
        <v>14</v>
      </c>
      <c r="AW299">
        <v>0</v>
      </c>
      <c r="AX299">
        <v>0</v>
      </c>
      <c r="AY299">
        <v>15.3</v>
      </c>
      <c r="AZ299">
        <v>9.8000000000000007</v>
      </c>
      <c r="BA299">
        <v>29.7</v>
      </c>
      <c r="BB299">
        <v>564</v>
      </c>
      <c r="BC299">
        <v>68</v>
      </c>
      <c r="BD299">
        <v>1.8</v>
      </c>
      <c r="BE299">
        <v>43</v>
      </c>
      <c r="BF299">
        <v>25.4</v>
      </c>
      <c r="BG299">
        <v>162</v>
      </c>
      <c r="BH299">
        <v>9.1</v>
      </c>
      <c r="BI299">
        <v>9.1999999999999993</v>
      </c>
      <c r="BJ299">
        <v>18.3</v>
      </c>
      <c r="BK299">
        <v>0.34</v>
      </c>
      <c r="BL299">
        <v>7.3</v>
      </c>
      <c r="BM299">
        <v>0.9</v>
      </c>
      <c r="BN299">
        <v>7.5</v>
      </c>
      <c r="BO299">
        <v>2.9</v>
      </c>
      <c r="BP299">
        <f t="shared" si="8"/>
        <v>8.8631136906843064</v>
      </c>
      <c r="BQ299">
        <f t="shared" si="9"/>
        <v>28.287709279390338</v>
      </c>
    </row>
    <row r="300" spans="1:69" hidden="1" x14ac:dyDescent="0.2">
      <c r="A300" t="s">
        <v>3027</v>
      </c>
      <c r="B300" t="s">
        <v>68</v>
      </c>
      <c r="C300" t="s">
        <v>1956</v>
      </c>
      <c r="D300" t="s">
        <v>70</v>
      </c>
      <c r="E300" t="s">
        <v>3028</v>
      </c>
      <c r="F300">
        <v>4</v>
      </c>
      <c r="G300">
        <v>118</v>
      </c>
      <c r="H300">
        <v>4</v>
      </c>
      <c r="I300">
        <v>4</v>
      </c>
      <c r="J300">
        <v>1</v>
      </c>
      <c r="K300" t="s">
        <v>110</v>
      </c>
      <c r="L300" t="s">
        <v>162</v>
      </c>
      <c r="M300" s="4">
        <v>650000000</v>
      </c>
      <c r="N300">
        <v>0</v>
      </c>
      <c r="O300">
        <v>4.7473197000000003</v>
      </c>
      <c r="P300">
        <v>-74.067671000000004</v>
      </c>
      <c r="Q300" t="s">
        <v>3029</v>
      </c>
      <c r="R300">
        <v>5508474.5760000004</v>
      </c>
      <c r="S300">
        <v>0</v>
      </c>
      <c r="T300" t="s">
        <v>117</v>
      </c>
      <c r="U300" t="s">
        <v>118</v>
      </c>
      <c r="V300" t="s">
        <v>77</v>
      </c>
      <c r="W300" t="s">
        <v>119</v>
      </c>
      <c r="X300" t="s">
        <v>120</v>
      </c>
      <c r="Y300">
        <v>1.1447142229794101</v>
      </c>
      <c r="Z300">
        <v>1144.7142229794099</v>
      </c>
      <c r="AA300">
        <v>4.73719444444444</v>
      </c>
      <c r="AB300">
        <v>-74.069472222222203</v>
      </c>
      <c r="AC300">
        <v>2555</v>
      </c>
      <c r="AD300">
        <v>0</v>
      </c>
      <c r="AE300" t="s">
        <v>80</v>
      </c>
      <c r="AF300" t="s">
        <v>107</v>
      </c>
      <c r="AG300" t="s">
        <v>82</v>
      </c>
      <c r="AH300" t="s">
        <v>83</v>
      </c>
      <c r="AI300" t="s">
        <v>121</v>
      </c>
      <c r="AJ300">
        <v>1.9706346571744899</v>
      </c>
      <c r="AK300">
        <v>5.1767143169101004</v>
      </c>
      <c r="AL300">
        <v>1.70767111950171</v>
      </c>
      <c r="AM300">
        <v>0.396652139059054</v>
      </c>
      <c r="AN300">
        <v>2.0618317623596401</v>
      </c>
      <c r="AO300">
        <v>2.3037004725308698E-2</v>
      </c>
      <c r="AP300">
        <v>2.3037004725308698E-2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13</v>
      </c>
      <c r="AW300">
        <v>0</v>
      </c>
      <c r="AX300">
        <v>0</v>
      </c>
      <c r="AY300">
        <v>15.3</v>
      </c>
      <c r="AZ300">
        <v>9.8000000000000007</v>
      </c>
      <c r="BA300">
        <v>29.7</v>
      </c>
      <c r="BB300">
        <v>564</v>
      </c>
      <c r="BC300">
        <v>68</v>
      </c>
      <c r="BD300">
        <v>1.8</v>
      </c>
      <c r="BE300">
        <v>43</v>
      </c>
      <c r="BF300">
        <v>25.4</v>
      </c>
      <c r="BG300">
        <v>162</v>
      </c>
      <c r="BH300">
        <v>9.1</v>
      </c>
      <c r="BI300">
        <v>9.1999999999999993</v>
      </c>
      <c r="BJ300">
        <v>18.3</v>
      </c>
      <c r="BK300">
        <v>0.34</v>
      </c>
      <c r="BL300">
        <v>7.3</v>
      </c>
      <c r="BM300">
        <v>0.9</v>
      </c>
      <c r="BN300">
        <v>7.5</v>
      </c>
      <c r="BO300">
        <v>2.9</v>
      </c>
      <c r="BP300">
        <f t="shared" si="8"/>
        <v>9.2601387434430595</v>
      </c>
      <c r="BQ300">
        <f t="shared" si="9"/>
        <v>28.89515414620378</v>
      </c>
    </row>
    <row r="301" spans="1:69" hidden="1" x14ac:dyDescent="0.2">
      <c r="A301" t="s">
        <v>1554</v>
      </c>
      <c r="B301" t="s">
        <v>68</v>
      </c>
      <c r="C301" t="s">
        <v>69</v>
      </c>
      <c r="D301" t="s">
        <v>70</v>
      </c>
      <c r="E301" t="s">
        <v>1555</v>
      </c>
      <c r="F301">
        <v>4</v>
      </c>
      <c r="G301">
        <v>116</v>
      </c>
      <c r="H301">
        <v>3</v>
      </c>
      <c r="I301">
        <v>3</v>
      </c>
      <c r="J301">
        <v>2</v>
      </c>
      <c r="K301" t="s">
        <v>110</v>
      </c>
      <c r="L301" t="s">
        <v>162</v>
      </c>
      <c r="M301" s="4">
        <v>533540000</v>
      </c>
      <c r="N301">
        <v>0</v>
      </c>
      <c r="O301">
        <v>4.7392871999999997</v>
      </c>
      <c r="P301">
        <v>-74.045935600000007</v>
      </c>
      <c r="Q301" t="s">
        <v>1556</v>
      </c>
      <c r="R301">
        <v>4599482.7589999996</v>
      </c>
      <c r="S301">
        <v>0</v>
      </c>
      <c r="T301" t="s">
        <v>117</v>
      </c>
      <c r="U301" t="s">
        <v>118</v>
      </c>
      <c r="V301" t="s">
        <v>77</v>
      </c>
      <c r="W301" t="s">
        <v>119</v>
      </c>
      <c r="X301" t="s">
        <v>120</v>
      </c>
      <c r="Y301">
        <v>2.6215025194578501</v>
      </c>
      <c r="Z301">
        <v>2621.5025194578502</v>
      </c>
      <c r="AA301">
        <v>4.73719444444444</v>
      </c>
      <c r="AB301">
        <v>-74.069472222222203</v>
      </c>
      <c r="AC301">
        <v>2555</v>
      </c>
      <c r="AD301">
        <v>0</v>
      </c>
      <c r="AE301" t="s">
        <v>80</v>
      </c>
      <c r="AF301" t="s">
        <v>107</v>
      </c>
      <c r="AG301" t="s">
        <v>82</v>
      </c>
      <c r="AH301" t="s">
        <v>83</v>
      </c>
      <c r="AI301" t="s">
        <v>108</v>
      </c>
      <c r="AJ301">
        <v>0.36980783550565099</v>
      </c>
      <c r="AK301">
        <v>2.7528782488691901</v>
      </c>
      <c r="AL301">
        <v>0.96842515941479101</v>
      </c>
      <c r="AM301">
        <v>0.118392698893408</v>
      </c>
      <c r="AN301">
        <v>2.1435840397430499</v>
      </c>
      <c r="AO301">
        <v>0.237288210494605</v>
      </c>
      <c r="AP301">
        <v>0.237288210494605</v>
      </c>
      <c r="AQ301">
        <v>1</v>
      </c>
      <c r="AR301">
        <v>3</v>
      </c>
      <c r="AS301">
        <v>0</v>
      </c>
      <c r="AT301">
        <v>0</v>
      </c>
      <c r="AU301">
        <v>1</v>
      </c>
      <c r="AV301">
        <v>30</v>
      </c>
      <c r="AW301">
        <v>0</v>
      </c>
      <c r="AX301">
        <v>0</v>
      </c>
      <c r="AY301">
        <v>15.3</v>
      </c>
      <c r="AZ301">
        <v>9.8000000000000007</v>
      </c>
      <c r="BA301">
        <v>29.7</v>
      </c>
      <c r="BB301">
        <v>564</v>
      </c>
      <c r="BC301">
        <v>68</v>
      </c>
      <c r="BD301">
        <v>1.8</v>
      </c>
      <c r="BE301">
        <v>43</v>
      </c>
      <c r="BF301">
        <v>25.4</v>
      </c>
      <c r="BG301">
        <v>162</v>
      </c>
      <c r="BH301">
        <v>9.1</v>
      </c>
      <c r="BI301">
        <v>9.1999999999999993</v>
      </c>
      <c r="BJ301">
        <v>18.3</v>
      </c>
      <c r="BK301">
        <v>0.34</v>
      </c>
      <c r="BL301">
        <v>7.3</v>
      </c>
      <c r="BM301">
        <v>0.9</v>
      </c>
      <c r="BN301">
        <v>7.5</v>
      </c>
      <c r="BO301">
        <v>2.9</v>
      </c>
      <c r="BP301">
        <f t="shared" si="8"/>
        <v>8.6073630965015031</v>
      </c>
      <c r="BQ301">
        <f t="shared" si="9"/>
        <v>27.888962056770573</v>
      </c>
    </row>
    <row r="302" spans="1:69" hidden="1" x14ac:dyDescent="0.2">
      <c r="A302" t="s">
        <v>1305</v>
      </c>
      <c r="B302" t="s">
        <v>68</v>
      </c>
      <c r="C302" t="s">
        <v>69</v>
      </c>
      <c r="D302" t="s">
        <v>70</v>
      </c>
      <c r="E302" t="s">
        <v>1306</v>
      </c>
      <c r="F302">
        <v>4</v>
      </c>
      <c r="G302">
        <v>116</v>
      </c>
      <c r="H302">
        <v>3</v>
      </c>
      <c r="I302">
        <v>3</v>
      </c>
      <c r="J302">
        <v>2</v>
      </c>
      <c r="K302" t="s">
        <v>110</v>
      </c>
      <c r="L302" t="s">
        <v>162</v>
      </c>
      <c r="M302" s="4">
        <v>533540000</v>
      </c>
      <c r="N302">
        <v>0</v>
      </c>
      <c r="O302">
        <v>4.7393746480000001</v>
      </c>
      <c r="P302">
        <v>-74.045996270000003</v>
      </c>
      <c r="Q302" t="s">
        <v>1307</v>
      </c>
      <c r="R302">
        <v>4599482.7589999996</v>
      </c>
      <c r="S302">
        <v>0</v>
      </c>
      <c r="T302" t="s">
        <v>117</v>
      </c>
      <c r="U302" t="s">
        <v>118</v>
      </c>
      <c r="V302" t="s">
        <v>77</v>
      </c>
      <c r="W302" t="s">
        <v>119</v>
      </c>
      <c r="X302" t="s">
        <v>120</v>
      </c>
      <c r="Y302">
        <v>2.6156836584365499</v>
      </c>
      <c r="Z302">
        <v>2615.6836584365501</v>
      </c>
      <c r="AA302">
        <v>4.73719444444444</v>
      </c>
      <c r="AB302">
        <v>-74.069472222222203</v>
      </c>
      <c r="AC302">
        <v>2555</v>
      </c>
      <c r="AD302">
        <v>0</v>
      </c>
      <c r="AE302" t="s">
        <v>80</v>
      </c>
      <c r="AF302" t="s">
        <v>107</v>
      </c>
      <c r="AG302" t="s">
        <v>82</v>
      </c>
      <c r="AH302" t="s">
        <v>83</v>
      </c>
      <c r="AI302" t="s">
        <v>108</v>
      </c>
      <c r="AJ302">
        <v>0.35805475857730901</v>
      </c>
      <c r="AK302">
        <v>2.7619380093851502</v>
      </c>
      <c r="AL302">
        <v>0.98008029969992405</v>
      </c>
      <c r="AM302">
        <v>0.10923603980194201</v>
      </c>
      <c r="AN302">
        <v>2.1491690114145801</v>
      </c>
      <c r="AO302">
        <v>0.22870688360819699</v>
      </c>
      <c r="AP302">
        <v>0.22870688360819699</v>
      </c>
      <c r="AQ302">
        <v>1</v>
      </c>
      <c r="AR302">
        <v>3</v>
      </c>
      <c r="AS302">
        <v>0</v>
      </c>
      <c r="AT302">
        <v>0</v>
      </c>
      <c r="AU302">
        <v>1</v>
      </c>
      <c r="AV302">
        <v>29</v>
      </c>
      <c r="AW302">
        <v>0</v>
      </c>
      <c r="AX302">
        <v>0</v>
      </c>
      <c r="AY302">
        <v>15.3</v>
      </c>
      <c r="AZ302">
        <v>9.8000000000000007</v>
      </c>
      <c r="BA302">
        <v>29.7</v>
      </c>
      <c r="BB302">
        <v>564</v>
      </c>
      <c r="BC302">
        <v>68</v>
      </c>
      <c r="BD302">
        <v>1.8</v>
      </c>
      <c r="BE302">
        <v>43</v>
      </c>
      <c r="BF302">
        <v>25.4</v>
      </c>
      <c r="BG302">
        <v>162</v>
      </c>
      <c r="BH302">
        <v>9.1</v>
      </c>
      <c r="BI302">
        <v>9.1999999999999993</v>
      </c>
      <c r="BJ302">
        <v>18.3</v>
      </c>
      <c r="BK302">
        <v>0.34</v>
      </c>
      <c r="BL302">
        <v>7.3</v>
      </c>
      <c r="BM302">
        <v>0.9</v>
      </c>
      <c r="BN302">
        <v>7.5</v>
      </c>
      <c r="BO302">
        <v>2.9</v>
      </c>
      <c r="BP302">
        <f t="shared" si="8"/>
        <v>8.6098426635398067</v>
      </c>
      <c r="BQ302">
        <f t="shared" si="9"/>
        <v>27.892857096602267</v>
      </c>
    </row>
    <row r="303" spans="1:69" hidden="1" x14ac:dyDescent="0.2">
      <c r="A303" t="s">
        <v>346</v>
      </c>
      <c r="B303" t="s">
        <v>68</v>
      </c>
      <c r="C303" t="s">
        <v>69</v>
      </c>
      <c r="D303" t="s">
        <v>70</v>
      </c>
      <c r="E303" t="s">
        <v>277</v>
      </c>
      <c r="F303">
        <v>5</v>
      </c>
      <c r="G303">
        <v>115</v>
      </c>
      <c r="H303">
        <v>3</v>
      </c>
      <c r="I303">
        <v>3</v>
      </c>
      <c r="J303">
        <v>2</v>
      </c>
      <c r="K303" t="s">
        <v>110</v>
      </c>
      <c r="L303" t="s">
        <v>162</v>
      </c>
      <c r="M303" s="4">
        <v>1000000000</v>
      </c>
      <c r="N303">
        <v>0</v>
      </c>
      <c r="O303">
        <v>4.7241234780000001</v>
      </c>
      <c r="P303">
        <v>-74.064826969999999</v>
      </c>
      <c r="Q303" t="s">
        <v>347</v>
      </c>
      <c r="R303">
        <v>8695652.1740000006</v>
      </c>
      <c r="S303">
        <v>0</v>
      </c>
      <c r="T303" t="s">
        <v>117</v>
      </c>
      <c r="U303" t="s">
        <v>118</v>
      </c>
      <c r="V303" t="s">
        <v>77</v>
      </c>
      <c r="W303" t="s">
        <v>119</v>
      </c>
      <c r="X303" t="s">
        <v>120</v>
      </c>
      <c r="Y303">
        <v>1.54361951533374</v>
      </c>
      <c r="Z303">
        <v>1543.6195153337401</v>
      </c>
      <c r="AA303">
        <v>4.73719444444444</v>
      </c>
      <c r="AB303">
        <v>-74.069472222222203</v>
      </c>
      <c r="AC303">
        <v>2555</v>
      </c>
      <c r="AD303">
        <v>0</v>
      </c>
      <c r="AE303" t="s">
        <v>80</v>
      </c>
      <c r="AF303" t="s">
        <v>107</v>
      </c>
      <c r="AG303" t="s">
        <v>82</v>
      </c>
      <c r="AH303" t="s">
        <v>83</v>
      </c>
      <c r="AI303" t="s">
        <v>121</v>
      </c>
      <c r="AJ303">
        <v>1.14051117039386</v>
      </c>
      <c r="AK303">
        <v>4.6018336875181598</v>
      </c>
      <c r="AL303">
        <v>1.0861031008080599</v>
      </c>
      <c r="AM303">
        <v>9.0071917249842801E-2</v>
      </c>
      <c r="AN303">
        <v>2.9680567650734102</v>
      </c>
      <c r="AO303">
        <v>0.469945526055288</v>
      </c>
      <c r="AP303">
        <v>0.469945526055288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30</v>
      </c>
      <c r="AW303">
        <v>0</v>
      </c>
      <c r="AX303">
        <v>0</v>
      </c>
      <c r="AY303">
        <v>15.3</v>
      </c>
      <c r="AZ303">
        <v>9.8000000000000007</v>
      </c>
      <c r="BA303">
        <v>29.7</v>
      </c>
      <c r="BB303">
        <v>564</v>
      </c>
      <c r="BC303">
        <v>68</v>
      </c>
      <c r="BD303">
        <v>1.8</v>
      </c>
      <c r="BE303">
        <v>43</v>
      </c>
      <c r="BF303">
        <v>25.4</v>
      </c>
      <c r="BG303">
        <v>162</v>
      </c>
      <c r="BH303">
        <v>9.1</v>
      </c>
      <c r="BI303">
        <v>9.1999999999999993</v>
      </c>
      <c r="BJ303">
        <v>18.3</v>
      </c>
      <c r="BK303">
        <v>0.34</v>
      </c>
      <c r="BL303">
        <v>7.3</v>
      </c>
      <c r="BM303">
        <v>0.9</v>
      </c>
      <c r="BN303">
        <v>7.5</v>
      </c>
      <c r="BO303">
        <v>2.9</v>
      </c>
      <c r="BP303">
        <f t="shared" si="8"/>
        <v>9.0790832119392562</v>
      </c>
      <c r="BQ303">
        <f t="shared" si="9"/>
        <v>28.619839823247382</v>
      </c>
    </row>
    <row r="304" spans="1:69" hidden="1" x14ac:dyDescent="0.2">
      <c r="A304" t="s">
        <v>817</v>
      </c>
      <c r="B304" t="s">
        <v>68</v>
      </c>
      <c r="C304" t="s">
        <v>69</v>
      </c>
      <c r="D304" t="s">
        <v>70</v>
      </c>
      <c r="E304" t="s">
        <v>818</v>
      </c>
      <c r="F304">
        <v>5</v>
      </c>
      <c r="G304">
        <v>115</v>
      </c>
      <c r="H304">
        <v>3</v>
      </c>
      <c r="I304">
        <v>3</v>
      </c>
      <c r="J304">
        <v>2</v>
      </c>
      <c r="K304" t="s">
        <v>110</v>
      </c>
      <c r="L304" t="s">
        <v>115</v>
      </c>
      <c r="M304" s="4">
        <v>690000000</v>
      </c>
      <c r="N304">
        <v>0</v>
      </c>
      <c r="O304">
        <v>4.7277240000000003</v>
      </c>
      <c r="P304">
        <v>-74.06317</v>
      </c>
      <c r="Q304" t="s">
        <v>819</v>
      </c>
      <c r="R304">
        <v>6000000</v>
      </c>
      <c r="S304">
        <v>0</v>
      </c>
      <c r="T304" t="s">
        <v>117</v>
      </c>
      <c r="U304" t="s">
        <v>118</v>
      </c>
      <c r="V304" t="s">
        <v>77</v>
      </c>
      <c r="W304" t="s">
        <v>119</v>
      </c>
      <c r="X304" t="s">
        <v>120</v>
      </c>
      <c r="Y304">
        <v>1.2650174318977201</v>
      </c>
      <c r="Z304">
        <v>1265.0174318977199</v>
      </c>
      <c r="AA304">
        <v>4.73719444444444</v>
      </c>
      <c r="AB304">
        <v>-74.069472222222203</v>
      </c>
      <c r="AC304">
        <v>2555</v>
      </c>
      <c r="AD304">
        <v>0</v>
      </c>
      <c r="AE304" t="s">
        <v>80</v>
      </c>
      <c r="AF304" t="s">
        <v>107</v>
      </c>
      <c r="AG304" t="s">
        <v>82</v>
      </c>
      <c r="AH304" t="s">
        <v>83</v>
      </c>
      <c r="AI304" t="s">
        <v>121</v>
      </c>
      <c r="AJ304">
        <v>1.2813055566457301</v>
      </c>
      <c r="AK304">
        <v>4.4803360270147197</v>
      </c>
      <c r="AL304">
        <v>1.50985887116645</v>
      </c>
      <c r="AM304">
        <v>0.19279153344238001</v>
      </c>
      <c r="AN304">
        <v>2.88361846238924</v>
      </c>
      <c r="AO304">
        <v>0.31225498812343999</v>
      </c>
      <c r="AP304">
        <v>0.31225498812343999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</v>
      </c>
      <c r="AW304">
        <v>0</v>
      </c>
      <c r="AX304">
        <v>0</v>
      </c>
      <c r="AY304">
        <v>15.3</v>
      </c>
      <c r="AZ304">
        <v>9.8000000000000007</v>
      </c>
      <c r="BA304">
        <v>29.7</v>
      </c>
      <c r="BB304">
        <v>564</v>
      </c>
      <c r="BC304">
        <v>68</v>
      </c>
      <c r="BD304">
        <v>1.8</v>
      </c>
      <c r="BE304">
        <v>43</v>
      </c>
      <c r="BF304">
        <v>25.4</v>
      </c>
      <c r="BG304">
        <v>162</v>
      </c>
      <c r="BH304">
        <v>9.1</v>
      </c>
      <c r="BI304">
        <v>9.1999999999999993</v>
      </c>
      <c r="BJ304">
        <v>18.3</v>
      </c>
      <c r="BK304">
        <v>0.34</v>
      </c>
      <c r="BL304">
        <v>7.3</v>
      </c>
      <c r="BM304">
        <v>0.9</v>
      </c>
      <c r="BN304">
        <v>7.5</v>
      </c>
      <c r="BO304">
        <v>2.9</v>
      </c>
      <c r="BP304">
        <f t="shared" si="8"/>
        <v>9.2051584020389008</v>
      </c>
      <c r="BQ304">
        <f t="shared" si="9"/>
        <v>28.811846156316296</v>
      </c>
    </row>
    <row r="305" spans="1:69" hidden="1" x14ac:dyDescent="0.2">
      <c r="A305" t="s">
        <v>491</v>
      </c>
      <c r="B305" t="s">
        <v>68</v>
      </c>
      <c r="C305" t="s">
        <v>69</v>
      </c>
      <c r="D305" t="s">
        <v>70</v>
      </c>
      <c r="E305" t="s">
        <v>492</v>
      </c>
      <c r="F305">
        <v>4</v>
      </c>
      <c r="G305">
        <v>115</v>
      </c>
      <c r="H305">
        <v>3</v>
      </c>
      <c r="I305">
        <v>3</v>
      </c>
      <c r="J305">
        <v>1</v>
      </c>
      <c r="K305" t="s">
        <v>110</v>
      </c>
      <c r="L305" t="s">
        <v>162</v>
      </c>
      <c r="M305" s="4">
        <v>600000000</v>
      </c>
      <c r="N305">
        <v>0</v>
      </c>
      <c r="O305">
        <v>4.718364716</v>
      </c>
      <c r="P305">
        <v>-74.071014399999996</v>
      </c>
      <c r="Q305" t="s">
        <v>493</v>
      </c>
      <c r="R305">
        <v>5217391.3039999995</v>
      </c>
      <c r="S305">
        <v>0</v>
      </c>
      <c r="T305" t="s">
        <v>117</v>
      </c>
      <c r="U305" t="s">
        <v>118</v>
      </c>
      <c r="V305" t="s">
        <v>77</v>
      </c>
      <c r="W305" t="s">
        <v>119</v>
      </c>
      <c r="X305" t="s">
        <v>120</v>
      </c>
      <c r="Y305">
        <v>2.1030866061918498</v>
      </c>
      <c r="Z305">
        <v>2103.08660619185</v>
      </c>
      <c r="AA305">
        <v>4.73719444444444</v>
      </c>
      <c r="AB305">
        <v>-74.069472222222203</v>
      </c>
      <c r="AC305">
        <v>2555</v>
      </c>
      <c r="AD305">
        <v>0</v>
      </c>
      <c r="AE305" t="s">
        <v>80</v>
      </c>
      <c r="AF305" t="s">
        <v>107</v>
      </c>
      <c r="AG305" t="s">
        <v>82</v>
      </c>
      <c r="AH305" t="s">
        <v>83</v>
      </c>
      <c r="AI305" t="s">
        <v>121</v>
      </c>
      <c r="AJ305">
        <v>0.52050816749897399</v>
      </c>
      <c r="AK305">
        <v>5.1761518074012098</v>
      </c>
      <c r="AL305">
        <v>0.173048897326393</v>
      </c>
      <c r="AM305">
        <v>3.65518872618169E-2</v>
      </c>
      <c r="AN305">
        <v>3.0001772002194702</v>
      </c>
      <c r="AO305">
        <v>5.9970801025897399E-2</v>
      </c>
      <c r="AP305">
        <v>5.9970801025897399E-2</v>
      </c>
      <c r="AQ305">
        <v>0</v>
      </c>
      <c r="AR305">
        <v>2</v>
      </c>
      <c r="AS305">
        <v>0</v>
      </c>
      <c r="AT305">
        <v>0</v>
      </c>
      <c r="AU305">
        <v>1</v>
      </c>
      <c r="AV305">
        <v>37</v>
      </c>
      <c r="AW305">
        <v>0</v>
      </c>
      <c r="AX305">
        <v>0</v>
      </c>
      <c r="AY305">
        <v>15.3</v>
      </c>
      <c r="AZ305">
        <v>9.8000000000000007</v>
      </c>
      <c r="BA305">
        <v>29.7</v>
      </c>
      <c r="BB305">
        <v>564</v>
      </c>
      <c r="BC305">
        <v>68</v>
      </c>
      <c r="BD305">
        <v>1.8</v>
      </c>
      <c r="BE305">
        <v>43</v>
      </c>
      <c r="BF305">
        <v>25.4</v>
      </c>
      <c r="BG305">
        <v>162</v>
      </c>
      <c r="BH305">
        <v>9.1</v>
      </c>
      <c r="BI305">
        <v>9.1999999999999993</v>
      </c>
      <c r="BJ305">
        <v>18.3</v>
      </c>
      <c r="BK305">
        <v>0.34</v>
      </c>
      <c r="BL305">
        <v>7.3</v>
      </c>
      <c r="BM305">
        <v>0.9</v>
      </c>
      <c r="BN305">
        <v>7.5</v>
      </c>
      <c r="BO305">
        <v>2.9</v>
      </c>
      <c r="BP305">
        <f t="shared" si="8"/>
        <v>8.8311001457271274</v>
      </c>
      <c r="BQ305">
        <f t="shared" si="9"/>
        <v>28.238123645230861</v>
      </c>
    </row>
    <row r="306" spans="1:69" hidden="1" x14ac:dyDescent="0.2">
      <c r="A306" t="s">
        <v>2090</v>
      </c>
      <c r="B306" t="s">
        <v>68</v>
      </c>
      <c r="C306" t="s">
        <v>1956</v>
      </c>
      <c r="D306" t="s">
        <v>70</v>
      </c>
      <c r="E306" t="s">
        <v>545</v>
      </c>
      <c r="F306">
        <v>4</v>
      </c>
      <c r="G306">
        <v>114</v>
      </c>
      <c r="H306">
        <v>3</v>
      </c>
      <c r="I306">
        <v>3</v>
      </c>
      <c r="J306">
        <v>2</v>
      </c>
      <c r="K306" t="s">
        <v>110</v>
      </c>
      <c r="L306" t="s">
        <v>124</v>
      </c>
      <c r="M306" s="4">
        <v>630000000</v>
      </c>
      <c r="N306">
        <v>0</v>
      </c>
      <c r="O306">
        <v>4.7380136999999998</v>
      </c>
      <c r="P306">
        <v>-74.059814000000003</v>
      </c>
      <c r="Q306" t="s">
        <v>2091</v>
      </c>
      <c r="R306">
        <v>5526315.7889999999</v>
      </c>
      <c r="S306">
        <v>0</v>
      </c>
      <c r="T306" t="s">
        <v>117</v>
      </c>
      <c r="U306" t="s">
        <v>118</v>
      </c>
      <c r="V306" t="s">
        <v>77</v>
      </c>
      <c r="W306" t="s">
        <v>119</v>
      </c>
      <c r="X306" t="s">
        <v>120</v>
      </c>
      <c r="Y306">
        <v>1.0753492459899401</v>
      </c>
      <c r="Z306">
        <v>1075.3492459899401</v>
      </c>
      <c r="AA306">
        <v>4.73719444444444</v>
      </c>
      <c r="AB306">
        <v>-74.069472222222203</v>
      </c>
      <c r="AC306">
        <v>2555</v>
      </c>
      <c r="AD306">
        <v>0</v>
      </c>
      <c r="AE306" t="s">
        <v>80</v>
      </c>
      <c r="AF306" t="s">
        <v>107</v>
      </c>
      <c r="AG306" t="s">
        <v>82</v>
      </c>
      <c r="AH306" t="s">
        <v>83</v>
      </c>
      <c r="AI306" t="s">
        <v>121</v>
      </c>
      <c r="AJ306">
        <v>1.2334038097323099</v>
      </c>
      <c r="AK306">
        <v>4.2341997985238304</v>
      </c>
      <c r="AL306">
        <v>1.8364402929513</v>
      </c>
      <c r="AM306">
        <v>0.36600147581884701</v>
      </c>
      <c r="AN306">
        <v>2.85179949518063</v>
      </c>
      <c r="AO306">
        <v>0.207304118128393</v>
      </c>
      <c r="AP306">
        <v>0.207304118128393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12</v>
      </c>
      <c r="AW306">
        <v>0</v>
      </c>
      <c r="AX306">
        <v>0</v>
      </c>
      <c r="AY306">
        <v>15.3</v>
      </c>
      <c r="AZ306">
        <v>9.8000000000000007</v>
      </c>
      <c r="BA306">
        <v>29.7</v>
      </c>
      <c r="BB306">
        <v>564</v>
      </c>
      <c r="BC306">
        <v>68</v>
      </c>
      <c r="BD306">
        <v>1.8</v>
      </c>
      <c r="BE306">
        <v>43</v>
      </c>
      <c r="BF306">
        <v>25.4</v>
      </c>
      <c r="BG306">
        <v>162</v>
      </c>
      <c r="BH306">
        <v>9.1</v>
      </c>
      <c r="BI306">
        <v>9.1999999999999993</v>
      </c>
      <c r="BJ306">
        <v>18.3</v>
      </c>
      <c r="BK306">
        <v>0.34</v>
      </c>
      <c r="BL306">
        <v>7.3</v>
      </c>
      <c r="BM306">
        <v>0.9</v>
      </c>
      <c r="BN306">
        <v>7.5</v>
      </c>
      <c r="BO306">
        <v>2.9</v>
      </c>
      <c r="BP306">
        <f t="shared" si="8"/>
        <v>9.2919886924964583</v>
      </c>
      <c r="BQ306">
        <f t="shared" si="9"/>
        <v>28.943297689653342</v>
      </c>
    </row>
    <row r="307" spans="1:69" hidden="1" x14ac:dyDescent="0.2">
      <c r="A307" t="s">
        <v>2195</v>
      </c>
      <c r="B307" t="s">
        <v>68</v>
      </c>
      <c r="C307" t="s">
        <v>1956</v>
      </c>
      <c r="D307" t="s">
        <v>70</v>
      </c>
      <c r="E307" t="s">
        <v>1357</v>
      </c>
      <c r="F307">
        <v>4</v>
      </c>
      <c r="G307">
        <v>112</v>
      </c>
      <c r="H307">
        <v>3</v>
      </c>
      <c r="I307">
        <v>3</v>
      </c>
      <c r="J307">
        <v>2</v>
      </c>
      <c r="K307" t="s">
        <v>110</v>
      </c>
      <c r="L307" t="s">
        <v>124</v>
      </c>
      <c r="M307" s="4">
        <v>680000000</v>
      </c>
      <c r="N307">
        <v>0</v>
      </c>
      <c r="O307">
        <v>4.7632937430000002</v>
      </c>
      <c r="P307">
        <v>-74.048919679999997</v>
      </c>
      <c r="Q307" t="s">
        <v>2196</v>
      </c>
      <c r="R307">
        <v>6071428.5710000005</v>
      </c>
      <c r="S307">
        <v>0</v>
      </c>
      <c r="T307" t="s">
        <v>151</v>
      </c>
      <c r="U307" t="s">
        <v>152</v>
      </c>
      <c r="V307" t="s">
        <v>77</v>
      </c>
      <c r="W307" t="s">
        <v>119</v>
      </c>
      <c r="X307" t="s">
        <v>153</v>
      </c>
      <c r="Y307">
        <v>2.33812309624077</v>
      </c>
      <c r="Z307">
        <v>2338.1230962407699</v>
      </c>
      <c r="AA307">
        <v>4.7837500000000004</v>
      </c>
      <c r="AB307">
        <v>-74.044138888888895</v>
      </c>
      <c r="AC307">
        <v>2580</v>
      </c>
      <c r="AD307">
        <v>0</v>
      </c>
      <c r="AE307" t="s">
        <v>154</v>
      </c>
      <c r="AF307" t="s">
        <v>107</v>
      </c>
      <c r="AG307" t="s">
        <v>82</v>
      </c>
      <c r="AH307" t="s">
        <v>83</v>
      </c>
      <c r="AI307" t="s">
        <v>121</v>
      </c>
      <c r="AJ307">
        <v>0.49626211353866501</v>
      </c>
      <c r="AK307">
        <v>2.9139163674428401</v>
      </c>
      <c r="AL307">
        <v>1.2079071586039301</v>
      </c>
      <c r="AM307">
        <v>0.25527909122923997</v>
      </c>
      <c r="AN307">
        <v>3.4397675925767199</v>
      </c>
      <c r="AO307">
        <v>4.38584846815454E-2</v>
      </c>
      <c r="AP307">
        <v>4.38584846815454E-2</v>
      </c>
      <c r="AQ307">
        <v>1</v>
      </c>
      <c r="AR307">
        <v>2</v>
      </c>
      <c r="AS307">
        <v>0</v>
      </c>
      <c r="AT307">
        <v>0</v>
      </c>
      <c r="AU307">
        <v>0</v>
      </c>
      <c r="AV307">
        <v>16</v>
      </c>
      <c r="AW307">
        <v>0</v>
      </c>
      <c r="AX307">
        <v>0</v>
      </c>
      <c r="AY307">
        <v>15.3</v>
      </c>
      <c r="AZ307">
        <v>9.8000000000000007</v>
      </c>
      <c r="BA307">
        <v>29.7</v>
      </c>
      <c r="BB307">
        <v>564</v>
      </c>
      <c r="BC307">
        <v>68</v>
      </c>
      <c r="BD307">
        <v>1.8</v>
      </c>
      <c r="BE307">
        <v>43</v>
      </c>
      <c r="BF307">
        <v>25.4</v>
      </c>
      <c r="BG307">
        <v>162</v>
      </c>
      <c r="BH307">
        <v>9.1</v>
      </c>
      <c r="BI307">
        <v>9.1999999999999993</v>
      </c>
      <c r="BJ307">
        <v>18.3</v>
      </c>
      <c r="BK307">
        <v>0.34</v>
      </c>
      <c r="BL307">
        <v>7.3</v>
      </c>
      <c r="BM307">
        <v>0.9</v>
      </c>
      <c r="BN307">
        <v>7.5</v>
      </c>
      <c r="BO307">
        <v>2.9</v>
      </c>
      <c r="BP307">
        <f t="shared" si="8"/>
        <v>8.7289517868930115</v>
      </c>
      <c r="BQ307">
        <f t="shared" si="9"/>
        <v>28.079284315663323</v>
      </c>
    </row>
    <row r="308" spans="1:69" hidden="1" x14ac:dyDescent="0.2">
      <c r="A308" t="s">
        <v>3233</v>
      </c>
      <c r="B308" t="s">
        <v>68</v>
      </c>
      <c r="C308" t="s">
        <v>1956</v>
      </c>
      <c r="D308" t="s">
        <v>70</v>
      </c>
      <c r="E308" t="s">
        <v>1456</v>
      </c>
      <c r="F308">
        <v>4</v>
      </c>
      <c r="G308">
        <v>110</v>
      </c>
      <c r="H308">
        <v>4</v>
      </c>
      <c r="I308">
        <v>3</v>
      </c>
      <c r="J308">
        <v>1</v>
      </c>
      <c r="K308" t="s">
        <v>110</v>
      </c>
      <c r="L308" t="s">
        <v>162</v>
      </c>
      <c r="M308" s="4">
        <v>460000000</v>
      </c>
      <c r="N308">
        <v>0</v>
      </c>
      <c r="O308">
        <v>4.7652878760000004</v>
      </c>
      <c r="P308">
        <v>-74.050285340000002</v>
      </c>
      <c r="Q308" t="s">
        <v>3234</v>
      </c>
      <c r="R308">
        <v>4181818.182</v>
      </c>
      <c r="S308">
        <v>0</v>
      </c>
      <c r="T308" t="s">
        <v>151</v>
      </c>
      <c r="U308" t="s">
        <v>152</v>
      </c>
      <c r="V308" t="s">
        <v>77</v>
      </c>
      <c r="W308" t="s">
        <v>119</v>
      </c>
      <c r="X308" t="s">
        <v>153</v>
      </c>
      <c r="Y308">
        <v>2.16534909931468</v>
      </c>
      <c r="Z308">
        <v>2165.3490993146802</v>
      </c>
      <c r="AA308">
        <v>4.7837500000000004</v>
      </c>
      <c r="AB308">
        <v>-74.044138888888895</v>
      </c>
      <c r="AC308">
        <v>2580</v>
      </c>
      <c r="AD308">
        <v>0</v>
      </c>
      <c r="AE308" t="s">
        <v>154</v>
      </c>
      <c r="AF308" t="s">
        <v>107</v>
      </c>
      <c r="AG308" t="s">
        <v>82</v>
      </c>
      <c r="AH308" t="s">
        <v>83</v>
      </c>
      <c r="AI308" t="s">
        <v>121</v>
      </c>
      <c r="AJ308">
        <v>0.68260376475046103</v>
      </c>
      <c r="AK308">
        <v>3.0399085384631599</v>
      </c>
      <c r="AL308">
        <v>1.3637219423884701</v>
      </c>
      <c r="AM308">
        <v>0.451246149521281</v>
      </c>
      <c r="AN308">
        <v>3.7024441411750599</v>
      </c>
      <c r="AO308">
        <v>0.15149722617855199</v>
      </c>
      <c r="AP308">
        <v>0.15149722617855199</v>
      </c>
      <c r="AQ308">
        <v>0</v>
      </c>
      <c r="AR308">
        <v>2</v>
      </c>
      <c r="AS308">
        <v>0</v>
      </c>
      <c r="AT308">
        <v>0</v>
      </c>
      <c r="AU308">
        <v>0</v>
      </c>
      <c r="AV308">
        <v>14</v>
      </c>
      <c r="AW308">
        <v>0</v>
      </c>
      <c r="AX308">
        <v>0</v>
      </c>
      <c r="AY308">
        <v>15.3</v>
      </c>
      <c r="AZ308">
        <v>9.8000000000000007</v>
      </c>
      <c r="BA308">
        <v>29.7</v>
      </c>
      <c r="BB308">
        <v>564</v>
      </c>
      <c r="BC308">
        <v>68</v>
      </c>
      <c r="BD308">
        <v>1.8</v>
      </c>
      <c r="BE308">
        <v>43</v>
      </c>
      <c r="BF308">
        <v>25.4</v>
      </c>
      <c r="BG308">
        <v>162</v>
      </c>
      <c r="BH308">
        <v>9.1</v>
      </c>
      <c r="BI308">
        <v>9.1999999999999993</v>
      </c>
      <c r="BJ308">
        <v>18.3</v>
      </c>
      <c r="BK308">
        <v>0.34</v>
      </c>
      <c r="BL308">
        <v>7.3</v>
      </c>
      <c r="BM308">
        <v>0.9</v>
      </c>
      <c r="BN308">
        <v>7.5</v>
      </c>
      <c r="BO308">
        <v>2.9</v>
      </c>
      <c r="BP308">
        <f t="shared" si="8"/>
        <v>8.8039246521356773</v>
      </c>
      <c r="BQ308">
        <f t="shared" si="9"/>
        <v>28.195958932935778</v>
      </c>
    </row>
    <row r="309" spans="1:69" hidden="1" x14ac:dyDescent="0.2">
      <c r="A309" t="s">
        <v>2735</v>
      </c>
      <c r="B309" t="s">
        <v>68</v>
      </c>
      <c r="C309" t="s">
        <v>1956</v>
      </c>
      <c r="D309" t="s">
        <v>70</v>
      </c>
      <c r="E309" t="s">
        <v>1524</v>
      </c>
      <c r="F309">
        <v>3</v>
      </c>
      <c r="G309">
        <v>110</v>
      </c>
      <c r="H309">
        <v>4</v>
      </c>
      <c r="I309">
        <v>3</v>
      </c>
      <c r="J309">
        <v>1</v>
      </c>
      <c r="K309" t="s">
        <v>110</v>
      </c>
      <c r="L309" t="s">
        <v>162</v>
      </c>
      <c r="M309" s="4">
        <v>460000000</v>
      </c>
      <c r="N309">
        <v>0</v>
      </c>
      <c r="O309">
        <v>4.7479810709999999</v>
      </c>
      <c r="P309">
        <v>-74.061775209999993</v>
      </c>
      <c r="Q309" t="s">
        <v>2736</v>
      </c>
      <c r="R309">
        <v>4181818.182</v>
      </c>
      <c r="S309">
        <v>0</v>
      </c>
      <c r="T309" t="s">
        <v>117</v>
      </c>
      <c r="U309" t="s">
        <v>118</v>
      </c>
      <c r="V309" t="s">
        <v>77</v>
      </c>
      <c r="W309" t="s">
        <v>119</v>
      </c>
      <c r="X309" t="s">
        <v>120</v>
      </c>
      <c r="Y309">
        <v>1.47341901702119</v>
      </c>
      <c r="Z309">
        <v>1473.41901702119</v>
      </c>
      <c r="AA309">
        <v>4.73719444444444</v>
      </c>
      <c r="AB309">
        <v>-74.069472222222203</v>
      </c>
      <c r="AC309">
        <v>2555</v>
      </c>
      <c r="AD309">
        <v>0</v>
      </c>
      <c r="AE309" t="s">
        <v>80</v>
      </c>
      <c r="AF309" t="s">
        <v>107</v>
      </c>
      <c r="AG309" t="s">
        <v>82</v>
      </c>
      <c r="AH309" t="s">
        <v>83</v>
      </c>
      <c r="AI309" t="s">
        <v>121</v>
      </c>
      <c r="AJ309">
        <v>1.6220657170728401</v>
      </c>
      <c r="AK309">
        <v>4.5226068265126704</v>
      </c>
      <c r="AL309">
        <v>1.0941175760601001</v>
      </c>
      <c r="AM309">
        <v>0.269441543783773</v>
      </c>
      <c r="AN309">
        <v>2.70852146110097</v>
      </c>
      <c r="AO309">
        <v>4.98175666957772E-2</v>
      </c>
      <c r="AP309">
        <v>4.98175666957772E-2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14</v>
      </c>
      <c r="AW309">
        <v>0</v>
      </c>
      <c r="AX309">
        <v>0</v>
      </c>
      <c r="AY309">
        <v>15.3</v>
      </c>
      <c r="AZ309">
        <v>9.8000000000000007</v>
      </c>
      <c r="BA309">
        <v>29.7</v>
      </c>
      <c r="BB309">
        <v>564</v>
      </c>
      <c r="BC309">
        <v>68</v>
      </c>
      <c r="BD309">
        <v>1.8</v>
      </c>
      <c r="BE309">
        <v>43</v>
      </c>
      <c r="BF309">
        <v>25.4</v>
      </c>
      <c r="BG309">
        <v>162</v>
      </c>
      <c r="BH309">
        <v>9.1</v>
      </c>
      <c r="BI309">
        <v>9.1999999999999993</v>
      </c>
      <c r="BJ309">
        <v>18.3</v>
      </c>
      <c r="BK309">
        <v>0.34</v>
      </c>
      <c r="BL309">
        <v>7.3</v>
      </c>
      <c r="BM309">
        <v>0.9</v>
      </c>
      <c r="BN309">
        <v>7.5</v>
      </c>
      <c r="BO309">
        <v>2.9</v>
      </c>
      <c r="BP309">
        <f t="shared" si="8"/>
        <v>9.1106872211150964</v>
      </c>
      <c r="BQ309">
        <f t="shared" si="9"/>
        <v>28.668099514497293</v>
      </c>
    </row>
    <row r="310" spans="1:69" hidden="1" x14ac:dyDescent="0.2">
      <c r="A310" t="s">
        <v>2895</v>
      </c>
      <c r="B310" t="s">
        <v>68</v>
      </c>
      <c r="C310" t="s">
        <v>1956</v>
      </c>
      <c r="D310" t="s">
        <v>70</v>
      </c>
      <c r="E310" t="s">
        <v>1432</v>
      </c>
      <c r="F310">
        <v>3</v>
      </c>
      <c r="G310">
        <v>110</v>
      </c>
      <c r="H310">
        <v>3</v>
      </c>
      <c r="I310">
        <v>3</v>
      </c>
      <c r="J310">
        <v>1</v>
      </c>
      <c r="K310" t="s">
        <v>110</v>
      </c>
      <c r="L310" t="s">
        <v>162</v>
      </c>
      <c r="M310" s="4">
        <v>437000000</v>
      </c>
      <c r="N310">
        <v>0</v>
      </c>
      <c r="O310">
        <v>4.7613583000000004</v>
      </c>
      <c r="P310">
        <v>-74.042366000000001</v>
      </c>
      <c r="Q310" t="s">
        <v>2896</v>
      </c>
      <c r="R310">
        <v>3972727.273</v>
      </c>
      <c r="S310">
        <v>0</v>
      </c>
      <c r="T310" t="s">
        <v>151</v>
      </c>
      <c r="U310" t="s">
        <v>152</v>
      </c>
      <c r="V310" t="s">
        <v>77</v>
      </c>
      <c r="W310" t="s">
        <v>119</v>
      </c>
      <c r="X310" t="s">
        <v>153</v>
      </c>
      <c r="Y310">
        <v>2.5003795081062101</v>
      </c>
      <c r="Z310">
        <v>2500.3795081062099</v>
      </c>
      <c r="AA310">
        <v>4.7837500000000004</v>
      </c>
      <c r="AB310">
        <v>-74.044138888888895</v>
      </c>
      <c r="AC310">
        <v>2580</v>
      </c>
      <c r="AD310">
        <v>0</v>
      </c>
      <c r="AE310" t="s">
        <v>154</v>
      </c>
      <c r="AF310" t="s">
        <v>107</v>
      </c>
      <c r="AG310" t="s">
        <v>82</v>
      </c>
      <c r="AH310" t="s">
        <v>83</v>
      </c>
      <c r="AI310" t="s">
        <v>108</v>
      </c>
      <c r="AJ310">
        <v>0.317577514327469</v>
      </c>
      <c r="AK310">
        <v>2.2212550861223299</v>
      </c>
      <c r="AL310">
        <v>1.5172590436075399</v>
      </c>
      <c r="AM310">
        <v>0.45891722218367598</v>
      </c>
      <c r="AN310">
        <v>2.7932819542272602</v>
      </c>
      <c r="AO310">
        <v>0.190584394840215</v>
      </c>
      <c r="AP310">
        <v>0.190584394840215</v>
      </c>
      <c r="AQ310">
        <v>1</v>
      </c>
      <c r="AR310">
        <v>3</v>
      </c>
      <c r="AS310">
        <v>0</v>
      </c>
      <c r="AT310">
        <v>0</v>
      </c>
      <c r="AU310">
        <v>0</v>
      </c>
      <c r="AV310">
        <v>16</v>
      </c>
      <c r="AW310">
        <v>0</v>
      </c>
      <c r="AX310">
        <v>0</v>
      </c>
      <c r="AY310">
        <v>15.3</v>
      </c>
      <c r="AZ310">
        <v>9.8000000000000007</v>
      </c>
      <c r="BA310">
        <v>29.7</v>
      </c>
      <c r="BB310">
        <v>564</v>
      </c>
      <c r="BC310">
        <v>68</v>
      </c>
      <c r="BD310">
        <v>1.8</v>
      </c>
      <c r="BE310">
        <v>43</v>
      </c>
      <c r="BF310">
        <v>25.4</v>
      </c>
      <c r="BG310">
        <v>162</v>
      </c>
      <c r="BH310">
        <v>9.1</v>
      </c>
      <c r="BI310">
        <v>9.1999999999999993</v>
      </c>
      <c r="BJ310">
        <v>18.3</v>
      </c>
      <c r="BK310">
        <v>0.34</v>
      </c>
      <c r="BL310">
        <v>7.3</v>
      </c>
      <c r="BM310">
        <v>0.9</v>
      </c>
      <c r="BN310">
        <v>7.5</v>
      </c>
      <c r="BO310">
        <v>2.9</v>
      </c>
      <c r="BP310">
        <f t="shared" si="8"/>
        <v>8.6591243230011035</v>
      </c>
      <c r="BQ310">
        <f t="shared" si="9"/>
        <v>27.970151888707022</v>
      </c>
    </row>
    <row r="311" spans="1:69" hidden="1" x14ac:dyDescent="0.2">
      <c r="A311" t="s">
        <v>450</v>
      </c>
      <c r="B311" t="s">
        <v>68</v>
      </c>
      <c r="C311" t="s">
        <v>69</v>
      </c>
      <c r="D311" t="s">
        <v>70</v>
      </c>
      <c r="E311" t="s">
        <v>165</v>
      </c>
      <c r="F311">
        <v>4</v>
      </c>
      <c r="G311">
        <v>108.48</v>
      </c>
      <c r="H311">
        <v>3</v>
      </c>
      <c r="I311">
        <v>2</v>
      </c>
      <c r="J311">
        <v>2</v>
      </c>
      <c r="K311" t="s">
        <v>110</v>
      </c>
      <c r="L311" t="s">
        <v>111</v>
      </c>
      <c r="M311" s="4">
        <v>900000000</v>
      </c>
      <c r="N311">
        <v>0</v>
      </c>
      <c r="O311">
        <v>4.7559533119999999</v>
      </c>
      <c r="P311">
        <v>-74.049507140000003</v>
      </c>
      <c r="Q311" t="s">
        <v>451</v>
      </c>
      <c r="R311">
        <v>8296460.1770000001</v>
      </c>
      <c r="S311">
        <v>0</v>
      </c>
      <c r="T311" t="s">
        <v>117</v>
      </c>
      <c r="U311" t="s">
        <v>118</v>
      </c>
      <c r="V311" t="s">
        <v>77</v>
      </c>
      <c r="W311" t="s">
        <v>119</v>
      </c>
      <c r="X311" t="s">
        <v>120</v>
      </c>
      <c r="Y311">
        <v>3.0440746547633699</v>
      </c>
      <c r="Z311">
        <v>3044.0746547633698</v>
      </c>
      <c r="AA311">
        <v>4.73719444444444</v>
      </c>
      <c r="AB311">
        <v>-74.069472222222203</v>
      </c>
      <c r="AC311">
        <v>2555</v>
      </c>
      <c r="AD311">
        <v>0</v>
      </c>
      <c r="AE311" t="s">
        <v>80</v>
      </c>
      <c r="AF311" t="s">
        <v>107</v>
      </c>
      <c r="AG311" t="s">
        <v>82</v>
      </c>
      <c r="AH311" t="s">
        <v>83</v>
      </c>
      <c r="AI311" t="s">
        <v>121</v>
      </c>
      <c r="AJ311">
        <v>0.41107564142481401</v>
      </c>
      <c r="AK311">
        <v>3.0520486571182999</v>
      </c>
      <c r="AL311">
        <v>0.52645258317389698</v>
      </c>
      <c r="AM311">
        <v>0.31286672646119001</v>
      </c>
      <c r="AN311">
        <v>2.9856315418114399</v>
      </c>
      <c r="AO311">
        <v>6.06627760668869E-2</v>
      </c>
      <c r="AP311">
        <v>6.06627760668869E-2</v>
      </c>
      <c r="AQ311">
        <v>1</v>
      </c>
      <c r="AR311">
        <v>2</v>
      </c>
      <c r="AS311">
        <v>0</v>
      </c>
      <c r="AT311">
        <v>0</v>
      </c>
      <c r="AU311">
        <v>1</v>
      </c>
      <c r="AV311">
        <v>24</v>
      </c>
      <c r="AW311">
        <v>0</v>
      </c>
      <c r="AX311">
        <v>0</v>
      </c>
      <c r="AY311">
        <v>15.3</v>
      </c>
      <c r="AZ311">
        <v>9.8000000000000007</v>
      </c>
      <c r="BA311">
        <v>29.7</v>
      </c>
      <c r="BB311">
        <v>564</v>
      </c>
      <c r="BC311">
        <v>68</v>
      </c>
      <c r="BD311">
        <v>1.8</v>
      </c>
      <c r="BE311">
        <v>43</v>
      </c>
      <c r="BF311">
        <v>25.4</v>
      </c>
      <c r="BG311">
        <v>162</v>
      </c>
      <c r="BH311">
        <v>9.1</v>
      </c>
      <c r="BI311">
        <v>9.1999999999999993</v>
      </c>
      <c r="BJ311">
        <v>18.3</v>
      </c>
      <c r="BK311">
        <v>0.34</v>
      </c>
      <c r="BL311">
        <v>7.3</v>
      </c>
      <c r="BM311">
        <v>0.9</v>
      </c>
      <c r="BN311">
        <v>7.5</v>
      </c>
      <c r="BO311">
        <v>2.9</v>
      </c>
      <c r="BP311">
        <f t="shared" si="8"/>
        <v>8.4291900697745312</v>
      </c>
      <c r="BQ311">
        <f t="shared" si="9"/>
        <v>27.607549118070441</v>
      </c>
    </row>
    <row r="312" spans="1:69" hidden="1" x14ac:dyDescent="0.2">
      <c r="A312" t="s">
        <v>2187</v>
      </c>
      <c r="B312" t="s">
        <v>68</v>
      </c>
      <c r="C312" t="s">
        <v>1956</v>
      </c>
      <c r="D312" t="s">
        <v>70</v>
      </c>
      <c r="E312" t="s">
        <v>1426</v>
      </c>
      <c r="F312">
        <v>4</v>
      </c>
      <c r="G312">
        <v>107.34</v>
      </c>
      <c r="H312">
        <v>3</v>
      </c>
      <c r="I312">
        <v>3</v>
      </c>
      <c r="J312">
        <v>1</v>
      </c>
      <c r="K312" t="s">
        <v>110</v>
      </c>
      <c r="L312" t="s">
        <v>124</v>
      </c>
      <c r="M312" s="4">
        <v>529900000</v>
      </c>
      <c r="N312">
        <v>0</v>
      </c>
      <c r="O312">
        <v>4.7550964359999996</v>
      </c>
      <c r="P312">
        <v>-74.039031980000004</v>
      </c>
      <c r="Q312" t="s">
        <v>2188</v>
      </c>
      <c r="R312">
        <v>4936649.898</v>
      </c>
      <c r="S312">
        <v>0</v>
      </c>
      <c r="T312" t="s">
        <v>151</v>
      </c>
      <c r="U312" t="s">
        <v>152</v>
      </c>
      <c r="V312" t="s">
        <v>77</v>
      </c>
      <c r="W312" t="s">
        <v>119</v>
      </c>
      <c r="X312" t="s">
        <v>153</v>
      </c>
      <c r="Y312">
        <v>3.23962085816436</v>
      </c>
      <c r="Z312">
        <v>3239.62085816436</v>
      </c>
      <c r="AA312">
        <v>4.7837500000000004</v>
      </c>
      <c r="AB312">
        <v>-74.044138888888895</v>
      </c>
      <c r="AC312">
        <v>2580</v>
      </c>
      <c r="AD312">
        <v>0</v>
      </c>
      <c r="AE312" t="s">
        <v>154</v>
      </c>
      <c r="AF312" t="s">
        <v>107</v>
      </c>
      <c r="AG312" t="s">
        <v>82</v>
      </c>
      <c r="AH312" t="s">
        <v>83</v>
      </c>
      <c r="AI312" t="s">
        <v>108</v>
      </c>
      <c r="AJ312">
        <v>0.77924381426200495</v>
      </c>
      <c r="AK312">
        <v>1.9007190019493501</v>
      </c>
      <c r="AL312">
        <v>1.04174058207683</v>
      </c>
      <c r="AM312">
        <v>0.71465381776108095</v>
      </c>
      <c r="AN312">
        <v>2.0260643787527002</v>
      </c>
      <c r="AO312">
        <v>1.96965548072663E-2</v>
      </c>
      <c r="AP312">
        <v>1.96965548072663E-2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9</v>
      </c>
      <c r="AW312">
        <v>0</v>
      </c>
      <c r="AX312">
        <v>0</v>
      </c>
      <c r="AY312">
        <v>15.3</v>
      </c>
      <c r="AZ312">
        <v>9.8000000000000007</v>
      </c>
      <c r="BA312">
        <v>29.7</v>
      </c>
      <c r="BB312">
        <v>564</v>
      </c>
      <c r="BC312">
        <v>68</v>
      </c>
      <c r="BD312">
        <v>1.8</v>
      </c>
      <c r="BE312">
        <v>43</v>
      </c>
      <c r="BF312">
        <v>25.4</v>
      </c>
      <c r="BG312">
        <v>162</v>
      </c>
      <c r="BH312">
        <v>9.1</v>
      </c>
      <c r="BI312">
        <v>9.1999999999999993</v>
      </c>
      <c r="BJ312">
        <v>18.3</v>
      </c>
      <c r="BK312">
        <v>0.34</v>
      </c>
      <c r="BL312">
        <v>7.3</v>
      </c>
      <c r="BM312">
        <v>0.9</v>
      </c>
      <c r="BN312">
        <v>7.5</v>
      </c>
      <c r="BO312">
        <v>2.9</v>
      </c>
      <c r="BP312">
        <f t="shared" si="8"/>
        <v>8.3479930209282944</v>
      </c>
      <c r="BQ312">
        <f t="shared" si="9"/>
        <v>27.478287440918976</v>
      </c>
    </row>
    <row r="313" spans="1:69" hidden="1" x14ac:dyDescent="0.2">
      <c r="A313" t="s">
        <v>1909</v>
      </c>
      <c r="B313" t="s">
        <v>68</v>
      </c>
      <c r="C313" t="s">
        <v>69</v>
      </c>
      <c r="D313" t="s">
        <v>70</v>
      </c>
      <c r="E313" t="s">
        <v>114</v>
      </c>
      <c r="F313">
        <v>6</v>
      </c>
      <c r="G313">
        <v>107</v>
      </c>
      <c r="H313">
        <v>2</v>
      </c>
      <c r="I313">
        <v>3</v>
      </c>
      <c r="J313">
        <v>2</v>
      </c>
      <c r="K313" t="s">
        <v>110</v>
      </c>
      <c r="L313" t="s">
        <v>133</v>
      </c>
      <c r="M313" s="4">
        <v>1550000000</v>
      </c>
      <c r="N313">
        <v>0</v>
      </c>
      <c r="O313">
        <v>4.7187747959999999</v>
      </c>
      <c r="P313">
        <v>-74.074439999999996</v>
      </c>
      <c r="Q313" t="s">
        <v>1910</v>
      </c>
      <c r="R313">
        <v>14485981.310000001</v>
      </c>
      <c r="S313">
        <v>0</v>
      </c>
      <c r="T313" t="s">
        <v>117</v>
      </c>
      <c r="U313" t="s">
        <v>118</v>
      </c>
      <c r="V313" t="s">
        <v>77</v>
      </c>
      <c r="W313" t="s">
        <v>119</v>
      </c>
      <c r="X313" t="s">
        <v>120</v>
      </c>
      <c r="Y313">
        <v>2.1232412078563501</v>
      </c>
      <c r="Z313">
        <v>2123.2412078563498</v>
      </c>
      <c r="AA313">
        <v>4.73719444444444</v>
      </c>
      <c r="AB313">
        <v>-74.069472222222203</v>
      </c>
      <c r="AC313">
        <v>2555</v>
      </c>
      <c r="AD313">
        <v>0</v>
      </c>
      <c r="AE313" t="s">
        <v>80</v>
      </c>
      <c r="AF313" t="s">
        <v>107</v>
      </c>
      <c r="AG313" t="s">
        <v>82</v>
      </c>
      <c r="AH313" t="s">
        <v>83</v>
      </c>
      <c r="AI313" t="s">
        <v>121</v>
      </c>
      <c r="AJ313">
        <v>0.27707952765533</v>
      </c>
      <c r="AK313">
        <v>5.5586572872671098</v>
      </c>
      <c r="AL313">
        <v>0.39690929453211798</v>
      </c>
      <c r="AM313">
        <v>0.19880316982666901</v>
      </c>
      <c r="AN313">
        <v>2.7771198312844398</v>
      </c>
      <c r="AO313">
        <v>5.0099900373378102E-2</v>
      </c>
      <c r="AP313">
        <v>5.0099900373378102E-2</v>
      </c>
      <c r="AQ313">
        <v>1</v>
      </c>
      <c r="AR313">
        <v>3</v>
      </c>
      <c r="AS313">
        <v>0</v>
      </c>
      <c r="AT313">
        <v>0</v>
      </c>
      <c r="AU313">
        <v>1</v>
      </c>
      <c r="AV313">
        <v>35</v>
      </c>
      <c r="AW313">
        <v>0</v>
      </c>
      <c r="AX313">
        <v>0</v>
      </c>
      <c r="AY313">
        <v>15.3</v>
      </c>
      <c r="AZ313">
        <v>9.8000000000000007</v>
      </c>
      <c r="BA313">
        <v>29.7</v>
      </c>
      <c r="BB313">
        <v>564</v>
      </c>
      <c r="BC313">
        <v>68</v>
      </c>
      <c r="BD313">
        <v>1.8</v>
      </c>
      <c r="BE313">
        <v>43</v>
      </c>
      <c r="BF313">
        <v>25.4</v>
      </c>
      <c r="BG313">
        <v>162</v>
      </c>
      <c r="BH313">
        <v>9.1</v>
      </c>
      <c r="BI313">
        <v>9.1999999999999993</v>
      </c>
      <c r="BJ313">
        <v>18.3</v>
      </c>
      <c r="BK313">
        <v>0.34</v>
      </c>
      <c r="BL313">
        <v>7.3</v>
      </c>
      <c r="BM313">
        <v>0.9</v>
      </c>
      <c r="BN313">
        <v>7.5</v>
      </c>
      <c r="BO313">
        <v>2.9</v>
      </c>
      <c r="BP313">
        <f t="shared" si="8"/>
        <v>8.8222941674798943</v>
      </c>
      <c r="BQ313">
        <f t="shared" si="9"/>
        <v>28.224467873005178</v>
      </c>
    </row>
    <row r="314" spans="1:69" hidden="1" x14ac:dyDescent="0.2">
      <c r="A314" t="s">
        <v>1354</v>
      </c>
      <c r="B314" t="s">
        <v>68</v>
      </c>
      <c r="C314" t="s">
        <v>69</v>
      </c>
      <c r="D314" t="s">
        <v>70</v>
      </c>
      <c r="E314" t="s">
        <v>181</v>
      </c>
      <c r="F314">
        <v>6</v>
      </c>
      <c r="G314">
        <v>107</v>
      </c>
      <c r="H314">
        <v>3</v>
      </c>
      <c r="I314">
        <v>2</v>
      </c>
      <c r="J314">
        <v>2</v>
      </c>
      <c r="K314" t="s">
        <v>110</v>
      </c>
      <c r="L314" t="s">
        <v>124</v>
      </c>
      <c r="M314" s="4">
        <v>748000000</v>
      </c>
      <c r="N314">
        <v>0</v>
      </c>
      <c r="O314">
        <v>4.7321906089999999</v>
      </c>
      <c r="P314">
        <v>-74.074752810000007</v>
      </c>
      <c r="Q314" t="s">
        <v>1355</v>
      </c>
      <c r="R314">
        <v>6990654.2060000002</v>
      </c>
      <c r="S314">
        <v>0</v>
      </c>
      <c r="T314" t="s">
        <v>117</v>
      </c>
      <c r="U314" t="s">
        <v>118</v>
      </c>
      <c r="V314" t="s">
        <v>77</v>
      </c>
      <c r="W314" t="s">
        <v>119</v>
      </c>
      <c r="X314" t="s">
        <v>120</v>
      </c>
      <c r="Y314">
        <v>0.80837416400533302</v>
      </c>
      <c r="Z314">
        <v>808.374164005333</v>
      </c>
      <c r="AA314">
        <v>4.73719444444444</v>
      </c>
      <c r="AB314">
        <v>-74.069472222222203</v>
      </c>
      <c r="AC314">
        <v>2555</v>
      </c>
      <c r="AD314">
        <v>0</v>
      </c>
      <c r="AE314" t="s">
        <v>80</v>
      </c>
      <c r="AF314" t="s">
        <v>107</v>
      </c>
      <c r="AG314" t="s">
        <v>82</v>
      </c>
      <c r="AH314" t="s">
        <v>83</v>
      </c>
      <c r="AI314" t="s">
        <v>121</v>
      </c>
      <c r="AJ314">
        <v>0.52326269007961901</v>
      </c>
      <c r="AK314">
        <v>5.4113560429707697</v>
      </c>
      <c r="AL314">
        <v>1.7350291586281901</v>
      </c>
      <c r="AM314">
        <v>0.75308191556230897</v>
      </c>
      <c r="AN314">
        <v>1.55221203497099</v>
      </c>
      <c r="AO314">
        <v>2.3229289250645799E-2</v>
      </c>
      <c r="AP314">
        <v>2.3229289250645799E-2</v>
      </c>
      <c r="AQ314">
        <v>0</v>
      </c>
      <c r="AR314">
        <v>2</v>
      </c>
      <c r="AS314">
        <v>0</v>
      </c>
      <c r="AT314">
        <v>0</v>
      </c>
      <c r="AU314">
        <v>0</v>
      </c>
      <c r="AV314">
        <v>11</v>
      </c>
      <c r="AW314">
        <v>0</v>
      </c>
      <c r="AX314">
        <v>0</v>
      </c>
      <c r="AY314">
        <v>15.3</v>
      </c>
      <c r="AZ314">
        <v>9.8000000000000007</v>
      </c>
      <c r="BA314">
        <v>29.7</v>
      </c>
      <c r="BB314">
        <v>564</v>
      </c>
      <c r="BC314">
        <v>68</v>
      </c>
      <c r="BD314">
        <v>1.8</v>
      </c>
      <c r="BE314">
        <v>43</v>
      </c>
      <c r="BF314">
        <v>25.4</v>
      </c>
      <c r="BG314">
        <v>162</v>
      </c>
      <c r="BH314">
        <v>9.1</v>
      </c>
      <c r="BI314">
        <v>9.1999999999999993</v>
      </c>
      <c r="BJ314">
        <v>18.3</v>
      </c>
      <c r="BK314">
        <v>0.34</v>
      </c>
      <c r="BL314">
        <v>7.3</v>
      </c>
      <c r="BM314">
        <v>0.9</v>
      </c>
      <c r="BN314">
        <v>7.5</v>
      </c>
      <c r="BO314">
        <v>2.9</v>
      </c>
      <c r="BP314">
        <f t="shared" si="8"/>
        <v>9.415599777662166</v>
      </c>
      <c r="BQ314">
        <f t="shared" si="9"/>
        <v>29.129344433848267</v>
      </c>
    </row>
    <row r="315" spans="1:69" hidden="1" x14ac:dyDescent="0.2">
      <c r="A315" t="s">
        <v>1953</v>
      </c>
      <c r="B315" t="s">
        <v>68</v>
      </c>
      <c r="C315" t="s">
        <v>69</v>
      </c>
      <c r="D315" t="s">
        <v>70</v>
      </c>
      <c r="E315" t="s">
        <v>313</v>
      </c>
      <c r="F315">
        <v>5</v>
      </c>
      <c r="G315">
        <v>106</v>
      </c>
      <c r="H315">
        <v>3</v>
      </c>
      <c r="I315">
        <v>2</v>
      </c>
      <c r="J315">
        <v>2</v>
      </c>
      <c r="K315" t="s">
        <v>110</v>
      </c>
      <c r="L315" t="s">
        <v>124</v>
      </c>
      <c r="M315" s="4">
        <v>750000000</v>
      </c>
      <c r="N315">
        <v>0</v>
      </c>
      <c r="O315">
        <v>4.7087535999999997</v>
      </c>
      <c r="P315">
        <v>-74.061570000000003</v>
      </c>
      <c r="Q315" t="s">
        <v>1954</v>
      </c>
      <c r="R315">
        <v>7075471.6979999999</v>
      </c>
      <c r="S315">
        <v>0</v>
      </c>
      <c r="T315" t="s">
        <v>117</v>
      </c>
      <c r="U315" t="s">
        <v>118</v>
      </c>
      <c r="V315" t="s">
        <v>77</v>
      </c>
      <c r="W315" t="s">
        <v>119</v>
      </c>
      <c r="X315" t="s">
        <v>120</v>
      </c>
      <c r="Y315">
        <v>3.2851575568879698</v>
      </c>
      <c r="Z315">
        <v>3285.1575568879698</v>
      </c>
      <c r="AA315">
        <v>4.73719444444444</v>
      </c>
      <c r="AB315">
        <v>-74.069472222222203</v>
      </c>
      <c r="AC315">
        <v>2555</v>
      </c>
      <c r="AD315">
        <v>0</v>
      </c>
      <c r="AE315" t="s">
        <v>80</v>
      </c>
      <c r="AF315" t="s">
        <v>107</v>
      </c>
      <c r="AG315" t="s">
        <v>82</v>
      </c>
      <c r="AH315" t="s">
        <v>83</v>
      </c>
      <c r="AI315" t="s">
        <v>121</v>
      </c>
      <c r="AJ315">
        <v>0.93268483919914702</v>
      </c>
      <c r="AK315">
        <v>4.0469211981998798</v>
      </c>
      <c r="AL315">
        <v>1.41168553828918</v>
      </c>
      <c r="AM315">
        <v>0.38492264345472299</v>
      </c>
      <c r="AN315">
        <v>4.46727868002103</v>
      </c>
      <c r="AO315">
        <v>0.152785326629402</v>
      </c>
      <c r="AP315">
        <v>0.152785326629402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20</v>
      </c>
      <c r="AW315">
        <v>0</v>
      </c>
      <c r="AX315">
        <v>0</v>
      </c>
      <c r="AY315">
        <v>15.3</v>
      </c>
      <c r="AZ315">
        <v>9.8000000000000007</v>
      </c>
      <c r="BA315">
        <v>29.7</v>
      </c>
      <c r="BB315">
        <v>564</v>
      </c>
      <c r="BC315">
        <v>68</v>
      </c>
      <c r="BD315">
        <v>1.8</v>
      </c>
      <c r="BE315">
        <v>43</v>
      </c>
      <c r="BF315">
        <v>25.4</v>
      </c>
      <c r="BG315">
        <v>162</v>
      </c>
      <c r="BH315">
        <v>9.1</v>
      </c>
      <c r="BI315">
        <v>9.1999999999999993</v>
      </c>
      <c r="BJ315">
        <v>18.3</v>
      </c>
      <c r="BK315">
        <v>0.34</v>
      </c>
      <c r="BL315">
        <v>7.3</v>
      </c>
      <c r="BM315">
        <v>0.9</v>
      </c>
      <c r="BN315">
        <v>7.5</v>
      </c>
      <c r="BO315">
        <v>2.9</v>
      </c>
      <c r="BP315">
        <f t="shared" si="8"/>
        <v>8.329197280176567</v>
      </c>
      <c r="BQ315">
        <f t="shared" si="9"/>
        <v>27.448273352896845</v>
      </c>
    </row>
    <row r="316" spans="1:69" hidden="1" x14ac:dyDescent="0.2">
      <c r="A316" t="s">
        <v>2670</v>
      </c>
      <c r="B316" t="s">
        <v>68</v>
      </c>
      <c r="C316" t="s">
        <v>1956</v>
      </c>
      <c r="D316" t="s">
        <v>70</v>
      </c>
      <c r="E316" t="s">
        <v>1505</v>
      </c>
      <c r="F316">
        <v>4</v>
      </c>
      <c r="G316">
        <v>106</v>
      </c>
      <c r="H316">
        <v>3</v>
      </c>
      <c r="I316">
        <v>3</v>
      </c>
      <c r="J316">
        <v>1</v>
      </c>
      <c r="K316" t="s">
        <v>110</v>
      </c>
      <c r="L316" t="s">
        <v>124</v>
      </c>
      <c r="M316" s="4">
        <v>620000000</v>
      </c>
      <c r="N316">
        <v>0</v>
      </c>
      <c r="O316">
        <v>4.7548236849999999</v>
      </c>
      <c r="P316">
        <v>-74.038497919999998</v>
      </c>
      <c r="Q316" t="s">
        <v>2671</v>
      </c>
      <c r="R316">
        <v>5849056.6040000003</v>
      </c>
      <c r="S316">
        <v>0</v>
      </c>
      <c r="T316" t="s">
        <v>151</v>
      </c>
      <c r="U316" t="s">
        <v>152</v>
      </c>
      <c r="V316" t="s">
        <v>77</v>
      </c>
      <c r="W316" t="s">
        <v>119</v>
      </c>
      <c r="X316" t="s">
        <v>153</v>
      </c>
      <c r="Y316">
        <v>3.28030464206712</v>
      </c>
      <c r="Z316">
        <v>3280.3046420671199</v>
      </c>
      <c r="AA316">
        <v>4.7837500000000004</v>
      </c>
      <c r="AB316">
        <v>-74.044138888888895</v>
      </c>
      <c r="AC316">
        <v>2580</v>
      </c>
      <c r="AD316">
        <v>0</v>
      </c>
      <c r="AE316" t="s">
        <v>154</v>
      </c>
      <c r="AF316" t="s">
        <v>107</v>
      </c>
      <c r="AG316" t="s">
        <v>82</v>
      </c>
      <c r="AH316" t="s">
        <v>83</v>
      </c>
      <c r="AI316" t="s">
        <v>108</v>
      </c>
      <c r="AJ316">
        <v>0.83698917302409603</v>
      </c>
      <c r="AK316">
        <v>1.8457175661870699</v>
      </c>
      <c r="AL316">
        <v>0.97530899132618998</v>
      </c>
      <c r="AM316">
        <v>0.73307251249812899</v>
      </c>
      <c r="AN316">
        <v>1.9640594890727301</v>
      </c>
      <c r="AO316">
        <v>4.6606952310060901E-2</v>
      </c>
      <c r="AP316">
        <v>4.6606952310060901E-2</v>
      </c>
      <c r="AQ316">
        <v>0</v>
      </c>
      <c r="AR316">
        <v>1</v>
      </c>
      <c r="AS316">
        <v>0</v>
      </c>
      <c r="AT316">
        <v>0</v>
      </c>
      <c r="AU316">
        <v>1</v>
      </c>
      <c r="AV316">
        <v>9</v>
      </c>
      <c r="AW316">
        <v>0</v>
      </c>
      <c r="AX316">
        <v>0</v>
      </c>
      <c r="AY316">
        <v>15.3</v>
      </c>
      <c r="AZ316">
        <v>9.8000000000000007</v>
      </c>
      <c r="BA316">
        <v>29.7</v>
      </c>
      <c r="BB316">
        <v>564</v>
      </c>
      <c r="BC316">
        <v>68</v>
      </c>
      <c r="BD316">
        <v>1.8</v>
      </c>
      <c r="BE316">
        <v>43</v>
      </c>
      <c r="BF316">
        <v>25.4</v>
      </c>
      <c r="BG316">
        <v>162</v>
      </c>
      <c r="BH316">
        <v>9.1</v>
      </c>
      <c r="BI316">
        <v>9.1999999999999993</v>
      </c>
      <c r="BJ316">
        <v>18.3</v>
      </c>
      <c r="BK316">
        <v>0.34</v>
      </c>
      <c r="BL316">
        <v>7.3</v>
      </c>
      <c r="BM316">
        <v>0.9</v>
      </c>
      <c r="BN316">
        <v>7.5</v>
      </c>
      <c r="BO316">
        <v>2.9</v>
      </c>
      <c r="BP316">
        <f t="shared" si="8"/>
        <v>8.3311983543191168</v>
      </c>
      <c r="BQ316">
        <f t="shared" si="9"/>
        <v>27.451470438256891</v>
      </c>
    </row>
    <row r="317" spans="1:69" hidden="1" x14ac:dyDescent="0.2">
      <c r="A317" t="s">
        <v>3328</v>
      </c>
      <c r="B317" t="s">
        <v>68</v>
      </c>
      <c r="C317" t="s">
        <v>3294</v>
      </c>
      <c r="D317" t="s">
        <v>70</v>
      </c>
      <c r="E317" t="s">
        <v>545</v>
      </c>
      <c r="F317">
        <v>4</v>
      </c>
      <c r="G317">
        <v>105</v>
      </c>
      <c r="H317">
        <v>3</v>
      </c>
      <c r="I317">
        <v>3</v>
      </c>
      <c r="J317">
        <v>2</v>
      </c>
      <c r="K317" t="s">
        <v>110</v>
      </c>
      <c r="L317" t="s">
        <v>162</v>
      </c>
      <c r="M317" s="4">
        <v>640000000</v>
      </c>
      <c r="N317">
        <v>0</v>
      </c>
      <c r="O317">
        <v>4.7384997459999996</v>
      </c>
      <c r="P317">
        <v>-74.060901759999993</v>
      </c>
      <c r="Q317" t="s">
        <v>3329</v>
      </c>
      <c r="R317">
        <v>6095238.0949999997</v>
      </c>
      <c r="S317">
        <v>0</v>
      </c>
      <c r="T317" t="s">
        <v>117</v>
      </c>
      <c r="U317" t="s">
        <v>118</v>
      </c>
      <c r="V317" t="s">
        <v>77</v>
      </c>
      <c r="W317" t="s">
        <v>119</v>
      </c>
      <c r="X317" t="s">
        <v>120</v>
      </c>
      <c r="Y317">
        <v>0.96183855228517401</v>
      </c>
      <c r="Z317">
        <v>961.83855228517405</v>
      </c>
      <c r="AA317">
        <v>4.73719444444444</v>
      </c>
      <c r="AB317">
        <v>-74.069472222222203</v>
      </c>
      <c r="AC317">
        <v>2555</v>
      </c>
      <c r="AD317">
        <v>0</v>
      </c>
      <c r="AE317" t="s">
        <v>80</v>
      </c>
      <c r="AF317" t="s">
        <v>107</v>
      </c>
      <c r="AG317" t="s">
        <v>82</v>
      </c>
      <c r="AH317" t="s">
        <v>83</v>
      </c>
      <c r="AI317" t="s">
        <v>121</v>
      </c>
      <c r="AJ317">
        <v>1.36474323925121</v>
      </c>
      <c r="AK317">
        <v>4.3612579236580196</v>
      </c>
      <c r="AL317">
        <v>1.83748818457161</v>
      </c>
      <c r="AM317">
        <v>0.4593323575289</v>
      </c>
      <c r="AN317">
        <v>2.72542687435371</v>
      </c>
      <c r="AO317">
        <v>0.24806278200435999</v>
      </c>
      <c r="AP317">
        <v>0.24806278200435999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</v>
      </c>
      <c r="AW317">
        <v>0</v>
      </c>
      <c r="AX317">
        <v>0</v>
      </c>
      <c r="AY317">
        <v>15.3</v>
      </c>
      <c r="AZ317">
        <v>9.8000000000000007</v>
      </c>
      <c r="BA317">
        <v>29.7</v>
      </c>
      <c r="BB317">
        <v>564</v>
      </c>
      <c r="BC317">
        <v>68</v>
      </c>
      <c r="BD317">
        <v>1.8</v>
      </c>
      <c r="BE317">
        <v>43</v>
      </c>
      <c r="BF317">
        <v>25.4</v>
      </c>
      <c r="BG317">
        <v>162</v>
      </c>
      <c r="BH317">
        <v>9.1</v>
      </c>
      <c r="BI317">
        <v>9.1999999999999993</v>
      </c>
      <c r="BJ317">
        <v>18.3</v>
      </c>
      <c r="BK317">
        <v>0.34</v>
      </c>
      <c r="BL317">
        <v>7.3</v>
      </c>
      <c r="BM317">
        <v>0.9</v>
      </c>
      <c r="BN317">
        <v>7.5</v>
      </c>
      <c r="BO317">
        <v>2.9</v>
      </c>
      <c r="BP317">
        <f t="shared" si="8"/>
        <v>9.344345278882928</v>
      </c>
      <c r="BQ317">
        <f t="shared" si="9"/>
        <v>29.022254160839918</v>
      </c>
    </row>
    <row r="318" spans="1:69" hidden="1" x14ac:dyDescent="0.2">
      <c r="A318" t="s">
        <v>1029</v>
      </c>
      <c r="B318" t="s">
        <v>68</v>
      </c>
      <c r="C318" t="s">
        <v>69</v>
      </c>
      <c r="D318" t="s">
        <v>70</v>
      </c>
      <c r="E318" t="s">
        <v>429</v>
      </c>
      <c r="F318">
        <v>4</v>
      </c>
      <c r="G318">
        <v>104</v>
      </c>
      <c r="H318">
        <v>3</v>
      </c>
      <c r="I318">
        <v>2</v>
      </c>
      <c r="J318">
        <v>1</v>
      </c>
      <c r="K318" t="s">
        <v>110</v>
      </c>
      <c r="L318" t="s">
        <v>162</v>
      </c>
      <c r="M318" s="4">
        <v>588000000</v>
      </c>
      <c r="N318">
        <v>0</v>
      </c>
      <c r="O318">
        <v>4.7297796969999997</v>
      </c>
      <c r="P318">
        <v>-74.048526559999999</v>
      </c>
      <c r="Q318" t="s">
        <v>1030</v>
      </c>
      <c r="R318">
        <v>5653846.1540000001</v>
      </c>
      <c r="S318">
        <v>0</v>
      </c>
      <c r="T318" t="s">
        <v>117</v>
      </c>
      <c r="U318" t="s">
        <v>118</v>
      </c>
      <c r="V318" t="s">
        <v>77</v>
      </c>
      <c r="W318" t="s">
        <v>119</v>
      </c>
      <c r="X318" t="s">
        <v>120</v>
      </c>
      <c r="Y318">
        <v>2.4659508127681198</v>
      </c>
      <c r="Z318">
        <v>2465.9508127681202</v>
      </c>
      <c r="AA318">
        <v>4.73719444444444</v>
      </c>
      <c r="AB318">
        <v>-74.069472222222203</v>
      </c>
      <c r="AC318">
        <v>2555</v>
      </c>
      <c r="AD318">
        <v>0</v>
      </c>
      <c r="AE318" t="s">
        <v>80</v>
      </c>
      <c r="AF318" t="s">
        <v>107</v>
      </c>
      <c r="AG318" t="s">
        <v>82</v>
      </c>
      <c r="AH318" t="s">
        <v>83</v>
      </c>
      <c r="AI318" t="s">
        <v>108</v>
      </c>
      <c r="AJ318">
        <v>0.18807499347913501</v>
      </c>
      <c r="AK318">
        <v>2.9588751513284901</v>
      </c>
      <c r="AL318">
        <v>1.0085605453508599</v>
      </c>
      <c r="AM318">
        <v>0.26255799251779</v>
      </c>
      <c r="AN318">
        <v>2.7435875296280998</v>
      </c>
      <c r="AO318">
        <v>0.30128810792896898</v>
      </c>
      <c r="AP318">
        <v>0.30128810792896898</v>
      </c>
      <c r="AQ318">
        <v>2</v>
      </c>
      <c r="AR318">
        <v>3</v>
      </c>
      <c r="AS318">
        <v>0</v>
      </c>
      <c r="AT318">
        <v>0</v>
      </c>
      <c r="AU318">
        <v>0</v>
      </c>
      <c r="AV318">
        <v>33</v>
      </c>
      <c r="AW318">
        <v>0</v>
      </c>
      <c r="AX318">
        <v>0</v>
      </c>
      <c r="AY318">
        <v>15.3</v>
      </c>
      <c r="AZ318">
        <v>9.8000000000000007</v>
      </c>
      <c r="BA318">
        <v>29.7</v>
      </c>
      <c r="BB318">
        <v>564</v>
      </c>
      <c r="BC318">
        <v>68</v>
      </c>
      <c r="BD318">
        <v>1.8</v>
      </c>
      <c r="BE318">
        <v>43</v>
      </c>
      <c r="BF318">
        <v>25.4</v>
      </c>
      <c r="BG318">
        <v>162</v>
      </c>
      <c r="BH318">
        <v>9.1</v>
      </c>
      <c r="BI318">
        <v>9.1999999999999993</v>
      </c>
      <c r="BJ318">
        <v>18.3</v>
      </c>
      <c r="BK318">
        <v>0.34</v>
      </c>
      <c r="BL318">
        <v>7.3</v>
      </c>
      <c r="BM318">
        <v>0.9</v>
      </c>
      <c r="BN318">
        <v>7.5</v>
      </c>
      <c r="BO318">
        <v>2.9</v>
      </c>
      <c r="BP318">
        <f t="shared" si="8"/>
        <v>8.6738939612699166</v>
      </c>
      <c r="BQ318">
        <f t="shared" si="9"/>
        <v>27.993272859800442</v>
      </c>
    </row>
    <row r="319" spans="1:69" hidden="1" x14ac:dyDescent="0.2">
      <c r="A319" t="s">
        <v>1222</v>
      </c>
      <c r="B319" t="s">
        <v>68</v>
      </c>
      <c r="C319" t="s">
        <v>69</v>
      </c>
      <c r="D319" t="s">
        <v>70</v>
      </c>
      <c r="E319" t="s">
        <v>429</v>
      </c>
      <c r="F319">
        <v>4</v>
      </c>
      <c r="G319">
        <v>104</v>
      </c>
      <c r="H319">
        <v>3</v>
      </c>
      <c r="I319">
        <v>2</v>
      </c>
      <c r="J319">
        <v>1</v>
      </c>
      <c r="K319" t="s">
        <v>110</v>
      </c>
      <c r="L319" t="s">
        <v>162</v>
      </c>
      <c r="M319" s="4">
        <v>588000000</v>
      </c>
      <c r="N319">
        <v>0</v>
      </c>
      <c r="O319">
        <v>4.729739189</v>
      </c>
      <c r="P319">
        <v>-74.04919434</v>
      </c>
      <c r="Q319" t="s">
        <v>1223</v>
      </c>
      <c r="R319">
        <v>5653846.1540000001</v>
      </c>
      <c r="S319">
        <v>0</v>
      </c>
      <c r="T319" t="s">
        <v>117</v>
      </c>
      <c r="U319" t="s">
        <v>118</v>
      </c>
      <c r="V319" t="s">
        <v>77</v>
      </c>
      <c r="W319" t="s">
        <v>119</v>
      </c>
      <c r="X319" t="s">
        <v>120</v>
      </c>
      <c r="Y319">
        <v>2.3978261243447601</v>
      </c>
      <c r="Z319">
        <v>2397.82612434476</v>
      </c>
      <c r="AA319">
        <v>4.73719444444444</v>
      </c>
      <c r="AB319">
        <v>-74.069472222222203</v>
      </c>
      <c r="AC319">
        <v>2555</v>
      </c>
      <c r="AD319">
        <v>0</v>
      </c>
      <c r="AE319" t="s">
        <v>80</v>
      </c>
      <c r="AF319" t="s">
        <v>107</v>
      </c>
      <c r="AG319" t="s">
        <v>82</v>
      </c>
      <c r="AH319" t="s">
        <v>83</v>
      </c>
      <c r="AI319" t="s">
        <v>108</v>
      </c>
      <c r="AJ319">
        <v>0.144507005146809</v>
      </c>
      <c r="AK319">
        <v>3.03296535312341</v>
      </c>
      <c r="AL319">
        <v>1.0799105114195899</v>
      </c>
      <c r="AM319">
        <v>0.23607141035832699</v>
      </c>
      <c r="AN319">
        <v>2.8110883434846001</v>
      </c>
      <c r="AO319">
        <v>0.26910297159113999</v>
      </c>
      <c r="AP319">
        <v>0.26910297159113999</v>
      </c>
      <c r="AQ319">
        <v>2</v>
      </c>
      <c r="AR319">
        <v>4</v>
      </c>
      <c r="AS319">
        <v>0</v>
      </c>
      <c r="AT319">
        <v>0</v>
      </c>
      <c r="AU319">
        <v>0</v>
      </c>
      <c r="AV319">
        <v>32</v>
      </c>
      <c r="AW319">
        <v>0</v>
      </c>
      <c r="AX319">
        <v>0</v>
      </c>
      <c r="AY319">
        <v>15.3</v>
      </c>
      <c r="AZ319">
        <v>9.8000000000000007</v>
      </c>
      <c r="BA319">
        <v>29.7</v>
      </c>
      <c r="BB319">
        <v>564</v>
      </c>
      <c r="BC319">
        <v>68</v>
      </c>
      <c r="BD319">
        <v>1.8</v>
      </c>
      <c r="BE319">
        <v>43</v>
      </c>
      <c r="BF319">
        <v>25.4</v>
      </c>
      <c r="BG319">
        <v>162</v>
      </c>
      <c r="BH319">
        <v>9.1</v>
      </c>
      <c r="BI319">
        <v>9.1999999999999993</v>
      </c>
      <c r="BJ319">
        <v>18.3</v>
      </c>
      <c r="BK319">
        <v>0.34</v>
      </c>
      <c r="BL319">
        <v>7.3</v>
      </c>
      <c r="BM319">
        <v>0.9</v>
      </c>
      <c r="BN319">
        <v>7.5</v>
      </c>
      <c r="BO319">
        <v>2.9</v>
      </c>
      <c r="BP319">
        <f t="shared" si="8"/>
        <v>8.7031931975530341</v>
      </c>
      <c r="BQ319">
        <f t="shared" si="9"/>
        <v>28.03907908781305</v>
      </c>
    </row>
    <row r="320" spans="1:69" hidden="1" x14ac:dyDescent="0.2">
      <c r="A320" t="s">
        <v>1605</v>
      </c>
      <c r="B320" t="s">
        <v>68</v>
      </c>
      <c r="C320" t="s">
        <v>69</v>
      </c>
      <c r="D320" t="s">
        <v>70</v>
      </c>
      <c r="E320" t="s">
        <v>679</v>
      </c>
      <c r="F320">
        <v>6</v>
      </c>
      <c r="G320">
        <v>103</v>
      </c>
      <c r="H320">
        <v>3</v>
      </c>
      <c r="I320">
        <v>3</v>
      </c>
      <c r="J320">
        <v>2</v>
      </c>
      <c r="K320" t="s">
        <v>110</v>
      </c>
      <c r="L320" t="s">
        <v>124</v>
      </c>
      <c r="M320" s="4">
        <v>770000000</v>
      </c>
      <c r="N320">
        <v>0</v>
      </c>
      <c r="O320">
        <v>4.7087662679999998</v>
      </c>
      <c r="P320">
        <v>-74.081559549999994</v>
      </c>
      <c r="Q320" t="s">
        <v>1606</v>
      </c>
      <c r="R320">
        <v>7475728.1550000003</v>
      </c>
      <c r="S320">
        <v>0</v>
      </c>
      <c r="T320" t="s">
        <v>117</v>
      </c>
      <c r="U320" t="s">
        <v>118</v>
      </c>
      <c r="V320" t="s">
        <v>77</v>
      </c>
      <c r="W320" t="s">
        <v>119</v>
      </c>
      <c r="X320" t="s">
        <v>120</v>
      </c>
      <c r="Y320">
        <v>3.43700470907716</v>
      </c>
      <c r="Z320">
        <v>3437.00470907716</v>
      </c>
      <c r="AA320">
        <v>4.73719444444444</v>
      </c>
      <c r="AB320">
        <v>-74.069472222222203</v>
      </c>
      <c r="AC320">
        <v>2555</v>
      </c>
      <c r="AD320">
        <v>0</v>
      </c>
      <c r="AE320" t="s">
        <v>80</v>
      </c>
      <c r="AF320" t="s">
        <v>107</v>
      </c>
      <c r="AG320" t="s">
        <v>82</v>
      </c>
      <c r="AH320" t="s">
        <v>83</v>
      </c>
      <c r="AI320" t="s">
        <v>121</v>
      </c>
      <c r="AJ320">
        <v>1.08638036071217</v>
      </c>
      <c r="AK320">
        <v>5.2320899559690499</v>
      </c>
      <c r="AL320">
        <v>1.2122295429129799</v>
      </c>
      <c r="AM320">
        <v>0.351959772761409</v>
      </c>
      <c r="AN320">
        <v>3.1270028325267001</v>
      </c>
      <c r="AO320">
        <v>0.29904552060095202</v>
      </c>
      <c r="AP320">
        <v>0.29904552060095202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12</v>
      </c>
      <c r="AW320">
        <v>0</v>
      </c>
      <c r="AX320">
        <v>0</v>
      </c>
      <c r="AY320">
        <v>15.3</v>
      </c>
      <c r="AZ320">
        <v>9.8000000000000007</v>
      </c>
      <c r="BA320">
        <v>29.7</v>
      </c>
      <c r="BB320">
        <v>564</v>
      </c>
      <c r="BC320">
        <v>68</v>
      </c>
      <c r="BD320">
        <v>1.8</v>
      </c>
      <c r="BE320">
        <v>43</v>
      </c>
      <c r="BF320">
        <v>25.4</v>
      </c>
      <c r="BG320">
        <v>162</v>
      </c>
      <c r="BH320">
        <v>9.1</v>
      </c>
      <c r="BI320">
        <v>9.1999999999999993</v>
      </c>
      <c r="BJ320">
        <v>18.3</v>
      </c>
      <c r="BK320">
        <v>0.34</v>
      </c>
      <c r="BL320">
        <v>7.3</v>
      </c>
      <c r="BM320">
        <v>0.9</v>
      </c>
      <c r="BN320">
        <v>7.5</v>
      </c>
      <c r="BO320">
        <v>2.9</v>
      </c>
      <c r="BP320">
        <f t="shared" si="8"/>
        <v>8.2668261162859427</v>
      </c>
      <c r="BQ320">
        <f t="shared" si="9"/>
        <v>27.348424792652221</v>
      </c>
    </row>
    <row r="321" spans="1:69" hidden="1" x14ac:dyDescent="0.2">
      <c r="A321" t="s">
        <v>1941</v>
      </c>
      <c r="B321" t="s">
        <v>68</v>
      </c>
      <c r="C321" t="s">
        <v>69</v>
      </c>
      <c r="D321" t="s">
        <v>70</v>
      </c>
      <c r="E321" t="s">
        <v>709</v>
      </c>
      <c r="F321">
        <v>4</v>
      </c>
      <c r="G321">
        <v>103</v>
      </c>
      <c r="H321">
        <v>3</v>
      </c>
      <c r="I321">
        <v>3</v>
      </c>
      <c r="J321">
        <v>2</v>
      </c>
      <c r="K321" t="s">
        <v>110</v>
      </c>
      <c r="L321" t="s">
        <v>162</v>
      </c>
      <c r="M321" s="4">
        <v>650000000</v>
      </c>
      <c r="N321">
        <v>0</v>
      </c>
      <c r="O321">
        <v>4.7241841459999998</v>
      </c>
      <c r="P321">
        <v>-74.060078059999995</v>
      </c>
      <c r="Q321" t="s">
        <v>1942</v>
      </c>
      <c r="R321">
        <v>6310679.6119999997</v>
      </c>
      <c r="S321">
        <v>0</v>
      </c>
      <c r="T321" t="s">
        <v>117</v>
      </c>
      <c r="U321" t="s">
        <v>118</v>
      </c>
      <c r="V321" t="s">
        <v>77</v>
      </c>
      <c r="W321" t="s">
        <v>119</v>
      </c>
      <c r="X321" t="s">
        <v>120</v>
      </c>
      <c r="Y321">
        <v>1.78430212036861</v>
      </c>
      <c r="Z321">
        <v>1784.3021203686101</v>
      </c>
      <c r="AA321">
        <v>4.73719444444444</v>
      </c>
      <c r="AB321">
        <v>-74.069472222222203</v>
      </c>
      <c r="AC321">
        <v>2555</v>
      </c>
      <c r="AD321">
        <v>0</v>
      </c>
      <c r="AE321" t="s">
        <v>80</v>
      </c>
      <c r="AF321" t="s">
        <v>107</v>
      </c>
      <c r="AG321" t="s">
        <v>82</v>
      </c>
      <c r="AH321" t="s">
        <v>83</v>
      </c>
      <c r="AI321" t="s">
        <v>121</v>
      </c>
      <c r="AJ321">
        <v>1.0124335097455901</v>
      </c>
      <c r="AK321">
        <v>4.0794139097203796</v>
      </c>
      <c r="AL321">
        <v>1.4956866204281301</v>
      </c>
      <c r="AM321">
        <v>0.34102360973118701</v>
      </c>
      <c r="AN321">
        <v>3.3841766792673198</v>
      </c>
      <c r="AO321">
        <v>0.21933440711323801</v>
      </c>
      <c r="AP321">
        <v>0.21933440711323801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14</v>
      </c>
      <c r="AW321">
        <v>0</v>
      </c>
      <c r="AX321">
        <v>0</v>
      </c>
      <c r="AY321">
        <v>15.3</v>
      </c>
      <c r="AZ321">
        <v>9.8000000000000007</v>
      </c>
      <c r="BA321">
        <v>29.7</v>
      </c>
      <c r="BB321">
        <v>564</v>
      </c>
      <c r="BC321">
        <v>68</v>
      </c>
      <c r="BD321">
        <v>1.8</v>
      </c>
      <c r="BE321">
        <v>43</v>
      </c>
      <c r="BF321">
        <v>25.4</v>
      </c>
      <c r="BG321">
        <v>162</v>
      </c>
      <c r="BH321">
        <v>9.1</v>
      </c>
      <c r="BI321">
        <v>9.1999999999999993</v>
      </c>
      <c r="BJ321">
        <v>18.3</v>
      </c>
      <c r="BK321">
        <v>0.34</v>
      </c>
      <c r="BL321">
        <v>7.3</v>
      </c>
      <c r="BM321">
        <v>0.9</v>
      </c>
      <c r="BN321">
        <v>7.5</v>
      </c>
      <c r="BO321">
        <v>2.9</v>
      </c>
      <c r="BP321">
        <f t="shared" si="8"/>
        <v>8.9715587146017821</v>
      </c>
      <c r="BQ321">
        <f t="shared" si="9"/>
        <v>28.454997236015743</v>
      </c>
    </row>
    <row r="322" spans="1:69" hidden="1" x14ac:dyDescent="0.2">
      <c r="A322" t="s">
        <v>325</v>
      </c>
      <c r="B322" t="s">
        <v>68</v>
      </c>
      <c r="C322" t="s">
        <v>69</v>
      </c>
      <c r="D322" t="s">
        <v>70</v>
      </c>
      <c r="E322" t="s">
        <v>326</v>
      </c>
      <c r="F322">
        <v>4</v>
      </c>
      <c r="G322">
        <v>102</v>
      </c>
      <c r="H322">
        <v>3</v>
      </c>
      <c r="I322">
        <v>2</v>
      </c>
      <c r="J322">
        <v>2</v>
      </c>
      <c r="K322" t="s">
        <v>110</v>
      </c>
      <c r="L322" t="s">
        <v>111</v>
      </c>
      <c r="M322" s="4">
        <v>760000000</v>
      </c>
      <c r="N322">
        <v>0</v>
      </c>
      <c r="O322">
        <v>4.7526149999999996</v>
      </c>
      <c r="P322">
        <v>-74.029785000000004</v>
      </c>
      <c r="Q322" t="s">
        <v>327</v>
      </c>
      <c r="R322">
        <v>7450980.392</v>
      </c>
      <c r="S322">
        <v>0</v>
      </c>
      <c r="T322" t="s">
        <v>151</v>
      </c>
      <c r="U322" t="s">
        <v>152</v>
      </c>
      <c r="V322" t="s">
        <v>77</v>
      </c>
      <c r="W322" t="s">
        <v>119</v>
      </c>
      <c r="X322" t="s">
        <v>153</v>
      </c>
      <c r="Y322">
        <v>3.8142137046103999</v>
      </c>
      <c r="Z322">
        <v>3814.2137046103999</v>
      </c>
      <c r="AA322">
        <v>4.7837500000000004</v>
      </c>
      <c r="AB322">
        <v>-74.044138888888895</v>
      </c>
      <c r="AC322">
        <v>2580</v>
      </c>
      <c r="AD322">
        <v>0</v>
      </c>
      <c r="AE322" t="s">
        <v>154</v>
      </c>
      <c r="AF322" t="s">
        <v>107</v>
      </c>
      <c r="AG322" t="s">
        <v>82</v>
      </c>
      <c r="AH322" t="s">
        <v>83</v>
      </c>
      <c r="AI322" t="s">
        <v>108</v>
      </c>
      <c r="AJ322">
        <v>1.81628897500666</v>
      </c>
      <c r="AK322">
        <v>0.99107306977367304</v>
      </c>
      <c r="AL322">
        <v>0.20372021284289901</v>
      </c>
      <c r="AM322">
        <v>0.83156492988143804</v>
      </c>
      <c r="AN322">
        <v>1.27013457713819</v>
      </c>
      <c r="AO322">
        <v>1.7274594364650699E-2</v>
      </c>
      <c r="AP322">
        <v>1.7274594364650699E-2</v>
      </c>
      <c r="AQ322">
        <v>0</v>
      </c>
      <c r="AR322">
        <v>0</v>
      </c>
      <c r="AS322">
        <v>0</v>
      </c>
      <c r="AT322">
        <v>4</v>
      </c>
      <c r="AU322">
        <v>3</v>
      </c>
      <c r="AV322">
        <v>1</v>
      </c>
      <c r="AW322">
        <v>0</v>
      </c>
      <c r="AX322">
        <v>0</v>
      </c>
      <c r="AY322">
        <v>15.3</v>
      </c>
      <c r="AZ322">
        <v>9.8000000000000007</v>
      </c>
      <c r="BA322">
        <v>29.7</v>
      </c>
      <c r="BB322">
        <v>564</v>
      </c>
      <c r="BC322">
        <v>68</v>
      </c>
      <c r="BD322">
        <v>1.8</v>
      </c>
      <c r="BE322">
        <v>43</v>
      </c>
      <c r="BF322">
        <v>25.4</v>
      </c>
      <c r="BG322">
        <v>162</v>
      </c>
      <c r="BH322">
        <v>9.1</v>
      </c>
      <c r="BI322">
        <v>9.1999999999999993</v>
      </c>
      <c r="BJ322">
        <v>18.3</v>
      </c>
      <c r="BK322">
        <v>0.34</v>
      </c>
      <c r="BL322">
        <v>7.3</v>
      </c>
      <c r="BM322">
        <v>0.9</v>
      </c>
      <c r="BN322">
        <v>7.5</v>
      </c>
      <c r="BO322">
        <v>2.9</v>
      </c>
      <c r="BP322">
        <f t="shared" ref="BP322:BP385" si="10">+AZ322*EXP(-0.0495*Y322)</f>
        <v>8.113901354758692</v>
      </c>
      <c r="BQ322">
        <f t="shared" ref="BQ322:BQ385" si="11">+BA322*EXP(-0.024*Y322)</f>
        <v>27.101956392848845</v>
      </c>
    </row>
    <row r="323" spans="1:69" hidden="1" x14ac:dyDescent="0.2">
      <c r="A323" t="s">
        <v>867</v>
      </c>
      <c r="B323" t="s">
        <v>68</v>
      </c>
      <c r="C323" t="s">
        <v>69</v>
      </c>
      <c r="D323" t="s">
        <v>70</v>
      </c>
      <c r="E323" t="s">
        <v>868</v>
      </c>
      <c r="F323">
        <v>4</v>
      </c>
      <c r="G323">
        <v>100</v>
      </c>
      <c r="H323">
        <v>3</v>
      </c>
      <c r="I323">
        <v>3</v>
      </c>
      <c r="J323">
        <v>2</v>
      </c>
      <c r="K323" t="s">
        <v>110</v>
      </c>
      <c r="L323" t="s">
        <v>111</v>
      </c>
      <c r="M323" s="4">
        <v>480000000</v>
      </c>
      <c r="N323">
        <v>0</v>
      </c>
      <c r="O323">
        <v>4.7484520000000003</v>
      </c>
      <c r="P323">
        <v>-74.0394577</v>
      </c>
      <c r="Q323" t="s">
        <v>869</v>
      </c>
      <c r="R323">
        <v>4800000</v>
      </c>
      <c r="S323">
        <v>0</v>
      </c>
      <c r="T323" t="s">
        <v>117</v>
      </c>
      <c r="U323" t="s">
        <v>118</v>
      </c>
      <c r="V323" t="s">
        <v>77</v>
      </c>
      <c r="W323" t="s">
        <v>119</v>
      </c>
      <c r="X323" t="s">
        <v>120</v>
      </c>
      <c r="Y323">
        <v>3.55777728742112</v>
      </c>
      <c r="Z323">
        <v>3557.77728742112</v>
      </c>
      <c r="AA323">
        <v>4.73719444444444</v>
      </c>
      <c r="AB323">
        <v>-74.069472222222203</v>
      </c>
      <c r="AC323">
        <v>2555</v>
      </c>
      <c r="AD323">
        <v>0</v>
      </c>
      <c r="AE323" t="s">
        <v>80</v>
      </c>
      <c r="AF323" t="s">
        <v>107</v>
      </c>
      <c r="AG323" t="s">
        <v>82</v>
      </c>
      <c r="AH323" t="s">
        <v>83</v>
      </c>
      <c r="AI323" t="s">
        <v>108</v>
      </c>
      <c r="AJ323">
        <v>0.90003962746494703</v>
      </c>
      <c r="AK323">
        <v>2.1046765236403799</v>
      </c>
      <c r="AL323">
        <v>1.02142762868014</v>
      </c>
      <c r="AM323">
        <v>0.31121621411485101</v>
      </c>
      <c r="AN323">
        <v>1.60453588335286</v>
      </c>
      <c r="AO323">
        <v>0.31303635652271899</v>
      </c>
      <c r="AP323">
        <v>0.31303635652271899</v>
      </c>
      <c r="AQ323">
        <v>0</v>
      </c>
      <c r="AR323">
        <v>2</v>
      </c>
      <c r="AS323">
        <v>0</v>
      </c>
      <c r="AT323">
        <v>0</v>
      </c>
      <c r="AU323">
        <v>0</v>
      </c>
      <c r="AV323">
        <v>33</v>
      </c>
      <c r="AW323">
        <v>0</v>
      </c>
      <c r="AX323">
        <v>0</v>
      </c>
      <c r="AY323">
        <v>15.3</v>
      </c>
      <c r="AZ323">
        <v>9.8000000000000007</v>
      </c>
      <c r="BA323">
        <v>29.7</v>
      </c>
      <c r="BB323">
        <v>564</v>
      </c>
      <c r="BC323">
        <v>68</v>
      </c>
      <c r="BD323">
        <v>1.8</v>
      </c>
      <c r="BE323">
        <v>43</v>
      </c>
      <c r="BF323">
        <v>25.4</v>
      </c>
      <c r="BG323">
        <v>162</v>
      </c>
      <c r="BH323">
        <v>9.1</v>
      </c>
      <c r="BI323">
        <v>9.1999999999999993</v>
      </c>
      <c r="BJ323">
        <v>18.3</v>
      </c>
      <c r="BK323">
        <v>0.34</v>
      </c>
      <c r="BL323">
        <v>7.3</v>
      </c>
      <c r="BM323">
        <v>0.9</v>
      </c>
      <c r="BN323">
        <v>7.5</v>
      </c>
      <c r="BO323">
        <v>2.9</v>
      </c>
      <c r="BP323">
        <f t="shared" si="10"/>
        <v>8.2175524556989359</v>
      </c>
      <c r="BQ323">
        <f t="shared" si="11"/>
        <v>27.269269011624132</v>
      </c>
    </row>
    <row r="324" spans="1:69" hidden="1" x14ac:dyDescent="0.2">
      <c r="A324" t="s">
        <v>1802</v>
      </c>
      <c r="B324" t="s">
        <v>68</v>
      </c>
      <c r="C324" t="s">
        <v>69</v>
      </c>
      <c r="D324" t="s">
        <v>70</v>
      </c>
      <c r="E324" t="s">
        <v>483</v>
      </c>
      <c r="F324">
        <v>5</v>
      </c>
      <c r="G324">
        <v>98</v>
      </c>
      <c r="H324">
        <v>3</v>
      </c>
      <c r="I324">
        <v>2</v>
      </c>
      <c r="J324">
        <v>2</v>
      </c>
      <c r="K324" t="s">
        <v>110</v>
      </c>
      <c r="L324" t="s">
        <v>133</v>
      </c>
      <c r="M324" s="4">
        <v>700000000</v>
      </c>
      <c r="N324">
        <v>0</v>
      </c>
      <c r="O324">
        <v>4.7229051589999997</v>
      </c>
      <c r="P324">
        <v>-74.073120119999999</v>
      </c>
      <c r="Q324" t="s">
        <v>1803</v>
      </c>
      <c r="R324">
        <v>7142857.1430000002</v>
      </c>
      <c r="S324">
        <v>0</v>
      </c>
      <c r="T324" t="s">
        <v>117</v>
      </c>
      <c r="U324" t="s">
        <v>118</v>
      </c>
      <c r="V324" t="s">
        <v>77</v>
      </c>
      <c r="W324" t="s">
        <v>119</v>
      </c>
      <c r="X324" t="s">
        <v>120</v>
      </c>
      <c r="Y324">
        <v>1.64135049516465</v>
      </c>
      <c r="Z324">
        <v>1641.3504951646501</v>
      </c>
      <c r="AA324">
        <v>4.73719444444444</v>
      </c>
      <c r="AB324">
        <v>-74.069472222222203</v>
      </c>
      <c r="AC324">
        <v>2555</v>
      </c>
      <c r="AD324">
        <v>0</v>
      </c>
      <c r="AE324" t="s">
        <v>80</v>
      </c>
      <c r="AF324" t="s">
        <v>107</v>
      </c>
      <c r="AG324" t="s">
        <v>82</v>
      </c>
      <c r="AH324" t="s">
        <v>83</v>
      </c>
      <c r="AI324" t="s">
        <v>121</v>
      </c>
      <c r="AJ324">
        <v>0.25279630574219902</v>
      </c>
      <c r="AK324">
        <v>5.4895833337738003</v>
      </c>
      <c r="AL324">
        <v>0.69513174629010999</v>
      </c>
      <c r="AM324">
        <v>0.30151610644834198</v>
      </c>
      <c r="AN324">
        <v>2.4517126377388898</v>
      </c>
      <c r="AO324">
        <v>0.26443495571400399</v>
      </c>
      <c r="AP324">
        <v>0.26443495571400399</v>
      </c>
      <c r="AQ324">
        <v>1</v>
      </c>
      <c r="AR324">
        <v>2</v>
      </c>
      <c r="AS324">
        <v>0</v>
      </c>
      <c r="AT324">
        <v>0</v>
      </c>
      <c r="AU324">
        <v>1</v>
      </c>
      <c r="AV324">
        <v>27</v>
      </c>
      <c r="AW324">
        <v>0</v>
      </c>
      <c r="AX324">
        <v>0</v>
      </c>
      <c r="AY324">
        <v>15.3</v>
      </c>
      <c r="AZ324">
        <v>9.8000000000000007</v>
      </c>
      <c r="BA324">
        <v>29.7</v>
      </c>
      <c r="BB324">
        <v>564</v>
      </c>
      <c r="BC324">
        <v>68</v>
      </c>
      <c r="BD324">
        <v>1.8</v>
      </c>
      <c r="BE324">
        <v>43</v>
      </c>
      <c r="BF324">
        <v>25.4</v>
      </c>
      <c r="BG324">
        <v>162</v>
      </c>
      <c r="BH324">
        <v>9.1</v>
      </c>
      <c r="BI324">
        <v>9.1999999999999993</v>
      </c>
      <c r="BJ324">
        <v>18.3</v>
      </c>
      <c r="BK324">
        <v>0.34</v>
      </c>
      <c r="BL324">
        <v>7.3</v>
      </c>
      <c r="BM324">
        <v>0.9</v>
      </c>
      <c r="BN324">
        <v>7.5</v>
      </c>
      <c r="BO324">
        <v>2.9</v>
      </c>
      <c r="BP324">
        <f t="shared" si="10"/>
        <v>9.0352675494807517</v>
      </c>
      <c r="BQ324">
        <f t="shared" si="11"/>
        <v>28.552789409094981</v>
      </c>
    </row>
    <row r="325" spans="1:69" hidden="1" x14ac:dyDescent="0.2">
      <c r="A325" t="s">
        <v>2055</v>
      </c>
      <c r="B325" t="s">
        <v>68</v>
      </c>
      <c r="C325" t="s">
        <v>1956</v>
      </c>
      <c r="D325" t="s">
        <v>70</v>
      </c>
      <c r="E325" t="s">
        <v>1987</v>
      </c>
      <c r="F325">
        <v>5</v>
      </c>
      <c r="G325">
        <v>96</v>
      </c>
      <c r="H325">
        <v>4</v>
      </c>
      <c r="I325">
        <v>3</v>
      </c>
      <c r="J325">
        <v>2</v>
      </c>
      <c r="K325" t="s">
        <v>110</v>
      </c>
      <c r="L325" t="s">
        <v>162</v>
      </c>
      <c r="M325" s="4">
        <v>620000000</v>
      </c>
      <c r="N325">
        <v>0</v>
      </c>
      <c r="O325">
        <v>4.7655653950000003</v>
      </c>
      <c r="P325">
        <v>-74.042915339999993</v>
      </c>
      <c r="Q325" t="s">
        <v>2056</v>
      </c>
      <c r="R325">
        <v>6458333.3329999996</v>
      </c>
      <c r="S325">
        <v>0</v>
      </c>
      <c r="T325" t="s">
        <v>151</v>
      </c>
      <c r="U325" t="s">
        <v>152</v>
      </c>
      <c r="V325" t="s">
        <v>77</v>
      </c>
      <c r="W325" t="s">
        <v>119</v>
      </c>
      <c r="X325" t="s">
        <v>153</v>
      </c>
      <c r="Y325">
        <v>2.02884638069622</v>
      </c>
      <c r="Z325">
        <v>2028.84638069622</v>
      </c>
      <c r="AA325">
        <v>4.7837500000000004</v>
      </c>
      <c r="AB325">
        <v>-74.044138888888895</v>
      </c>
      <c r="AC325">
        <v>2580</v>
      </c>
      <c r="AD325">
        <v>0</v>
      </c>
      <c r="AE325" t="s">
        <v>154</v>
      </c>
      <c r="AF325" t="s">
        <v>107</v>
      </c>
      <c r="AG325" t="s">
        <v>82</v>
      </c>
      <c r="AH325" t="s">
        <v>83</v>
      </c>
      <c r="AI325" t="s">
        <v>108</v>
      </c>
      <c r="AJ325">
        <v>0.29896849143564702</v>
      </c>
      <c r="AK325">
        <v>2.2229118081243402</v>
      </c>
      <c r="AL325">
        <v>1.7865398278976401</v>
      </c>
      <c r="AM325">
        <v>0.36418003685891298</v>
      </c>
      <c r="AN325">
        <v>3.20471916306784</v>
      </c>
      <c r="AO325">
        <v>0.19530948667756101</v>
      </c>
      <c r="AP325">
        <v>0.19530948667756101</v>
      </c>
      <c r="AQ325">
        <v>2</v>
      </c>
      <c r="AR325">
        <v>2</v>
      </c>
      <c r="AS325">
        <v>0</v>
      </c>
      <c r="AT325">
        <v>0</v>
      </c>
      <c r="AU325">
        <v>0</v>
      </c>
      <c r="AV325">
        <v>14</v>
      </c>
      <c r="AW325">
        <v>0</v>
      </c>
      <c r="AX325">
        <v>0</v>
      </c>
      <c r="AY325">
        <v>15.3</v>
      </c>
      <c r="AZ325">
        <v>9.8000000000000007</v>
      </c>
      <c r="BA325">
        <v>29.7</v>
      </c>
      <c r="BB325">
        <v>564</v>
      </c>
      <c r="BC325">
        <v>68</v>
      </c>
      <c r="BD325">
        <v>1.8</v>
      </c>
      <c r="BE325">
        <v>43</v>
      </c>
      <c r="BF325">
        <v>25.4</v>
      </c>
      <c r="BG325">
        <v>162</v>
      </c>
      <c r="BH325">
        <v>9.1</v>
      </c>
      <c r="BI325">
        <v>9.1999999999999993</v>
      </c>
      <c r="BJ325">
        <v>18.3</v>
      </c>
      <c r="BK325">
        <v>0.34</v>
      </c>
      <c r="BL325">
        <v>7.3</v>
      </c>
      <c r="BM325">
        <v>0.9</v>
      </c>
      <c r="BN325">
        <v>7.5</v>
      </c>
      <c r="BO325">
        <v>2.9</v>
      </c>
      <c r="BP325">
        <f t="shared" si="10"/>
        <v>8.8636131819481943</v>
      </c>
      <c r="BQ325">
        <f t="shared" si="11"/>
        <v>28.288482207488236</v>
      </c>
    </row>
    <row r="326" spans="1:69" hidden="1" x14ac:dyDescent="0.2">
      <c r="A326" t="s">
        <v>1504</v>
      </c>
      <c r="B326" t="s">
        <v>68</v>
      </c>
      <c r="C326" t="s">
        <v>69</v>
      </c>
      <c r="D326" t="s">
        <v>70</v>
      </c>
      <c r="E326" t="s">
        <v>1505</v>
      </c>
      <c r="F326">
        <v>4</v>
      </c>
      <c r="G326">
        <v>95</v>
      </c>
      <c r="H326">
        <v>3</v>
      </c>
      <c r="I326">
        <v>2</v>
      </c>
      <c r="J326">
        <v>1</v>
      </c>
      <c r="K326" t="s">
        <v>110</v>
      </c>
      <c r="L326" t="s">
        <v>111</v>
      </c>
      <c r="M326" s="4">
        <v>610000000</v>
      </c>
      <c r="N326">
        <v>0</v>
      </c>
      <c r="O326">
        <v>4.7526473999999999</v>
      </c>
      <c r="P326">
        <v>-74.037517500000007</v>
      </c>
      <c r="Q326" t="s">
        <v>1506</v>
      </c>
      <c r="R326">
        <v>6421052.6320000002</v>
      </c>
      <c r="S326">
        <v>0</v>
      </c>
      <c r="T326" t="s">
        <v>151</v>
      </c>
      <c r="U326" t="s">
        <v>152</v>
      </c>
      <c r="V326" t="s">
        <v>77</v>
      </c>
      <c r="W326" t="s">
        <v>119</v>
      </c>
      <c r="X326" t="s">
        <v>153</v>
      </c>
      <c r="Y326">
        <v>3.5393849161012101</v>
      </c>
      <c r="Z326">
        <v>3539.3849161012099</v>
      </c>
      <c r="AA326">
        <v>4.7837500000000004</v>
      </c>
      <c r="AB326">
        <v>-74.044138888888895</v>
      </c>
      <c r="AC326">
        <v>2580</v>
      </c>
      <c r="AD326">
        <v>0</v>
      </c>
      <c r="AE326" t="s">
        <v>154</v>
      </c>
      <c r="AF326" t="s">
        <v>107</v>
      </c>
      <c r="AG326" t="s">
        <v>82</v>
      </c>
      <c r="AH326" t="s">
        <v>83</v>
      </c>
      <c r="AI326" t="s">
        <v>108</v>
      </c>
      <c r="AJ326">
        <v>0.97027296579100297</v>
      </c>
      <c r="AK326">
        <v>1.7882857509094501</v>
      </c>
      <c r="AL326">
        <v>0.790433154587174</v>
      </c>
      <c r="AM326">
        <v>0.66657607473890401</v>
      </c>
      <c r="AN326">
        <v>1.71386765530177</v>
      </c>
      <c r="AO326">
        <v>0.258967967373393</v>
      </c>
      <c r="AP326">
        <v>0.258967967373393</v>
      </c>
      <c r="AQ326">
        <v>0</v>
      </c>
      <c r="AR326">
        <v>1</v>
      </c>
      <c r="AS326">
        <v>0</v>
      </c>
      <c r="AT326">
        <v>0</v>
      </c>
      <c r="AU326">
        <v>1</v>
      </c>
      <c r="AV326">
        <v>11</v>
      </c>
      <c r="AW326">
        <v>0</v>
      </c>
      <c r="AX326">
        <v>0</v>
      </c>
      <c r="AY326">
        <v>15.3</v>
      </c>
      <c r="AZ326">
        <v>9.8000000000000007</v>
      </c>
      <c r="BA326">
        <v>29.7</v>
      </c>
      <c r="BB326">
        <v>564</v>
      </c>
      <c r="BC326">
        <v>68</v>
      </c>
      <c r="BD326">
        <v>1.8</v>
      </c>
      <c r="BE326">
        <v>43</v>
      </c>
      <c r="BF326">
        <v>25.4</v>
      </c>
      <c r="BG326">
        <v>162</v>
      </c>
      <c r="BH326">
        <v>9.1</v>
      </c>
      <c r="BI326">
        <v>9.1999999999999993</v>
      </c>
      <c r="BJ326">
        <v>18.3</v>
      </c>
      <c r="BK326">
        <v>0.34</v>
      </c>
      <c r="BL326">
        <v>7.3</v>
      </c>
      <c r="BM326">
        <v>0.9</v>
      </c>
      <c r="BN326">
        <v>7.5</v>
      </c>
      <c r="BO326">
        <v>2.9</v>
      </c>
      <c r="BP326">
        <f t="shared" si="10"/>
        <v>8.2250373060368194</v>
      </c>
      <c r="BQ326">
        <f t="shared" si="11"/>
        <v>27.281308785219299</v>
      </c>
    </row>
    <row r="327" spans="1:69" hidden="1" x14ac:dyDescent="0.2">
      <c r="A327" t="s">
        <v>1468</v>
      </c>
      <c r="B327" t="s">
        <v>68</v>
      </c>
      <c r="C327" t="s">
        <v>69</v>
      </c>
      <c r="D327" t="s">
        <v>70</v>
      </c>
      <c r="E327" t="s">
        <v>661</v>
      </c>
      <c r="F327">
        <v>4</v>
      </c>
      <c r="G327">
        <v>93.37</v>
      </c>
      <c r="H327">
        <v>3</v>
      </c>
      <c r="I327">
        <v>3</v>
      </c>
      <c r="J327">
        <v>2</v>
      </c>
      <c r="K327" t="s">
        <v>110</v>
      </c>
      <c r="L327" t="s">
        <v>111</v>
      </c>
      <c r="M327" s="4">
        <v>980000000</v>
      </c>
      <c r="N327">
        <v>0</v>
      </c>
      <c r="O327">
        <v>4.7435416100000003</v>
      </c>
      <c r="P327">
        <v>-74.067434480000003</v>
      </c>
      <c r="Q327" t="s">
        <v>1469</v>
      </c>
      <c r="R327">
        <v>10495876.619999999</v>
      </c>
      <c r="S327">
        <v>0</v>
      </c>
      <c r="T327" t="s">
        <v>117</v>
      </c>
      <c r="U327" t="s">
        <v>118</v>
      </c>
      <c r="V327" t="s">
        <v>77</v>
      </c>
      <c r="W327" t="s">
        <v>119</v>
      </c>
      <c r="X327" t="s">
        <v>120</v>
      </c>
      <c r="Y327">
        <v>0.74184686161980395</v>
      </c>
      <c r="Z327">
        <v>741.84686161980403</v>
      </c>
      <c r="AA327">
        <v>4.73719444444444</v>
      </c>
      <c r="AB327">
        <v>-74.069472222222203</v>
      </c>
      <c r="AC327">
        <v>2555</v>
      </c>
      <c r="AD327">
        <v>0</v>
      </c>
      <c r="AE327" t="s">
        <v>80</v>
      </c>
      <c r="AF327" t="s">
        <v>107</v>
      </c>
      <c r="AG327" t="s">
        <v>82</v>
      </c>
      <c r="AH327" t="s">
        <v>83</v>
      </c>
      <c r="AI327" t="s">
        <v>121</v>
      </c>
      <c r="AJ327">
        <v>1.7452318150444599</v>
      </c>
      <c r="AK327">
        <v>5.1789010678522498</v>
      </c>
      <c r="AL327">
        <v>1.8888546401011901</v>
      </c>
      <c r="AM327">
        <v>0.45611198685311699</v>
      </c>
      <c r="AN327">
        <v>1.9959321638993801</v>
      </c>
      <c r="AO327">
        <v>0.22463336151207899</v>
      </c>
      <c r="AP327">
        <v>0.22463336151207899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13</v>
      </c>
      <c r="AW327">
        <v>0</v>
      </c>
      <c r="AX327">
        <v>0</v>
      </c>
      <c r="AY327">
        <v>15.3</v>
      </c>
      <c r="AZ327">
        <v>9.8000000000000007</v>
      </c>
      <c r="BA327">
        <v>29.7</v>
      </c>
      <c r="BB327">
        <v>564</v>
      </c>
      <c r="BC327">
        <v>68</v>
      </c>
      <c r="BD327">
        <v>1.8</v>
      </c>
      <c r="BE327">
        <v>43</v>
      </c>
      <c r="BF327">
        <v>25.4</v>
      </c>
      <c r="BG327">
        <v>162</v>
      </c>
      <c r="BH327">
        <v>9.1</v>
      </c>
      <c r="BI327">
        <v>9.1999999999999993</v>
      </c>
      <c r="BJ327">
        <v>18.3</v>
      </c>
      <c r="BK327">
        <v>0.34</v>
      </c>
      <c r="BL327">
        <v>7.3</v>
      </c>
      <c r="BM327">
        <v>0.9</v>
      </c>
      <c r="BN327">
        <v>7.5</v>
      </c>
      <c r="BO327">
        <v>2.9</v>
      </c>
      <c r="BP327">
        <f t="shared" si="10"/>
        <v>9.446657413018082</v>
      </c>
      <c r="BQ327">
        <f t="shared" si="11"/>
        <v>29.175891104383524</v>
      </c>
    </row>
    <row r="328" spans="1:69" hidden="1" x14ac:dyDescent="0.2">
      <c r="A328" t="s">
        <v>1523</v>
      </c>
      <c r="B328" t="s">
        <v>68</v>
      </c>
      <c r="C328" t="s">
        <v>69</v>
      </c>
      <c r="D328" t="s">
        <v>70</v>
      </c>
      <c r="E328" t="s">
        <v>1524</v>
      </c>
      <c r="F328">
        <v>4</v>
      </c>
      <c r="G328">
        <v>93.02</v>
      </c>
      <c r="H328">
        <v>3</v>
      </c>
      <c r="I328">
        <v>2</v>
      </c>
      <c r="J328">
        <v>2</v>
      </c>
      <c r="K328" t="s">
        <v>110</v>
      </c>
      <c r="L328" t="s">
        <v>162</v>
      </c>
      <c r="M328" s="4">
        <v>610000000</v>
      </c>
      <c r="N328">
        <v>0</v>
      </c>
      <c r="O328">
        <v>4.754454</v>
      </c>
      <c r="P328">
        <v>-74.066474999999997</v>
      </c>
      <c r="Q328" t="s">
        <v>1525</v>
      </c>
      <c r="R328">
        <v>6557729.5209999997</v>
      </c>
      <c r="S328">
        <v>0</v>
      </c>
      <c r="T328" t="s">
        <v>117</v>
      </c>
      <c r="U328" t="s">
        <v>118</v>
      </c>
      <c r="V328" t="s">
        <v>77</v>
      </c>
      <c r="W328" t="s">
        <v>119</v>
      </c>
      <c r="X328" t="s">
        <v>120</v>
      </c>
      <c r="Y328">
        <v>1.9498844359537</v>
      </c>
      <c r="Z328">
        <v>1949.8844359536999</v>
      </c>
      <c r="AA328">
        <v>4.73719444444444</v>
      </c>
      <c r="AB328">
        <v>-74.069472222222203</v>
      </c>
      <c r="AC328">
        <v>2555</v>
      </c>
      <c r="AD328">
        <v>0</v>
      </c>
      <c r="AE328" t="s">
        <v>80</v>
      </c>
      <c r="AF328" t="s">
        <v>107</v>
      </c>
      <c r="AG328" t="s">
        <v>82</v>
      </c>
      <c r="AH328" t="s">
        <v>83</v>
      </c>
      <c r="AI328" t="s">
        <v>121</v>
      </c>
      <c r="AJ328">
        <v>2.2651708450952199</v>
      </c>
      <c r="AK328">
        <v>4.6789391417905302</v>
      </c>
      <c r="AL328">
        <v>1.4433019874122499</v>
      </c>
      <c r="AM328">
        <v>0.35173291642773302</v>
      </c>
      <c r="AN328">
        <v>2.5373563477343999</v>
      </c>
      <c r="AO328">
        <v>3.9441837697499198E-2</v>
      </c>
      <c r="AP328">
        <v>3.9441837697499198E-2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14</v>
      </c>
      <c r="AW328">
        <v>0</v>
      </c>
      <c r="AX328">
        <v>1</v>
      </c>
      <c r="AY328">
        <v>15.3</v>
      </c>
      <c r="AZ328">
        <v>9.8000000000000007</v>
      </c>
      <c r="BA328">
        <v>29.7</v>
      </c>
      <c r="BB328">
        <v>564</v>
      </c>
      <c r="BC328">
        <v>68</v>
      </c>
      <c r="BD328">
        <v>1.8</v>
      </c>
      <c r="BE328">
        <v>43</v>
      </c>
      <c r="BF328">
        <v>25.4</v>
      </c>
      <c r="BG328">
        <v>162</v>
      </c>
      <c r="BH328">
        <v>9.1</v>
      </c>
      <c r="BI328">
        <v>9.1999999999999993</v>
      </c>
      <c r="BJ328">
        <v>18.3</v>
      </c>
      <c r="BK328">
        <v>0.34</v>
      </c>
      <c r="BL328">
        <v>7.3</v>
      </c>
      <c r="BM328">
        <v>0.9</v>
      </c>
      <c r="BN328">
        <v>7.5</v>
      </c>
      <c r="BO328">
        <v>2.9</v>
      </c>
      <c r="BP328">
        <f t="shared" si="10"/>
        <v>8.8983254388492075</v>
      </c>
      <c r="BQ328">
        <f t="shared" si="11"/>
        <v>28.342142162215495</v>
      </c>
    </row>
    <row r="329" spans="1:69" hidden="1" x14ac:dyDescent="0.2">
      <c r="A329" t="s">
        <v>276</v>
      </c>
      <c r="B329" t="s">
        <v>68</v>
      </c>
      <c r="C329" t="s">
        <v>69</v>
      </c>
      <c r="D329" t="s">
        <v>70</v>
      </c>
      <c r="E329" t="s">
        <v>277</v>
      </c>
      <c r="F329">
        <v>4</v>
      </c>
      <c r="G329">
        <v>93</v>
      </c>
      <c r="H329">
        <v>3</v>
      </c>
      <c r="I329">
        <v>3</v>
      </c>
      <c r="J329">
        <v>2</v>
      </c>
      <c r="K329" t="s">
        <v>110</v>
      </c>
      <c r="L329" t="s">
        <v>133</v>
      </c>
      <c r="M329" s="4">
        <v>740000000</v>
      </c>
      <c r="N329">
        <v>0</v>
      </c>
      <c r="O329">
        <v>4.7232637410000002</v>
      </c>
      <c r="P329">
        <v>-74.060585020000005</v>
      </c>
      <c r="Q329" t="s">
        <v>278</v>
      </c>
      <c r="R329">
        <v>7956989.2470000004</v>
      </c>
      <c r="S329">
        <v>0</v>
      </c>
      <c r="T329" t="s">
        <v>117</v>
      </c>
      <c r="U329" t="s">
        <v>118</v>
      </c>
      <c r="V329" t="s">
        <v>77</v>
      </c>
      <c r="W329" t="s">
        <v>119</v>
      </c>
      <c r="X329" t="s">
        <v>120</v>
      </c>
      <c r="Y329">
        <v>1.8376476171826199</v>
      </c>
      <c r="Z329">
        <v>1837.64761718262</v>
      </c>
      <c r="AA329">
        <v>4.73719444444444</v>
      </c>
      <c r="AB329">
        <v>-74.069472222222203</v>
      </c>
      <c r="AC329">
        <v>2555</v>
      </c>
      <c r="AD329">
        <v>0</v>
      </c>
      <c r="AE329" t="s">
        <v>80</v>
      </c>
      <c r="AF329" t="s">
        <v>107</v>
      </c>
      <c r="AG329" t="s">
        <v>82</v>
      </c>
      <c r="AH329" t="s">
        <v>83</v>
      </c>
      <c r="AI329" t="s">
        <v>121</v>
      </c>
      <c r="AJ329">
        <v>1.03823306523088</v>
      </c>
      <c r="AK329">
        <v>4.1243620380340902</v>
      </c>
      <c r="AL329">
        <v>1.3944219435571299</v>
      </c>
      <c r="AM329">
        <v>0.25358104999807302</v>
      </c>
      <c r="AN329">
        <v>3.3969132926840202</v>
      </c>
      <c r="AO329">
        <v>0.18538648466875299</v>
      </c>
      <c r="AP329">
        <v>0.18538648466875299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16</v>
      </c>
      <c r="AW329">
        <v>0</v>
      </c>
      <c r="AX329">
        <v>0</v>
      </c>
      <c r="AY329">
        <v>15.3</v>
      </c>
      <c r="AZ329">
        <v>9.8000000000000007</v>
      </c>
      <c r="BA329">
        <v>29.7</v>
      </c>
      <c r="BB329">
        <v>564</v>
      </c>
      <c r="BC329">
        <v>68</v>
      </c>
      <c r="BD329">
        <v>1.8</v>
      </c>
      <c r="BE329">
        <v>43</v>
      </c>
      <c r="BF329">
        <v>25.4</v>
      </c>
      <c r="BG329">
        <v>162</v>
      </c>
      <c r="BH329">
        <v>9.1</v>
      </c>
      <c r="BI329">
        <v>9.1999999999999993</v>
      </c>
      <c r="BJ329">
        <v>18.3</v>
      </c>
      <c r="BK329">
        <v>0.34</v>
      </c>
      <c r="BL329">
        <v>7.3</v>
      </c>
      <c r="BM329">
        <v>0.9</v>
      </c>
      <c r="BN329">
        <v>7.5</v>
      </c>
      <c r="BO329">
        <v>2.9</v>
      </c>
      <c r="BP329">
        <f t="shared" si="10"/>
        <v>8.9478996487257501</v>
      </c>
      <c r="BQ329">
        <f t="shared" si="11"/>
        <v>28.418589843888366</v>
      </c>
    </row>
    <row r="330" spans="1:69" hidden="1" x14ac:dyDescent="0.2">
      <c r="A330" t="s">
        <v>571</v>
      </c>
      <c r="B330" t="s">
        <v>68</v>
      </c>
      <c r="C330" t="s">
        <v>69</v>
      </c>
      <c r="D330" t="s">
        <v>70</v>
      </c>
      <c r="E330" t="s">
        <v>140</v>
      </c>
      <c r="F330">
        <v>4</v>
      </c>
      <c r="G330">
        <v>93</v>
      </c>
      <c r="H330">
        <v>3</v>
      </c>
      <c r="I330">
        <v>3</v>
      </c>
      <c r="J330">
        <v>2</v>
      </c>
      <c r="K330" t="s">
        <v>110</v>
      </c>
      <c r="L330" t="s">
        <v>124</v>
      </c>
      <c r="M330" s="4">
        <v>678000000</v>
      </c>
      <c r="N330">
        <v>0</v>
      </c>
      <c r="O330">
        <v>4.7411012650000002</v>
      </c>
      <c r="P330">
        <v>-74.059982300000001</v>
      </c>
      <c r="Q330" t="s">
        <v>572</v>
      </c>
      <c r="R330">
        <v>7290322.5810000002</v>
      </c>
      <c r="S330">
        <v>0</v>
      </c>
      <c r="T330" t="s">
        <v>117</v>
      </c>
      <c r="U330" t="s">
        <v>118</v>
      </c>
      <c r="V330" t="s">
        <v>77</v>
      </c>
      <c r="W330" t="s">
        <v>119</v>
      </c>
      <c r="X330" t="s">
        <v>120</v>
      </c>
      <c r="Y330">
        <v>1.1390934243661299</v>
      </c>
      <c r="Z330">
        <v>1139.09342436613</v>
      </c>
      <c r="AA330">
        <v>4.73719444444444</v>
      </c>
      <c r="AB330">
        <v>-74.069472222222203</v>
      </c>
      <c r="AC330">
        <v>2555</v>
      </c>
      <c r="AD330">
        <v>0</v>
      </c>
      <c r="AE330" t="s">
        <v>80</v>
      </c>
      <c r="AF330" t="s">
        <v>107</v>
      </c>
      <c r="AG330" t="s">
        <v>82</v>
      </c>
      <c r="AH330" t="s">
        <v>83</v>
      </c>
      <c r="AI330" t="s">
        <v>121</v>
      </c>
      <c r="AJ330">
        <v>1.3314941729002301</v>
      </c>
      <c r="AK330">
        <v>4.3132400984562</v>
      </c>
      <c r="AL330">
        <v>1.53517191524781</v>
      </c>
      <c r="AM330">
        <v>0.44893372921057401</v>
      </c>
      <c r="AN330">
        <v>2.8084822105091498</v>
      </c>
      <c r="AO330">
        <v>0.22968712835309399</v>
      </c>
      <c r="AP330">
        <v>0.22968712835309399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11</v>
      </c>
      <c r="AW330">
        <v>0</v>
      </c>
      <c r="AX330">
        <v>0</v>
      </c>
      <c r="AY330">
        <v>15.3</v>
      </c>
      <c r="AZ330">
        <v>9.8000000000000007</v>
      </c>
      <c r="BA330">
        <v>29.7</v>
      </c>
      <c r="BB330">
        <v>564</v>
      </c>
      <c r="BC330">
        <v>68</v>
      </c>
      <c r="BD330">
        <v>1.8</v>
      </c>
      <c r="BE330">
        <v>43</v>
      </c>
      <c r="BF330">
        <v>25.4</v>
      </c>
      <c r="BG330">
        <v>162</v>
      </c>
      <c r="BH330">
        <v>9.1</v>
      </c>
      <c r="BI330">
        <v>9.1999999999999993</v>
      </c>
      <c r="BJ330">
        <v>18.3</v>
      </c>
      <c r="BK330">
        <v>0.34</v>
      </c>
      <c r="BL330">
        <v>7.3</v>
      </c>
      <c r="BM330">
        <v>0.9</v>
      </c>
      <c r="BN330">
        <v>7.5</v>
      </c>
      <c r="BO330">
        <v>2.9</v>
      </c>
      <c r="BP330">
        <f t="shared" si="10"/>
        <v>9.2627155459606065</v>
      </c>
      <c r="BQ330">
        <f t="shared" si="11"/>
        <v>28.899052341346039</v>
      </c>
    </row>
    <row r="331" spans="1:69" hidden="1" x14ac:dyDescent="0.2">
      <c r="A331" t="s">
        <v>918</v>
      </c>
      <c r="B331" t="s">
        <v>68</v>
      </c>
      <c r="C331" t="s">
        <v>69</v>
      </c>
      <c r="D331" t="s">
        <v>70</v>
      </c>
      <c r="E331" t="s">
        <v>140</v>
      </c>
      <c r="F331">
        <v>4</v>
      </c>
      <c r="G331">
        <v>93</v>
      </c>
      <c r="H331">
        <v>3</v>
      </c>
      <c r="I331">
        <v>3</v>
      </c>
      <c r="J331">
        <v>2</v>
      </c>
      <c r="K331" t="s">
        <v>110</v>
      </c>
      <c r="L331" t="s">
        <v>124</v>
      </c>
      <c r="M331" s="4">
        <v>540000000</v>
      </c>
      <c r="N331">
        <v>0</v>
      </c>
      <c r="O331">
        <v>4.7404184340000004</v>
      </c>
      <c r="P331">
        <v>-74.059600829999994</v>
      </c>
      <c r="Q331" t="s">
        <v>919</v>
      </c>
      <c r="R331">
        <v>5806451.6129999999</v>
      </c>
      <c r="S331">
        <v>0</v>
      </c>
      <c r="T331" t="s">
        <v>117</v>
      </c>
      <c r="U331" t="s">
        <v>118</v>
      </c>
      <c r="V331" t="s">
        <v>77</v>
      </c>
      <c r="W331" t="s">
        <v>119</v>
      </c>
      <c r="X331" t="s">
        <v>120</v>
      </c>
      <c r="Y331">
        <v>1.15243061756008</v>
      </c>
      <c r="Z331">
        <v>1152.43061756008</v>
      </c>
      <c r="AA331">
        <v>4.73719444444444</v>
      </c>
      <c r="AB331">
        <v>-74.069472222222203</v>
      </c>
      <c r="AC331">
        <v>2555</v>
      </c>
      <c r="AD331">
        <v>0</v>
      </c>
      <c r="AE331" t="s">
        <v>80</v>
      </c>
      <c r="AF331" t="s">
        <v>107</v>
      </c>
      <c r="AG331" t="s">
        <v>82</v>
      </c>
      <c r="AH331" t="s">
        <v>83</v>
      </c>
      <c r="AI331" t="s">
        <v>121</v>
      </c>
      <c r="AJ331">
        <v>1.29675260722162</v>
      </c>
      <c r="AK331">
        <v>4.25614784770256</v>
      </c>
      <c r="AL331">
        <v>1.5837300664390099</v>
      </c>
      <c r="AM331">
        <v>0.38002234569195797</v>
      </c>
      <c r="AN331">
        <v>2.8526870486796598</v>
      </c>
      <c r="AO331">
        <v>0.23839999922136501</v>
      </c>
      <c r="AP331">
        <v>0.23839999922136501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11</v>
      </c>
      <c r="AW331">
        <v>0</v>
      </c>
      <c r="AX331">
        <v>0</v>
      </c>
      <c r="AY331">
        <v>15.3</v>
      </c>
      <c r="AZ331">
        <v>9.8000000000000007</v>
      </c>
      <c r="BA331">
        <v>29.7</v>
      </c>
      <c r="BB331">
        <v>564</v>
      </c>
      <c r="BC331">
        <v>68</v>
      </c>
      <c r="BD331">
        <v>1.8</v>
      </c>
      <c r="BE331">
        <v>43</v>
      </c>
      <c r="BF331">
        <v>25.4</v>
      </c>
      <c r="BG331">
        <v>162</v>
      </c>
      <c r="BH331">
        <v>9.1</v>
      </c>
      <c r="BI331">
        <v>9.1999999999999993</v>
      </c>
      <c r="BJ331">
        <v>18.3</v>
      </c>
      <c r="BK331">
        <v>0.34</v>
      </c>
      <c r="BL331">
        <v>7.3</v>
      </c>
      <c r="BM331">
        <v>0.9</v>
      </c>
      <c r="BN331">
        <v>7.5</v>
      </c>
      <c r="BO331">
        <v>2.9</v>
      </c>
      <c r="BP331">
        <f t="shared" si="10"/>
        <v>9.2566024020806363</v>
      </c>
      <c r="BQ331">
        <f t="shared" si="11"/>
        <v>28.889803447815599</v>
      </c>
    </row>
    <row r="332" spans="1:69" hidden="1" x14ac:dyDescent="0.2">
      <c r="A332" t="s">
        <v>3221</v>
      </c>
      <c r="B332" t="s">
        <v>68</v>
      </c>
      <c r="C332" t="s">
        <v>1956</v>
      </c>
      <c r="D332" t="s">
        <v>70</v>
      </c>
      <c r="E332" t="s">
        <v>3222</v>
      </c>
      <c r="F332">
        <v>4</v>
      </c>
      <c r="G332">
        <v>93</v>
      </c>
      <c r="H332">
        <v>4</v>
      </c>
      <c r="I332">
        <v>3</v>
      </c>
      <c r="J332">
        <v>1</v>
      </c>
      <c r="K332" t="s">
        <v>110</v>
      </c>
      <c r="L332" t="s">
        <v>162</v>
      </c>
      <c r="M332" s="4">
        <v>459000000</v>
      </c>
      <c r="N332">
        <v>0</v>
      </c>
      <c r="O332">
        <v>4.7494635580000004</v>
      </c>
      <c r="P332">
        <v>-74.048088070000006</v>
      </c>
      <c r="Q332" t="s">
        <v>3223</v>
      </c>
      <c r="R332">
        <v>4935483.8710000003</v>
      </c>
      <c r="S332">
        <v>0</v>
      </c>
      <c r="T332" t="s">
        <v>117</v>
      </c>
      <c r="U332" t="s">
        <v>118</v>
      </c>
      <c r="V332" t="s">
        <v>77</v>
      </c>
      <c r="W332" t="s">
        <v>119</v>
      </c>
      <c r="X332" t="s">
        <v>120</v>
      </c>
      <c r="Y332">
        <v>2.7373872923471998</v>
      </c>
      <c r="Z332">
        <v>2737.3872923471999</v>
      </c>
      <c r="AA332">
        <v>4.73719444444444</v>
      </c>
      <c r="AB332">
        <v>-74.069472222222203</v>
      </c>
      <c r="AC332">
        <v>2555</v>
      </c>
      <c r="AD332">
        <v>0</v>
      </c>
      <c r="AE332" t="s">
        <v>80</v>
      </c>
      <c r="AF332" t="s">
        <v>107</v>
      </c>
      <c r="AG332" t="s">
        <v>82</v>
      </c>
      <c r="AH332" t="s">
        <v>83</v>
      </c>
      <c r="AI332" t="s">
        <v>121</v>
      </c>
      <c r="AJ332">
        <v>0.37391326252391699</v>
      </c>
      <c r="AK332">
        <v>3.0118322988622399</v>
      </c>
      <c r="AL332">
        <v>0.73975656354335795</v>
      </c>
      <c r="AM332">
        <v>0.109060329174533</v>
      </c>
      <c r="AN332">
        <v>2.5245712201469699</v>
      </c>
      <c r="AO332">
        <v>0.14599190829870801</v>
      </c>
      <c r="AP332">
        <v>0.14599190829870801</v>
      </c>
      <c r="AQ332">
        <v>1</v>
      </c>
      <c r="AR332">
        <v>3</v>
      </c>
      <c r="AS332">
        <v>0</v>
      </c>
      <c r="AT332">
        <v>0</v>
      </c>
      <c r="AU332">
        <v>1</v>
      </c>
      <c r="AV332">
        <v>26</v>
      </c>
      <c r="AW332">
        <v>0</v>
      </c>
      <c r="AX332">
        <v>0</v>
      </c>
      <c r="AY332">
        <v>15.3</v>
      </c>
      <c r="AZ332">
        <v>9.8000000000000007</v>
      </c>
      <c r="BA332">
        <v>29.7</v>
      </c>
      <c r="BB332">
        <v>564</v>
      </c>
      <c r="BC332">
        <v>68</v>
      </c>
      <c r="BD332">
        <v>1.8</v>
      </c>
      <c r="BE332">
        <v>43</v>
      </c>
      <c r="BF332">
        <v>25.4</v>
      </c>
      <c r="BG332">
        <v>162</v>
      </c>
      <c r="BH332">
        <v>9.1</v>
      </c>
      <c r="BI332">
        <v>9.1999999999999993</v>
      </c>
      <c r="BJ332">
        <v>18.3</v>
      </c>
      <c r="BK332">
        <v>0.34</v>
      </c>
      <c r="BL332">
        <v>7.3</v>
      </c>
      <c r="BM332">
        <v>0.9</v>
      </c>
      <c r="BN332">
        <v>7.5</v>
      </c>
      <c r="BO332">
        <v>2.9</v>
      </c>
      <c r="BP332">
        <f t="shared" si="10"/>
        <v>8.5581300544384948</v>
      </c>
      <c r="BQ332">
        <f t="shared" si="11"/>
        <v>27.811504076288479</v>
      </c>
    </row>
    <row r="333" spans="1:69" hidden="1" x14ac:dyDescent="0.2">
      <c r="A333" t="s">
        <v>180</v>
      </c>
      <c r="B333" t="s">
        <v>68</v>
      </c>
      <c r="C333" t="s">
        <v>69</v>
      </c>
      <c r="D333" t="s">
        <v>70</v>
      </c>
      <c r="E333" t="s">
        <v>181</v>
      </c>
      <c r="F333">
        <v>5</v>
      </c>
      <c r="G333">
        <v>92</v>
      </c>
      <c r="H333">
        <v>3</v>
      </c>
      <c r="I333">
        <v>3</v>
      </c>
      <c r="J333">
        <v>1</v>
      </c>
      <c r="K333" t="s">
        <v>110</v>
      </c>
      <c r="L333" t="s">
        <v>162</v>
      </c>
      <c r="M333" s="4">
        <v>510000000</v>
      </c>
      <c r="N333">
        <v>0</v>
      </c>
      <c r="O333">
        <v>4.7254357340000004</v>
      </c>
      <c r="P333">
        <v>-74.066848750000005</v>
      </c>
      <c r="Q333" t="s">
        <v>182</v>
      </c>
      <c r="R333">
        <v>5543478.2609999999</v>
      </c>
      <c r="S333">
        <v>0</v>
      </c>
      <c r="T333" t="s">
        <v>117</v>
      </c>
      <c r="U333" t="s">
        <v>118</v>
      </c>
      <c r="V333" t="s">
        <v>77</v>
      </c>
      <c r="W333" t="s">
        <v>119</v>
      </c>
      <c r="X333" t="s">
        <v>120</v>
      </c>
      <c r="Y333">
        <v>1.3409404290454801</v>
      </c>
      <c r="Z333">
        <v>1340.94042904548</v>
      </c>
      <c r="AA333">
        <v>4.73719444444444</v>
      </c>
      <c r="AB333">
        <v>-74.069472222222203</v>
      </c>
      <c r="AC333">
        <v>2555</v>
      </c>
      <c r="AD333">
        <v>0</v>
      </c>
      <c r="AE333" t="s">
        <v>80</v>
      </c>
      <c r="AF333" t="s">
        <v>107</v>
      </c>
      <c r="AG333" t="s">
        <v>82</v>
      </c>
      <c r="AH333" t="s">
        <v>83</v>
      </c>
      <c r="AI333" t="s">
        <v>121</v>
      </c>
      <c r="AJ333">
        <v>0.90117782960147896</v>
      </c>
      <c r="AK333">
        <v>4.8415320611428703</v>
      </c>
      <c r="AL333">
        <v>1.0753706050933101</v>
      </c>
      <c r="AM333">
        <v>0.28741064935822602</v>
      </c>
      <c r="AN333">
        <v>2.7033700390932598</v>
      </c>
      <c r="AO333">
        <v>0.23664644123130801</v>
      </c>
      <c r="AP333">
        <v>0.23664644123130801</v>
      </c>
      <c r="AQ333">
        <v>0</v>
      </c>
      <c r="AR333">
        <v>2</v>
      </c>
      <c r="AS333">
        <v>0</v>
      </c>
      <c r="AT333">
        <v>0</v>
      </c>
      <c r="AU333">
        <v>0</v>
      </c>
      <c r="AV333">
        <v>27</v>
      </c>
      <c r="AW333">
        <v>0</v>
      </c>
      <c r="AX333">
        <v>0</v>
      </c>
      <c r="AY333">
        <v>15.3</v>
      </c>
      <c r="AZ333">
        <v>9.8000000000000007</v>
      </c>
      <c r="BA333">
        <v>29.7</v>
      </c>
      <c r="BB333">
        <v>564</v>
      </c>
      <c r="BC333">
        <v>68</v>
      </c>
      <c r="BD333">
        <v>1.8</v>
      </c>
      <c r="BE333">
        <v>43</v>
      </c>
      <c r="BF333">
        <v>25.4</v>
      </c>
      <c r="BG333">
        <v>162</v>
      </c>
      <c r="BH333">
        <v>9.1</v>
      </c>
      <c r="BI333">
        <v>9.1999999999999993</v>
      </c>
      <c r="BJ333">
        <v>18.3</v>
      </c>
      <c r="BK333">
        <v>0.34</v>
      </c>
      <c r="BL333">
        <v>7.3</v>
      </c>
      <c r="BM333">
        <v>0.9</v>
      </c>
      <c r="BN333">
        <v>7.5</v>
      </c>
      <c r="BO333">
        <v>2.9</v>
      </c>
      <c r="BP333">
        <f t="shared" si="10"/>
        <v>9.1706286082673092</v>
      </c>
      <c r="BQ333">
        <f t="shared" si="11"/>
        <v>28.7593943972409</v>
      </c>
    </row>
    <row r="334" spans="1:69" hidden="1" x14ac:dyDescent="0.2">
      <c r="A334" t="s">
        <v>4167</v>
      </c>
      <c r="B334" t="s">
        <v>68</v>
      </c>
      <c r="C334" t="s">
        <v>3294</v>
      </c>
      <c r="D334" t="s">
        <v>70</v>
      </c>
      <c r="E334" t="s">
        <v>545</v>
      </c>
      <c r="F334">
        <v>4</v>
      </c>
      <c r="G334">
        <v>92</v>
      </c>
      <c r="H334">
        <v>3</v>
      </c>
      <c r="I334">
        <v>2</v>
      </c>
      <c r="J334">
        <v>1</v>
      </c>
      <c r="K334" t="s">
        <v>110</v>
      </c>
      <c r="L334" t="s">
        <v>111</v>
      </c>
      <c r="M334" s="4">
        <v>490350000</v>
      </c>
      <c r="N334">
        <v>0</v>
      </c>
      <c r="O334">
        <v>4.7207926000000002</v>
      </c>
      <c r="P334">
        <v>-74.074768000000006</v>
      </c>
      <c r="Q334" t="s">
        <v>4168</v>
      </c>
      <c r="R334">
        <v>5329891.3039999995</v>
      </c>
      <c r="S334">
        <v>0</v>
      </c>
      <c r="T334" t="s">
        <v>117</v>
      </c>
      <c r="U334" t="s">
        <v>118</v>
      </c>
      <c r="V334" t="s">
        <v>77</v>
      </c>
      <c r="W334" t="s">
        <v>119</v>
      </c>
      <c r="X334" t="s">
        <v>120</v>
      </c>
      <c r="Y334">
        <v>1.91804207748638</v>
      </c>
      <c r="Z334">
        <v>1918.0420774863801</v>
      </c>
      <c r="AA334">
        <v>4.73719444444444</v>
      </c>
      <c r="AB334">
        <v>-74.069472222222203</v>
      </c>
      <c r="AC334">
        <v>2555</v>
      </c>
      <c r="AD334">
        <v>0</v>
      </c>
      <c r="AE334" t="s">
        <v>80</v>
      </c>
      <c r="AF334" t="s">
        <v>107</v>
      </c>
      <c r="AG334" t="s">
        <v>82</v>
      </c>
      <c r="AH334" t="s">
        <v>83</v>
      </c>
      <c r="AI334" t="s">
        <v>121</v>
      </c>
      <c r="AJ334">
        <v>5.2815802702927503E-2</v>
      </c>
      <c r="AK334">
        <v>5.6262528370061196</v>
      </c>
      <c r="AL334">
        <v>0.57249370046869297</v>
      </c>
      <c r="AM334">
        <v>0.28036028106592198</v>
      </c>
      <c r="AN334">
        <v>2.5612404988485502</v>
      </c>
      <c r="AO334">
        <v>0.120358298935377</v>
      </c>
      <c r="AP334">
        <v>0.120358298935377</v>
      </c>
      <c r="AQ334">
        <v>1</v>
      </c>
      <c r="AR334">
        <v>2</v>
      </c>
      <c r="AS334">
        <v>0</v>
      </c>
      <c r="AT334">
        <v>0</v>
      </c>
      <c r="AU334">
        <v>1</v>
      </c>
      <c r="AV334">
        <v>31</v>
      </c>
      <c r="AW334">
        <v>0</v>
      </c>
      <c r="AX334">
        <v>0</v>
      </c>
      <c r="AY334">
        <v>15.3</v>
      </c>
      <c r="AZ334">
        <v>9.8000000000000007</v>
      </c>
      <c r="BA334">
        <v>29.7</v>
      </c>
      <c r="BB334">
        <v>564</v>
      </c>
      <c r="BC334">
        <v>68</v>
      </c>
      <c r="BD334">
        <v>1.8</v>
      </c>
      <c r="BE334">
        <v>43</v>
      </c>
      <c r="BF334">
        <v>25.4</v>
      </c>
      <c r="BG334">
        <v>162</v>
      </c>
      <c r="BH334">
        <v>9.1</v>
      </c>
      <c r="BI334">
        <v>9.1999999999999993</v>
      </c>
      <c r="BJ334">
        <v>18.3</v>
      </c>
      <c r="BK334">
        <v>0.34</v>
      </c>
      <c r="BL334">
        <v>7.3</v>
      </c>
      <c r="BM334">
        <v>0.9</v>
      </c>
      <c r="BN334">
        <v>7.5</v>
      </c>
      <c r="BO334">
        <v>2.9</v>
      </c>
      <c r="BP334">
        <f t="shared" si="10"/>
        <v>8.9123620097267757</v>
      </c>
      <c r="BQ334">
        <f t="shared" si="11"/>
        <v>28.363809976223617</v>
      </c>
    </row>
    <row r="335" spans="1:69" hidden="1" x14ac:dyDescent="0.2">
      <c r="A335" t="s">
        <v>1858</v>
      </c>
      <c r="B335" t="s">
        <v>68</v>
      </c>
      <c r="C335" t="s">
        <v>69</v>
      </c>
      <c r="D335" t="s">
        <v>70</v>
      </c>
      <c r="E335" t="s">
        <v>709</v>
      </c>
      <c r="F335">
        <v>4</v>
      </c>
      <c r="G335">
        <v>89</v>
      </c>
      <c r="H335">
        <v>3</v>
      </c>
      <c r="I335">
        <v>3</v>
      </c>
      <c r="J335">
        <v>2</v>
      </c>
      <c r="K335" t="s">
        <v>72</v>
      </c>
      <c r="L335" t="s">
        <v>73</v>
      </c>
      <c r="M335" s="4">
        <v>961534000</v>
      </c>
      <c r="N335">
        <v>0</v>
      </c>
      <c r="O335">
        <v>4.7347703000000001</v>
      </c>
      <c r="P335">
        <v>-74.064255000000003</v>
      </c>
      <c r="Q335" t="s">
        <v>1859</v>
      </c>
      <c r="R335">
        <v>10803752.810000001</v>
      </c>
      <c r="S335">
        <v>0</v>
      </c>
      <c r="T335" t="s">
        <v>117</v>
      </c>
      <c r="U335" t="s">
        <v>118</v>
      </c>
      <c r="V335" t="s">
        <v>77</v>
      </c>
      <c r="W335" t="s">
        <v>119</v>
      </c>
      <c r="X335" t="s">
        <v>120</v>
      </c>
      <c r="Y335">
        <v>0.63861239961929905</v>
      </c>
      <c r="Z335">
        <v>638.61239961929903</v>
      </c>
      <c r="AA335">
        <v>4.73719444444444</v>
      </c>
      <c r="AB335">
        <v>-74.069472222222203</v>
      </c>
      <c r="AC335">
        <v>2555</v>
      </c>
      <c r="AD335">
        <v>0</v>
      </c>
      <c r="AE335" t="s">
        <v>80</v>
      </c>
      <c r="AF335" t="s">
        <v>107</v>
      </c>
      <c r="AG335" t="s">
        <v>82</v>
      </c>
      <c r="AH335" t="s">
        <v>83</v>
      </c>
      <c r="AI335" t="s">
        <v>121</v>
      </c>
      <c r="AJ335">
        <v>1.41440551929003</v>
      </c>
      <c r="AK335">
        <v>4.6910347939887096</v>
      </c>
      <c r="AL335">
        <v>2.1334931094723402</v>
      </c>
      <c r="AM335">
        <v>0.32470775729854101</v>
      </c>
      <c r="AN335">
        <v>2.44728749950314</v>
      </c>
      <c r="AO335">
        <v>0.306373537902556</v>
      </c>
      <c r="AP335">
        <v>0.306373537902556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19</v>
      </c>
      <c r="AW335">
        <v>0</v>
      </c>
      <c r="AX335">
        <v>0</v>
      </c>
      <c r="AY335">
        <v>15.3</v>
      </c>
      <c r="AZ335">
        <v>9.8000000000000007</v>
      </c>
      <c r="BA335">
        <v>29.7</v>
      </c>
      <c r="BB335">
        <v>564</v>
      </c>
      <c r="BC335">
        <v>68</v>
      </c>
      <c r="BD335">
        <v>1.8</v>
      </c>
      <c r="BE335">
        <v>43</v>
      </c>
      <c r="BF335">
        <v>25.4</v>
      </c>
      <c r="BG335">
        <v>162</v>
      </c>
      <c r="BH335">
        <v>9.1</v>
      </c>
      <c r="BI335">
        <v>9.1999999999999993</v>
      </c>
      <c r="BJ335">
        <v>18.3</v>
      </c>
      <c r="BK335">
        <v>0.34</v>
      </c>
      <c r="BL335">
        <v>7.3</v>
      </c>
      <c r="BM335">
        <v>0.9</v>
      </c>
      <c r="BN335">
        <v>7.5</v>
      </c>
      <c r="BO335">
        <v>2.9</v>
      </c>
      <c r="BP335">
        <f t="shared" si="10"/>
        <v>9.4950543840132475</v>
      </c>
      <c r="BQ335">
        <f t="shared" si="11"/>
        <v>29.248267706591257</v>
      </c>
    </row>
    <row r="336" spans="1:69" hidden="1" x14ac:dyDescent="0.2">
      <c r="A336" t="s">
        <v>1359</v>
      </c>
      <c r="B336" t="s">
        <v>68</v>
      </c>
      <c r="C336" t="s">
        <v>69</v>
      </c>
      <c r="D336" t="s">
        <v>70</v>
      </c>
      <c r="E336" t="s">
        <v>1360</v>
      </c>
      <c r="F336">
        <v>5</v>
      </c>
      <c r="G336">
        <v>86</v>
      </c>
      <c r="H336">
        <v>3</v>
      </c>
      <c r="I336">
        <v>2</v>
      </c>
      <c r="J336">
        <v>2</v>
      </c>
      <c r="K336" t="s">
        <v>110</v>
      </c>
      <c r="L336" t="s">
        <v>124</v>
      </c>
      <c r="M336" s="4">
        <v>700000000</v>
      </c>
      <c r="N336">
        <v>0</v>
      </c>
      <c r="O336">
        <v>4.751829624</v>
      </c>
      <c r="P336">
        <v>-74.067932130000003</v>
      </c>
      <c r="Q336" t="s">
        <v>1361</v>
      </c>
      <c r="R336">
        <v>8139534.8839999996</v>
      </c>
      <c r="S336">
        <v>0</v>
      </c>
      <c r="T336" t="s">
        <v>117</v>
      </c>
      <c r="U336" t="s">
        <v>118</v>
      </c>
      <c r="V336" t="s">
        <v>77</v>
      </c>
      <c r="W336" t="s">
        <v>119</v>
      </c>
      <c r="X336" t="s">
        <v>120</v>
      </c>
      <c r="Y336">
        <v>1.6381151486454999</v>
      </c>
      <c r="Z336">
        <v>1638.1151486455001</v>
      </c>
      <c r="AA336">
        <v>4.73719444444444</v>
      </c>
      <c r="AB336">
        <v>-74.069472222222203</v>
      </c>
      <c r="AC336">
        <v>2555</v>
      </c>
      <c r="AD336">
        <v>0</v>
      </c>
      <c r="AE336" t="s">
        <v>80</v>
      </c>
      <c r="AF336" t="s">
        <v>107</v>
      </c>
      <c r="AG336" t="s">
        <v>82</v>
      </c>
      <c r="AH336" t="s">
        <v>83</v>
      </c>
      <c r="AI336" t="s">
        <v>121</v>
      </c>
      <c r="AJ336">
        <v>2.3126425038752298</v>
      </c>
      <c r="AK336">
        <v>4.8256085423620103</v>
      </c>
      <c r="AL336">
        <v>1.6090546353923501</v>
      </c>
      <c r="AM336">
        <v>0.333661130773451</v>
      </c>
      <c r="AN336">
        <v>2.2444854745251201</v>
      </c>
      <c r="AO336">
        <v>5.3022455185054301E-3</v>
      </c>
      <c r="AP336">
        <v>5.3022455185054301E-3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12</v>
      </c>
      <c r="AW336">
        <v>0</v>
      </c>
      <c r="AX336">
        <v>1</v>
      </c>
      <c r="AY336">
        <v>15.3</v>
      </c>
      <c r="AZ336">
        <v>9.8000000000000007</v>
      </c>
      <c r="BA336">
        <v>29.7</v>
      </c>
      <c r="BB336">
        <v>564</v>
      </c>
      <c r="BC336">
        <v>68</v>
      </c>
      <c r="BD336">
        <v>1.8</v>
      </c>
      <c r="BE336">
        <v>43</v>
      </c>
      <c r="BF336">
        <v>25.4</v>
      </c>
      <c r="BG336">
        <v>162</v>
      </c>
      <c r="BH336">
        <v>9.1</v>
      </c>
      <c r="BI336">
        <v>9.1999999999999993</v>
      </c>
      <c r="BJ336">
        <v>18.3</v>
      </c>
      <c r="BK336">
        <v>0.34</v>
      </c>
      <c r="BL336">
        <v>7.3</v>
      </c>
      <c r="BM336">
        <v>0.9</v>
      </c>
      <c r="BN336">
        <v>7.5</v>
      </c>
      <c r="BO336">
        <v>2.9</v>
      </c>
      <c r="BP336">
        <f t="shared" si="10"/>
        <v>9.0367146603148907</v>
      </c>
      <c r="BQ336">
        <f t="shared" si="11"/>
        <v>28.555006571201162</v>
      </c>
    </row>
    <row r="337" spans="1:69" hidden="1" x14ac:dyDescent="0.2">
      <c r="A337" t="s">
        <v>830</v>
      </c>
      <c r="B337" t="s">
        <v>68</v>
      </c>
      <c r="C337" t="s">
        <v>69</v>
      </c>
      <c r="D337" t="s">
        <v>70</v>
      </c>
      <c r="E337" t="s">
        <v>545</v>
      </c>
      <c r="F337">
        <v>4</v>
      </c>
      <c r="G337">
        <v>86</v>
      </c>
      <c r="H337">
        <v>3</v>
      </c>
      <c r="I337">
        <v>2</v>
      </c>
      <c r="J337">
        <v>2</v>
      </c>
      <c r="K337" t="s">
        <v>110</v>
      </c>
      <c r="L337" t="s">
        <v>124</v>
      </c>
      <c r="M337" s="4">
        <v>570000000</v>
      </c>
      <c r="N337">
        <v>0</v>
      </c>
      <c r="O337">
        <v>4.7340949999999999</v>
      </c>
      <c r="P337">
        <v>-74.054550000000006</v>
      </c>
      <c r="Q337" t="s">
        <v>831</v>
      </c>
      <c r="R337">
        <v>6627906.977</v>
      </c>
      <c r="S337">
        <v>0</v>
      </c>
      <c r="T337" t="s">
        <v>117</v>
      </c>
      <c r="U337" t="s">
        <v>118</v>
      </c>
      <c r="V337" t="s">
        <v>77</v>
      </c>
      <c r="W337" t="s">
        <v>119</v>
      </c>
      <c r="X337" t="s">
        <v>120</v>
      </c>
      <c r="Y337">
        <v>1.69103633527833</v>
      </c>
      <c r="Z337">
        <v>1691.0363352783299</v>
      </c>
      <c r="AA337">
        <v>4.73719444444444</v>
      </c>
      <c r="AB337">
        <v>-74.069472222222203</v>
      </c>
      <c r="AC337">
        <v>2555</v>
      </c>
      <c r="AD337">
        <v>0</v>
      </c>
      <c r="AE337" t="s">
        <v>80</v>
      </c>
      <c r="AF337" t="s">
        <v>107</v>
      </c>
      <c r="AG337" t="s">
        <v>82</v>
      </c>
      <c r="AH337" t="s">
        <v>83</v>
      </c>
      <c r="AI337" t="s">
        <v>121</v>
      </c>
      <c r="AJ337">
        <v>0.59277178622231996</v>
      </c>
      <c r="AK337">
        <v>3.61271211012992</v>
      </c>
      <c r="AL337">
        <v>1.6217794626648001</v>
      </c>
      <c r="AM337">
        <v>0.10582302991516999</v>
      </c>
      <c r="AN337">
        <v>3.1919918410639001</v>
      </c>
      <c r="AO337">
        <v>0.104422808106396</v>
      </c>
      <c r="AP337">
        <v>0.104422808106396</v>
      </c>
      <c r="AQ337">
        <v>0</v>
      </c>
      <c r="AR337">
        <v>3</v>
      </c>
      <c r="AS337">
        <v>0</v>
      </c>
      <c r="AT337">
        <v>0</v>
      </c>
      <c r="AU337">
        <v>0</v>
      </c>
      <c r="AV337">
        <v>13</v>
      </c>
      <c r="AW337">
        <v>0</v>
      </c>
      <c r="AX337">
        <v>0</v>
      </c>
      <c r="AY337">
        <v>15.3</v>
      </c>
      <c r="AZ337">
        <v>9.8000000000000007</v>
      </c>
      <c r="BA337">
        <v>29.7</v>
      </c>
      <c r="BB337">
        <v>564</v>
      </c>
      <c r="BC337">
        <v>68</v>
      </c>
      <c r="BD337">
        <v>1.8</v>
      </c>
      <c r="BE337">
        <v>43</v>
      </c>
      <c r="BF337">
        <v>25.4</v>
      </c>
      <c r="BG337">
        <v>162</v>
      </c>
      <c r="BH337">
        <v>9.1</v>
      </c>
      <c r="BI337">
        <v>9.1999999999999993</v>
      </c>
      <c r="BJ337">
        <v>18.3</v>
      </c>
      <c r="BK337">
        <v>0.34</v>
      </c>
      <c r="BL337">
        <v>7.3</v>
      </c>
      <c r="BM337">
        <v>0.9</v>
      </c>
      <c r="BN337">
        <v>7.5</v>
      </c>
      <c r="BO337">
        <v>2.9</v>
      </c>
      <c r="BP337">
        <f t="shared" si="10"/>
        <v>9.0130730732475843</v>
      </c>
      <c r="BQ337">
        <f t="shared" si="11"/>
        <v>28.51876163760301</v>
      </c>
    </row>
    <row r="338" spans="1:69" hidden="1" x14ac:dyDescent="0.2">
      <c r="A338" t="s">
        <v>1137</v>
      </c>
      <c r="B338" t="s">
        <v>68</v>
      </c>
      <c r="C338" t="s">
        <v>69</v>
      </c>
      <c r="D338" t="s">
        <v>70</v>
      </c>
      <c r="E338" t="s">
        <v>378</v>
      </c>
      <c r="F338">
        <v>5</v>
      </c>
      <c r="G338">
        <v>86</v>
      </c>
      <c r="H338">
        <v>2</v>
      </c>
      <c r="I338">
        <v>2</v>
      </c>
      <c r="J338">
        <v>1</v>
      </c>
      <c r="K338" t="s">
        <v>110</v>
      </c>
      <c r="L338" t="s">
        <v>162</v>
      </c>
      <c r="M338" s="4">
        <v>489000000</v>
      </c>
      <c r="N338">
        <v>0</v>
      </c>
      <c r="O338">
        <v>4.7201424000000003</v>
      </c>
      <c r="P338">
        <v>-74.06523</v>
      </c>
      <c r="Q338" t="s">
        <v>1138</v>
      </c>
      <c r="R338">
        <v>5686046.5120000001</v>
      </c>
      <c r="S338">
        <v>0</v>
      </c>
      <c r="T338" t="s">
        <v>117</v>
      </c>
      <c r="U338" t="s">
        <v>118</v>
      </c>
      <c r="V338" t="s">
        <v>77</v>
      </c>
      <c r="W338" t="s">
        <v>119</v>
      </c>
      <c r="X338" t="s">
        <v>120</v>
      </c>
      <c r="Y338">
        <v>1.9556980190409301</v>
      </c>
      <c r="Z338">
        <v>1955.6980190409299</v>
      </c>
      <c r="AA338">
        <v>4.73719444444444</v>
      </c>
      <c r="AB338">
        <v>-74.069472222222203</v>
      </c>
      <c r="AC338">
        <v>2555</v>
      </c>
      <c r="AD338">
        <v>0</v>
      </c>
      <c r="AE338" t="s">
        <v>80</v>
      </c>
      <c r="AF338" t="s">
        <v>107</v>
      </c>
      <c r="AG338" t="s">
        <v>82</v>
      </c>
      <c r="AH338" t="s">
        <v>83</v>
      </c>
      <c r="AI338" t="s">
        <v>121</v>
      </c>
      <c r="AJ338">
        <v>1.0585986544160899</v>
      </c>
      <c r="AK338">
        <v>4.5719957433163296</v>
      </c>
      <c r="AL338">
        <v>0.77638091112755003</v>
      </c>
      <c r="AM338">
        <v>0.26357306401214398</v>
      </c>
      <c r="AN338">
        <v>3.2377978516197601</v>
      </c>
      <c r="AO338">
        <v>0.355992572125994</v>
      </c>
      <c r="AP338">
        <v>0.355992572125994</v>
      </c>
      <c r="AQ338">
        <v>0</v>
      </c>
      <c r="AR338">
        <v>0</v>
      </c>
      <c r="AS338">
        <v>0</v>
      </c>
      <c r="AT338">
        <v>0</v>
      </c>
      <c r="AU338">
        <v>1</v>
      </c>
      <c r="AV338">
        <v>38</v>
      </c>
      <c r="AW338">
        <v>0</v>
      </c>
      <c r="AX338">
        <v>0</v>
      </c>
      <c r="AY338">
        <v>15.3</v>
      </c>
      <c r="AZ338">
        <v>9.8000000000000007</v>
      </c>
      <c r="BA338">
        <v>29.7</v>
      </c>
      <c r="BB338">
        <v>564</v>
      </c>
      <c r="BC338">
        <v>68</v>
      </c>
      <c r="BD338">
        <v>1.8</v>
      </c>
      <c r="BE338">
        <v>43</v>
      </c>
      <c r="BF338">
        <v>25.4</v>
      </c>
      <c r="BG338">
        <v>162</v>
      </c>
      <c r="BH338">
        <v>9.1</v>
      </c>
      <c r="BI338">
        <v>9.1999999999999993</v>
      </c>
      <c r="BJ338">
        <v>18.3</v>
      </c>
      <c r="BK338">
        <v>0.34</v>
      </c>
      <c r="BL338">
        <v>7.3</v>
      </c>
      <c r="BM338">
        <v>0.9</v>
      </c>
      <c r="BN338">
        <v>7.5</v>
      </c>
      <c r="BO338">
        <v>2.9</v>
      </c>
      <c r="BP338">
        <f t="shared" si="10"/>
        <v>8.8957651151254193</v>
      </c>
      <c r="BQ338">
        <f t="shared" si="11"/>
        <v>28.33818797251811</v>
      </c>
    </row>
    <row r="339" spans="1:69" hidden="1" x14ac:dyDescent="0.2">
      <c r="A339" t="s">
        <v>289</v>
      </c>
      <c r="B339" t="s">
        <v>68</v>
      </c>
      <c r="C339" t="s">
        <v>69</v>
      </c>
      <c r="D339" t="s">
        <v>70</v>
      </c>
      <c r="E339" t="s">
        <v>290</v>
      </c>
      <c r="F339">
        <v>4</v>
      </c>
      <c r="G339">
        <v>86</v>
      </c>
      <c r="H339">
        <v>3</v>
      </c>
      <c r="I339">
        <v>2</v>
      </c>
      <c r="J339">
        <v>1</v>
      </c>
      <c r="K339" t="s">
        <v>110</v>
      </c>
      <c r="L339" t="s">
        <v>124</v>
      </c>
      <c r="M339" s="4">
        <v>470000000</v>
      </c>
      <c r="N339">
        <v>0</v>
      </c>
      <c r="O339">
        <v>4.7687564</v>
      </c>
      <c r="P339">
        <v>-74.033019999999993</v>
      </c>
      <c r="Q339" t="s">
        <v>291</v>
      </c>
      <c r="R339">
        <v>5465116.2790000001</v>
      </c>
      <c r="S339">
        <v>0</v>
      </c>
      <c r="T339" t="s">
        <v>151</v>
      </c>
      <c r="U339" t="s">
        <v>152</v>
      </c>
      <c r="V339" t="s">
        <v>77</v>
      </c>
      <c r="W339" t="s">
        <v>119</v>
      </c>
      <c r="X339" t="s">
        <v>153</v>
      </c>
      <c r="Y339">
        <v>2.0753864477958199</v>
      </c>
      <c r="Z339">
        <v>2075.38644779582</v>
      </c>
      <c r="AA339">
        <v>4.7837500000000004</v>
      </c>
      <c r="AB339">
        <v>-74.044138888888895</v>
      </c>
      <c r="AC339">
        <v>2580</v>
      </c>
      <c r="AD339">
        <v>0</v>
      </c>
      <c r="AE339" t="s">
        <v>154</v>
      </c>
      <c r="AF339" t="s">
        <v>107</v>
      </c>
      <c r="AG339" t="s">
        <v>82</v>
      </c>
      <c r="AH339" t="s">
        <v>83</v>
      </c>
      <c r="AI339" t="s">
        <v>108</v>
      </c>
      <c r="AJ339">
        <v>1.1699407171460099</v>
      </c>
      <c r="AK339">
        <v>1.12988624185324</v>
      </c>
      <c r="AL339">
        <v>1.9853146006398099</v>
      </c>
      <c r="AM339">
        <v>0.39731093006847301</v>
      </c>
      <c r="AN339">
        <v>3.08773795251193</v>
      </c>
      <c r="AO339">
        <v>0.132319589453985</v>
      </c>
      <c r="AP339">
        <v>0.132319589453985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6</v>
      </c>
      <c r="AW339">
        <v>0</v>
      </c>
      <c r="AX339">
        <v>0</v>
      </c>
      <c r="AY339">
        <v>15.3</v>
      </c>
      <c r="AZ339">
        <v>9.8000000000000007</v>
      </c>
      <c r="BA339">
        <v>29.7</v>
      </c>
      <c r="BB339">
        <v>564</v>
      </c>
      <c r="BC339">
        <v>68</v>
      </c>
      <c r="BD339">
        <v>1.8</v>
      </c>
      <c r="BE339">
        <v>43</v>
      </c>
      <c r="BF339">
        <v>25.4</v>
      </c>
      <c r="BG339">
        <v>162</v>
      </c>
      <c r="BH339">
        <v>9.1</v>
      </c>
      <c r="BI339">
        <v>9.1999999999999993</v>
      </c>
      <c r="BJ339">
        <v>18.3</v>
      </c>
      <c r="BK339">
        <v>0.34</v>
      </c>
      <c r="BL339">
        <v>7.3</v>
      </c>
      <c r="BM339">
        <v>0.9</v>
      </c>
      <c r="BN339">
        <v>7.5</v>
      </c>
      <c r="BO339">
        <v>2.9</v>
      </c>
      <c r="BP339">
        <f t="shared" si="10"/>
        <v>8.8432172832887552</v>
      </c>
      <c r="BQ339">
        <f t="shared" si="11"/>
        <v>28.256902698678992</v>
      </c>
    </row>
    <row r="340" spans="1:69" hidden="1" x14ac:dyDescent="0.2">
      <c r="A340" t="s">
        <v>739</v>
      </c>
      <c r="B340" t="s">
        <v>68</v>
      </c>
      <c r="C340" t="s">
        <v>69</v>
      </c>
      <c r="D340" t="s">
        <v>70</v>
      </c>
      <c r="E340" t="s">
        <v>548</v>
      </c>
      <c r="F340">
        <v>6</v>
      </c>
      <c r="G340">
        <v>84.61</v>
      </c>
      <c r="H340">
        <v>3</v>
      </c>
      <c r="I340">
        <v>2</v>
      </c>
      <c r="J340">
        <v>2</v>
      </c>
      <c r="K340" t="s">
        <v>110</v>
      </c>
      <c r="L340" t="s">
        <v>162</v>
      </c>
      <c r="M340" s="4">
        <v>570000000</v>
      </c>
      <c r="N340">
        <v>0</v>
      </c>
      <c r="O340">
        <v>4.7188668250000001</v>
      </c>
      <c r="P340">
        <v>-74.075317380000001</v>
      </c>
      <c r="Q340" t="s">
        <v>740</v>
      </c>
      <c r="R340">
        <v>6736792.341</v>
      </c>
      <c r="S340">
        <v>0</v>
      </c>
      <c r="T340" t="s">
        <v>117</v>
      </c>
      <c r="U340" t="s">
        <v>118</v>
      </c>
      <c r="V340" t="s">
        <v>77</v>
      </c>
      <c r="W340" t="s">
        <v>119</v>
      </c>
      <c r="X340" t="s">
        <v>120</v>
      </c>
      <c r="Y340">
        <v>2.1407967558098999</v>
      </c>
      <c r="Z340">
        <v>2140.7967558098999</v>
      </c>
      <c r="AA340">
        <v>4.73719444444444</v>
      </c>
      <c r="AB340">
        <v>-74.069472222222203</v>
      </c>
      <c r="AC340">
        <v>2555</v>
      </c>
      <c r="AD340">
        <v>0</v>
      </c>
      <c r="AE340" t="s">
        <v>80</v>
      </c>
      <c r="AF340" t="s">
        <v>107</v>
      </c>
      <c r="AG340" t="s">
        <v>82</v>
      </c>
      <c r="AH340" t="s">
        <v>83</v>
      </c>
      <c r="AI340" t="s">
        <v>121</v>
      </c>
      <c r="AJ340">
        <v>0.27363773748540499</v>
      </c>
      <c r="AK340">
        <v>5.6168123485384998</v>
      </c>
      <c r="AL340">
        <v>0.48646348103966802</v>
      </c>
      <c r="AM340">
        <v>0.28920308795751498</v>
      </c>
      <c r="AN340">
        <v>2.7270065653672102</v>
      </c>
      <c r="AO340">
        <v>2.8349804099503099E-2</v>
      </c>
      <c r="AP340">
        <v>2.8349804099503099E-2</v>
      </c>
      <c r="AQ340">
        <v>1</v>
      </c>
      <c r="AR340">
        <v>3</v>
      </c>
      <c r="AS340">
        <v>0</v>
      </c>
      <c r="AT340">
        <v>0</v>
      </c>
      <c r="AU340">
        <v>1</v>
      </c>
      <c r="AV340">
        <v>36</v>
      </c>
      <c r="AW340">
        <v>0</v>
      </c>
      <c r="AX340">
        <v>0</v>
      </c>
      <c r="AY340">
        <v>15.3</v>
      </c>
      <c r="AZ340">
        <v>9.8000000000000007</v>
      </c>
      <c r="BA340">
        <v>29.7</v>
      </c>
      <c r="BB340">
        <v>564</v>
      </c>
      <c r="BC340">
        <v>68</v>
      </c>
      <c r="BD340">
        <v>1.8</v>
      </c>
      <c r="BE340">
        <v>43</v>
      </c>
      <c r="BF340">
        <v>25.4</v>
      </c>
      <c r="BG340">
        <v>162</v>
      </c>
      <c r="BH340">
        <v>9.1</v>
      </c>
      <c r="BI340">
        <v>9.1999999999999993</v>
      </c>
      <c r="BJ340">
        <v>18.3</v>
      </c>
      <c r="BK340">
        <v>0.34</v>
      </c>
      <c r="BL340">
        <v>7.3</v>
      </c>
      <c r="BM340">
        <v>0.9</v>
      </c>
      <c r="BN340">
        <v>7.5</v>
      </c>
      <c r="BO340">
        <v>2.9</v>
      </c>
      <c r="BP340">
        <f t="shared" si="10"/>
        <v>8.8146309273268297</v>
      </c>
      <c r="BQ340">
        <f t="shared" si="11"/>
        <v>28.212578473899061</v>
      </c>
    </row>
    <row r="341" spans="1:69" hidden="1" x14ac:dyDescent="0.2">
      <c r="A341" t="s">
        <v>1374</v>
      </c>
      <c r="B341" t="s">
        <v>68</v>
      </c>
      <c r="C341" t="s">
        <v>69</v>
      </c>
      <c r="D341" t="s">
        <v>70</v>
      </c>
      <c r="E341" t="s">
        <v>1375</v>
      </c>
      <c r="F341">
        <v>6</v>
      </c>
      <c r="G341">
        <v>83.89</v>
      </c>
      <c r="H341">
        <v>3</v>
      </c>
      <c r="I341">
        <v>2</v>
      </c>
      <c r="J341">
        <v>1</v>
      </c>
      <c r="K341" t="s">
        <v>110</v>
      </c>
      <c r="L341" t="s">
        <v>124</v>
      </c>
      <c r="M341" s="4">
        <v>770000000</v>
      </c>
      <c r="N341">
        <v>0</v>
      </c>
      <c r="O341">
        <v>4.7574190610000002</v>
      </c>
      <c r="P341">
        <v>-74.068408009999999</v>
      </c>
      <c r="Q341" t="s">
        <v>1376</v>
      </c>
      <c r="R341">
        <v>9178686.375</v>
      </c>
      <c r="S341">
        <v>0</v>
      </c>
      <c r="T341" t="s">
        <v>117</v>
      </c>
      <c r="U341" t="s">
        <v>118</v>
      </c>
      <c r="V341" t="s">
        <v>77</v>
      </c>
      <c r="W341" t="s">
        <v>119</v>
      </c>
      <c r="X341" t="s">
        <v>120</v>
      </c>
      <c r="Y341">
        <v>2.2544874032997599</v>
      </c>
      <c r="Z341">
        <v>2254.48740329976</v>
      </c>
      <c r="AA341">
        <v>4.73719444444444</v>
      </c>
      <c r="AB341">
        <v>-74.069472222222203</v>
      </c>
      <c r="AC341">
        <v>2555</v>
      </c>
      <c r="AD341">
        <v>0</v>
      </c>
      <c r="AE341" t="s">
        <v>80</v>
      </c>
      <c r="AF341" t="s">
        <v>107</v>
      </c>
      <c r="AG341" t="s">
        <v>82</v>
      </c>
      <c r="AH341" t="s">
        <v>83</v>
      </c>
      <c r="AI341" t="s">
        <v>121</v>
      </c>
      <c r="AJ341">
        <v>2.49858291886604</v>
      </c>
      <c r="AK341">
        <v>4.2881046930375</v>
      </c>
      <c r="AL341">
        <v>1.7119967810477701</v>
      </c>
      <c r="AM341">
        <v>0.61459798653327902</v>
      </c>
      <c r="AN341">
        <v>2.5769670685614701</v>
      </c>
      <c r="AO341">
        <v>0.144921638990923</v>
      </c>
      <c r="AP341">
        <v>0.144921638990923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14</v>
      </c>
      <c r="AW341">
        <v>0</v>
      </c>
      <c r="AX341">
        <v>1</v>
      </c>
      <c r="AY341">
        <v>15.3</v>
      </c>
      <c r="AZ341">
        <v>9.8000000000000007</v>
      </c>
      <c r="BA341">
        <v>29.7</v>
      </c>
      <c r="BB341">
        <v>564</v>
      </c>
      <c r="BC341">
        <v>68</v>
      </c>
      <c r="BD341">
        <v>1.8</v>
      </c>
      <c r="BE341">
        <v>43</v>
      </c>
      <c r="BF341">
        <v>25.4</v>
      </c>
      <c r="BG341">
        <v>162</v>
      </c>
      <c r="BH341">
        <v>9.1</v>
      </c>
      <c r="BI341">
        <v>9.1999999999999993</v>
      </c>
      <c r="BJ341">
        <v>18.3</v>
      </c>
      <c r="BK341">
        <v>0.34</v>
      </c>
      <c r="BL341">
        <v>7.3</v>
      </c>
      <c r="BM341">
        <v>0.9</v>
      </c>
      <c r="BN341">
        <v>7.5</v>
      </c>
      <c r="BO341">
        <v>2.9</v>
      </c>
      <c r="BP341">
        <f t="shared" si="10"/>
        <v>8.7651642650017436</v>
      </c>
      <c r="BQ341">
        <f t="shared" si="11"/>
        <v>28.135703249984971</v>
      </c>
    </row>
    <row r="342" spans="1:69" hidden="1" x14ac:dyDescent="0.2">
      <c r="A342" t="s">
        <v>266</v>
      </c>
      <c r="B342" t="s">
        <v>68</v>
      </c>
      <c r="C342" t="s">
        <v>69</v>
      </c>
      <c r="D342" t="s">
        <v>70</v>
      </c>
      <c r="E342" t="s">
        <v>267</v>
      </c>
      <c r="F342">
        <v>4</v>
      </c>
      <c r="G342">
        <v>83</v>
      </c>
      <c r="H342">
        <v>3</v>
      </c>
      <c r="I342">
        <v>2</v>
      </c>
      <c r="J342">
        <v>2</v>
      </c>
      <c r="K342" t="s">
        <v>110</v>
      </c>
      <c r="L342" t="s">
        <v>111</v>
      </c>
      <c r="M342" s="4">
        <v>690000000</v>
      </c>
      <c r="N342">
        <v>0</v>
      </c>
      <c r="O342">
        <v>4.7741193769999999</v>
      </c>
      <c r="P342">
        <v>-74.052612300000007</v>
      </c>
      <c r="Q342" t="s">
        <v>268</v>
      </c>
      <c r="R342">
        <v>8313253.0120000001</v>
      </c>
      <c r="S342">
        <v>0</v>
      </c>
      <c r="T342" t="s">
        <v>151</v>
      </c>
      <c r="U342" t="s">
        <v>152</v>
      </c>
      <c r="V342" t="s">
        <v>77</v>
      </c>
      <c r="W342" t="s">
        <v>119</v>
      </c>
      <c r="X342" t="s">
        <v>153</v>
      </c>
      <c r="Y342">
        <v>1.42579911825315</v>
      </c>
      <c r="Z342">
        <v>1425.79911825315</v>
      </c>
      <c r="AA342">
        <v>4.7837500000000004</v>
      </c>
      <c r="AB342">
        <v>-74.044138888888895</v>
      </c>
      <c r="AC342">
        <v>2580</v>
      </c>
      <c r="AD342">
        <v>0</v>
      </c>
      <c r="AE342" t="s">
        <v>154</v>
      </c>
      <c r="AF342" t="s">
        <v>107</v>
      </c>
      <c r="AG342" t="s">
        <v>82</v>
      </c>
      <c r="AH342" t="s">
        <v>83</v>
      </c>
      <c r="AI342" t="s">
        <v>121</v>
      </c>
      <c r="AJ342">
        <v>1.1608392913786301</v>
      </c>
      <c r="AK342">
        <v>3.3667568810628201</v>
      </c>
      <c r="AL342">
        <v>2.2943939312337802</v>
      </c>
      <c r="AM342">
        <v>1.02768826395857</v>
      </c>
      <c r="AN342">
        <v>4.6041090363361796</v>
      </c>
      <c r="AO342">
        <v>5.5542191408408298E-2</v>
      </c>
      <c r="AP342">
        <v>5.5542191408408298E-2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15.3</v>
      </c>
      <c r="AZ342">
        <v>9.8000000000000007</v>
      </c>
      <c r="BA342">
        <v>29.7</v>
      </c>
      <c r="BB342">
        <v>564</v>
      </c>
      <c r="BC342">
        <v>68</v>
      </c>
      <c r="BD342">
        <v>1.8</v>
      </c>
      <c r="BE342">
        <v>43</v>
      </c>
      <c r="BF342">
        <v>25.4</v>
      </c>
      <c r="BG342">
        <v>162</v>
      </c>
      <c r="BH342">
        <v>9.1</v>
      </c>
      <c r="BI342">
        <v>9.1999999999999993</v>
      </c>
      <c r="BJ342">
        <v>18.3</v>
      </c>
      <c r="BK342">
        <v>0.34</v>
      </c>
      <c r="BL342">
        <v>7.3</v>
      </c>
      <c r="BM342">
        <v>0.9</v>
      </c>
      <c r="BN342">
        <v>7.5</v>
      </c>
      <c r="BO342">
        <v>2.9</v>
      </c>
      <c r="BP342">
        <f t="shared" si="10"/>
        <v>9.1321881271232996</v>
      </c>
      <c r="BQ342">
        <f t="shared" si="11"/>
        <v>28.700882372247428</v>
      </c>
    </row>
    <row r="343" spans="1:69" hidden="1" x14ac:dyDescent="0.2">
      <c r="A343" t="s">
        <v>409</v>
      </c>
      <c r="B343" t="s">
        <v>68</v>
      </c>
      <c r="C343" t="s">
        <v>69</v>
      </c>
      <c r="D343" t="s">
        <v>70</v>
      </c>
      <c r="E343" t="s">
        <v>410</v>
      </c>
      <c r="F343">
        <v>3</v>
      </c>
      <c r="G343">
        <v>82</v>
      </c>
      <c r="H343">
        <v>3</v>
      </c>
      <c r="I343">
        <v>2</v>
      </c>
      <c r="J343">
        <v>1</v>
      </c>
      <c r="K343" t="s">
        <v>110</v>
      </c>
      <c r="L343" t="s">
        <v>162</v>
      </c>
      <c r="M343" s="4">
        <v>350000000</v>
      </c>
      <c r="N343">
        <v>0</v>
      </c>
      <c r="O343">
        <v>4.7044548400000004</v>
      </c>
      <c r="P343">
        <v>-74.090005160000004</v>
      </c>
      <c r="Q343" t="s">
        <v>411</v>
      </c>
      <c r="R343">
        <v>4268292.6830000002</v>
      </c>
      <c r="S343">
        <v>0</v>
      </c>
      <c r="T343" t="s">
        <v>117</v>
      </c>
      <c r="U343" t="s">
        <v>118</v>
      </c>
      <c r="V343" t="s">
        <v>77</v>
      </c>
      <c r="W343" t="s">
        <v>119</v>
      </c>
      <c r="X343" t="s">
        <v>120</v>
      </c>
      <c r="Y343">
        <v>4.2978948051177497</v>
      </c>
      <c r="Z343">
        <v>4297.8948051177504</v>
      </c>
      <c r="AA343">
        <v>4.73719444444444</v>
      </c>
      <c r="AB343">
        <v>-74.069472222222203</v>
      </c>
      <c r="AC343">
        <v>2555</v>
      </c>
      <c r="AD343">
        <v>0</v>
      </c>
      <c r="AE343" t="s">
        <v>80</v>
      </c>
      <c r="AF343" t="s">
        <v>107</v>
      </c>
      <c r="AG343" t="s">
        <v>82</v>
      </c>
      <c r="AH343" t="s">
        <v>83</v>
      </c>
      <c r="AI343" t="s">
        <v>412</v>
      </c>
      <c r="AJ343">
        <v>0.86380514751675797</v>
      </c>
      <c r="AK343">
        <v>4.5927726888801104</v>
      </c>
      <c r="AL343">
        <v>0.33959124170357302</v>
      </c>
      <c r="AM343">
        <v>0.77352920237592804</v>
      </c>
      <c r="AN343">
        <v>2.12645960765777</v>
      </c>
      <c r="AO343">
        <v>0.26651593173249299</v>
      </c>
      <c r="AP343">
        <v>0.26651593173249299</v>
      </c>
      <c r="AQ343">
        <v>0</v>
      </c>
      <c r="AR343">
        <v>2</v>
      </c>
      <c r="AS343">
        <v>0</v>
      </c>
      <c r="AT343">
        <v>0</v>
      </c>
      <c r="AU343">
        <v>2</v>
      </c>
      <c r="AV343">
        <v>2</v>
      </c>
      <c r="AW343">
        <v>0</v>
      </c>
      <c r="AX343">
        <v>0</v>
      </c>
      <c r="AY343">
        <v>15.3</v>
      </c>
      <c r="AZ343">
        <v>9.8000000000000007</v>
      </c>
      <c r="BA343">
        <v>29.7</v>
      </c>
      <c r="BB343">
        <v>564</v>
      </c>
      <c r="BC343">
        <v>68</v>
      </c>
      <c r="BD343">
        <v>1.8</v>
      </c>
      <c r="BE343">
        <v>43</v>
      </c>
      <c r="BF343">
        <v>25.4</v>
      </c>
      <c r="BG343">
        <v>162</v>
      </c>
      <c r="BH343">
        <v>9.1</v>
      </c>
      <c r="BI343">
        <v>9.1999999999999993</v>
      </c>
      <c r="BJ343">
        <v>18.3</v>
      </c>
      <c r="BK343">
        <v>0.34</v>
      </c>
      <c r="BL343">
        <v>7.3</v>
      </c>
      <c r="BM343">
        <v>0.9</v>
      </c>
      <c r="BN343">
        <v>7.5</v>
      </c>
      <c r="BO343">
        <v>2.9</v>
      </c>
      <c r="BP343">
        <f t="shared" si="10"/>
        <v>7.9219437034851836</v>
      </c>
      <c r="BQ343">
        <f t="shared" si="11"/>
        <v>26.789166493802767</v>
      </c>
    </row>
    <row r="344" spans="1:69" hidden="1" x14ac:dyDescent="0.2">
      <c r="A344" t="s">
        <v>779</v>
      </c>
      <c r="B344" t="s">
        <v>68</v>
      </c>
      <c r="C344" t="s">
        <v>69</v>
      </c>
      <c r="D344" t="s">
        <v>70</v>
      </c>
      <c r="E344" t="s">
        <v>780</v>
      </c>
      <c r="F344">
        <v>4</v>
      </c>
      <c r="G344">
        <v>80</v>
      </c>
      <c r="H344">
        <v>3</v>
      </c>
      <c r="I344">
        <v>2</v>
      </c>
      <c r="J344">
        <v>2</v>
      </c>
      <c r="K344" t="s">
        <v>110</v>
      </c>
      <c r="L344" t="s">
        <v>162</v>
      </c>
      <c r="M344" s="4">
        <v>393000000</v>
      </c>
      <c r="N344">
        <v>0</v>
      </c>
      <c r="O344">
        <v>4.7672759999999998</v>
      </c>
      <c r="P344">
        <v>-74.044790000000006</v>
      </c>
      <c r="Q344" t="s">
        <v>781</v>
      </c>
      <c r="R344">
        <v>4912500</v>
      </c>
      <c r="S344">
        <v>0</v>
      </c>
      <c r="T344" t="s">
        <v>151</v>
      </c>
      <c r="U344" t="s">
        <v>152</v>
      </c>
      <c r="V344" t="s">
        <v>77</v>
      </c>
      <c r="W344" t="s">
        <v>119</v>
      </c>
      <c r="X344" t="s">
        <v>153</v>
      </c>
      <c r="Y344">
        <v>1.8352991731669701</v>
      </c>
      <c r="Z344">
        <v>1835.2991731669699</v>
      </c>
      <c r="AA344">
        <v>4.7837500000000004</v>
      </c>
      <c r="AB344">
        <v>-74.044138888888895</v>
      </c>
      <c r="AC344">
        <v>2580</v>
      </c>
      <c r="AD344">
        <v>0</v>
      </c>
      <c r="AE344" t="s">
        <v>154</v>
      </c>
      <c r="AF344" t="s">
        <v>107</v>
      </c>
      <c r="AG344" t="s">
        <v>82</v>
      </c>
      <c r="AH344" t="s">
        <v>83</v>
      </c>
      <c r="AI344" t="s">
        <v>121</v>
      </c>
      <c r="AJ344">
        <v>0.217454010019793</v>
      </c>
      <c r="AK344">
        <v>2.4227614029436602</v>
      </c>
      <c r="AL344">
        <v>1.81440414433377</v>
      </c>
      <c r="AM344">
        <v>0.46434284684836102</v>
      </c>
      <c r="AN344">
        <v>3.4783518077476798</v>
      </c>
      <c r="AO344">
        <v>0.234702832766845</v>
      </c>
      <c r="AP344">
        <v>0.234702832766845</v>
      </c>
      <c r="AQ344">
        <v>2</v>
      </c>
      <c r="AR344">
        <v>2</v>
      </c>
      <c r="AS344">
        <v>0</v>
      </c>
      <c r="AT344">
        <v>0</v>
      </c>
      <c r="AU344">
        <v>0</v>
      </c>
      <c r="AV344">
        <v>14</v>
      </c>
      <c r="AW344">
        <v>0</v>
      </c>
      <c r="AX344">
        <v>0</v>
      </c>
      <c r="AY344">
        <v>15.3</v>
      </c>
      <c r="AZ344">
        <v>9.8000000000000007</v>
      </c>
      <c r="BA344">
        <v>29.7</v>
      </c>
      <c r="BB344">
        <v>564</v>
      </c>
      <c r="BC344">
        <v>68</v>
      </c>
      <c r="BD344">
        <v>1.8</v>
      </c>
      <c r="BE344">
        <v>43</v>
      </c>
      <c r="BF344">
        <v>25.4</v>
      </c>
      <c r="BG344">
        <v>162</v>
      </c>
      <c r="BH344">
        <v>9.1</v>
      </c>
      <c r="BI344">
        <v>9.1999999999999993</v>
      </c>
      <c r="BJ344">
        <v>18.3</v>
      </c>
      <c r="BK344">
        <v>0.34</v>
      </c>
      <c r="BL344">
        <v>7.3</v>
      </c>
      <c r="BM344">
        <v>0.9</v>
      </c>
      <c r="BN344">
        <v>7.5</v>
      </c>
      <c r="BO344">
        <v>2.9</v>
      </c>
      <c r="BP344">
        <f t="shared" si="10"/>
        <v>8.9489398844356725</v>
      </c>
      <c r="BQ344">
        <f t="shared" si="11"/>
        <v>28.420191636242627</v>
      </c>
    </row>
    <row r="345" spans="1:69" hidden="1" x14ac:dyDescent="0.2">
      <c r="A345" t="s">
        <v>4312</v>
      </c>
      <c r="B345" t="s">
        <v>68</v>
      </c>
      <c r="C345" t="s">
        <v>3294</v>
      </c>
      <c r="D345" t="s">
        <v>70</v>
      </c>
      <c r="E345" t="s">
        <v>114</v>
      </c>
      <c r="F345">
        <v>5</v>
      </c>
      <c r="G345">
        <v>79.97</v>
      </c>
      <c r="H345">
        <v>1</v>
      </c>
      <c r="I345">
        <v>2</v>
      </c>
      <c r="J345">
        <v>2</v>
      </c>
      <c r="K345" t="s">
        <v>110</v>
      </c>
      <c r="L345" t="s">
        <v>111</v>
      </c>
      <c r="M345" s="4">
        <v>790000000</v>
      </c>
      <c r="N345">
        <v>0</v>
      </c>
      <c r="O345">
        <v>4.7131690769999999</v>
      </c>
      <c r="P345">
        <v>-74.076100819999994</v>
      </c>
      <c r="Q345" t="s">
        <v>4313</v>
      </c>
      <c r="R345">
        <v>9878704.5140000004</v>
      </c>
      <c r="S345">
        <v>0</v>
      </c>
      <c r="T345" t="s">
        <v>117</v>
      </c>
      <c r="U345" t="s">
        <v>118</v>
      </c>
      <c r="V345" t="s">
        <v>77</v>
      </c>
      <c r="W345" t="s">
        <v>119</v>
      </c>
      <c r="X345" t="s">
        <v>120</v>
      </c>
      <c r="Y345">
        <v>2.77375119005305</v>
      </c>
      <c r="Z345">
        <v>2773.7511900530499</v>
      </c>
      <c r="AA345">
        <v>4.73719444444444</v>
      </c>
      <c r="AB345">
        <v>-74.069472222222203</v>
      </c>
      <c r="AC345">
        <v>2555</v>
      </c>
      <c r="AD345">
        <v>0</v>
      </c>
      <c r="AE345" t="s">
        <v>80</v>
      </c>
      <c r="AF345" t="s">
        <v>107</v>
      </c>
      <c r="AG345" t="s">
        <v>82</v>
      </c>
      <c r="AH345" t="s">
        <v>83</v>
      </c>
      <c r="AI345" t="s">
        <v>121</v>
      </c>
      <c r="AJ345">
        <v>0.439978160612362</v>
      </c>
      <c r="AK345">
        <v>5.6644801952619703</v>
      </c>
      <c r="AL345">
        <v>0.65982774756661899</v>
      </c>
      <c r="AM345">
        <v>0.218514245158453</v>
      </c>
      <c r="AN345">
        <v>3.2842173706209898</v>
      </c>
      <c r="AO345">
        <v>0.20222503056909999</v>
      </c>
      <c r="AP345">
        <v>0.20222503056909999</v>
      </c>
      <c r="AQ345">
        <v>1</v>
      </c>
      <c r="AR345">
        <v>3</v>
      </c>
      <c r="AS345">
        <v>0</v>
      </c>
      <c r="AT345">
        <v>0</v>
      </c>
      <c r="AU345">
        <v>1</v>
      </c>
      <c r="AV345">
        <v>39</v>
      </c>
      <c r="AW345">
        <v>0</v>
      </c>
      <c r="AX345">
        <v>0</v>
      </c>
      <c r="AY345">
        <v>15.3</v>
      </c>
      <c r="AZ345">
        <v>9.8000000000000007</v>
      </c>
      <c r="BA345">
        <v>29.7</v>
      </c>
      <c r="BB345">
        <v>564</v>
      </c>
      <c r="BC345">
        <v>68</v>
      </c>
      <c r="BD345">
        <v>1.8</v>
      </c>
      <c r="BE345">
        <v>43</v>
      </c>
      <c r="BF345">
        <v>25.4</v>
      </c>
      <c r="BG345">
        <v>162</v>
      </c>
      <c r="BH345">
        <v>9.1</v>
      </c>
      <c r="BI345">
        <v>9.1999999999999993</v>
      </c>
      <c r="BJ345">
        <v>18.3</v>
      </c>
      <c r="BK345">
        <v>0.34</v>
      </c>
      <c r="BL345">
        <v>7.3</v>
      </c>
      <c r="BM345">
        <v>0.9</v>
      </c>
      <c r="BN345">
        <v>7.5</v>
      </c>
      <c r="BO345">
        <v>2.9</v>
      </c>
      <c r="BP345">
        <f t="shared" si="10"/>
        <v>8.5427391656838036</v>
      </c>
      <c r="BQ345">
        <f t="shared" si="11"/>
        <v>27.787242632173843</v>
      </c>
    </row>
    <row r="346" spans="1:69" hidden="1" x14ac:dyDescent="0.2">
      <c r="A346" t="s">
        <v>1834</v>
      </c>
      <c r="B346" t="s">
        <v>68</v>
      </c>
      <c r="C346" t="s">
        <v>69</v>
      </c>
      <c r="D346" t="s">
        <v>70</v>
      </c>
      <c r="E346" t="s">
        <v>545</v>
      </c>
      <c r="F346">
        <v>4</v>
      </c>
      <c r="G346">
        <v>79.97</v>
      </c>
      <c r="H346">
        <v>3</v>
      </c>
      <c r="I346">
        <v>2</v>
      </c>
      <c r="J346">
        <v>2</v>
      </c>
      <c r="K346" t="s">
        <v>110</v>
      </c>
      <c r="L346" t="s">
        <v>111</v>
      </c>
      <c r="M346" s="4">
        <v>460000000</v>
      </c>
      <c r="N346">
        <v>0</v>
      </c>
      <c r="O346">
        <v>4.7325302999999996</v>
      </c>
      <c r="P346">
        <v>-74.057855200000006</v>
      </c>
      <c r="Q346" t="s">
        <v>1835</v>
      </c>
      <c r="R346">
        <v>5752157.0590000004</v>
      </c>
      <c r="S346">
        <v>0</v>
      </c>
      <c r="T346" t="s">
        <v>117</v>
      </c>
      <c r="U346" t="s">
        <v>118</v>
      </c>
      <c r="V346" t="s">
        <v>77</v>
      </c>
      <c r="W346" t="s">
        <v>119</v>
      </c>
      <c r="X346" t="s">
        <v>120</v>
      </c>
      <c r="Y346">
        <v>1.3894434426983</v>
      </c>
      <c r="Z346">
        <v>1389.4434426983</v>
      </c>
      <c r="AA346">
        <v>4.73719444444444</v>
      </c>
      <c r="AB346">
        <v>-74.069472222222203</v>
      </c>
      <c r="AC346">
        <v>2555</v>
      </c>
      <c r="AD346">
        <v>0</v>
      </c>
      <c r="AE346" t="s">
        <v>80</v>
      </c>
      <c r="AF346" t="s">
        <v>107</v>
      </c>
      <c r="AG346" t="s">
        <v>82</v>
      </c>
      <c r="AH346" t="s">
        <v>83</v>
      </c>
      <c r="AI346" t="s">
        <v>121</v>
      </c>
      <c r="AJ346">
        <v>0.91006855700332201</v>
      </c>
      <c r="AK346">
        <v>3.9758086624105702</v>
      </c>
      <c r="AL346">
        <v>1.98309181128807</v>
      </c>
      <c r="AM346">
        <v>0.19737343491513501</v>
      </c>
      <c r="AN346">
        <v>3.19851622420004</v>
      </c>
      <c r="AO346">
        <v>2.6859111579953202E-2</v>
      </c>
      <c r="AP346">
        <v>2.6859111579953202E-2</v>
      </c>
      <c r="AQ346">
        <v>0</v>
      </c>
      <c r="AR346">
        <v>2</v>
      </c>
      <c r="AS346">
        <v>0</v>
      </c>
      <c r="AT346">
        <v>0</v>
      </c>
      <c r="AU346">
        <v>0</v>
      </c>
      <c r="AV346">
        <v>14</v>
      </c>
      <c r="AW346">
        <v>0</v>
      </c>
      <c r="AX346">
        <v>0</v>
      </c>
      <c r="AY346">
        <v>15.3</v>
      </c>
      <c r="AZ346">
        <v>9.8000000000000007</v>
      </c>
      <c r="BA346">
        <v>29.7</v>
      </c>
      <c r="BB346">
        <v>564</v>
      </c>
      <c r="BC346">
        <v>68</v>
      </c>
      <c r="BD346">
        <v>1.8</v>
      </c>
      <c r="BE346">
        <v>43</v>
      </c>
      <c r="BF346">
        <v>25.4</v>
      </c>
      <c r="BG346">
        <v>162</v>
      </c>
      <c r="BH346">
        <v>9.1</v>
      </c>
      <c r="BI346">
        <v>9.1999999999999993</v>
      </c>
      <c r="BJ346">
        <v>18.3</v>
      </c>
      <c r="BK346">
        <v>0.34</v>
      </c>
      <c r="BL346">
        <v>7.3</v>
      </c>
      <c r="BM346">
        <v>0.9</v>
      </c>
      <c r="BN346">
        <v>7.5</v>
      </c>
      <c r="BO346">
        <v>2.9</v>
      </c>
      <c r="BP346">
        <f t="shared" si="10"/>
        <v>9.1486372636643409</v>
      </c>
      <c r="BQ346">
        <f t="shared" si="11"/>
        <v>28.725935859919506</v>
      </c>
    </row>
    <row r="347" spans="1:69" hidden="1" x14ac:dyDescent="0.2">
      <c r="A347" t="s">
        <v>624</v>
      </c>
      <c r="B347" t="s">
        <v>68</v>
      </c>
      <c r="C347" t="s">
        <v>69</v>
      </c>
      <c r="D347" t="s">
        <v>70</v>
      </c>
      <c r="E347" t="s">
        <v>174</v>
      </c>
      <c r="F347">
        <v>4</v>
      </c>
      <c r="G347">
        <v>79</v>
      </c>
      <c r="H347">
        <v>3</v>
      </c>
      <c r="I347">
        <v>2</v>
      </c>
      <c r="J347">
        <v>1</v>
      </c>
      <c r="K347" t="s">
        <v>110</v>
      </c>
      <c r="L347" t="s">
        <v>124</v>
      </c>
      <c r="M347" s="4">
        <v>545000000</v>
      </c>
      <c r="N347">
        <v>0</v>
      </c>
      <c r="O347">
        <v>4.7415776000000003</v>
      </c>
      <c r="P347">
        <v>-74.064899999999994</v>
      </c>
      <c r="Q347" t="s">
        <v>625</v>
      </c>
      <c r="R347">
        <v>6898734.1770000001</v>
      </c>
      <c r="S347">
        <v>0</v>
      </c>
      <c r="T347" t="s">
        <v>117</v>
      </c>
      <c r="U347" t="s">
        <v>118</v>
      </c>
      <c r="V347" t="s">
        <v>77</v>
      </c>
      <c r="W347" t="s">
        <v>119</v>
      </c>
      <c r="X347" t="s">
        <v>120</v>
      </c>
      <c r="Y347">
        <v>0.70382231932262596</v>
      </c>
      <c r="Z347">
        <v>703.82231932262596</v>
      </c>
      <c r="AA347">
        <v>4.73719444444444</v>
      </c>
      <c r="AB347">
        <v>-74.069472222222203</v>
      </c>
      <c r="AC347">
        <v>2555</v>
      </c>
      <c r="AD347">
        <v>0</v>
      </c>
      <c r="AE347" t="s">
        <v>80</v>
      </c>
      <c r="AF347" t="s">
        <v>107</v>
      </c>
      <c r="AG347" t="s">
        <v>82</v>
      </c>
      <c r="AH347" t="s">
        <v>83</v>
      </c>
      <c r="AI347" t="s">
        <v>121</v>
      </c>
      <c r="AJ347">
        <v>1.8740547920295301</v>
      </c>
      <c r="AK347">
        <v>4.8574376881613404</v>
      </c>
      <c r="AL347">
        <v>1.8159073024210599</v>
      </c>
      <c r="AM347">
        <v>0.104064439076741</v>
      </c>
      <c r="AN347">
        <v>2.26310900480969</v>
      </c>
      <c r="AO347">
        <v>0.21507429513164</v>
      </c>
      <c r="AP347">
        <v>0.21507429513164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13</v>
      </c>
      <c r="AW347">
        <v>0</v>
      </c>
      <c r="AX347">
        <v>0</v>
      </c>
      <c r="AY347">
        <v>15.3</v>
      </c>
      <c r="AZ347">
        <v>9.8000000000000007</v>
      </c>
      <c r="BA347">
        <v>29.7</v>
      </c>
      <c r="BB347">
        <v>564</v>
      </c>
      <c r="BC347">
        <v>68</v>
      </c>
      <c r="BD347">
        <v>1.8</v>
      </c>
      <c r="BE347">
        <v>43</v>
      </c>
      <c r="BF347">
        <v>25.4</v>
      </c>
      <c r="BG347">
        <v>162</v>
      </c>
      <c r="BH347">
        <v>9.1</v>
      </c>
      <c r="BI347">
        <v>9.1999999999999993</v>
      </c>
      <c r="BJ347">
        <v>18.3</v>
      </c>
      <c r="BK347">
        <v>0.34</v>
      </c>
      <c r="BL347">
        <v>7.3</v>
      </c>
      <c r="BM347">
        <v>0.9</v>
      </c>
      <c r="BN347">
        <v>7.5</v>
      </c>
      <c r="BO347">
        <v>2.9</v>
      </c>
      <c r="BP347">
        <f t="shared" si="10"/>
        <v>9.4644547958190746</v>
      </c>
      <c r="BQ347">
        <f t="shared" si="11"/>
        <v>29.202528854922644</v>
      </c>
    </row>
    <row r="348" spans="1:69" hidden="1" x14ac:dyDescent="0.2">
      <c r="A348" t="s">
        <v>2354</v>
      </c>
      <c r="B348" t="s">
        <v>68</v>
      </c>
      <c r="C348" t="s">
        <v>1956</v>
      </c>
      <c r="D348" t="s">
        <v>70</v>
      </c>
      <c r="E348" t="s">
        <v>184</v>
      </c>
      <c r="F348">
        <v>3</v>
      </c>
      <c r="G348">
        <v>78</v>
      </c>
      <c r="H348">
        <v>3</v>
      </c>
      <c r="I348">
        <v>3</v>
      </c>
      <c r="J348">
        <v>1</v>
      </c>
      <c r="K348" t="s">
        <v>110</v>
      </c>
      <c r="L348" t="s">
        <v>162</v>
      </c>
      <c r="M348" s="4">
        <v>395000000</v>
      </c>
      <c r="N348">
        <v>0</v>
      </c>
      <c r="O348">
        <v>4.7474775310000004</v>
      </c>
      <c r="P348">
        <v>-74.057640079999999</v>
      </c>
      <c r="Q348" t="s">
        <v>2355</v>
      </c>
      <c r="R348">
        <v>5064102.5640000002</v>
      </c>
      <c r="S348">
        <v>0</v>
      </c>
      <c r="T348" t="s">
        <v>117</v>
      </c>
      <c r="U348" t="s">
        <v>118</v>
      </c>
      <c r="V348" t="s">
        <v>77</v>
      </c>
      <c r="W348" t="s">
        <v>119</v>
      </c>
      <c r="X348" t="s">
        <v>120</v>
      </c>
      <c r="Y348">
        <v>1.74165930792833</v>
      </c>
      <c r="Z348">
        <v>1741.65930792833</v>
      </c>
      <c r="AA348">
        <v>4.73719444444444</v>
      </c>
      <c r="AB348">
        <v>-74.069472222222203</v>
      </c>
      <c r="AC348">
        <v>2555</v>
      </c>
      <c r="AD348">
        <v>0</v>
      </c>
      <c r="AE348" t="s">
        <v>80</v>
      </c>
      <c r="AF348" t="s">
        <v>107</v>
      </c>
      <c r="AG348" t="s">
        <v>82</v>
      </c>
      <c r="AH348" t="s">
        <v>83</v>
      </c>
      <c r="AI348" t="s">
        <v>121</v>
      </c>
      <c r="AJ348">
        <v>1.16023899933802</v>
      </c>
      <c r="AK348">
        <v>4.0909214159076601</v>
      </c>
      <c r="AL348">
        <v>0.79726126311425105</v>
      </c>
      <c r="AM348">
        <v>0.177468771310168</v>
      </c>
      <c r="AN348">
        <v>3.14027278813258</v>
      </c>
      <c r="AO348">
        <v>9.0495263927204E-2</v>
      </c>
      <c r="AP348">
        <v>9.0495263927204E-2</v>
      </c>
      <c r="AQ348">
        <v>0</v>
      </c>
      <c r="AR348">
        <v>0</v>
      </c>
      <c r="AS348">
        <v>0</v>
      </c>
      <c r="AT348">
        <v>0</v>
      </c>
      <c r="AU348">
        <v>1</v>
      </c>
      <c r="AV348">
        <v>15</v>
      </c>
      <c r="AW348">
        <v>0</v>
      </c>
      <c r="AX348">
        <v>0</v>
      </c>
      <c r="AY348">
        <v>15.3</v>
      </c>
      <c r="AZ348">
        <v>9.8000000000000007</v>
      </c>
      <c r="BA348">
        <v>29.7</v>
      </c>
      <c r="BB348">
        <v>564</v>
      </c>
      <c r="BC348">
        <v>68</v>
      </c>
      <c r="BD348">
        <v>1.8</v>
      </c>
      <c r="BE348">
        <v>43</v>
      </c>
      <c r="BF348">
        <v>25.4</v>
      </c>
      <c r="BG348">
        <v>162</v>
      </c>
      <c r="BH348">
        <v>9.1</v>
      </c>
      <c r="BI348">
        <v>9.1999999999999993</v>
      </c>
      <c r="BJ348">
        <v>18.3</v>
      </c>
      <c r="BK348">
        <v>0.34</v>
      </c>
      <c r="BL348">
        <v>7.3</v>
      </c>
      <c r="BM348">
        <v>0.9</v>
      </c>
      <c r="BN348">
        <v>7.5</v>
      </c>
      <c r="BO348">
        <v>2.9</v>
      </c>
      <c r="BP348">
        <f t="shared" si="10"/>
        <v>8.990516053851378</v>
      </c>
      <c r="BQ348">
        <f t="shared" si="11"/>
        <v>28.484133769680462</v>
      </c>
    </row>
    <row r="349" spans="1:69" hidden="1" x14ac:dyDescent="0.2">
      <c r="A349" t="s">
        <v>3074</v>
      </c>
      <c r="B349" t="s">
        <v>68</v>
      </c>
      <c r="C349" t="s">
        <v>1956</v>
      </c>
      <c r="D349" t="s">
        <v>70</v>
      </c>
      <c r="E349" t="s">
        <v>1724</v>
      </c>
      <c r="F349">
        <v>4</v>
      </c>
      <c r="G349">
        <v>78</v>
      </c>
      <c r="H349">
        <v>3</v>
      </c>
      <c r="I349">
        <v>2</v>
      </c>
      <c r="J349">
        <v>1</v>
      </c>
      <c r="K349" t="s">
        <v>110</v>
      </c>
      <c r="L349" t="s">
        <v>162</v>
      </c>
      <c r="M349" s="4">
        <v>350000000</v>
      </c>
      <c r="N349">
        <v>0</v>
      </c>
      <c r="O349">
        <v>4.758616924</v>
      </c>
      <c r="P349">
        <v>-74.059471130000006</v>
      </c>
      <c r="Q349" t="s">
        <v>3075</v>
      </c>
      <c r="R349">
        <v>4487179.4869999997</v>
      </c>
      <c r="S349">
        <v>0</v>
      </c>
      <c r="T349" t="s">
        <v>117</v>
      </c>
      <c r="U349" t="s">
        <v>118</v>
      </c>
      <c r="V349" t="s">
        <v>77</v>
      </c>
      <c r="W349" t="s">
        <v>119</v>
      </c>
      <c r="X349" t="s">
        <v>120</v>
      </c>
      <c r="Y349">
        <v>2.63020233369891</v>
      </c>
      <c r="Z349">
        <v>2630.20233369891</v>
      </c>
      <c r="AA349">
        <v>4.73719444444444</v>
      </c>
      <c r="AB349">
        <v>-74.069472222222203</v>
      </c>
      <c r="AC349">
        <v>2555</v>
      </c>
      <c r="AD349">
        <v>0</v>
      </c>
      <c r="AE349" t="s">
        <v>80</v>
      </c>
      <c r="AF349" t="s">
        <v>107</v>
      </c>
      <c r="AG349" t="s">
        <v>82</v>
      </c>
      <c r="AH349" t="s">
        <v>83</v>
      </c>
      <c r="AI349" t="s">
        <v>121</v>
      </c>
      <c r="AJ349">
        <v>1.5526376176060499</v>
      </c>
      <c r="AK349">
        <v>4.1416007105113897</v>
      </c>
      <c r="AL349">
        <v>0.87942640889551205</v>
      </c>
      <c r="AM349">
        <v>0.103239632697894</v>
      </c>
      <c r="AN349">
        <v>3.43832897969651</v>
      </c>
      <c r="AO349">
        <v>0.27077361127541599</v>
      </c>
      <c r="AP349">
        <v>0.27077361127541599</v>
      </c>
      <c r="AQ349">
        <v>0</v>
      </c>
      <c r="AR349">
        <v>0</v>
      </c>
      <c r="AS349">
        <v>0</v>
      </c>
      <c r="AT349">
        <v>0</v>
      </c>
      <c r="AU349">
        <v>1</v>
      </c>
      <c r="AV349">
        <v>10</v>
      </c>
      <c r="AW349">
        <v>0</v>
      </c>
      <c r="AX349">
        <v>1</v>
      </c>
      <c r="AY349">
        <v>15.3</v>
      </c>
      <c r="AZ349">
        <v>9.8000000000000007</v>
      </c>
      <c r="BA349">
        <v>29.7</v>
      </c>
      <c r="BB349">
        <v>564</v>
      </c>
      <c r="BC349">
        <v>68</v>
      </c>
      <c r="BD349">
        <v>1.8</v>
      </c>
      <c r="BE349">
        <v>43</v>
      </c>
      <c r="BF349">
        <v>25.4</v>
      </c>
      <c r="BG349">
        <v>162</v>
      </c>
      <c r="BH349">
        <v>9.1</v>
      </c>
      <c r="BI349">
        <v>9.1999999999999993</v>
      </c>
      <c r="BJ349">
        <v>18.3</v>
      </c>
      <c r="BK349">
        <v>0.34</v>
      </c>
      <c r="BL349">
        <v>7.3</v>
      </c>
      <c r="BM349">
        <v>0.9</v>
      </c>
      <c r="BN349">
        <v>7.5</v>
      </c>
      <c r="BO349">
        <v>2.9</v>
      </c>
      <c r="BP349">
        <f t="shared" si="10"/>
        <v>8.6036572127389341</v>
      </c>
      <c r="BQ349">
        <f t="shared" si="11"/>
        <v>27.883139573703502</v>
      </c>
    </row>
    <row r="350" spans="1:69" hidden="1" x14ac:dyDescent="0.2">
      <c r="A350" t="s">
        <v>518</v>
      </c>
      <c r="B350" t="s">
        <v>68</v>
      </c>
      <c r="C350" t="s">
        <v>69</v>
      </c>
      <c r="D350" t="s">
        <v>70</v>
      </c>
      <c r="E350" t="s">
        <v>483</v>
      </c>
      <c r="F350">
        <v>3</v>
      </c>
      <c r="G350">
        <v>76</v>
      </c>
      <c r="H350">
        <v>3</v>
      </c>
      <c r="I350">
        <v>2</v>
      </c>
      <c r="J350">
        <v>1</v>
      </c>
      <c r="K350" t="s">
        <v>110</v>
      </c>
      <c r="L350" t="s">
        <v>133</v>
      </c>
      <c r="M350" s="4">
        <v>375000000</v>
      </c>
      <c r="N350">
        <v>0</v>
      </c>
      <c r="O350">
        <v>4.7202577589999999</v>
      </c>
      <c r="P350">
        <v>-74.069335940000002</v>
      </c>
      <c r="Q350" t="s">
        <v>519</v>
      </c>
      <c r="R350">
        <v>4934210.5259999996</v>
      </c>
      <c r="S350">
        <v>0</v>
      </c>
      <c r="T350" t="s">
        <v>117</v>
      </c>
      <c r="U350" t="s">
        <v>118</v>
      </c>
      <c r="V350" t="s">
        <v>77</v>
      </c>
      <c r="W350" t="s">
        <v>119</v>
      </c>
      <c r="X350" t="s">
        <v>120</v>
      </c>
      <c r="Y350">
        <v>1.8854438203402999</v>
      </c>
      <c r="Z350">
        <v>1885.4438203402999</v>
      </c>
      <c r="AA350">
        <v>4.73719444444444</v>
      </c>
      <c r="AB350">
        <v>-74.069472222222203</v>
      </c>
      <c r="AC350">
        <v>2555</v>
      </c>
      <c r="AD350">
        <v>0</v>
      </c>
      <c r="AE350" t="s">
        <v>80</v>
      </c>
      <c r="AF350" t="s">
        <v>107</v>
      </c>
      <c r="AG350" t="s">
        <v>82</v>
      </c>
      <c r="AH350" t="s">
        <v>83</v>
      </c>
      <c r="AI350" t="s">
        <v>121</v>
      </c>
      <c r="AJ350">
        <v>0.60637914714857299</v>
      </c>
      <c r="AK350">
        <v>5.0224487310539701</v>
      </c>
      <c r="AL350">
        <v>0.44147985671869699</v>
      </c>
      <c r="AM350">
        <v>6.4250184287038006E-2</v>
      </c>
      <c r="AN350">
        <v>2.9331970247956201</v>
      </c>
      <c r="AO350">
        <v>0.15839569096116901</v>
      </c>
      <c r="AP350">
        <v>0.15839569096116901</v>
      </c>
      <c r="AQ350">
        <v>0</v>
      </c>
      <c r="AR350">
        <v>3</v>
      </c>
      <c r="AS350">
        <v>0</v>
      </c>
      <c r="AT350">
        <v>0</v>
      </c>
      <c r="AU350">
        <v>1</v>
      </c>
      <c r="AV350">
        <v>43</v>
      </c>
      <c r="AW350">
        <v>0</v>
      </c>
      <c r="AX350">
        <v>0</v>
      </c>
      <c r="AY350">
        <v>15.3</v>
      </c>
      <c r="AZ350">
        <v>9.8000000000000007</v>
      </c>
      <c r="BA350">
        <v>29.7</v>
      </c>
      <c r="BB350">
        <v>564</v>
      </c>
      <c r="BC350">
        <v>68</v>
      </c>
      <c r="BD350">
        <v>1.8</v>
      </c>
      <c r="BE350">
        <v>43</v>
      </c>
      <c r="BF350">
        <v>25.4</v>
      </c>
      <c r="BG350">
        <v>162</v>
      </c>
      <c r="BH350">
        <v>9.1</v>
      </c>
      <c r="BI350">
        <v>9.1999999999999993</v>
      </c>
      <c r="BJ350">
        <v>18.3</v>
      </c>
      <c r="BK350">
        <v>0.34</v>
      </c>
      <c r="BL350">
        <v>7.3</v>
      </c>
      <c r="BM350">
        <v>0.9</v>
      </c>
      <c r="BN350">
        <v>7.5</v>
      </c>
      <c r="BO350">
        <v>2.9</v>
      </c>
      <c r="BP350">
        <f t="shared" si="10"/>
        <v>8.9267547284424289</v>
      </c>
      <c r="BQ350">
        <f t="shared" si="11"/>
        <v>28.386009317519267</v>
      </c>
    </row>
    <row r="351" spans="1:69" hidden="1" x14ac:dyDescent="0.2">
      <c r="A351" t="s">
        <v>1431</v>
      </c>
      <c r="B351" t="s">
        <v>68</v>
      </c>
      <c r="C351" t="s">
        <v>69</v>
      </c>
      <c r="D351" t="s">
        <v>70</v>
      </c>
      <c r="E351" t="s">
        <v>1432</v>
      </c>
      <c r="F351">
        <v>4</v>
      </c>
      <c r="G351">
        <v>75</v>
      </c>
      <c r="H351">
        <v>3</v>
      </c>
      <c r="I351">
        <v>2</v>
      </c>
      <c r="J351">
        <v>1</v>
      </c>
      <c r="K351" t="s">
        <v>110</v>
      </c>
      <c r="L351" t="s">
        <v>162</v>
      </c>
      <c r="M351" s="4">
        <v>373000000</v>
      </c>
      <c r="N351">
        <v>0</v>
      </c>
      <c r="O351">
        <v>4.7598722200000001</v>
      </c>
      <c r="P351">
        <v>-74.042410619999998</v>
      </c>
      <c r="Q351" t="s">
        <v>1433</v>
      </c>
      <c r="R351">
        <v>4973333.3329999996</v>
      </c>
      <c r="S351">
        <v>0</v>
      </c>
      <c r="T351" t="s">
        <v>151</v>
      </c>
      <c r="U351" t="s">
        <v>152</v>
      </c>
      <c r="V351" t="s">
        <v>77</v>
      </c>
      <c r="W351" t="s">
        <v>119</v>
      </c>
      <c r="X351" t="s">
        <v>153</v>
      </c>
      <c r="Y351">
        <v>2.66496773381107</v>
      </c>
      <c r="Z351">
        <v>2664.96773381107</v>
      </c>
      <c r="AA351">
        <v>4.7837500000000004</v>
      </c>
      <c r="AB351">
        <v>-74.044138888888895</v>
      </c>
      <c r="AC351">
        <v>2580</v>
      </c>
      <c r="AD351">
        <v>0</v>
      </c>
      <c r="AE351" t="s">
        <v>154</v>
      </c>
      <c r="AF351" t="s">
        <v>107</v>
      </c>
      <c r="AG351" t="s">
        <v>82</v>
      </c>
      <c r="AH351" t="s">
        <v>83</v>
      </c>
      <c r="AI351" t="s">
        <v>108</v>
      </c>
      <c r="AJ351">
        <v>0.44427453522517601</v>
      </c>
      <c r="AK351">
        <v>2.2601623338924699</v>
      </c>
      <c r="AL351">
        <v>1.42378082296862</v>
      </c>
      <c r="AM351">
        <v>0.51688866663461797</v>
      </c>
      <c r="AN351">
        <v>2.6696644922692898</v>
      </c>
      <c r="AO351">
        <v>0.33555883227741001</v>
      </c>
      <c r="AP351">
        <v>0.33555883227741001</v>
      </c>
      <c r="AQ351">
        <v>1</v>
      </c>
      <c r="AR351">
        <v>3</v>
      </c>
      <c r="AS351">
        <v>0</v>
      </c>
      <c r="AT351">
        <v>0</v>
      </c>
      <c r="AU351">
        <v>0</v>
      </c>
      <c r="AV351">
        <v>16</v>
      </c>
      <c r="AW351">
        <v>0</v>
      </c>
      <c r="AX351">
        <v>0</v>
      </c>
      <c r="AY351">
        <v>15.3</v>
      </c>
      <c r="AZ351">
        <v>9.8000000000000007</v>
      </c>
      <c r="BA351">
        <v>29.7</v>
      </c>
      <c r="BB351">
        <v>564</v>
      </c>
      <c r="BC351">
        <v>68</v>
      </c>
      <c r="BD351">
        <v>1.8</v>
      </c>
      <c r="BE351">
        <v>43</v>
      </c>
      <c r="BF351">
        <v>25.4</v>
      </c>
      <c r="BG351">
        <v>162</v>
      </c>
      <c r="BH351">
        <v>9.1</v>
      </c>
      <c r="BI351">
        <v>9.1999999999999993</v>
      </c>
      <c r="BJ351">
        <v>18.3</v>
      </c>
      <c r="BK351">
        <v>0.34</v>
      </c>
      <c r="BL351">
        <v>7.3</v>
      </c>
      <c r="BM351">
        <v>0.9</v>
      </c>
      <c r="BN351">
        <v>7.5</v>
      </c>
      <c r="BO351">
        <v>2.9</v>
      </c>
      <c r="BP351">
        <f t="shared" si="10"/>
        <v>8.588864020619253</v>
      </c>
      <c r="BQ351">
        <f t="shared" si="11"/>
        <v>27.859884432656123</v>
      </c>
    </row>
    <row r="352" spans="1:69" hidden="1" x14ac:dyDescent="0.2">
      <c r="A352" t="s">
        <v>2470</v>
      </c>
      <c r="B352" t="s">
        <v>68</v>
      </c>
      <c r="C352" t="s">
        <v>1956</v>
      </c>
      <c r="D352" t="s">
        <v>70</v>
      </c>
      <c r="E352" t="s">
        <v>2415</v>
      </c>
      <c r="F352">
        <v>4</v>
      </c>
      <c r="G352">
        <v>74</v>
      </c>
      <c r="H352">
        <v>3</v>
      </c>
      <c r="I352">
        <v>3</v>
      </c>
      <c r="J352">
        <v>1</v>
      </c>
      <c r="K352" t="s">
        <v>110</v>
      </c>
      <c r="L352" t="s">
        <v>133</v>
      </c>
      <c r="M352" s="4">
        <v>408000000</v>
      </c>
      <c r="N352">
        <v>0</v>
      </c>
      <c r="O352">
        <v>4.7499027250000001</v>
      </c>
      <c r="P352">
        <v>-74.067398069999996</v>
      </c>
      <c r="Q352" t="s">
        <v>2471</v>
      </c>
      <c r="R352">
        <v>5513513.5140000004</v>
      </c>
      <c r="S352">
        <v>0</v>
      </c>
      <c r="T352" t="s">
        <v>117</v>
      </c>
      <c r="U352" t="s">
        <v>118</v>
      </c>
      <c r="V352" t="s">
        <v>77</v>
      </c>
      <c r="W352" t="s">
        <v>119</v>
      </c>
      <c r="X352" t="s">
        <v>120</v>
      </c>
      <c r="Y352">
        <v>1.4332706790924501</v>
      </c>
      <c r="Z352">
        <v>1433.2706790924501</v>
      </c>
      <c r="AA352">
        <v>4.73719444444444</v>
      </c>
      <c r="AB352">
        <v>-74.069472222222203</v>
      </c>
      <c r="AC352">
        <v>2555</v>
      </c>
      <c r="AD352">
        <v>0</v>
      </c>
      <c r="AE352" t="s">
        <v>80</v>
      </c>
      <c r="AF352" t="s">
        <v>107</v>
      </c>
      <c r="AG352" t="s">
        <v>82</v>
      </c>
      <c r="AH352" t="s">
        <v>83</v>
      </c>
      <c r="AI352" t="s">
        <v>121</v>
      </c>
      <c r="AJ352">
        <v>2.1909756995401799</v>
      </c>
      <c r="AK352">
        <v>5.0370178897841598</v>
      </c>
      <c r="AL352">
        <v>1.58785378922437</v>
      </c>
      <c r="AM352">
        <v>0.217976028195107</v>
      </c>
      <c r="AN352">
        <v>2.1964798650053901</v>
      </c>
      <c r="AO352">
        <v>5.3965661064273203E-2</v>
      </c>
      <c r="AP352">
        <v>5.3965661064273203E-2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10</v>
      </c>
      <c r="AW352">
        <v>0</v>
      </c>
      <c r="AX352">
        <v>0</v>
      </c>
      <c r="AY352">
        <v>15.3</v>
      </c>
      <c r="AZ352">
        <v>9.8000000000000007</v>
      </c>
      <c r="BA352">
        <v>29.7</v>
      </c>
      <c r="BB352">
        <v>564</v>
      </c>
      <c r="BC352">
        <v>68</v>
      </c>
      <c r="BD352">
        <v>1.8</v>
      </c>
      <c r="BE352">
        <v>43</v>
      </c>
      <c r="BF352">
        <v>25.4</v>
      </c>
      <c r="BG352">
        <v>162</v>
      </c>
      <c r="BH352">
        <v>9.1</v>
      </c>
      <c r="BI352">
        <v>9.1999999999999993</v>
      </c>
      <c r="BJ352">
        <v>18.3</v>
      </c>
      <c r="BK352">
        <v>0.34</v>
      </c>
      <c r="BL352">
        <v>7.3</v>
      </c>
      <c r="BM352">
        <v>0.9</v>
      </c>
      <c r="BN352">
        <v>7.5</v>
      </c>
      <c r="BO352">
        <v>2.9</v>
      </c>
      <c r="BP352">
        <f t="shared" si="10"/>
        <v>9.128811282501923</v>
      </c>
      <c r="BQ352">
        <f t="shared" si="11"/>
        <v>28.695736264323859</v>
      </c>
    </row>
    <row r="353" spans="1:69" hidden="1" x14ac:dyDescent="0.2">
      <c r="A353" t="s">
        <v>1455</v>
      </c>
      <c r="B353" t="s">
        <v>68</v>
      </c>
      <c r="C353" t="s">
        <v>69</v>
      </c>
      <c r="D353" t="s">
        <v>70</v>
      </c>
      <c r="E353" t="s">
        <v>1456</v>
      </c>
      <c r="F353">
        <v>4</v>
      </c>
      <c r="G353">
        <v>74</v>
      </c>
      <c r="H353">
        <v>3</v>
      </c>
      <c r="I353">
        <v>2</v>
      </c>
      <c r="J353">
        <v>2</v>
      </c>
      <c r="K353" t="s">
        <v>110</v>
      </c>
      <c r="L353" t="s">
        <v>162</v>
      </c>
      <c r="M353" s="4">
        <v>356927056</v>
      </c>
      <c r="N353">
        <v>0</v>
      </c>
      <c r="O353">
        <v>4.7658696679999997</v>
      </c>
      <c r="P353">
        <v>-74.050113109999998</v>
      </c>
      <c r="Q353" t="s">
        <v>1457</v>
      </c>
      <c r="R353">
        <v>4823338.5949999997</v>
      </c>
      <c r="S353">
        <v>0</v>
      </c>
      <c r="T353" t="s">
        <v>151</v>
      </c>
      <c r="U353" t="s">
        <v>152</v>
      </c>
      <c r="V353" t="s">
        <v>77</v>
      </c>
      <c r="W353" t="s">
        <v>119</v>
      </c>
      <c r="X353" t="s">
        <v>153</v>
      </c>
      <c r="Y353">
        <v>2.0978638435038701</v>
      </c>
      <c r="Z353">
        <v>2097.8638435038702</v>
      </c>
      <c r="AA353">
        <v>4.7837500000000004</v>
      </c>
      <c r="AB353">
        <v>-74.044138888888895</v>
      </c>
      <c r="AC353">
        <v>2580</v>
      </c>
      <c r="AD353">
        <v>0</v>
      </c>
      <c r="AE353" t="s">
        <v>154</v>
      </c>
      <c r="AF353" t="s">
        <v>107</v>
      </c>
      <c r="AG353" t="s">
        <v>82</v>
      </c>
      <c r="AH353" t="s">
        <v>83</v>
      </c>
      <c r="AI353" t="s">
        <v>121</v>
      </c>
      <c r="AJ353">
        <v>0.688071661217318</v>
      </c>
      <c r="AK353">
        <v>3.0168848716499199</v>
      </c>
      <c r="AL353">
        <v>1.43077379959399</v>
      </c>
      <c r="AM353">
        <v>0.46694921057950001</v>
      </c>
      <c r="AN353">
        <v>3.73501922460418</v>
      </c>
      <c r="AO353">
        <v>8.5135980020651994E-2</v>
      </c>
      <c r="AP353">
        <v>8.5135980020651994E-2</v>
      </c>
      <c r="AQ353">
        <v>0</v>
      </c>
      <c r="AR353">
        <v>2</v>
      </c>
      <c r="AS353">
        <v>0</v>
      </c>
      <c r="AT353">
        <v>0</v>
      </c>
      <c r="AU353">
        <v>0</v>
      </c>
      <c r="AV353">
        <v>13</v>
      </c>
      <c r="AW353">
        <v>0</v>
      </c>
      <c r="AX353">
        <v>0</v>
      </c>
      <c r="AY353">
        <v>15.3</v>
      </c>
      <c r="AZ353">
        <v>9.8000000000000007</v>
      </c>
      <c r="BA353">
        <v>29.7</v>
      </c>
      <c r="BB353">
        <v>564</v>
      </c>
      <c r="BC353">
        <v>68</v>
      </c>
      <c r="BD353">
        <v>1.8</v>
      </c>
      <c r="BE353">
        <v>43</v>
      </c>
      <c r="BF353">
        <v>25.4</v>
      </c>
      <c r="BG353">
        <v>162</v>
      </c>
      <c r="BH353">
        <v>9.1</v>
      </c>
      <c r="BI353">
        <v>9.1999999999999993</v>
      </c>
      <c r="BJ353">
        <v>18.3</v>
      </c>
      <c r="BK353">
        <v>0.34</v>
      </c>
      <c r="BL353">
        <v>7.3</v>
      </c>
      <c r="BM353">
        <v>0.9</v>
      </c>
      <c r="BN353">
        <v>7.5</v>
      </c>
      <c r="BO353">
        <v>2.9</v>
      </c>
      <c r="BP353">
        <f t="shared" si="10"/>
        <v>8.8333835165172054</v>
      </c>
      <c r="BQ353">
        <f t="shared" si="11"/>
        <v>28.241663411519806</v>
      </c>
    </row>
    <row r="354" spans="1:69" hidden="1" x14ac:dyDescent="0.2">
      <c r="A354" t="s">
        <v>1860</v>
      </c>
      <c r="B354" t="s">
        <v>68</v>
      </c>
      <c r="C354" t="s">
        <v>69</v>
      </c>
      <c r="D354" t="s">
        <v>70</v>
      </c>
      <c r="E354" t="s">
        <v>709</v>
      </c>
      <c r="F354">
        <v>4</v>
      </c>
      <c r="G354">
        <v>73</v>
      </c>
      <c r="H354">
        <v>2</v>
      </c>
      <c r="I354">
        <v>3</v>
      </c>
      <c r="J354">
        <v>1</v>
      </c>
      <c r="K354" t="s">
        <v>72</v>
      </c>
      <c r="L354" t="s">
        <v>73</v>
      </c>
      <c r="M354" s="4">
        <v>897280000</v>
      </c>
      <c r="N354">
        <v>0</v>
      </c>
      <c r="O354">
        <v>4.7347703000000001</v>
      </c>
      <c r="P354">
        <v>-74.064255000000003</v>
      </c>
      <c r="Q354" t="s">
        <v>1861</v>
      </c>
      <c r="R354">
        <v>12291506.85</v>
      </c>
      <c r="S354">
        <v>0</v>
      </c>
      <c r="T354" t="s">
        <v>117</v>
      </c>
      <c r="U354" t="s">
        <v>118</v>
      </c>
      <c r="V354" t="s">
        <v>77</v>
      </c>
      <c r="W354" t="s">
        <v>119</v>
      </c>
      <c r="X354" t="s">
        <v>120</v>
      </c>
      <c r="Y354">
        <v>0.63861239961929905</v>
      </c>
      <c r="Z354">
        <v>638.61239961929903</v>
      </c>
      <c r="AA354">
        <v>4.73719444444444</v>
      </c>
      <c r="AB354">
        <v>-74.069472222222203</v>
      </c>
      <c r="AC354">
        <v>2555</v>
      </c>
      <c r="AD354">
        <v>0</v>
      </c>
      <c r="AE354" t="s">
        <v>80</v>
      </c>
      <c r="AF354" t="s">
        <v>107</v>
      </c>
      <c r="AG354" t="s">
        <v>82</v>
      </c>
      <c r="AH354" t="s">
        <v>83</v>
      </c>
      <c r="AI354" t="s">
        <v>121</v>
      </c>
      <c r="AJ354">
        <v>1.41440551929003</v>
      </c>
      <c r="AK354">
        <v>4.6910347939887096</v>
      </c>
      <c r="AL354">
        <v>2.1334931094723402</v>
      </c>
      <c r="AM354">
        <v>0.32470775729854101</v>
      </c>
      <c r="AN354">
        <v>2.44728749950314</v>
      </c>
      <c r="AO354">
        <v>0.306373537902556</v>
      </c>
      <c r="AP354">
        <v>0.306373537902556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19</v>
      </c>
      <c r="AW354">
        <v>0</v>
      </c>
      <c r="AX354">
        <v>0</v>
      </c>
      <c r="AY354">
        <v>15.3</v>
      </c>
      <c r="AZ354">
        <v>9.8000000000000007</v>
      </c>
      <c r="BA354">
        <v>29.7</v>
      </c>
      <c r="BB354">
        <v>564</v>
      </c>
      <c r="BC354">
        <v>68</v>
      </c>
      <c r="BD354">
        <v>1.8</v>
      </c>
      <c r="BE354">
        <v>43</v>
      </c>
      <c r="BF354">
        <v>25.4</v>
      </c>
      <c r="BG354">
        <v>162</v>
      </c>
      <c r="BH354">
        <v>9.1</v>
      </c>
      <c r="BI354">
        <v>9.1999999999999993</v>
      </c>
      <c r="BJ354">
        <v>18.3</v>
      </c>
      <c r="BK354">
        <v>0.34</v>
      </c>
      <c r="BL354">
        <v>7.3</v>
      </c>
      <c r="BM354">
        <v>0.9</v>
      </c>
      <c r="BN354">
        <v>7.5</v>
      </c>
      <c r="BO354">
        <v>2.9</v>
      </c>
      <c r="BP354">
        <f t="shared" si="10"/>
        <v>9.4950543840132475</v>
      </c>
      <c r="BQ354">
        <f t="shared" si="11"/>
        <v>29.248267706591257</v>
      </c>
    </row>
    <row r="355" spans="1:69" hidden="1" x14ac:dyDescent="0.2">
      <c r="A355" t="s">
        <v>538</v>
      </c>
      <c r="B355" t="s">
        <v>68</v>
      </c>
      <c r="C355" t="s">
        <v>69</v>
      </c>
      <c r="D355" t="s">
        <v>70</v>
      </c>
      <c r="E355" t="s">
        <v>539</v>
      </c>
      <c r="F355">
        <v>4</v>
      </c>
      <c r="G355">
        <v>73</v>
      </c>
      <c r="H355">
        <v>3</v>
      </c>
      <c r="I355">
        <v>2</v>
      </c>
      <c r="J355">
        <v>1</v>
      </c>
      <c r="K355" t="s">
        <v>110</v>
      </c>
      <c r="L355" t="s">
        <v>124</v>
      </c>
      <c r="M355" s="4">
        <v>520000000</v>
      </c>
      <c r="N355">
        <v>0</v>
      </c>
      <c r="O355">
        <v>4.73865509</v>
      </c>
      <c r="P355">
        <v>-74.065216059999997</v>
      </c>
      <c r="Q355" t="s">
        <v>540</v>
      </c>
      <c r="R355">
        <v>7123287.6710000001</v>
      </c>
      <c r="S355">
        <v>0</v>
      </c>
      <c r="T355" t="s">
        <v>117</v>
      </c>
      <c r="U355" t="s">
        <v>118</v>
      </c>
      <c r="V355" t="s">
        <v>77</v>
      </c>
      <c r="W355" t="s">
        <v>119</v>
      </c>
      <c r="X355" t="s">
        <v>120</v>
      </c>
      <c r="Y355">
        <v>0.499386903747289</v>
      </c>
      <c r="Z355">
        <v>499.38690374728901</v>
      </c>
      <c r="AA355">
        <v>4.73719444444444</v>
      </c>
      <c r="AB355">
        <v>-74.069472222222203</v>
      </c>
      <c r="AC355">
        <v>2555</v>
      </c>
      <c r="AD355">
        <v>0</v>
      </c>
      <c r="AE355" t="s">
        <v>80</v>
      </c>
      <c r="AF355" t="s">
        <v>107</v>
      </c>
      <c r="AG355" t="s">
        <v>82</v>
      </c>
      <c r="AH355" t="s">
        <v>83</v>
      </c>
      <c r="AI355" t="s">
        <v>121</v>
      </c>
      <c r="AJ355">
        <v>1.62570795317617</v>
      </c>
      <c r="AK355">
        <v>4.8371895126274698</v>
      </c>
      <c r="AL355">
        <v>2.0818122121976801</v>
      </c>
      <c r="AM355">
        <v>4.4755563898315601E-2</v>
      </c>
      <c r="AN355">
        <v>2.2487621708420602</v>
      </c>
      <c r="AO355">
        <v>0.157008400094277</v>
      </c>
      <c r="AP355">
        <v>0.157008400094277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9</v>
      </c>
      <c r="AW355">
        <v>0</v>
      </c>
      <c r="AX355">
        <v>0</v>
      </c>
      <c r="AY355">
        <v>15.3</v>
      </c>
      <c r="AZ355">
        <v>9.8000000000000007</v>
      </c>
      <c r="BA355">
        <v>29.7</v>
      </c>
      <c r="BB355">
        <v>564</v>
      </c>
      <c r="BC355">
        <v>68</v>
      </c>
      <c r="BD355">
        <v>1.8</v>
      </c>
      <c r="BE355">
        <v>43</v>
      </c>
      <c r="BF355">
        <v>25.4</v>
      </c>
      <c r="BG355">
        <v>162</v>
      </c>
      <c r="BH355">
        <v>9.1</v>
      </c>
      <c r="BI355">
        <v>9.1999999999999993</v>
      </c>
      <c r="BJ355">
        <v>18.3</v>
      </c>
      <c r="BK355">
        <v>0.34</v>
      </c>
      <c r="BL355">
        <v>7.3</v>
      </c>
      <c r="BM355">
        <v>0.9</v>
      </c>
      <c r="BN355">
        <v>7.5</v>
      </c>
      <c r="BO355">
        <v>2.9</v>
      </c>
      <c r="BP355">
        <f t="shared" si="10"/>
        <v>9.5607170926441611</v>
      </c>
      <c r="BQ355">
        <f t="shared" si="11"/>
        <v>29.346161677344611</v>
      </c>
    </row>
    <row r="356" spans="1:69" hidden="1" x14ac:dyDescent="0.2">
      <c r="A356" t="s">
        <v>444</v>
      </c>
      <c r="B356" t="s">
        <v>68</v>
      </c>
      <c r="C356" t="s">
        <v>69</v>
      </c>
      <c r="D356" t="s">
        <v>70</v>
      </c>
      <c r="E356" t="s">
        <v>184</v>
      </c>
      <c r="F356">
        <v>3</v>
      </c>
      <c r="G356">
        <v>73</v>
      </c>
      <c r="H356">
        <v>3</v>
      </c>
      <c r="I356">
        <v>2</v>
      </c>
      <c r="J356">
        <v>1</v>
      </c>
      <c r="K356" t="s">
        <v>110</v>
      </c>
      <c r="L356" t="s">
        <v>124</v>
      </c>
      <c r="M356" s="4">
        <v>452000000</v>
      </c>
      <c r="N356">
        <v>0</v>
      </c>
      <c r="O356">
        <v>4.7450270650000004</v>
      </c>
      <c r="P356">
        <v>-74.057243349999993</v>
      </c>
      <c r="Q356" t="s">
        <v>445</v>
      </c>
      <c r="R356">
        <v>6191780.8219999997</v>
      </c>
      <c r="S356">
        <v>0</v>
      </c>
      <c r="T356" t="s">
        <v>117</v>
      </c>
      <c r="U356" t="s">
        <v>118</v>
      </c>
      <c r="V356" t="s">
        <v>77</v>
      </c>
      <c r="W356" t="s">
        <v>119</v>
      </c>
      <c r="X356" t="s">
        <v>120</v>
      </c>
      <c r="Y356">
        <v>1.61268721172636</v>
      </c>
      <c r="Z356">
        <v>1612.6872117263599</v>
      </c>
      <c r="AA356">
        <v>4.73719444444444</v>
      </c>
      <c r="AB356">
        <v>-74.069472222222203</v>
      </c>
      <c r="AC356">
        <v>2555</v>
      </c>
      <c r="AD356">
        <v>0</v>
      </c>
      <c r="AE356" t="s">
        <v>80</v>
      </c>
      <c r="AF356" t="s">
        <v>107</v>
      </c>
      <c r="AG356" t="s">
        <v>82</v>
      </c>
      <c r="AH356" t="s">
        <v>83</v>
      </c>
      <c r="AI356" t="s">
        <v>121</v>
      </c>
      <c r="AJ356">
        <v>1.0809387802686801</v>
      </c>
      <c r="AK356">
        <v>4.1003102057446403</v>
      </c>
      <c r="AL356">
        <v>1.0117538295899999</v>
      </c>
      <c r="AM356">
        <v>0.44934267737196198</v>
      </c>
      <c r="AN356">
        <v>3.1374457428496001</v>
      </c>
      <c r="AO356">
        <v>5.1204637543455098E-2</v>
      </c>
      <c r="AP356">
        <v>5.1204637543455098E-2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9</v>
      </c>
      <c r="AW356">
        <v>0</v>
      </c>
      <c r="AX356">
        <v>0</v>
      </c>
      <c r="AY356">
        <v>15.3</v>
      </c>
      <c r="AZ356">
        <v>9.8000000000000007</v>
      </c>
      <c r="BA356">
        <v>29.7</v>
      </c>
      <c r="BB356">
        <v>564</v>
      </c>
      <c r="BC356">
        <v>68</v>
      </c>
      <c r="BD356">
        <v>1.8</v>
      </c>
      <c r="BE356">
        <v>43</v>
      </c>
      <c r="BF356">
        <v>25.4</v>
      </c>
      <c r="BG356">
        <v>162</v>
      </c>
      <c r="BH356">
        <v>9.1</v>
      </c>
      <c r="BI356">
        <v>9.1999999999999993</v>
      </c>
      <c r="BJ356">
        <v>18.3</v>
      </c>
      <c r="BK356">
        <v>0.34</v>
      </c>
      <c r="BL356">
        <v>7.3</v>
      </c>
      <c r="BM356">
        <v>0.9</v>
      </c>
      <c r="BN356">
        <v>7.5</v>
      </c>
      <c r="BO356">
        <v>2.9</v>
      </c>
      <c r="BP356">
        <f t="shared" si="10"/>
        <v>9.0480961796858068</v>
      </c>
      <c r="BQ356">
        <f t="shared" si="11"/>
        <v>28.572438167394132</v>
      </c>
    </row>
    <row r="357" spans="1:69" hidden="1" x14ac:dyDescent="0.2">
      <c r="A357" t="s">
        <v>2516</v>
      </c>
      <c r="B357" t="s">
        <v>68</v>
      </c>
      <c r="C357" t="s">
        <v>1956</v>
      </c>
      <c r="D357" t="s">
        <v>70</v>
      </c>
      <c r="E357" t="s">
        <v>1550</v>
      </c>
      <c r="F357">
        <v>3</v>
      </c>
      <c r="G357">
        <v>72</v>
      </c>
      <c r="H357">
        <v>5</v>
      </c>
      <c r="I357">
        <v>4</v>
      </c>
      <c r="J357">
        <v>1</v>
      </c>
      <c r="K357" t="s">
        <v>110</v>
      </c>
      <c r="L357" t="s">
        <v>162</v>
      </c>
      <c r="M357" s="4">
        <v>800000000</v>
      </c>
      <c r="N357">
        <v>0</v>
      </c>
      <c r="O357">
        <v>4.7397746999999999</v>
      </c>
      <c r="P357">
        <v>-74.096450000000004</v>
      </c>
      <c r="Q357" t="s">
        <v>2517</v>
      </c>
      <c r="R357">
        <v>11111111.109999999</v>
      </c>
      <c r="S357">
        <v>0</v>
      </c>
      <c r="T357" t="s">
        <v>119</v>
      </c>
      <c r="U357" t="s">
        <v>787</v>
      </c>
      <c r="V357" t="s">
        <v>77</v>
      </c>
      <c r="W357" t="s">
        <v>119</v>
      </c>
      <c r="X357" t="s">
        <v>788</v>
      </c>
      <c r="Y357">
        <v>2.4131985863596501</v>
      </c>
      <c r="Z357">
        <v>2413.1985863596501</v>
      </c>
      <c r="AA357">
        <v>4.7612472222222202</v>
      </c>
      <c r="AB357">
        <v>-74.093461111111097</v>
      </c>
      <c r="AC357">
        <v>2571</v>
      </c>
      <c r="AD357">
        <v>6</v>
      </c>
      <c r="AE357" t="s">
        <v>154</v>
      </c>
      <c r="AF357" t="s">
        <v>107</v>
      </c>
      <c r="AG357" t="s">
        <v>82</v>
      </c>
      <c r="AH357" t="s">
        <v>83</v>
      </c>
      <c r="AI357" t="s">
        <v>121</v>
      </c>
      <c r="AJ357">
        <v>0.66327040840002705</v>
      </c>
      <c r="AK357">
        <v>2.9546538515073602</v>
      </c>
      <c r="AL357">
        <v>3.7578271221514998</v>
      </c>
      <c r="AM357">
        <v>0.47894673291358197</v>
      </c>
      <c r="AN357">
        <v>1.2481923515997499</v>
      </c>
      <c r="AO357">
        <v>0.123360936746563</v>
      </c>
      <c r="AP357">
        <v>0.123360936746563</v>
      </c>
      <c r="AQ357">
        <v>0</v>
      </c>
      <c r="AR357">
        <v>2</v>
      </c>
      <c r="AS357">
        <v>0</v>
      </c>
      <c r="AT357">
        <v>0</v>
      </c>
      <c r="AU357">
        <v>0</v>
      </c>
      <c r="AV357">
        <v>33</v>
      </c>
      <c r="AW357">
        <v>0</v>
      </c>
      <c r="AX357">
        <v>0</v>
      </c>
      <c r="AY357">
        <v>15.3</v>
      </c>
      <c r="AZ357">
        <v>9.8000000000000007</v>
      </c>
      <c r="BA357">
        <v>29.7</v>
      </c>
      <c r="BB357">
        <v>564</v>
      </c>
      <c r="BC357">
        <v>68</v>
      </c>
      <c r="BD357">
        <v>1.8</v>
      </c>
      <c r="BE357">
        <v>43</v>
      </c>
      <c r="BF357">
        <v>25.4</v>
      </c>
      <c r="BG357">
        <v>162</v>
      </c>
      <c r="BH357">
        <v>9.1</v>
      </c>
      <c r="BI357">
        <v>9.1999999999999993</v>
      </c>
      <c r="BJ357">
        <v>18.3</v>
      </c>
      <c r="BK357">
        <v>0.34</v>
      </c>
      <c r="BL357">
        <v>7.3</v>
      </c>
      <c r="BM357">
        <v>0.9</v>
      </c>
      <c r="BN357">
        <v>7.5</v>
      </c>
      <c r="BO357">
        <v>2.9</v>
      </c>
      <c r="BP357">
        <f t="shared" si="10"/>
        <v>8.6965731360084568</v>
      </c>
      <c r="BQ357">
        <f t="shared" si="11"/>
        <v>28.028736283585708</v>
      </c>
    </row>
    <row r="358" spans="1:69" hidden="1" x14ac:dyDescent="0.2">
      <c r="A358" t="s">
        <v>183</v>
      </c>
      <c r="B358" t="s">
        <v>68</v>
      </c>
      <c r="C358" t="s">
        <v>69</v>
      </c>
      <c r="D358" t="s">
        <v>70</v>
      </c>
      <c r="E358" t="s">
        <v>184</v>
      </c>
      <c r="F358">
        <v>3</v>
      </c>
      <c r="G358">
        <v>72</v>
      </c>
      <c r="H358">
        <v>3</v>
      </c>
      <c r="I358">
        <v>2</v>
      </c>
      <c r="J358">
        <v>1</v>
      </c>
      <c r="K358" t="s">
        <v>110</v>
      </c>
      <c r="L358" t="s">
        <v>124</v>
      </c>
      <c r="M358" s="4">
        <v>452000000</v>
      </c>
      <c r="N358">
        <v>0</v>
      </c>
      <c r="O358">
        <v>4.7450270650000004</v>
      </c>
      <c r="P358">
        <v>-74.057243349999993</v>
      </c>
      <c r="Q358" t="s">
        <v>185</v>
      </c>
      <c r="R358">
        <v>6277777.7779999999</v>
      </c>
      <c r="S358">
        <v>0</v>
      </c>
      <c r="T358" t="s">
        <v>117</v>
      </c>
      <c r="U358" t="s">
        <v>118</v>
      </c>
      <c r="V358" t="s">
        <v>77</v>
      </c>
      <c r="W358" t="s">
        <v>119</v>
      </c>
      <c r="X358" t="s">
        <v>120</v>
      </c>
      <c r="Y358">
        <v>1.61268721172636</v>
      </c>
      <c r="Z358">
        <v>1612.6872117263599</v>
      </c>
      <c r="AA358">
        <v>4.73719444444444</v>
      </c>
      <c r="AB358">
        <v>-74.069472222222203</v>
      </c>
      <c r="AC358">
        <v>2555</v>
      </c>
      <c r="AD358">
        <v>0</v>
      </c>
      <c r="AE358" t="s">
        <v>80</v>
      </c>
      <c r="AF358" t="s">
        <v>107</v>
      </c>
      <c r="AG358" t="s">
        <v>82</v>
      </c>
      <c r="AH358" t="s">
        <v>83</v>
      </c>
      <c r="AI358" t="s">
        <v>121</v>
      </c>
      <c r="AJ358">
        <v>1.0809387802686801</v>
      </c>
      <c r="AK358">
        <v>4.1003102057446403</v>
      </c>
      <c r="AL358">
        <v>1.0117538295899999</v>
      </c>
      <c r="AM358">
        <v>0.44934267737196198</v>
      </c>
      <c r="AN358">
        <v>3.1374457428496001</v>
      </c>
      <c r="AO358">
        <v>5.1204637543455098E-2</v>
      </c>
      <c r="AP358">
        <v>5.1204637543455098E-2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9</v>
      </c>
      <c r="AW358">
        <v>0</v>
      </c>
      <c r="AX358">
        <v>0</v>
      </c>
      <c r="AY358">
        <v>15.3</v>
      </c>
      <c r="AZ358">
        <v>9.8000000000000007</v>
      </c>
      <c r="BA358">
        <v>29.7</v>
      </c>
      <c r="BB358">
        <v>564</v>
      </c>
      <c r="BC358">
        <v>68</v>
      </c>
      <c r="BD358">
        <v>1.8</v>
      </c>
      <c r="BE358">
        <v>43</v>
      </c>
      <c r="BF358">
        <v>25.4</v>
      </c>
      <c r="BG358">
        <v>162</v>
      </c>
      <c r="BH358">
        <v>9.1</v>
      </c>
      <c r="BI358">
        <v>9.1999999999999993</v>
      </c>
      <c r="BJ358">
        <v>18.3</v>
      </c>
      <c r="BK358">
        <v>0.34</v>
      </c>
      <c r="BL358">
        <v>7.3</v>
      </c>
      <c r="BM358">
        <v>0.9</v>
      </c>
      <c r="BN358">
        <v>7.5</v>
      </c>
      <c r="BO358">
        <v>2.9</v>
      </c>
      <c r="BP358">
        <f t="shared" si="10"/>
        <v>9.0480961796858068</v>
      </c>
      <c r="BQ358">
        <f t="shared" si="11"/>
        <v>28.572438167394132</v>
      </c>
    </row>
    <row r="359" spans="1:69" hidden="1" x14ac:dyDescent="0.2">
      <c r="A359" t="s">
        <v>2414</v>
      </c>
      <c r="B359" t="s">
        <v>68</v>
      </c>
      <c r="C359" t="s">
        <v>1956</v>
      </c>
      <c r="D359" t="s">
        <v>70</v>
      </c>
      <c r="E359" t="s">
        <v>2415</v>
      </c>
      <c r="F359">
        <v>4</v>
      </c>
      <c r="G359">
        <v>72</v>
      </c>
      <c r="H359">
        <v>3</v>
      </c>
      <c r="I359">
        <v>3</v>
      </c>
      <c r="J359">
        <v>1</v>
      </c>
      <c r="K359" t="s">
        <v>110</v>
      </c>
      <c r="L359" t="s">
        <v>124</v>
      </c>
      <c r="M359" s="4">
        <v>408000000</v>
      </c>
      <c r="N359">
        <v>0</v>
      </c>
      <c r="O359">
        <v>4.7504982949999999</v>
      </c>
      <c r="P359">
        <v>-74.067199709999997</v>
      </c>
      <c r="Q359" t="s">
        <v>2416</v>
      </c>
      <c r="R359">
        <v>5666666.6670000004</v>
      </c>
      <c r="S359">
        <v>0</v>
      </c>
      <c r="T359" t="s">
        <v>117</v>
      </c>
      <c r="U359" t="s">
        <v>118</v>
      </c>
      <c r="V359" t="s">
        <v>77</v>
      </c>
      <c r="W359" t="s">
        <v>119</v>
      </c>
      <c r="X359" t="s">
        <v>120</v>
      </c>
      <c r="Y359">
        <v>1.5022829458896001</v>
      </c>
      <c r="Z359">
        <v>1502.2829458895999</v>
      </c>
      <c r="AA359">
        <v>4.73719444444444</v>
      </c>
      <c r="AB359">
        <v>-74.069472222222203</v>
      </c>
      <c r="AC359">
        <v>2555</v>
      </c>
      <c r="AD359">
        <v>0</v>
      </c>
      <c r="AE359" t="s">
        <v>80</v>
      </c>
      <c r="AF359" t="s">
        <v>107</v>
      </c>
      <c r="AG359" t="s">
        <v>82</v>
      </c>
      <c r="AH359" t="s">
        <v>83</v>
      </c>
      <c r="AI359" t="s">
        <v>121</v>
      </c>
      <c r="AJ359">
        <v>2.2540763208290602</v>
      </c>
      <c r="AK359">
        <v>4.9932658972409101</v>
      </c>
      <c r="AL359">
        <v>1.55170313635561</v>
      </c>
      <c r="AM359">
        <v>0.19875850553159499</v>
      </c>
      <c r="AN359">
        <v>2.2450354909592698</v>
      </c>
      <c r="AO359">
        <v>4.9551682434526199E-2</v>
      </c>
      <c r="AP359">
        <v>4.9551682434526199E-2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10</v>
      </c>
      <c r="AW359">
        <v>0</v>
      </c>
      <c r="AX359">
        <v>1</v>
      </c>
      <c r="AY359">
        <v>15.3</v>
      </c>
      <c r="AZ359">
        <v>9.8000000000000007</v>
      </c>
      <c r="BA359">
        <v>29.7</v>
      </c>
      <c r="BB359">
        <v>564</v>
      </c>
      <c r="BC359">
        <v>68</v>
      </c>
      <c r="BD359">
        <v>1.8</v>
      </c>
      <c r="BE359">
        <v>43</v>
      </c>
      <c r="BF359">
        <v>25.4</v>
      </c>
      <c r="BG359">
        <v>162</v>
      </c>
      <c r="BH359">
        <v>9.1</v>
      </c>
      <c r="BI359">
        <v>9.1999999999999993</v>
      </c>
      <c r="BJ359">
        <v>18.3</v>
      </c>
      <c r="BK359">
        <v>0.34</v>
      </c>
      <c r="BL359">
        <v>7.3</v>
      </c>
      <c r="BM359">
        <v>0.9</v>
      </c>
      <c r="BN359">
        <v>7.5</v>
      </c>
      <c r="BO359">
        <v>2.9</v>
      </c>
      <c r="BP359">
        <f t="shared" si="10"/>
        <v>9.0976794895396242</v>
      </c>
      <c r="BQ359">
        <f t="shared" si="11"/>
        <v>28.648247015900189</v>
      </c>
    </row>
    <row r="360" spans="1:69" hidden="1" x14ac:dyDescent="0.2">
      <c r="A360" t="s">
        <v>2098</v>
      </c>
      <c r="B360" t="s">
        <v>68</v>
      </c>
      <c r="C360" t="s">
        <v>1956</v>
      </c>
      <c r="D360" t="s">
        <v>70</v>
      </c>
      <c r="E360" t="s">
        <v>174</v>
      </c>
      <c r="F360">
        <v>4</v>
      </c>
      <c r="G360">
        <v>71</v>
      </c>
      <c r="H360">
        <v>3</v>
      </c>
      <c r="I360">
        <v>2</v>
      </c>
      <c r="J360">
        <v>1</v>
      </c>
      <c r="K360" t="s">
        <v>110</v>
      </c>
      <c r="L360" t="s">
        <v>124</v>
      </c>
      <c r="M360" s="4">
        <v>415000000</v>
      </c>
      <c r="N360">
        <v>0</v>
      </c>
      <c r="O360">
        <v>4.7388209999999997</v>
      </c>
      <c r="P360">
        <v>-74.062340000000006</v>
      </c>
      <c r="Q360" t="s">
        <v>2099</v>
      </c>
      <c r="R360">
        <v>5845070.4230000004</v>
      </c>
      <c r="S360">
        <v>0</v>
      </c>
      <c r="T360" t="s">
        <v>117</v>
      </c>
      <c r="U360" t="s">
        <v>118</v>
      </c>
      <c r="V360" t="s">
        <v>77</v>
      </c>
      <c r="W360" t="s">
        <v>119</v>
      </c>
      <c r="X360" t="s">
        <v>120</v>
      </c>
      <c r="Y360">
        <v>0.81169555961023299</v>
      </c>
      <c r="Z360">
        <v>811.69555961023298</v>
      </c>
      <c r="AA360">
        <v>4.73719444444444</v>
      </c>
      <c r="AB360">
        <v>-74.069472222222203</v>
      </c>
      <c r="AC360">
        <v>2555</v>
      </c>
      <c r="AD360">
        <v>0</v>
      </c>
      <c r="AE360" t="s">
        <v>80</v>
      </c>
      <c r="AF360" t="s">
        <v>107</v>
      </c>
      <c r="AG360" t="s">
        <v>82</v>
      </c>
      <c r="AH360" t="s">
        <v>83</v>
      </c>
      <c r="AI360" t="s">
        <v>121</v>
      </c>
      <c r="AJ360">
        <v>1.52733165465864</v>
      </c>
      <c r="AK360">
        <v>4.5242254577988597</v>
      </c>
      <c r="AL360">
        <v>1.88360812614609</v>
      </c>
      <c r="AM360">
        <v>0.31301233423845598</v>
      </c>
      <c r="AN360">
        <v>2.56294092735798</v>
      </c>
      <c r="AO360">
        <v>0.277403928422498</v>
      </c>
      <c r="AP360">
        <v>0.277403928422498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12</v>
      </c>
      <c r="AW360">
        <v>0</v>
      </c>
      <c r="AX360">
        <v>0</v>
      </c>
      <c r="AY360">
        <v>15.3</v>
      </c>
      <c r="AZ360">
        <v>9.8000000000000007</v>
      </c>
      <c r="BA360">
        <v>29.7</v>
      </c>
      <c r="BB360">
        <v>564</v>
      </c>
      <c r="BC360">
        <v>68</v>
      </c>
      <c r="BD360">
        <v>1.8</v>
      </c>
      <c r="BE360">
        <v>43</v>
      </c>
      <c r="BF360">
        <v>25.4</v>
      </c>
      <c r="BG360">
        <v>162</v>
      </c>
      <c r="BH360">
        <v>9.1</v>
      </c>
      <c r="BI360">
        <v>9.1999999999999993</v>
      </c>
      <c r="BJ360">
        <v>18.3</v>
      </c>
      <c r="BK360">
        <v>0.34</v>
      </c>
      <c r="BL360">
        <v>7.3</v>
      </c>
      <c r="BM360">
        <v>0.9</v>
      </c>
      <c r="BN360">
        <v>7.5</v>
      </c>
      <c r="BO360">
        <v>2.9</v>
      </c>
      <c r="BP360">
        <f t="shared" si="10"/>
        <v>9.4140518947885621</v>
      </c>
      <c r="BQ360">
        <f t="shared" si="11"/>
        <v>29.127022524555422</v>
      </c>
    </row>
    <row r="361" spans="1:69" hidden="1" x14ac:dyDescent="0.2">
      <c r="A361" t="s">
        <v>1623</v>
      </c>
      <c r="B361" t="s">
        <v>68</v>
      </c>
      <c r="C361" t="s">
        <v>69</v>
      </c>
      <c r="D361" t="s">
        <v>70</v>
      </c>
      <c r="E361" t="s">
        <v>1517</v>
      </c>
      <c r="F361">
        <v>3</v>
      </c>
      <c r="G361">
        <v>71</v>
      </c>
      <c r="H361">
        <v>3</v>
      </c>
      <c r="I361">
        <v>2</v>
      </c>
      <c r="J361">
        <v>0</v>
      </c>
      <c r="K361" t="s">
        <v>110</v>
      </c>
      <c r="L361" t="s">
        <v>162</v>
      </c>
      <c r="M361" s="4">
        <v>370000000</v>
      </c>
      <c r="N361">
        <v>0</v>
      </c>
      <c r="O361">
        <v>4.7115669090000001</v>
      </c>
      <c r="P361">
        <v>-74.059095799999994</v>
      </c>
      <c r="Q361" t="s">
        <v>1624</v>
      </c>
      <c r="R361">
        <v>5211267.6059999997</v>
      </c>
      <c r="S361">
        <v>0</v>
      </c>
      <c r="T361" t="s">
        <v>117</v>
      </c>
      <c r="U361" t="s">
        <v>118</v>
      </c>
      <c r="V361" t="s">
        <v>77</v>
      </c>
      <c r="W361" t="s">
        <v>119</v>
      </c>
      <c r="X361" t="s">
        <v>120</v>
      </c>
      <c r="Y361">
        <v>3.0763485558842998</v>
      </c>
      <c r="Z361">
        <v>3076.3485558842999</v>
      </c>
      <c r="AA361">
        <v>4.73719444444444</v>
      </c>
      <c r="AB361">
        <v>-74.069472222222203</v>
      </c>
      <c r="AC361">
        <v>2555</v>
      </c>
      <c r="AD361">
        <v>0</v>
      </c>
      <c r="AE361" t="s">
        <v>80</v>
      </c>
      <c r="AF361" t="s">
        <v>107</v>
      </c>
      <c r="AG361" t="s">
        <v>82</v>
      </c>
      <c r="AH361" t="s">
        <v>83</v>
      </c>
      <c r="AI361" t="s">
        <v>121</v>
      </c>
      <c r="AJ361">
        <v>0.79668295360177899</v>
      </c>
      <c r="AK361">
        <v>3.78113379925672</v>
      </c>
      <c r="AL361">
        <v>1.4856920187606699</v>
      </c>
      <c r="AM361">
        <v>0.19303423695706901</v>
      </c>
      <c r="AN361">
        <v>4.3963969490697998</v>
      </c>
      <c r="AO361">
        <v>3.5970192282048598E-2</v>
      </c>
      <c r="AP361">
        <v>3.5970192282048598E-2</v>
      </c>
      <c r="AQ361">
        <v>0</v>
      </c>
      <c r="AR361">
        <v>2</v>
      </c>
      <c r="AS361">
        <v>0</v>
      </c>
      <c r="AT361">
        <v>0</v>
      </c>
      <c r="AU361">
        <v>0</v>
      </c>
      <c r="AV361">
        <v>26</v>
      </c>
      <c r="AW361">
        <v>0</v>
      </c>
      <c r="AX361">
        <v>0</v>
      </c>
      <c r="AY361">
        <v>15.3</v>
      </c>
      <c r="AZ361">
        <v>9.8000000000000007</v>
      </c>
      <c r="BA361">
        <v>29.7</v>
      </c>
      <c r="BB361">
        <v>564</v>
      </c>
      <c r="BC361">
        <v>68</v>
      </c>
      <c r="BD361">
        <v>1.8</v>
      </c>
      <c r="BE361">
        <v>43</v>
      </c>
      <c r="BF361">
        <v>25.4</v>
      </c>
      <c r="BG361">
        <v>162</v>
      </c>
      <c r="BH361">
        <v>9.1</v>
      </c>
      <c r="BI361">
        <v>9.1999999999999993</v>
      </c>
      <c r="BJ361">
        <v>18.3</v>
      </c>
      <c r="BK361">
        <v>0.34</v>
      </c>
      <c r="BL361">
        <v>7.3</v>
      </c>
      <c r="BM361">
        <v>0.9</v>
      </c>
      <c r="BN361">
        <v>7.5</v>
      </c>
      <c r="BO361">
        <v>2.9</v>
      </c>
      <c r="BP361">
        <f t="shared" si="10"/>
        <v>8.4157346995854585</v>
      </c>
      <c r="BQ361">
        <f t="shared" si="11"/>
        <v>27.586173318254296</v>
      </c>
    </row>
    <row r="362" spans="1:69" hidden="1" x14ac:dyDescent="0.2">
      <c r="A362" t="s">
        <v>1516</v>
      </c>
      <c r="B362" t="s">
        <v>68</v>
      </c>
      <c r="C362" t="s">
        <v>69</v>
      </c>
      <c r="D362" t="s">
        <v>70</v>
      </c>
      <c r="E362" t="s">
        <v>1517</v>
      </c>
      <c r="F362">
        <v>3</v>
      </c>
      <c r="G362">
        <v>71</v>
      </c>
      <c r="H362">
        <v>3</v>
      </c>
      <c r="I362">
        <v>2</v>
      </c>
      <c r="J362">
        <v>0</v>
      </c>
      <c r="K362" t="s">
        <v>110</v>
      </c>
      <c r="L362" t="s">
        <v>162</v>
      </c>
      <c r="M362" s="4">
        <v>330000000</v>
      </c>
      <c r="N362">
        <v>0</v>
      </c>
      <c r="O362">
        <v>4.7115669090000001</v>
      </c>
      <c r="P362">
        <v>-74.059095799999994</v>
      </c>
      <c r="Q362" t="s">
        <v>1518</v>
      </c>
      <c r="R362">
        <v>4647887.324</v>
      </c>
      <c r="S362">
        <v>0</v>
      </c>
      <c r="T362" t="s">
        <v>117</v>
      </c>
      <c r="U362" t="s">
        <v>118</v>
      </c>
      <c r="V362" t="s">
        <v>77</v>
      </c>
      <c r="W362" t="s">
        <v>119</v>
      </c>
      <c r="X362" t="s">
        <v>120</v>
      </c>
      <c r="Y362">
        <v>3.0763485558842998</v>
      </c>
      <c r="Z362">
        <v>3076.3485558842999</v>
      </c>
      <c r="AA362">
        <v>4.73719444444444</v>
      </c>
      <c r="AB362">
        <v>-74.069472222222203</v>
      </c>
      <c r="AC362">
        <v>2555</v>
      </c>
      <c r="AD362">
        <v>0</v>
      </c>
      <c r="AE362" t="s">
        <v>80</v>
      </c>
      <c r="AF362" t="s">
        <v>107</v>
      </c>
      <c r="AG362" t="s">
        <v>82</v>
      </c>
      <c r="AH362" t="s">
        <v>83</v>
      </c>
      <c r="AI362" t="s">
        <v>121</v>
      </c>
      <c r="AJ362">
        <v>0.79668295360177899</v>
      </c>
      <c r="AK362">
        <v>3.78113379925672</v>
      </c>
      <c r="AL362">
        <v>1.4856920187606699</v>
      </c>
      <c r="AM362">
        <v>0.19303423695706901</v>
      </c>
      <c r="AN362">
        <v>4.3963969490697998</v>
      </c>
      <c r="AO362">
        <v>3.5970192282048598E-2</v>
      </c>
      <c r="AP362">
        <v>3.5970192282048598E-2</v>
      </c>
      <c r="AQ362">
        <v>0</v>
      </c>
      <c r="AR362">
        <v>2</v>
      </c>
      <c r="AS362">
        <v>0</v>
      </c>
      <c r="AT362">
        <v>0</v>
      </c>
      <c r="AU362">
        <v>0</v>
      </c>
      <c r="AV362">
        <v>26</v>
      </c>
      <c r="AW362">
        <v>0</v>
      </c>
      <c r="AX362">
        <v>0</v>
      </c>
      <c r="AY362">
        <v>15.3</v>
      </c>
      <c r="AZ362">
        <v>9.8000000000000007</v>
      </c>
      <c r="BA362">
        <v>29.7</v>
      </c>
      <c r="BB362">
        <v>564</v>
      </c>
      <c r="BC362">
        <v>68</v>
      </c>
      <c r="BD362">
        <v>1.8</v>
      </c>
      <c r="BE362">
        <v>43</v>
      </c>
      <c r="BF362">
        <v>25.4</v>
      </c>
      <c r="BG362">
        <v>162</v>
      </c>
      <c r="BH362">
        <v>9.1</v>
      </c>
      <c r="BI362">
        <v>9.1999999999999993</v>
      </c>
      <c r="BJ362">
        <v>18.3</v>
      </c>
      <c r="BK362">
        <v>0.34</v>
      </c>
      <c r="BL362">
        <v>7.3</v>
      </c>
      <c r="BM362">
        <v>0.9</v>
      </c>
      <c r="BN362">
        <v>7.5</v>
      </c>
      <c r="BO362">
        <v>2.9</v>
      </c>
      <c r="BP362">
        <f t="shared" si="10"/>
        <v>8.4157346995854585</v>
      </c>
      <c r="BQ362">
        <f t="shared" si="11"/>
        <v>27.586173318254296</v>
      </c>
    </row>
    <row r="363" spans="1:69" hidden="1" x14ac:dyDescent="0.2">
      <c r="A363" t="s">
        <v>1409</v>
      </c>
      <c r="B363" t="s">
        <v>68</v>
      </c>
      <c r="C363" t="s">
        <v>69</v>
      </c>
      <c r="D363" t="s">
        <v>70</v>
      </c>
      <c r="E363" t="s">
        <v>1410</v>
      </c>
      <c r="F363">
        <v>3</v>
      </c>
      <c r="G363">
        <v>70</v>
      </c>
      <c r="H363">
        <v>3</v>
      </c>
      <c r="I363">
        <v>2</v>
      </c>
      <c r="J363">
        <v>1</v>
      </c>
      <c r="K363" t="s">
        <v>110</v>
      </c>
      <c r="L363" t="s">
        <v>124</v>
      </c>
      <c r="M363" s="4">
        <v>317000000</v>
      </c>
      <c r="N363">
        <v>0</v>
      </c>
      <c r="O363">
        <v>4.7473459240000002</v>
      </c>
      <c r="P363">
        <v>-74.087013240000005</v>
      </c>
      <c r="Q363" t="s">
        <v>1411</v>
      </c>
      <c r="R363">
        <v>4528571.4289999995</v>
      </c>
      <c r="S363">
        <v>0</v>
      </c>
      <c r="T363" t="s">
        <v>119</v>
      </c>
      <c r="U363" t="s">
        <v>787</v>
      </c>
      <c r="V363" t="s">
        <v>77</v>
      </c>
      <c r="W363" t="s">
        <v>119</v>
      </c>
      <c r="X363" t="s">
        <v>788</v>
      </c>
      <c r="Y363">
        <v>1.7048082314725099</v>
      </c>
      <c r="Z363">
        <v>1704.80823147251</v>
      </c>
      <c r="AA363">
        <v>4.7612472222222202</v>
      </c>
      <c r="AB363">
        <v>-74.093461111111097</v>
      </c>
      <c r="AC363">
        <v>2571</v>
      </c>
      <c r="AD363">
        <v>6</v>
      </c>
      <c r="AE363" t="s">
        <v>154</v>
      </c>
      <c r="AF363" t="s">
        <v>107</v>
      </c>
      <c r="AG363" t="s">
        <v>82</v>
      </c>
      <c r="AH363" t="s">
        <v>83</v>
      </c>
      <c r="AI363" t="s">
        <v>121</v>
      </c>
      <c r="AJ363">
        <v>0.69603767867049604</v>
      </c>
      <c r="AK363">
        <v>3.35601559319469</v>
      </c>
      <c r="AL363">
        <v>3.77478844544583</v>
      </c>
      <c r="AM363">
        <v>0.47390726826839202</v>
      </c>
      <c r="AN363">
        <v>0.682190439413775</v>
      </c>
      <c r="AO363">
        <v>3.8201005184814701E-2</v>
      </c>
      <c r="AP363">
        <v>3.8201005184814701E-2</v>
      </c>
      <c r="AQ363">
        <v>0</v>
      </c>
      <c r="AR363">
        <v>3</v>
      </c>
      <c r="AS363">
        <v>0</v>
      </c>
      <c r="AT363">
        <v>0</v>
      </c>
      <c r="AU363">
        <v>0</v>
      </c>
      <c r="AV363">
        <v>40</v>
      </c>
      <c r="AW363">
        <v>1</v>
      </c>
      <c r="AX363">
        <v>0</v>
      </c>
      <c r="AY363">
        <v>15.3</v>
      </c>
      <c r="AZ363">
        <v>9.8000000000000007</v>
      </c>
      <c r="BA363">
        <v>29.7</v>
      </c>
      <c r="BB363">
        <v>564</v>
      </c>
      <c r="BC363">
        <v>68</v>
      </c>
      <c r="BD363">
        <v>1.8</v>
      </c>
      <c r="BE363">
        <v>43</v>
      </c>
      <c r="BF363">
        <v>25.4</v>
      </c>
      <c r="BG363">
        <v>162</v>
      </c>
      <c r="BH363">
        <v>9.1</v>
      </c>
      <c r="BI363">
        <v>9.1999999999999993</v>
      </c>
      <c r="BJ363">
        <v>18.3</v>
      </c>
      <c r="BK363">
        <v>0.34</v>
      </c>
      <c r="BL363">
        <v>7.3</v>
      </c>
      <c r="BM363">
        <v>0.9</v>
      </c>
      <c r="BN363">
        <v>7.5</v>
      </c>
      <c r="BO363">
        <v>2.9</v>
      </c>
      <c r="BP363">
        <f t="shared" si="10"/>
        <v>9.0069308752964528</v>
      </c>
      <c r="BQ363">
        <f t="shared" si="11"/>
        <v>28.509337017030933</v>
      </c>
    </row>
    <row r="364" spans="1:69" hidden="1" x14ac:dyDescent="0.2">
      <c r="A364" t="s">
        <v>1751</v>
      </c>
      <c r="B364" t="s">
        <v>68</v>
      </c>
      <c r="C364" t="s">
        <v>69</v>
      </c>
      <c r="D364" t="s">
        <v>70</v>
      </c>
      <c r="E364" t="s">
        <v>1752</v>
      </c>
      <c r="F364">
        <v>4</v>
      </c>
      <c r="G364">
        <v>69.510000000000005</v>
      </c>
      <c r="H364">
        <v>2</v>
      </c>
      <c r="I364">
        <v>2</v>
      </c>
      <c r="J364">
        <v>1</v>
      </c>
      <c r="K364" t="s">
        <v>72</v>
      </c>
      <c r="L364" t="s">
        <v>73</v>
      </c>
      <c r="M364" s="4">
        <v>891600000</v>
      </c>
      <c r="N364">
        <v>0</v>
      </c>
      <c r="O364">
        <v>4.7260323</v>
      </c>
      <c r="P364">
        <v>-74.050030000000007</v>
      </c>
      <c r="Q364" t="s">
        <v>1753</v>
      </c>
      <c r="R364">
        <v>12826931.380000001</v>
      </c>
      <c r="S364">
        <v>0</v>
      </c>
      <c r="T364" t="s">
        <v>117</v>
      </c>
      <c r="U364" t="s">
        <v>118</v>
      </c>
      <c r="V364" t="s">
        <v>77</v>
      </c>
      <c r="W364" t="s">
        <v>119</v>
      </c>
      <c r="X364" t="s">
        <v>120</v>
      </c>
      <c r="Y364">
        <v>2.48923283715119</v>
      </c>
      <c r="Z364">
        <v>2489.2328371511899</v>
      </c>
      <c r="AA364">
        <v>4.73719444444444</v>
      </c>
      <c r="AB364">
        <v>-74.069472222222203</v>
      </c>
      <c r="AC364">
        <v>2555</v>
      </c>
      <c r="AD364">
        <v>0</v>
      </c>
      <c r="AE364" t="s">
        <v>80</v>
      </c>
      <c r="AF364" t="s">
        <v>107</v>
      </c>
      <c r="AG364" t="s">
        <v>82</v>
      </c>
      <c r="AH364" t="s">
        <v>83</v>
      </c>
      <c r="AI364" t="s">
        <v>108</v>
      </c>
      <c r="AJ364">
        <v>0.104507746198367</v>
      </c>
      <c r="AK364">
        <v>3.0169697291412199</v>
      </c>
      <c r="AL364">
        <v>1.34789688577975</v>
      </c>
      <c r="AM364">
        <v>0.110540604597802</v>
      </c>
      <c r="AN364">
        <v>3.0997383633652502</v>
      </c>
      <c r="AO364">
        <v>0.11602629409213699</v>
      </c>
      <c r="AP364">
        <v>0.11602629409213699</v>
      </c>
      <c r="AQ364">
        <v>1</v>
      </c>
      <c r="AR364">
        <v>4</v>
      </c>
      <c r="AS364">
        <v>0</v>
      </c>
      <c r="AT364">
        <v>0</v>
      </c>
      <c r="AU364">
        <v>0</v>
      </c>
      <c r="AV364">
        <v>42</v>
      </c>
      <c r="AW364">
        <v>0</v>
      </c>
      <c r="AX364">
        <v>0</v>
      </c>
      <c r="AY364">
        <v>15.3</v>
      </c>
      <c r="AZ364">
        <v>9.8000000000000007</v>
      </c>
      <c r="BA364">
        <v>29.7</v>
      </c>
      <c r="BB364">
        <v>564</v>
      </c>
      <c r="BC364">
        <v>68</v>
      </c>
      <c r="BD364">
        <v>1.8</v>
      </c>
      <c r="BE364">
        <v>43</v>
      </c>
      <c r="BF364">
        <v>25.4</v>
      </c>
      <c r="BG364">
        <v>162</v>
      </c>
      <c r="BH364">
        <v>9.1</v>
      </c>
      <c r="BI364">
        <v>9.1999999999999993</v>
      </c>
      <c r="BJ364">
        <v>18.3</v>
      </c>
      <c r="BK364">
        <v>0.34</v>
      </c>
      <c r="BL364">
        <v>7.3</v>
      </c>
      <c r="BM364">
        <v>0.9</v>
      </c>
      <c r="BN364">
        <v>7.5</v>
      </c>
      <c r="BO364">
        <v>2.9</v>
      </c>
      <c r="BP364">
        <f t="shared" si="10"/>
        <v>8.6639034016071328</v>
      </c>
      <c r="BQ364">
        <f t="shared" si="11"/>
        <v>27.977635467578256</v>
      </c>
    </row>
    <row r="365" spans="1:69" hidden="1" x14ac:dyDescent="0.2">
      <c r="A365" t="s">
        <v>1852</v>
      </c>
      <c r="B365" t="s">
        <v>68</v>
      </c>
      <c r="C365" t="s">
        <v>69</v>
      </c>
      <c r="D365" t="s">
        <v>70</v>
      </c>
      <c r="E365" t="s">
        <v>290</v>
      </c>
      <c r="F365">
        <v>4</v>
      </c>
      <c r="G365">
        <v>69.03</v>
      </c>
      <c r="H365">
        <v>3</v>
      </c>
      <c r="I365">
        <v>2</v>
      </c>
      <c r="J365">
        <v>1</v>
      </c>
      <c r="K365" t="s">
        <v>110</v>
      </c>
      <c r="L365" t="s">
        <v>124</v>
      </c>
      <c r="M365" s="4">
        <v>395000000</v>
      </c>
      <c r="N365">
        <v>0</v>
      </c>
      <c r="O365">
        <v>4.7667760000000001</v>
      </c>
      <c r="P365">
        <v>-74.032539999999997</v>
      </c>
      <c r="Q365" t="s">
        <v>1853</v>
      </c>
      <c r="R365">
        <v>5722149.79</v>
      </c>
      <c r="S365">
        <v>0</v>
      </c>
      <c r="T365" t="s">
        <v>151</v>
      </c>
      <c r="U365" t="s">
        <v>152</v>
      </c>
      <c r="V365" t="s">
        <v>77</v>
      </c>
      <c r="W365" t="s">
        <v>119</v>
      </c>
      <c r="X365" t="s">
        <v>153</v>
      </c>
      <c r="Y365">
        <v>2.2860333694714701</v>
      </c>
      <c r="Z365">
        <v>2286.03336947147</v>
      </c>
      <c r="AA365">
        <v>4.7837500000000004</v>
      </c>
      <c r="AB365">
        <v>-74.044138888888895</v>
      </c>
      <c r="AC365">
        <v>2580</v>
      </c>
      <c r="AD365">
        <v>0</v>
      </c>
      <c r="AE365" t="s">
        <v>154</v>
      </c>
      <c r="AF365" t="s">
        <v>107</v>
      </c>
      <c r="AG365" t="s">
        <v>82</v>
      </c>
      <c r="AH365" t="s">
        <v>83</v>
      </c>
      <c r="AI365" t="s">
        <v>108</v>
      </c>
      <c r="AJ365">
        <v>1.2437961440309999</v>
      </c>
      <c r="AK365">
        <v>1.0660400820682301</v>
      </c>
      <c r="AL365">
        <v>1.7614109475876101</v>
      </c>
      <c r="AM365">
        <v>0.17587637779585</v>
      </c>
      <c r="AN365">
        <v>2.8625183409040198</v>
      </c>
      <c r="AO365">
        <v>0.301588543305228</v>
      </c>
      <c r="AP365">
        <v>0.301588543305228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6</v>
      </c>
      <c r="AW365">
        <v>0</v>
      </c>
      <c r="AX365">
        <v>0</v>
      </c>
      <c r="AY365">
        <v>15.3</v>
      </c>
      <c r="AZ365">
        <v>9.8000000000000007</v>
      </c>
      <c r="BA365">
        <v>29.7</v>
      </c>
      <c r="BB365">
        <v>564</v>
      </c>
      <c r="BC365">
        <v>68</v>
      </c>
      <c r="BD365">
        <v>1.8</v>
      </c>
      <c r="BE365">
        <v>43</v>
      </c>
      <c r="BF365">
        <v>25.4</v>
      </c>
      <c r="BG365">
        <v>162</v>
      </c>
      <c r="BH365">
        <v>9.1</v>
      </c>
      <c r="BI365">
        <v>9.1999999999999993</v>
      </c>
      <c r="BJ365">
        <v>18.3</v>
      </c>
      <c r="BK365">
        <v>0.34</v>
      </c>
      <c r="BL365">
        <v>7.3</v>
      </c>
      <c r="BM365">
        <v>0.9</v>
      </c>
      <c r="BN365">
        <v>7.5</v>
      </c>
      <c r="BO365">
        <v>2.9</v>
      </c>
      <c r="BP365">
        <f t="shared" si="10"/>
        <v>8.7514879197784801</v>
      </c>
      <c r="BQ365">
        <f t="shared" si="11"/>
        <v>28.114409681085959</v>
      </c>
    </row>
    <row r="366" spans="1:69" hidden="1" x14ac:dyDescent="0.2">
      <c r="A366" t="s">
        <v>1929</v>
      </c>
      <c r="B366" t="s">
        <v>68</v>
      </c>
      <c r="C366" t="s">
        <v>69</v>
      </c>
      <c r="D366" t="s">
        <v>70</v>
      </c>
      <c r="E366" t="s">
        <v>174</v>
      </c>
      <c r="F366">
        <v>4</v>
      </c>
      <c r="G366">
        <v>68</v>
      </c>
      <c r="H366">
        <v>3</v>
      </c>
      <c r="I366">
        <v>2</v>
      </c>
      <c r="J366">
        <v>1</v>
      </c>
      <c r="K366" t="s">
        <v>110</v>
      </c>
      <c r="L366" t="s">
        <v>124</v>
      </c>
      <c r="M366" s="4">
        <v>485000000</v>
      </c>
      <c r="N366">
        <v>0</v>
      </c>
      <c r="O366">
        <v>4.7395277020000002</v>
      </c>
      <c r="P366">
        <v>-74.066337590000003</v>
      </c>
      <c r="Q366" t="s">
        <v>1930</v>
      </c>
      <c r="R366">
        <v>7132352.9409999996</v>
      </c>
      <c r="S366">
        <v>0</v>
      </c>
      <c r="T366" t="s">
        <v>117</v>
      </c>
      <c r="U366" t="s">
        <v>118</v>
      </c>
      <c r="V366" t="s">
        <v>77</v>
      </c>
      <c r="W366" t="s">
        <v>119</v>
      </c>
      <c r="X366" t="s">
        <v>120</v>
      </c>
      <c r="Y366">
        <v>0.43404554004761497</v>
      </c>
      <c r="Z366">
        <v>434.04554004761502</v>
      </c>
      <c r="AA366">
        <v>4.73719444444444</v>
      </c>
      <c r="AB366">
        <v>-74.069472222222203</v>
      </c>
      <c r="AC366">
        <v>2555</v>
      </c>
      <c r="AD366">
        <v>0</v>
      </c>
      <c r="AE366" t="s">
        <v>80</v>
      </c>
      <c r="AF366" t="s">
        <v>107</v>
      </c>
      <c r="AG366" t="s">
        <v>82</v>
      </c>
      <c r="AH366" t="s">
        <v>83</v>
      </c>
      <c r="AI366" t="s">
        <v>121</v>
      </c>
      <c r="AJ366">
        <v>1.62611355275875</v>
      </c>
      <c r="AK366">
        <v>4.9741576658632303</v>
      </c>
      <c r="AL366">
        <v>2.0899560013927299</v>
      </c>
      <c r="AM366">
        <v>0.17930700026262</v>
      </c>
      <c r="AN366">
        <v>2.1139536971181099</v>
      </c>
      <c r="AO366">
        <v>5.5473599364051003E-2</v>
      </c>
      <c r="AP366">
        <v>5.5473599364051003E-2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8</v>
      </c>
      <c r="AW366">
        <v>0</v>
      </c>
      <c r="AX366">
        <v>0</v>
      </c>
      <c r="AY366">
        <v>15.3</v>
      </c>
      <c r="AZ366">
        <v>9.8000000000000007</v>
      </c>
      <c r="BA366">
        <v>29.7</v>
      </c>
      <c r="BB366">
        <v>564</v>
      </c>
      <c r="BC366">
        <v>68</v>
      </c>
      <c r="BD366">
        <v>1.8</v>
      </c>
      <c r="BE366">
        <v>43</v>
      </c>
      <c r="BF366">
        <v>25.4</v>
      </c>
      <c r="BG366">
        <v>162</v>
      </c>
      <c r="BH366">
        <v>9.1</v>
      </c>
      <c r="BI366">
        <v>9.1999999999999993</v>
      </c>
      <c r="BJ366">
        <v>18.3</v>
      </c>
      <c r="BK366">
        <v>0.34</v>
      </c>
      <c r="BL366">
        <v>7.3</v>
      </c>
      <c r="BM366">
        <v>0.9</v>
      </c>
      <c r="BN366">
        <v>7.5</v>
      </c>
      <c r="BO366">
        <v>2.9</v>
      </c>
      <c r="BP366">
        <f t="shared" si="10"/>
        <v>9.5916903149915438</v>
      </c>
      <c r="BQ366">
        <f t="shared" si="11"/>
        <v>29.392218218032461</v>
      </c>
    </row>
    <row r="367" spans="1:69" hidden="1" x14ac:dyDescent="0.2">
      <c r="A367" t="s">
        <v>1195</v>
      </c>
      <c r="B367" t="s">
        <v>68</v>
      </c>
      <c r="C367" t="s">
        <v>69</v>
      </c>
      <c r="D367" t="s">
        <v>70</v>
      </c>
      <c r="E367" t="s">
        <v>1196</v>
      </c>
      <c r="F367">
        <v>3</v>
      </c>
      <c r="G367">
        <v>68</v>
      </c>
      <c r="H367">
        <v>3</v>
      </c>
      <c r="I367">
        <v>2</v>
      </c>
      <c r="J367">
        <v>0</v>
      </c>
      <c r="K367" t="s">
        <v>110</v>
      </c>
      <c r="L367" t="s">
        <v>124</v>
      </c>
      <c r="M367" s="4">
        <v>450000000</v>
      </c>
      <c r="N367">
        <v>0</v>
      </c>
      <c r="O367">
        <v>4.7413164999999999</v>
      </c>
      <c r="P367">
        <v>-74.057515600000002</v>
      </c>
      <c r="Q367" t="s">
        <v>1197</v>
      </c>
      <c r="R367">
        <v>6617647.0590000004</v>
      </c>
      <c r="S367">
        <v>0</v>
      </c>
      <c r="T367" t="s">
        <v>117</v>
      </c>
      <c r="U367" t="s">
        <v>118</v>
      </c>
      <c r="V367" t="s">
        <v>77</v>
      </c>
      <c r="W367" t="s">
        <v>119</v>
      </c>
      <c r="X367" t="s">
        <v>120</v>
      </c>
      <c r="Y367">
        <v>1.4035806006431999</v>
      </c>
      <c r="Z367">
        <v>1403.5806006431999</v>
      </c>
      <c r="AA367">
        <v>4.73719444444444</v>
      </c>
      <c r="AB367">
        <v>-74.069472222222203</v>
      </c>
      <c r="AC367">
        <v>2555</v>
      </c>
      <c r="AD367">
        <v>0</v>
      </c>
      <c r="AE367" t="s">
        <v>80</v>
      </c>
      <c r="AF367" t="s">
        <v>107</v>
      </c>
      <c r="AG367" t="s">
        <v>82</v>
      </c>
      <c r="AH367" t="s">
        <v>83</v>
      </c>
      <c r="AI367" t="s">
        <v>121</v>
      </c>
      <c r="AJ367">
        <v>1.0570388323655</v>
      </c>
      <c r="AK367">
        <v>4.0521654571918599</v>
      </c>
      <c r="AL367">
        <v>1.4051861958506999</v>
      </c>
      <c r="AM367">
        <v>0.30023088902522099</v>
      </c>
      <c r="AN367">
        <v>3.0817742419736298</v>
      </c>
      <c r="AO367">
        <v>2.2920863346223799E-2</v>
      </c>
      <c r="AP367">
        <v>2.2920863346223799E-2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11</v>
      </c>
      <c r="AW367">
        <v>0</v>
      </c>
      <c r="AX367">
        <v>0</v>
      </c>
      <c r="AY367">
        <v>15.3</v>
      </c>
      <c r="AZ367">
        <v>9.8000000000000007</v>
      </c>
      <c r="BA367">
        <v>29.7</v>
      </c>
      <c r="BB367">
        <v>564</v>
      </c>
      <c r="BC367">
        <v>68</v>
      </c>
      <c r="BD367">
        <v>1.8</v>
      </c>
      <c r="BE367">
        <v>43</v>
      </c>
      <c r="BF367">
        <v>25.4</v>
      </c>
      <c r="BG367">
        <v>162</v>
      </c>
      <c r="BH367">
        <v>9.1</v>
      </c>
      <c r="BI367">
        <v>9.1999999999999993</v>
      </c>
      <c r="BJ367">
        <v>18.3</v>
      </c>
      <c r="BK367">
        <v>0.34</v>
      </c>
      <c r="BL367">
        <v>7.3</v>
      </c>
      <c r="BM367">
        <v>0.9</v>
      </c>
      <c r="BN367">
        <v>7.5</v>
      </c>
      <c r="BO367">
        <v>2.9</v>
      </c>
      <c r="BP367">
        <f t="shared" si="10"/>
        <v>9.1422373845751626</v>
      </c>
      <c r="BQ367">
        <f t="shared" si="11"/>
        <v>28.716191038965064</v>
      </c>
    </row>
    <row r="368" spans="1:69" hidden="1" x14ac:dyDescent="0.2">
      <c r="A368" t="s">
        <v>2523</v>
      </c>
      <c r="B368" t="s">
        <v>68</v>
      </c>
      <c r="C368" t="s">
        <v>1956</v>
      </c>
      <c r="D368" t="s">
        <v>70</v>
      </c>
      <c r="E368" t="s">
        <v>2524</v>
      </c>
      <c r="F368">
        <v>4</v>
      </c>
      <c r="G368">
        <v>67.069999999999993</v>
      </c>
      <c r="H368">
        <v>3</v>
      </c>
      <c r="I368">
        <v>3</v>
      </c>
      <c r="J368">
        <v>2</v>
      </c>
      <c r="K368" t="s">
        <v>110</v>
      </c>
      <c r="L368" t="s">
        <v>124</v>
      </c>
      <c r="M368" s="4">
        <v>430000000</v>
      </c>
      <c r="N368">
        <v>0</v>
      </c>
      <c r="O368">
        <v>4.7497170000000004</v>
      </c>
      <c r="P368">
        <v>-74.067949999999996</v>
      </c>
      <c r="Q368" t="s">
        <v>2525</v>
      </c>
      <c r="R368">
        <v>6411212.1660000002</v>
      </c>
      <c r="S368">
        <v>0</v>
      </c>
      <c r="T368" t="s">
        <v>117</v>
      </c>
      <c r="U368" t="s">
        <v>118</v>
      </c>
      <c r="V368" t="s">
        <v>77</v>
      </c>
      <c r="W368" t="s">
        <v>119</v>
      </c>
      <c r="X368" t="s">
        <v>120</v>
      </c>
      <c r="Y368">
        <v>1.40419604368316</v>
      </c>
      <c r="Z368">
        <v>1404.19604368316</v>
      </c>
      <c r="AA368">
        <v>4.73719444444444</v>
      </c>
      <c r="AB368">
        <v>-74.069472222222203</v>
      </c>
      <c r="AC368">
        <v>2555</v>
      </c>
      <c r="AD368">
        <v>0</v>
      </c>
      <c r="AE368" t="s">
        <v>80</v>
      </c>
      <c r="AF368" t="s">
        <v>107</v>
      </c>
      <c r="AG368" t="s">
        <v>82</v>
      </c>
      <c r="AH368" t="s">
        <v>83</v>
      </c>
      <c r="AI368" t="s">
        <v>121</v>
      </c>
      <c r="AJ368">
        <v>2.1342106963142999</v>
      </c>
      <c r="AK368">
        <v>5.0222449902519797</v>
      </c>
      <c r="AL368">
        <v>1.6522015381436199</v>
      </c>
      <c r="AM368">
        <v>0.28144012866962898</v>
      </c>
      <c r="AN368">
        <v>2.1323964611857198</v>
      </c>
      <c r="AO368">
        <v>4.2702368428876297E-3</v>
      </c>
      <c r="AP368">
        <v>4.2702368428876297E-3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10</v>
      </c>
      <c r="AW368">
        <v>0</v>
      </c>
      <c r="AX368">
        <v>0</v>
      </c>
      <c r="AY368">
        <v>15.3</v>
      </c>
      <c r="AZ368">
        <v>9.8000000000000007</v>
      </c>
      <c r="BA368">
        <v>29.7</v>
      </c>
      <c r="BB368">
        <v>564</v>
      </c>
      <c r="BC368">
        <v>68</v>
      </c>
      <c r="BD368">
        <v>1.8</v>
      </c>
      <c r="BE368">
        <v>43</v>
      </c>
      <c r="BF368">
        <v>25.4</v>
      </c>
      <c r="BG368">
        <v>162</v>
      </c>
      <c r="BH368">
        <v>9.1</v>
      </c>
      <c r="BI368">
        <v>9.1999999999999993</v>
      </c>
      <c r="BJ368">
        <v>18.3</v>
      </c>
      <c r="BK368">
        <v>0.34</v>
      </c>
      <c r="BL368">
        <v>7.3</v>
      </c>
      <c r="BM368">
        <v>0.9</v>
      </c>
      <c r="BN368">
        <v>7.5</v>
      </c>
      <c r="BO368">
        <v>2.9</v>
      </c>
      <c r="BP368">
        <f t="shared" si="10"/>
        <v>9.1419588757622723</v>
      </c>
      <c r="BQ368">
        <f t="shared" si="11"/>
        <v>28.715766885779757</v>
      </c>
    </row>
    <row r="369" spans="1:69" hidden="1" x14ac:dyDescent="0.2">
      <c r="A369" t="s">
        <v>2308</v>
      </c>
      <c r="B369" t="s">
        <v>68</v>
      </c>
      <c r="C369" t="s">
        <v>1956</v>
      </c>
      <c r="D369" t="s">
        <v>70</v>
      </c>
      <c r="E369" t="s">
        <v>2309</v>
      </c>
      <c r="F369">
        <v>3</v>
      </c>
      <c r="G369">
        <v>67</v>
      </c>
      <c r="H369">
        <v>3</v>
      </c>
      <c r="I369">
        <v>2</v>
      </c>
      <c r="J369">
        <v>1</v>
      </c>
      <c r="K369" t="s">
        <v>110</v>
      </c>
      <c r="L369" t="s">
        <v>162</v>
      </c>
      <c r="M369" s="4">
        <v>380000000</v>
      </c>
      <c r="N369">
        <v>0</v>
      </c>
      <c r="O369">
        <v>4.7429981229999996</v>
      </c>
      <c r="P369">
        <v>-74.055717470000005</v>
      </c>
      <c r="Q369" t="s">
        <v>2310</v>
      </c>
      <c r="R369">
        <v>5671641.7910000002</v>
      </c>
      <c r="S369">
        <v>0</v>
      </c>
      <c r="T369" t="s">
        <v>117</v>
      </c>
      <c r="U369" t="s">
        <v>118</v>
      </c>
      <c r="V369" t="s">
        <v>77</v>
      </c>
      <c r="W369" t="s">
        <v>119</v>
      </c>
      <c r="X369" t="s">
        <v>120</v>
      </c>
      <c r="Y369">
        <v>1.65706811477821</v>
      </c>
      <c r="Z369">
        <v>1657.06811477821</v>
      </c>
      <c r="AA369">
        <v>4.73719444444444</v>
      </c>
      <c r="AB369">
        <v>-74.069472222222203</v>
      </c>
      <c r="AC369">
        <v>2555</v>
      </c>
      <c r="AD369">
        <v>0</v>
      </c>
      <c r="AE369" t="s">
        <v>80</v>
      </c>
      <c r="AF369" t="s">
        <v>107</v>
      </c>
      <c r="AG369" t="s">
        <v>82</v>
      </c>
      <c r="AH369" t="s">
        <v>83</v>
      </c>
      <c r="AI369" t="s">
        <v>121</v>
      </c>
      <c r="AJ369">
        <v>0.86393131853077898</v>
      </c>
      <c r="AK369">
        <v>3.9088250190147402</v>
      </c>
      <c r="AL369">
        <v>1.1730224823086499</v>
      </c>
      <c r="AM369">
        <v>0.47836981227622999</v>
      </c>
      <c r="AN369">
        <v>3.21768207918113</v>
      </c>
      <c r="AO369">
        <v>0.14701055877364899</v>
      </c>
      <c r="AP369">
        <v>0.14701055877364899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11</v>
      </c>
      <c r="AW369">
        <v>0</v>
      </c>
      <c r="AX369">
        <v>0</v>
      </c>
      <c r="AY369">
        <v>15.3</v>
      </c>
      <c r="AZ369">
        <v>9.8000000000000007</v>
      </c>
      <c r="BA369">
        <v>29.7</v>
      </c>
      <c r="BB369">
        <v>564</v>
      </c>
      <c r="BC369">
        <v>68</v>
      </c>
      <c r="BD369">
        <v>1.8</v>
      </c>
      <c r="BE369">
        <v>43</v>
      </c>
      <c r="BF369">
        <v>25.4</v>
      </c>
      <c r="BG369">
        <v>162</v>
      </c>
      <c r="BH369">
        <v>9.1</v>
      </c>
      <c r="BI369">
        <v>9.1999999999999993</v>
      </c>
      <c r="BJ369">
        <v>18.3</v>
      </c>
      <c r="BK369">
        <v>0.34</v>
      </c>
      <c r="BL369">
        <v>7.3</v>
      </c>
      <c r="BM369">
        <v>0.9</v>
      </c>
      <c r="BN369">
        <v>7.5</v>
      </c>
      <c r="BO369">
        <v>2.9</v>
      </c>
      <c r="BP369">
        <f t="shared" si="10"/>
        <v>9.028240644905738</v>
      </c>
      <c r="BQ369">
        <f t="shared" si="11"/>
        <v>28.542020675140929</v>
      </c>
    </row>
    <row r="370" spans="1:69" hidden="1" x14ac:dyDescent="0.2">
      <c r="A370" t="s">
        <v>1328</v>
      </c>
      <c r="B370" t="s">
        <v>68</v>
      </c>
      <c r="C370" t="s">
        <v>69</v>
      </c>
      <c r="D370" t="s">
        <v>70</v>
      </c>
      <c r="E370" t="s">
        <v>1196</v>
      </c>
      <c r="F370">
        <v>3</v>
      </c>
      <c r="G370">
        <v>66</v>
      </c>
      <c r="H370">
        <v>3</v>
      </c>
      <c r="I370">
        <v>2</v>
      </c>
      <c r="J370">
        <v>1</v>
      </c>
      <c r="K370" t="s">
        <v>110</v>
      </c>
      <c r="L370" t="s">
        <v>162</v>
      </c>
      <c r="M370" s="4">
        <v>365000000</v>
      </c>
      <c r="N370">
        <v>0</v>
      </c>
      <c r="O370">
        <v>4.7470583</v>
      </c>
      <c r="P370">
        <v>-74.057769899999997</v>
      </c>
      <c r="Q370" t="s">
        <v>1329</v>
      </c>
      <c r="R370">
        <v>5530303.0300000003</v>
      </c>
      <c r="S370">
        <v>0</v>
      </c>
      <c r="T370" t="s">
        <v>117</v>
      </c>
      <c r="U370" t="s">
        <v>118</v>
      </c>
      <c r="V370" t="s">
        <v>77</v>
      </c>
      <c r="W370" t="s">
        <v>119</v>
      </c>
      <c r="X370" t="s">
        <v>120</v>
      </c>
      <c r="Y370">
        <v>1.7003265686789599</v>
      </c>
      <c r="Z370">
        <v>1700.32656867896</v>
      </c>
      <c r="AA370">
        <v>4.73719444444444</v>
      </c>
      <c r="AB370">
        <v>-74.069472222222203</v>
      </c>
      <c r="AC370">
        <v>2555</v>
      </c>
      <c r="AD370">
        <v>0</v>
      </c>
      <c r="AE370" t="s">
        <v>80</v>
      </c>
      <c r="AF370" t="s">
        <v>107</v>
      </c>
      <c r="AG370" t="s">
        <v>82</v>
      </c>
      <c r="AH370" t="s">
        <v>83</v>
      </c>
      <c r="AI370" t="s">
        <v>121</v>
      </c>
      <c r="AJ370">
        <v>1.16979407274396</v>
      </c>
      <c r="AK370">
        <v>4.1170302245128401</v>
      </c>
      <c r="AL370">
        <v>0.84356398554610501</v>
      </c>
      <c r="AM370">
        <v>0.22481910892767501</v>
      </c>
      <c r="AN370">
        <v>3.11661097775018</v>
      </c>
      <c r="AO370">
        <v>9.5183419289802701E-2</v>
      </c>
      <c r="AP370">
        <v>9.5183419289802701E-2</v>
      </c>
      <c r="AQ370">
        <v>0</v>
      </c>
      <c r="AR370">
        <v>0</v>
      </c>
      <c r="AS370">
        <v>0</v>
      </c>
      <c r="AT370">
        <v>0</v>
      </c>
      <c r="AU370">
        <v>1</v>
      </c>
      <c r="AV370">
        <v>17</v>
      </c>
      <c r="AW370">
        <v>0</v>
      </c>
      <c r="AX370">
        <v>0</v>
      </c>
      <c r="AY370">
        <v>15.3</v>
      </c>
      <c r="AZ370">
        <v>9.8000000000000007</v>
      </c>
      <c r="BA370">
        <v>29.7</v>
      </c>
      <c r="BB370">
        <v>564</v>
      </c>
      <c r="BC370">
        <v>68</v>
      </c>
      <c r="BD370">
        <v>1.8</v>
      </c>
      <c r="BE370">
        <v>43</v>
      </c>
      <c r="BF370">
        <v>25.4</v>
      </c>
      <c r="BG370">
        <v>162</v>
      </c>
      <c r="BH370">
        <v>9.1</v>
      </c>
      <c r="BI370">
        <v>9.1999999999999993</v>
      </c>
      <c r="BJ370">
        <v>18.3</v>
      </c>
      <c r="BK370">
        <v>0.34</v>
      </c>
      <c r="BL370">
        <v>7.3</v>
      </c>
      <c r="BM370">
        <v>0.9</v>
      </c>
      <c r="BN370">
        <v>7.5</v>
      </c>
      <c r="BO370">
        <v>2.9</v>
      </c>
      <c r="BP370">
        <f t="shared" si="10"/>
        <v>9.0089292152823361</v>
      </c>
      <c r="BQ370">
        <f t="shared" si="11"/>
        <v>28.512403643590485</v>
      </c>
    </row>
    <row r="371" spans="1:69" hidden="1" x14ac:dyDescent="0.2">
      <c r="A371" t="s">
        <v>377</v>
      </c>
      <c r="B371" t="s">
        <v>68</v>
      </c>
      <c r="C371" t="s">
        <v>69</v>
      </c>
      <c r="D371" t="s">
        <v>70</v>
      </c>
      <c r="E371" t="s">
        <v>378</v>
      </c>
      <c r="F371">
        <v>3</v>
      </c>
      <c r="G371">
        <v>65</v>
      </c>
      <c r="H371">
        <v>3</v>
      </c>
      <c r="I371">
        <v>2</v>
      </c>
      <c r="J371">
        <v>1</v>
      </c>
      <c r="K371" t="s">
        <v>110</v>
      </c>
      <c r="L371" t="s">
        <v>111</v>
      </c>
      <c r="M371" s="4">
        <v>548000000</v>
      </c>
      <c r="N371">
        <v>0</v>
      </c>
      <c r="O371">
        <v>4.718644619</v>
      </c>
      <c r="P371">
        <v>-74.059188840000004</v>
      </c>
      <c r="Q371" t="s">
        <v>379</v>
      </c>
      <c r="R371">
        <v>8430769.2310000006</v>
      </c>
      <c r="S371">
        <v>0</v>
      </c>
      <c r="T371" t="s">
        <v>117</v>
      </c>
      <c r="U371" t="s">
        <v>118</v>
      </c>
      <c r="V371" t="s">
        <v>77</v>
      </c>
      <c r="W371" t="s">
        <v>119</v>
      </c>
      <c r="X371" t="s">
        <v>120</v>
      </c>
      <c r="Y371">
        <v>2.35914748170803</v>
      </c>
      <c r="Z371">
        <v>2359.1474817080302</v>
      </c>
      <c r="AA371">
        <v>4.73719444444444</v>
      </c>
      <c r="AB371">
        <v>-74.069472222222203</v>
      </c>
      <c r="AC371">
        <v>2555</v>
      </c>
      <c r="AD371">
        <v>0</v>
      </c>
      <c r="AE371" t="s">
        <v>80</v>
      </c>
      <c r="AF371" t="s">
        <v>107</v>
      </c>
      <c r="AG371" t="s">
        <v>82</v>
      </c>
      <c r="AH371" t="s">
        <v>83</v>
      </c>
      <c r="AI371" t="s">
        <v>121</v>
      </c>
      <c r="AJ371">
        <v>0.86277627739553098</v>
      </c>
      <c r="AK371">
        <v>3.8834574095717</v>
      </c>
      <c r="AL371">
        <v>1.37016072752566</v>
      </c>
      <c r="AM371">
        <v>0.26859373077948701</v>
      </c>
      <c r="AN371">
        <v>3.8366907273962201</v>
      </c>
      <c r="AO371">
        <v>0.16840829252593001</v>
      </c>
      <c r="AP371">
        <v>0.16840829252593001</v>
      </c>
      <c r="AQ371">
        <v>0</v>
      </c>
      <c r="AR371">
        <v>2</v>
      </c>
      <c r="AS371">
        <v>0</v>
      </c>
      <c r="AT371">
        <v>0</v>
      </c>
      <c r="AU371">
        <v>0</v>
      </c>
      <c r="AV371">
        <v>14</v>
      </c>
      <c r="AW371">
        <v>0</v>
      </c>
      <c r="AX371">
        <v>0</v>
      </c>
      <c r="AY371">
        <v>15.3</v>
      </c>
      <c r="AZ371">
        <v>9.8000000000000007</v>
      </c>
      <c r="BA371">
        <v>29.7</v>
      </c>
      <c r="BB371">
        <v>564</v>
      </c>
      <c r="BC371">
        <v>68</v>
      </c>
      <c r="BD371">
        <v>1.8</v>
      </c>
      <c r="BE371">
        <v>43</v>
      </c>
      <c r="BF371">
        <v>25.4</v>
      </c>
      <c r="BG371">
        <v>162</v>
      </c>
      <c r="BH371">
        <v>9.1</v>
      </c>
      <c r="BI371">
        <v>9.1999999999999993</v>
      </c>
      <c r="BJ371">
        <v>18.3</v>
      </c>
      <c r="BK371">
        <v>0.34</v>
      </c>
      <c r="BL371">
        <v>7.3</v>
      </c>
      <c r="BM371">
        <v>0.9</v>
      </c>
      <c r="BN371">
        <v>7.5</v>
      </c>
      <c r="BO371">
        <v>2.9</v>
      </c>
      <c r="BP371">
        <f t="shared" si="10"/>
        <v>8.7198722303607887</v>
      </c>
      <c r="BQ371">
        <f t="shared" si="11"/>
        <v>28.065119496912835</v>
      </c>
    </row>
    <row r="372" spans="1:69" hidden="1" x14ac:dyDescent="0.2">
      <c r="A372" t="s">
        <v>303</v>
      </c>
      <c r="B372" t="s">
        <v>68</v>
      </c>
      <c r="C372" t="s">
        <v>69</v>
      </c>
      <c r="D372" t="s">
        <v>70</v>
      </c>
      <c r="E372" t="s">
        <v>171</v>
      </c>
      <c r="F372">
        <v>3</v>
      </c>
      <c r="G372">
        <v>65</v>
      </c>
      <c r="H372">
        <v>3</v>
      </c>
      <c r="I372">
        <v>2</v>
      </c>
      <c r="J372">
        <v>1</v>
      </c>
      <c r="K372" t="s">
        <v>110</v>
      </c>
      <c r="L372" t="s">
        <v>124</v>
      </c>
      <c r="M372" s="4">
        <v>533000000</v>
      </c>
      <c r="N372">
        <v>0</v>
      </c>
      <c r="O372">
        <v>4.7109886000000003</v>
      </c>
      <c r="P372">
        <v>-74.072091999999998</v>
      </c>
      <c r="Q372" t="s">
        <v>304</v>
      </c>
      <c r="R372">
        <v>8200000</v>
      </c>
      <c r="S372">
        <v>0</v>
      </c>
      <c r="T372" t="s">
        <v>117</v>
      </c>
      <c r="U372" t="s">
        <v>118</v>
      </c>
      <c r="V372" t="s">
        <v>77</v>
      </c>
      <c r="W372" t="s">
        <v>119</v>
      </c>
      <c r="X372" t="s">
        <v>120</v>
      </c>
      <c r="Y372">
        <v>2.9316637629442299</v>
      </c>
      <c r="Z372">
        <v>2931.6637629442298</v>
      </c>
      <c r="AA372">
        <v>4.73719444444444</v>
      </c>
      <c r="AB372">
        <v>-74.069472222222203</v>
      </c>
      <c r="AC372">
        <v>2555</v>
      </c>
      <c r="AD372">
        <v>0</v>
      </c>
      <c r="AE372" t="s">
        <v>80</v>
      </c>
      <c r="AF372" t="s">
        <v>107</v>
      </c>
      <c r="AG372" t="s">
        <v>82</v>
      </c>
      <c r="AH372" t="s">
        <v>83</v>
      </c>
      <c r="AI372" t="s">
        <v>121</v>
      </c>
      <c r="AJ372">
        <v>0.114423975215871</v>
      </c>
      <c r="AK372">
        <v>5.21687536638394</v>
      </c>
      <c r="AL372">
        <v>0.65226322587517005</v>
      </c>
      <c r="AM372">
        <v>0.14181817028282401</v>
      </c>
      <c r="AN372">
        <v>3.6679473339378599</v>
      </c>
      <c r="AO372">
        <v>0.37112165119991802</v>
      </c>
      <c r="AP372">
        <v>0.37112165119991802</v>
      </c>
      <c r="AQ372">
        <v>2</v>
      </c>
      <c r="AR372">
        <v>2</v>
      </c>
      <c r="AS372">
        <v>0</v>
      </c>
      <c r="AT372">
        <v>0</v>
      </c>
      <c r="AU372">
        <v>1</v>
      </c>
      <c r="AV372">
        <v>39</v>
      </c>
      <c r="AW372">
        <v>0</v>
      </c>
      <c r="AX372">
        <v>0</v>
      </c>
      <c r="AY372">
        <v>15.3</v>
      </c>
      <c r="AZ372">
        <v>9.8000000000000007</v>
      </c>
      <c r="BA372">
        <v>29.7</v>
      </c>
      <c r="BB372">
        <v>564</v>
      </c>
      <c r="BC372">
        <v>68</v>
      </c>
      <c r="BD372">
        <v>1.8</v>
      </c>
      <c r="BE372">
        <v>43</v>
      </c>
      <c r="BF372">
        <v>25.4</v>
      </c>
      <c r="BG372">
        <v>162</v>
      </c>
      <c r="BH372">
        <v>9.1</v>
      </c>
      <c r="BI372">
        <v>9.1999999999999993</v>
      </c>
      <c r="BJ372">
        <v>18.3</v>
      </c>
      <c r="BK372">
        <v>0.34</v>
      </c>
      <c r="BL372">
        <v>7.3</v>
      </c>
      <c r="BM372">
        <v>0.9</v>
      </c>
      <c r="BN372">
        <v>7.5</v>
      </c>
      <c r="BO372">
        <v>2.9</v>
      </c>
      <c r="BP372">
        <f t="shared" si="10"/>
        <v>8.4762236761554099</v>
      </c>
      <c r="BQ372">
        <f t="shared" si="11"/>
        <v>27.682131019866095</v>
      </c>
    </row>
    <row r="373" spans="1:69" hidden="1" x14ac:dyDescent="0.2">
      <c r="A373" t="s">
        <v>541</v>
      </c>
      <c r="B373" t="s">
        <v>68</v>
      </c>
      <c r="C373" t="s">
        <v>69</v>
      </c>
      <c r="D373" t="s">
        <v>70</v>
      </c>
      <c r="E373" t="s">
        <v>542</v>
      </c>
      <c r="F373">
        <v>3</v>
      </c>
      <c r="G373">
        <v>65</v>
      </c>
      <c r="H373">
        <v>3</v>
      </c>
      <c r="I373">
        <v>1</v>
      </c>
      <c r="J373">
        <v>0</v>
      </c>
      <c r="K373" t="s">
        <v>110</v>
      </c>
      <c r="L373" t="s">
        <v>162</v>
      </c>
      <c r="M373" s="4">
        <v>272000000</v>
      </c>
      <c r="N373">
        <v>0</v>
      </c>
      <c r="O373">
        <v>4.7298412320000001</v>
      </c>
      <c r="P373">
        <v>-74.087104800000006</v>
      </c>
      <c r="Q373" t="s">
        <v>543</v>
      </c>
      <c r="R373">
        <v>4184615.3849999998</v>
      </c>
      <c r="S373">
        <v>0</v>
      </c>
      <c r="T373" t="s">
        <v>117</v>
      </c>
      <c r="U373" t="s">
        <v>118</v>
      </c>
      <c r="V373" t="s">
        <v>77</v>
      </c>
      <c r="W373" t="s">
        <v>119</v>
      </c>
      <c r="X373" t="s">
        <v>120</v>
      </c>
      <c r="Y373">
        <v>2.12051303046827</v>
      </c>
      <c r="Z373">
        <v>2120.5130304682698</v>
      </c>
      <c r="AA373">
        <v>4.73719444444444</v>
      </c>
      <c r="AB373">
        <v>-74.069472222222203</v>
      </c>
      <c r="AC373">
        <v>2555</v>
      </c>
      <c r="AD373">
        <v>0</v>
      </c>
      <c r="AE373" t="s">
        <v>80</v>
      </c>
      <c r="AF373" t="s">
        <v>107</v>
      </c>
      <c r="AG373" t="s">
        <v>82</v>
      </c>
      <c r="AH373" t="s">
        <v>83</v>
      </c>
      <c r="AI373" t="s">
        <v>121</v>
      </c>
      <c r="AJ373">
        <v>0.923240611124587</v>
      </c>
      <c r="AK373">
        <v>4.1927159984494002</v>
      </c>
      <c r="AL373">
        <v>2.25527783253141</v>
      </c>
      <c r="AM373">
        <v>0.25155645768317197</v>
      </c>
      <c r="AN373">
        <v>1.2942936517257999</v>
      </c>
      <c r="AO373">
        <v>4.4103008464132301E-2</v>
      </c>
      <c r="AP373">
        <v>4.4103008464132301E-2</v>
      </c>
      <c r="AQ373">
        <v>0</v>
      </c>
      <c r="AR373">
        <v>1</v>
      </c>
      <c r="AS373">
        <v>0</v>
      </c>
      <c r="AT373">
        <v>0</v>
      </c>
      <c r="AU373">
        <v>0</v>
      </c>
      <c r="AV373">
        <v>12</v>
      </c>
      <c r="AW373">
        <v>0</v>
      </c>
      <c r="AX373">
        <v>0</v>
      </c>
      <c r="AY373">
        <v>15.3</v>
      </c>
      <c r="AZ373">
        <v>9.8000000000000007</v>
      </c>
      <c r="BA373">
        <v>29.7</v>
      </c>
      <c r="BB373">
        <v>564</v>
      </c>
      <c r="BC373">
        <v>68</v>
      </c>
      <c r="BD373">
        <v>1.8</v>
      </c>
      <c r="BE373">
        <v>43</v>
      </c>
      <c r="BF373">
        <v>25.4</v>
      </c>
      <c r="BG373">
        <v>162</v>
      </c>
      <c r="BH373">
        <v>9.1</v>
      </c>
      <c r="BI373">
        <v>9.1999999999999993</v>
      </c>
      <c r="BJ373">
        <v>18.3</v>
      </c>
      <c r="BK373">
        <v>0.34</v>
      </c>
      <c r="BL373">
        <v>7.3</v>
      </c>
      <c r="BM373">
        <v>0.9</v>
      </c>
      <c r="BN373">
        <v>7.5</v>
      </c>
      <c r="BO373">
        <v>2.9</v>
      </c>
      <c r="BP373">
        <f t="shared" si="10"/>
        <v>8.82348565271122</v>
      </c>
      <c r="BQ373">
        <f t="shared" si="11"/>
        <v>28.226315966028622</v>
      </c>
    </row>
    <row r="374" spans="1:69" hidden="1" x14ac:dyDescent="0.2">
      <c r="A374" t="s">
        <v>1387</v>
      </c>
      <c r="B374" t="s">
        <v>68</v>
      </c>
      <c r="C374" t="s">
        <v>69</v>
      </c>
      <c r="D374" t="s">
        <v>70</v>
      </c>
      <c r="E374" t="s">
        <v>1306</v>
      </c>
      <c r="F374">
        <v>4</v>
      </c>
      <c r="G374">
        <v>63</v>
      </c>
      <c r="H374">
        <v>3</v>
      </c>
      <c r="I374">
        <v>2</v>
      </c>
      <c r="J374">
        <v>1</v>
      </c>
      <c r="K374" t="s">
        <v>110</v>
      </c>
      <c r="L374" t="s">
        <v>162</v>
      </c>
      <c r="M374" s="4">
        <v>340000000</v>
      </c>
      <c r="N374">
        <v>0</v>
      </c>
      <c r="O374">
        <v>4.7390046000000003</v>
      </c>
      <c r="P374">
        <v>-74.044889999999995</v>
      </c>
      <c r="Q374" t="s">
        <v>1388</v>
      </c>
      <c r="R374">
        <v>5396825.3969999999</v>
      </c>
      <c r="S374">
        <v>0</v>
      </c>
      <c r="T374" t="s">
        <v>117</v>
      </c>
      <c r="U374" t="s">
        <v>118</v>
      </c>
      <c r="V374" t="s">
        <v>77</v>
      </c>
      <c r="W374" t="s">
        <v>119</v>
      </c>
      <c r="X374" t="s">
        <v>120</v>
      </c>
      <c r="Y374">
        <v>2.7345634499425802</v>
      </c>
      <c r="Z374">
        <v>2734.5634499425801</v>
      </c>
      <c r="AA374">
        <v>4.73719444444444</v>
      </c>
      <c r="AB374">
        <v>-74.069472222222203</v>
      </c>
      <c r="AC374">
        <v>2555</v>
      </c>
      <c r="AD374">
        <v>0</v>
      </c>
      <c r="AE374" t="s">
        <v>80</v>
      </c>
      <c r="AF374" t="s">
        <v>107</v>
      </c>
      <c r="AG374" t="s">
        <v>82</v>
      </c>
      <c r="AH374" t="s">
        <v>83</v>
      </c>
      <c r="AI374" t="s">
        <v>108</v>
      </c>
      <c r="AJ374">
        <v>0.47158161534314402</v>
      </c>
      <c r="AK374">
        <v>2.6328201193359799</v>
      </c>
      <c r="AL374">
        <v>0.86877635425700295</v>
      </c>
      <c r="AM374">
        <v>0.238373210691844</v>
      </c>
      <c r="AN374">
        <v>2.0325498879126598</v>
      </c>
      <c r="AO374">
        <v>0.279892664708834</v>
      </c>
      <c r="AP374">
        <v>0.279892664708834</v>
      </c>
      <c r="AQ374">
        <v>1</v>
      </c>
      <c r="AR374">
        <v>3</v>
      </c>
      <c r="AS374">
        <v>0</v>
      </c>
      <c r="AT374">
        <v>0</v>
      </c>
      <c r="AU374">
        <v>1</v>
      </c>
      <c r="AV374">
        <v>29</v>
      </c>
      <c r="AW374">
        <v>0</v>
      </c>
      <c r="AX374">
        <v>0</v>
      </c>
      <c r="AY374">
        <v>15.3</v>
      </c>
      <c r="AZ374">
        <v>9.8000000000000007</v>
      </c>
      <c r="BA374">
        <v>29.7</v>
      </c>
      <c r="BB374">
        <v>564</v>
      </c>
      <c r="BC374">
        <v>68</v>
      </c>
      <c r="BD374">
        <v>1.8</v>
      </c>
      <c r="BE374">
        <v>43</v>
      </c>
      <c r="BF374">
        <v>25.4</v>
      </c>
      <c r="BG374">
        <v>162</v>
      </c>
      <c r="BH374">
        <v>9.1</v>
      </c>
      <c r="BI374">
        <v>9.1999999999999993</v>
      </c>
      <c r="BJ374">
        <v>18.3</v>
      </c>
      <c r="BK374">
        <v>0.34</v>
      </c>
      <c r="BL374">
        <v>7.3</v>
      </c>
      <c r="BM374">
        <v>0.9</v>
      </c>
      <c r="BN374">
        <v>7.5</v>
      </c>
      <c r="BO374">
        <v>2.9</v>
      </c>
      <c r="BP374">
        <f t="shared" si="10"/>
        <v>8.5593263951712419</v>
      </c>
      <c r="BQ374">
        <f t="shared" si="11"/>
        <v>27.813388987469189</v>
      </c>
    </row>
    <row r="375" spans="1:69" hidden="1" x14ac:dyDescent="0.2">
      <c r="A375" t="s">
        <v>1862</v>
      </c>
      <c r="B375" t="s">
        <v>68</v>
      </c>
      <c r="C375" t="s">
        <v>69</v>
      </c>
      <c r="D375" t="s">
        <v>70</v>
      </c>
      <c r="E375" t="s">
        <v>1752</v>
      </c>
      <c r="F375">
        <v>4</v>
      </c>
      <c r="G375">
        <v>62.89</v>
      </c>
      <c r="H375">
        <v>2</v>
      </c>
      <c r="I375">
        <v>2</v>
      </c>
      <c r="J375">
        <v>1</v>
      </c>
      <c r="K375" t="s">
        <v>72</v>
      </c>
      <c r="L375" t="s">
        <v>73</v>
      </c>
      <c r="M375" s="4">
        <v>811900000</v>
      </c>
      <c r="N375">
        <v>0</v>
      </c>
      <c r="O375">
        <v>4.7260323</v>
      </c>
      <c r="P375">
        <v>-74.050030000000007</v>
      </c>
      <c r="Q375" t="s">
        <v>1863</v>
      </c>
      <c r="R375">
        <v>12909842.58</v>
      </c>
      <c r="S375">
        <v>0</v>
      </c>
      <c r="T375" t="s">
        <v>117</v>
      </c>
      <c r="U375" t="s">
        <v>118</v>
      </c>
      <c r="V375" t="s">
        <v>77</v>
      </c>
      <c r="W375" t="s">
        <v>119</v>
      </c>
      <c r="X375" t="s">
        <v>120</v>
      </c>
      <c r="Y375">
        <v>2.48923283715119</v>
      </c>
      <c r="Z375">
        <v>2489.2328371511899</v>
      </c>
      <c r="AA375">
        <v>4.73719444444444</v>
      </c>
      <c r="AB375">
        <v>-74.069472222222203</v>
      </c>
      <c r="AC375">
        <v>2555</v>
      </c>
      <c r="AD375">
        <v>0</v>
      </c>
      <c r="AE375" t="s">
        <v>80</v>
      </c>
      <c r="AF375" t="s">
        <v>107</v>
      </c>
      <c r="AG375" t="s">
        <v>82</v>
      </c>
      <c r="AH375" t="s">
        <v>83</v>
      </c>
      <c r="AI375" t="s">
        <v>108</v>
      </c>
      <c r="AJ375">
        <v>0.104507746198367</v>
      </c>
      <c r="AK375">
        <v>3.0169697291412199</v>
      </c>
      <c r="AL375">
        <v>1.34789688577975</v>
      </c>
      <c r="AM375">
        <v>0.110540604597802</v>
      </c>
      <c r="AN375">
        <v>3.0997383633652502</v>
      </c>
      <c r="AO375">
        <v>0.11602629409213699</v>
      </c>
      <c r="AP375">
        <v>0.11602629409213699</v>
      </c>
      <c r="AQ375">
        <v>1</v>
      </c>
      <c r="AR375">
        <v>4</v>
      </c>
      <c r="AS375">
        <v>0</v>
      </c>
      <c r="AT375">
        <v>0</v>
      </c>
      <c r="AU375">
        <v>0</v>
      </c>
      <c r="AV375">
        <v>42</v>
      </c>
      <c r="AW375">
        <v>0</v>
      </c>
      <c r="AX375">
        <v>0</v>
      </c>
      <c r="AY375">
        <v>15.3</v>
      </c>
      <c r="AZ375">
        <v>9.8000000000000007</v>
      </c>
      <c r="BA375">
        <v>29.7</v>
      </c>
      <c r="BB375">
        <v>564</v>
      </c>
      <c r="BC375">
        <v>68</v>
      </c>
      <c r="BD375">
        <v>1.8</v>
      </c>
      <c r="BE375">
        <v>43</v>
      </c>
      <c r="BF375">
        <v>25.4</v>
      </c>
      <c r="BG375">
        <v>162</v>
      </c>
      <c r="BH375">
        <v>9.1</v>
      </c>
      <c r="BI375">
        <v>9.1999999999999993</v>
      </c>
      <c r="BJ375">
        <v>18.3</v>
      </c>
      <c r="BK375">
        <v>0.34</v>
      </c>
      <c r="BL375">
        <v>7.3</v>
      </c>
      <c r="BM375">
        <v>0.9</v>
      </c>
      <c r="BN375">
        <v>7.5</v>
      </c>
      <c r="BO375">
        <v>2.9</v>
      </c>
      <c r="BP375">
        <f t="shared" si="10"/>
        <v>8.6639034016071328</v>
      </c>
      <c r="BQ375">
        <f t="shared" si="11"/>
        <v>27.977635467578256</v>
      </c>
    </row>
    <row r="376" spans="1:69" hidden="1" x14ac:dyDescent="0.2">
      <c r="A376" t="s">
        <v>401</v>
      </c>
      <c r="B376" t="s">
        <v>68</v>
      </c>
      <c r="C376" t="s">
        <v>69</v>
      </c>
      <c r="D376" t="s">
        <v>70</v>
      </c>
      <c r="E376" t="s">
        <v>267</v>
      </c>
      <c r="F376">
        <v>4</v>
      </c>
      <c r="G376">
        <v>62.8</v>
      </c>
      <c r="H376">
        <v>3</v>
      </c>
      <c r="I376">
        <v>2</v>
      </c>
      <c r="J376">
        <v>1</v>
      </c>
      <c r="K376" t="s">
        <v>110</v>
      </c>
      <c r="L376" t="s">
        <v>111</v>
      </c>
      <c r="M376" s="4">
        <v>555000000</v>
      </c>
      <c r="N376">
        <v>0</v>
      </c>
      <c r="O376">
        <v>4.7761645320000001</v>
      </c>
      <c r="P376">
        <v>-74.048355099999995</v>
      </c>
      <c r="Q376" t="s">
        <v>402</v>
      </c>
      <c r="R376">
        <v>8837579.6180000007</v>
      </c>
      <c r="S376">
        <v>0</v>
      </c>
      <c r="T376" t="s">
        <v>151</v>
      </c>
      <c r="U376" t="s">
        <v>152</v>
      </c>
      <c r="V376" t="s">
        <v>77</v>
      </c>
      <c r="W376" t="s">
        <v>119</v>
      </c>
      <c r="X376" t="s">
        <v>153</v>
      </c>
      <c r="Y376">
        <v>0.96529036070602303</v>
      </c>
      <c r="Z376">
        <v>965.29036070602297</v>
      </c>
      <c r="AA376">
        <v>4.7837500000000004</v>
      </c>
      <c r="AB376">
        <v>-74.044138888888895</v>
      </c>
      <c r="AC376">
        <v>2580</v>
      </c>
      <c r="AD376">
        <v>0</v>
      </c>
      <c r="AE376" t="s">
        <v>154</v>
      </c>
      <c r="AF376" t="s">
        <v>107</v>
      </c>
      <c r="AG376" t="s">
        <v>82</v>
      </c>
      <c r="AH376" t="s">
        <v>83</v>
      </c>
      <c r="AI376" t="s">
        <v>121</v>
      </c>
      <c r="AJ376">
        <v>0.96961107970469196</v>
      </c>
      <c r="AK376">
        <v>2.9584622455460399</v>
      </c>
      <c r="AL376">
        <v>2.5821112313955799</v>
      </c>
      <c r="AM376">
        <v>0.50772592774554404</v>
      </c>
      <c r="AN376">
        <v>4.5156064599761603</v>
      </c>
      <c r="AO376">
        <v>0.28956529369416401</v>
      </c>
      <c r="AP376">
        <v>0.28956529369416401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1</v>
      </c>
      <c r="AW376">
        <v>0</v>
      </c>
      <c r="AX376">
        <v>0</v>
      </c>
      <c r="AY376">
        <v>15.3</v>
      </c>
      <c r="AZ376">
        <v>9.8000000000000007</v>
      </c>
      <c r="BA376">
        <v>29.7</v>
      </c>
      <c r="BB376">
        <v>564</v>
      </c>
      <c r="BC376">
        <v>68</v>
      </c>
      <c r="BD376">
        <v>1.8</v>
      </c>
      <c r="BE376">
        <v>43</v>
      </c>
      <c r="BF376">
        <v>25.4</v>
      </c>
      <c r="BG376">
        <v>162</v>
      </c>
      <c r="BH376">
        <v>9.1</v>
      </c>
      <c r="BI376">
        <v>9.1999999999999993</v>
      </c>
      <c r="BJ376">
        <v>18.3</v>
      </c>
      <c r="BK376">
        <v>0.34</v>
      </c>
      <c r="BL376">
        <v>7.3</v>
      </c>
      <c r="BM376">
        <v>0.9</v>
      </c>
      <c r="BN376">
        <v>7.5</v>
      </c>
      <c r="BO376">
        <v>2.9</v>
      </c>
      <c r="BP376">
        <f t="shared" si="10"/>
        <v>9.3427487982365705</v>
      </c>
      <c r="BQ376">
        <f t="shared" si="11"/>
        <v>29.019849958156154</v>
      </c>
    </row>
    <row r="377" spans="1:69" hidden="1" x14ac:dyDescent="0.2">
      <c r="A377" t="s">
        <v>544</v>
      </c>
      <c r="B377" t="s">
        <v>68</v>
      </c>
      <c r="C377" t="s">
        <v>69</v>
      </c>
      <c r="D377" t="s">
        <v>70</v>
      </c>
      <c r="E377" t="s">
        <v>545</v>
      </c>
      <c r="F377">
        <v>4</v>
      </c>
      <c r="G377">
        <v>62.04</v>
      </c>
      <c r="H377">
        <v>2</v>
      </c>
      <c r="I377">
        <v>2</v>
      </c>
      <c r="J377">
        <v>2</v>
      </c>
      <c r="K377" t="s">
        <v>110</v>
      </c>
      <c r="L377" t="s">
        <v>124</v>
      </c>
      <c r="M377" s="4">
        <v>560000000</v>
      </c>
      <c r="N377">
        <v>0</v>
      </c>
      <c r="O377">
        <v>4.7387921640000004</v>
      </c>
      <c r="P377">
        <v>-74.057488359999994</v>
      </c>
      <c r="Q377" t="s">
        <v>546</v>
      </c>
      <c r="R377">
        <v>9026434.5580000002</v>
      </c>
      <c r="S377">
        <v>0</v>
      </c>
      <c r="T377" t="s">
        <v>117</v>
      </c>
      <c r="U377" t="s">
        <v>118</v>
      </c>
      <c r="V377" t="s">
        <v>77</v>
      </c>
      <c r="W377" t="s">
        <v>119</v>
      </c>
      <c r="X377" t="s">
        <v>120</v>
      </c>
      <c r="Y377">
        <v>1.3413229071937001</v>
      </c>
      <c r="Z377">
        <v>1341.3229071937001</v>
      </c>
      <c r="AA377">
        <v>4.73719444444444</v>
      </c>
      <c r="AB377">
        <v>-74.069472222222203</v>
      </c>
      <c r="AC377">
        <v>2555</v>
      </c>
      <c r="AD377">
        <v>0</v>
      </c>
      <c r="AE377" t="s">
        <v>80</v>
      </c>
      <c r="AF377" t="s">
        <v>107</v>
      </c>
      <c r="AG377" t="s">
        <v>82</v>
      </c>
      <c r="AH377" t="s">
        <v>83</v>
      </c>
      <c r="AI377" t="s">
        <v>121</v>
      </c>
      <c r="AJ377">
        <v>1.02709756487527</v>
      </c>
      <c r="AK377">
        <v>3.9926796745159101</v>
      </c>
      <c r="AL377">
        <v>1.6713282492086501</v>
      </c>
      <c r="AM377">
        <v>9.8788087787938197E-2</v>
      </c>
      <c r="AN377">
        <v>3.0983572918610802</v>
      </c>
      <c r="AO377">
        <v>1.11427020762771E-2</v>
      </c>
      <c r="AP377">
        <v>1.11427020762771E-2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11</v>
      </c>
      <c r="AW377">
        <v>0</v>
      </c>
      <c r="AX377">
        <v>0</v>
      </c>
      <c r="AY377">
        <v>15.3</v>
      </c>
      <c r="AZ377">
        <v>9.8000000000000007</v>
      </c>
      <c r="BA377">
        <v>29.7</v>
      </c>
      <c r="BB377">
        <v>564</v>
      </c>
      <c r="BC377">
        <v>68</v>
      </c>
      <c r="BD377">
        <v>1.8</v>
      </c>
      <c r="BE377">
        <v>43</v>
      </c>
      <c r="BF377">
        <v>25.4</v>
      </c>
      <c r="BG377">
        <v>162</v>
      </c>
      <c r="BH377">
        <v>9.1</v>
      </c>
      <c r="BI377">
        <v>9.1999999999999993</v>
      </c>
      <c r="BJ377">
        <v>18.3</v>
      </c>
      <c r="BK377">
        <v>0.34</v>
      </c>
      <c r="BL377">
        <v>7.3</v>
      </c>
      <c r="BM377">
        <v>0.9</v>
      </c>
      <c r="BN377">
        <v>7.5</v>
      </c>
      <c r="BO377">
        <v>2.9</v>
      </c>
      <c r="BP377">
        <f t="shared" si="10"/>
        <v>9.1704549854410047</v>
      </c>
      <c r="BQ377">
        <f t="shared" si="11"/>
        <v>28.759130402294659</v>
      </c>
    </row>
    <row r="378" spans="1:69" hidden="1" x14ac:dyDescent="0.2">
      <c r="A378" t="s">
        <v>1697</v>
      </c>
      <c r="B378" t="s">
        <v>68</v>
      </c>
      <c r="C378" t="s">
        <v>69</v>
      </c>
      <c r="D378" t="s">
        <v>70</v>
      </c>
      <c r="E378" t="s">
        <v>1698</v>
      </c>
      <c r="F378">
        <v>4</v>
      </c>
      <c r="G378">
        <v>61.79</v>
      </c>
      <c r="H378">
        <v>2</v>
      </c>
      <c r="I378">
        <v>2</v>
      </c>
      <c r="J378">
        <v>1</v>
      </c>
      <c r="K378" t="s">
        <v>110</v>
      </c>
      <c r="L378" t="s">
        <v>162</v>
      </c>
      <c r="M378" s="4">
        <v>325000000</v>
      </c>
      <c r="N378">
        <v>0</v>
      </c>
      <c r="O378">
        <v>4.7678742410000003</v>
      </c>
      <c r="P378">
        <v>-74.045318600000002</v>
      </c>
      <c r="Q378" t="s">
        <v>1699</v>
      </c>
      <c r="R378">
        <v>5259750.7690000003</v>
      </c>
      <c r="S378">
        <v>0</v>
      </c>
      <c r="T378" t="s">
        <v>151</v>
      </c>
      <c r="U378" t="s">
        <v>152</v>
      </c>
      <c r="V378" t="s">
        <v>77</v>
      </c>
      <c r="W378" t="s">
        <v>119</v>
      </c>
      <c r="X378" t="s">
        <v>153</v>
      </c>
      <c r="Y378">
        <v>1.7721202672228999</v>
      </c>
      <c r="Z378">
        <v>1772.1202672229001</v>
      </c>
      <c r="AA378">
        <v>4.7837500000000004</v>
      </c>
      <c r="AB378">
        <v>-74.044138888888895</v>
      </c>
      <c r="AC378">
        <v>2580</v>
      </c>
      <c r="AD378">
        <v>0</v>
      </c>
      <c r="AE378" t="s">
        <v>154</v>
      </c>
      <c r="AF378" t="s">
        <v>107</v>
      </c>
      <c r="AG378" t="s">
        <v>82</v>
      </c>
      <c r="AH378" t="s">
        <v>83</v>
      </c>
      <c r="AI378" t="s">
        <v>121</v>
      </c>
      <c r="AJ378">
        <v>0.219927367507463</v>
      </c>
      <c r="AK378">
        <v>2.4822662369404198</v>
      </c>
      <c r="AL378">
        <v>1.84113138438178</v>
      </c>
      <c r="AM378">
        <v>0.50471805064644004</v>
      </c>
      <c r="AN378">
        <v>3.5661603101885802</v>
      </c>
      <c r="AO378">
        <v>0.158988383984172</v>
      </c>
      <c r="AP378">
        <v>0.158988383984172</v>
      </c>
      <c r="AQ378">
        <v>1</v>
      </c>
      <c r="AR378">
        <v>2</v>
      </c>
      <c r="AS378">
        <v>0</v>
      </c>
      <c r="AT378">
        <v>0</v>
      </c>
      <c r="AU378">
        <v>0</v>
      </c>
      <c r="AV378">
        <v>14</v>
      </c>
      <c r="AW378">
        <v>0</v>
      </c>
      <c r="AX378">
        <v>0</v>
      </c>
      <c r="AY378">
        <v>15.3</v>
      </c>
      <c r="AZ378">
        <v>9.8000000000000007</v>
      </c>
      <c r="BA378">
        <v>29.7</v>
      </c>
      <c r="BB378">
        <v>564</v>
      </c>
      <c r="BC378">
        <v>68</v>
      </c>
      <c r="BD378">
        <v>1.8</v>
      </c>
      <c r="BE378">
        <v>43</v>
      </c>
      <c r="BF378">
        <v>25.4</v>
      </c>
      <c r="BG378">
        <v>162</v>
      </c>
      <c r="BH378">
        <v>9.1</v>
      </c>
      <c r="BI378">
        <v>9.1999999999999993</v>
      </c>
      <c r="BJ378">
        <v>18.3</v>
      </c>
      <c r="BK378">
        <v>0.34</v>
      </c>
      <c r="BL378">
        <v>7.3</v>
      </c>
      <c r="BM378">
        <v>0.9</v>
      </c>
      <c r="BN378">
        <v>7.5</v>
      </c>
      <c r="BO378">
        <v>2.9</v>
      </c>
      <c r="BP378">
        <f t="shared" si="10"/>
        <v>8.976970211440884</v>
      </c>
      <c r="BQ378">
        <f t="shared" si="11"/>
        <v>28.463317682600152</v>
      </c>
    </row>
    <row r="379" spans="1:69" hidden="1" x14ac:dyDescent="0.2">
      <c r="A379" t="s">
        <v>139</v>
      </c>
      <c r="B379" t="s">
        <v>68</v>
      </c>
      <c r="C379" t="s">
        <v>69</v>
      </c>
      <c r="D379" t="s">
        <v>70</v>
      </c>
      <c r="E379" t="s">
        <v>140</v>
      </c>
      <c r="F379">
        <v>5</v>
      </c>
      <c r="G379">
        <v>61.22</v>
      </c>
      <c r="H379">
        <v>2</v>
      </c>
      <c r="I379">
        <v>2</v>
      </c>
      <c r="J379">
        <v>1</v>
      </c>
      <c r="K379" t="s">
        <v>110</v>
      </c>
      <c r="L379" t="s">
        <v>111</v>
      </c>
      <c r="M379" s="4">
        <v>520000000</v>
      </c>
      <c r="N379">
        <v>0</v>
      </c>
      <c r="O379">
        <v>4.7406854999999997</v>
      </c>
      <c r="P379">
        <v>-74.055430000000001</v>
      </c>
      <c r="Q379" t="s">
        <v>141</v>
      </c>
      <c r="R379">
        <v>8493956.2229999993</v>
      </c>
      <c r="S379">
        <v>0</v>
      </c>
      <c r="T379" t="s">
        <v>117</v>
      </c>
      <c r="U379" t="s">
        <v>118</v>
      </c>
      <c r="V379" t="s">
        <v>77</v>
      </c>
      <c r="W379" t="s">
        <v>119</v>
      </c>
      <c r="X379" t="s">
        <v>120</v>
      </c>
      <c r="Y379">
        <v>1.60557139567109</v>
      </c>
      <c r="Z379">
        <v>1605.5713956710899</v>
      </c>
      <c r="AA379">
        <v>4.73719444444444</v>
      </c>
      <c r="AB379">
        <v>-74.069472222222203</v>
      </c>
      <c r="AC379">
        <v>2555</v>
      </c>
      <c r="AD379">
        <v>0</v>
      </c>
      <c r="AE379" t="s">
        <v>80</v>
      </c>
      <c r="AF379" t="s">
        <v>107</v>
      </c>
      <c r="AG379" t="s">
        <v>82</v>
      </c>
      <c r="AH379" t="s">
        <v>83</v>
      </c>
      <c r="AI379" t="s">
        <v>121</v>
      </c>
      <c r="AJ379">
        <v>0.83486934524760104</v>
      </c>
      <c r="AK379">
        <v>3.8110359956991902</v>
      </c>
      <c r="AL379">
        <v>1.41878004583305</v>
      </c>
      <c r="AM379">
        <v>0.22324231015778501</v>
      </c>
      <c r="AN379">
        <v>3.1831556439680302</v>
      </c>
      <c r="AO379">
        <v>0.13446172554651201</v>
      </c>
      <c r="AP379">
        <v>0.13446172554651201</v>
      </c>
      <c r="AQ379">
        <v>0</v>
      </c>
      <c r="AR379">
        <v>2</v>
      </c>
      <c r="AS379">
        <v>0</v>
      </c>
      <c r="AT379">
        <v>0</v>
      </c>
      <c r="AU379">
        <v>0</v>
      </c>
      <c r="AV379">
        <v>15</v>
      </c>
      <c r="AW379">
        <v>0</v>
      </c>
      <c r="AX379">
        <v>0</v>
      </c>
      <c r="AY379">
        <v>15.3</v>
      </c>
      <c r="AZ379">
        <v>9.8000000000000007</v>
      </c>
      <c r="BA379">
        <v>29.7</v>
      </c>
      <c r="BB379">
        <v>564</v>
      </c>
      <c r="BC379">
        <v>68</v>
      </c>
      <c r="BD379">
        <v>1.8</v>
      </c>
      <c r="BE379">
        <v>43</v>
      </c>
      <c r="BF379">
        <v>25.4</v>
      </c>
      <c r="BG379">
        <v>162</v>
      </c>
      <c r="BH379">
        <v>9.1</v>
      </c>
      <c r="BI379">
        <v>9.1999999999999993</v>
      </c>
      <c r="BJ379">
        <v>18.3</v>
      </c>
      <c r="BK379">
        <v>0.34</v>
      </c>
      <c r="BL379">
        <v>7.3</v>
      </c>
      <c r="BM379">
        <v>0.9</v>
      </c>
      <c r="BN379">
        <v>7.5</v>
      </c>
      <c r="BO379">
        <v>2.9</v>
      </c>
      <c r="BP379">
        <f t="shared" si="10"/>
        <v>9.0512837781505855</v>
      </c>
      <c r="BQ379">
        <f t="shared" si="11"/>
        <v>28.577318173226953</v>
      </c>
    </row>
    <row r="380" spans="1:69" hidden="1" x14ac:dyDescent="0.2">
      <c r="A380" t="s">
        <v>511</v>
      </c>
      <c r="B380" t="s">
        <v>68</v>
      </c>
      <c r="C380" t="s">
        <v>69</v>
      </c>
      <c r="D380" t="s">
        <v>70</v>
      </c>
      <c r="E380" t="s">
        <v>174</v>
      </c>
      <c r="F380">
        <v>4</v>
      </c>
      <c r="G380">
        <v>61</v>
      </c>
      <c r="H380">
        <v>3</v>
      </c>
      <c r="I380">
        <v>2</v>
      </c>
      <c r="J380">
        <v>1</v>
      </c>
      <c r="K380" t="s">
        <v>110</v>
      </c>
      <c r="L380" t="s">
        <v>133</v>
      </c>
      <c r="M380" s="4">
        <v>610000000</v>
      </c>
      <c r="N380">
        <v>0</v>
      </c>
      <c r="O380">
        <v>4.7409587000000002</v>
      </c>
      <c r="P380">
        <v>-74.067824999999999</v>
      </c>
      <c r="Q380" t="s">
        <v>512</v>
      </c>
      <c r="R380">
        <v>10000000</v>
      </c>
      <c r="S380">
        <v>0</v>
      </c>
      <c r="T380" t="s">
        <v>117</v>
      </c>
      <c r="U380" t="s">
        <v>118</v>
      </c>
      <c r="V380" t="s">
        <v>77</v>
      </c>
      <c r="W380" t="s">
        <v>119</v>
      </c>
      <c r="X380" t="s">
        <v>120</v>
      </c>
      <c r="Y380">
        <v>0.45714837169843803</v>
      </c>
      <c r="Z380">
        <v>457.14837169843798</v>
      </c>
      <c r="AA380">
        <v>4.73719444444444</v>
      </c>
      <c r="AB380">
        <v>-74.069472222222203</v>
      </c>
      <c r="AC380">
        <v>2555</v>
      </c>
      <c r="AD380">
        <v>0</v>
      </c>
      <c r="AE380" t="s">
        <v>80</v>
      </c>
      <c r="AF380" t="s">
        <v>107</v>
      </c>
      <c r="AG380" t="s">
        <v>82</v>
      </c>
      <c r="AH380" t="s">
        <v>83</v>
      </c>
      <c r="AI380" t="s">
        <v>121</v>
      </c>
      <c r="AJ380">
        <v>1.5786842516519599</v>
      </c>
      <c r="AK380">
        <v>5.1628789563456197</v>
      </c>
      <c r="AL380">
        <v>2.0989098477356101</v>
      </c>
      <c r="AM380">
        <v>0.40696984049770601</v>
      </c>
      <c r="AN380">
        <v>1.9393907116692899</v>
      </c>
      <c r="AO380">
        <v>4.1814280695361701E-2</v>
      </c>
      <c r="AP380">
        <v>4.1814280695361701E-2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7</v>
      </c>
      <c r="AW380">
        <v>0</v>
      </c>
      <c r="AX380">
        <v>0</v>
      </c>
      <c r="AY380">
        <v>15.3</v>
      </c>
      <c r="AZ380">
        <v>9.8000000000000007</v>
      </c>
      <c r="BA380">
        <v>29.7</v>
      </c>
      <c r="BB380">
        <v>564</v>
      </c>
      <c r="BC380">
        <v>68</v>
      </c>
      <c r="BD380">
        <v>1.8</v>
      </c>
      <c r="BE380">
        <v>43</v>
      </c>
      <c r="BF380">
        <v>25.4</v>
      </c>
      <c r="BG380">
        <v>162</v>
      </c>
      <c r="BH380">
        <v>9.1</v>
      </c>
      <c r="BI380">
        <v>9.1999999999999993</v>
      </c>
      <c r="BJ380">
        <v>18.3</v>
      </c>
      <c r="BK380">
        <v>0.34</v>
      </c>
      <c r="BL380">
        <v>7.3</v>
      </c>
      <c r="BM380">
        <v>0.9</v>
      </c>
      <c r="BN380">
        <v>7.5</v>
      </c>
      <c r="BO380">
        <v>2.9</v>
      </c>
      <c r="BP380">
        <f t="shared" si="10"/>
        <v>9.5807276218739119</v>
      </c>
      <c r="BQ380">
        <f t="shared" si="11"/>
        <v>29.375925692027643</v>
      </c>
    </row>
    <row r="381" spans="1:69" hidden="1" x14ac:dyDescent="0.2">
      <c r="A381" t="s">
        <v>660</v>
      </c>
      <c r="B381" t="s">
        <v>68</v>
      </c>
      <c r="C381" t="s">
        <v>69</v>
      </c>
      <c r="D381" t="s">
        <v>70</v>
      </c>
      <c r="E381" t="s">
        <v>661</v>
      </c>
      <c r="F381">
        <v>4</v>
      </c>
      <c r="G381">
        <v>61</v>
      </c>
      <c r="H381">
        <v>3</v>
      </c>
      <c r="I381">
        <v>2</v>
      </c>
      <c r="J381">
        <v>1</v>
      </c>
      <c r="K381" t="s">
        <v>110</v>
      </c>
      <c r="L381" t="s">
        <v>162</v>
      </c>
      <c r="M381" s="4">
        <v>350000000</v>
      </c>
      <c r="N381">
        <v>0</v>
      </c>
      <c r="O381">
        <v>4.7469720000000004</v>
      </c>
      <c r="P381">
        <v>-74.063890000000001</v>
      </c>
      <c r="Q381" t="s">
        <v>662</v>
      </c>
      <c r="R381">
        <v>5737704.9179999996</v>
      </c>
      <c r="S381">
        <v>0</v>
      </c>
      <c r="T381" t="s">
        <v>117</v>
      </c>
      <c r="U381" t="s">
        <v>118</v>
      </c>
      <c r="V381" t="s">
        <v>77</v>
      </c>
      <c r="W381" t="s">
        <v>119</v>
      </c>
      <c r="X381" t="s">
        <v>120</v>
      </c>
      <c r="Y381">
        <v>1.2522766317046301</v>
      </c>
      <c r="Z381">
        <v>1252.2766317046301</v>
      </c>
      <c r="AA381">
        <v>4.73719444444444</v>
      </c>
      <c r="AB381">
        <v>-74.069472222222203</v>
      </c>
      <c r="AC381">
        <v>2555</v>
      </c>
      <c r="AD381">
        <v>0</v>
      </c>
      <c r="AE381" t="s">
        <v>80</v>
      </c>
      <c r="AF381" t="s">
        <v>107</v>
      </c>
      <c r="AG381" t="s">
        <v>82</v>
      </c>
      <c r="AH381" t="s">
        <v>83</v>
      </c>
      <c r="AI381" t="s">
        <v>121</v>
      </c>
      <c r="AJ381">
        <v>1.8463942425740101</v>
      </c>
      <c r="AK381">
        <v>4.7763187402043599</v>
      </c>
      <c r="AL381">
        <v>1.35191310032228</v>
      </c>
      <c r="AM381">
        <v>0.38922228643564399</v>
      </c>
      <c r="AN381">
        <v>2.45315330642415</v>
      </c>
      <c r="AO381">
        <v>0.13266746313852801</v>
      </c>
      <c r="AP381">
        <v>0.13266746313852801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16</v>
      </c>
      <c r="AW381">
        <v>0</v>
      </c>
      <c r="AX381">
        <v>0</v>
      </c>
      <c r="AY381">
        <v>15.3</v>
      </c>
      <c r="AZ381">
        <v>9.8000000000000007</v>
      </c>
      <c r="BA381">
        <v>29.7</v>
      </c>
      <c r="BB381">
        <v>564</v>
      </c>
      <c r="BC381">
        <v>68</v>
      </c>
      <c r="BD381">
        <v>1.8</v>
      </c>
      <c r="BE381">
        <v>43</v>
      </c>
      <c r="BF381">
        <v>25.4</v>
      </c>
      <c r="BG381">
        <v>162</v>
      </c>
      <c r="BH381">
        <v>9.1</v>
      </c>
      <c r="BI381">
        <v>9.1999999999999993</v>
      </c>
      <c r="BJ381">
        <v>18.3</v>
      </c>
      <c r="BK381">
        <v>0.34</v>
      </c>
      <c r="BL381">
        <v>7.3</v>
      </c>
      <c r="BM381">
        <v>0.9</v>
      </c>
      <c r="BN381">
        <v>7.5</v>
      </c>
      <c r="BO381">
        <v>2.9</v>
      </c>
      <c r="BP381">
        <f t="shared" si="10"/>
        <v>9.2109656467281216</v>
      </c>
      <c r="BQ381">
        <f t="shared" si="11"/>
        <v>28.820657566822408</v>
      </c>
    </row>
    <row r="382" spans="1:69" hidden="1" x14ac:dyDescent="0.2">
      <c r="A382" t="s">
        <v>3000</v>
      </c>
      <c r="B382" t="s">
        <v>68</v>
      </c>
      <c r="C382" t="s">
        <v>1956</v>
      </c>
      <c r="D382" t="s">
        <v>70</v>
      </c>
      <c r="E382" t="s">
        <v>121</v>
      </c>
      <c r="F382">
        <v>3</v>
      </c>
      <c r="G382">
        <v>61</v>
      </c>
      <c r="H382">
        <v>3</v>
      </c>
      <c r="I382">
        <v>2</v>
      </c>
      <c r="J382">
        <v>0</v>
      </c>
      <c r="K382" t="s">
        <v>110</v>
      </c>
      <c r="L382" t="s">
        <v>162</v>
      </c>
      <c r="M382" s="4">
        <v>235000000</v>
      </c>
      <c r="N382">
        <v>0</v>
      </c>
      <c r="O382">
        <v>4.7307600000000001</v>
      </c>
      <c r="P382">
        <v>-74.085949999999997</v>
      </c>
      <c r="Q382" t="s">
        <v>3001</v>
      </c>
      <c r="R382">
        <v>3852459.0159999998</v>
      </c>
      <c r="S382">
        <v>0</v>
      </c>
      <c r="T382" t="s">
        <v>117</v>
      </c>
      <c r="U382" t="s">
        <v>118</v>
      </c>
      <c r="V382" t="s">
        <v>77</v>
      </c>
      <c r="W382" t="s">
        <v>119</v>
      </c>
      <c r="X382" t="s">
        <v>120</v>
      </c>
      <c r="Y382">
        <v>1.9633612054362699</v>
      </c>
      <c r="Z382">
        <v>1963.36120543627</v>
      </c>
      <c r="AA382">
        <v>4.73719444444444</v>
      </c>
      <c r="AB382">
        <v>-74.069472222222203</v>
      </c>
      <c r="AC382">
        <v>2555</v>
      </c>
      <c r="AD382">
        <v>0</v>
      </c>
      <c r="AE382" t="s">
        <v>80</v>
      </c>
      <c r="AF382" t="s">
        <v>107</v>
      </c>
      <c r="AG382" t="s">
        <v>82</v>
      </c>
      <c r="AH382" t="s">
        <v>83</v>
      </c>
      <c r="AI382" t="s">
        <v>121</v>
      </c>
      <c r="AJ382">
        <v>0.76038805144350796</v>
      </c>
      <c r="AK382">
        <v>4.3232551920124802</v>
      </c>
      <c r="AL382">
        <v>2.22689493334458</v>
      </c>
      <c r="AM382">
        <v>0.16447988786342499</v>
      </c>
      <c r="AN382">
        <v>1.17951830488335</v>
      </c>
      <c r="AO382">
        <v>0.11116454089945201</v>
      </c>
      <c r="AP382">
        <v>0.11116454089945201</v>
      </c>
      <c r="AQ382">
        <v>0</v>
      </c>
      <c r="AR382">
        <v>2</v>
      </c>
      <c r="AS382">
        <v>0</v>
      </c>
      <c r="AT382">
        <v>0</v>
      </c>
      <c r="AU382">
        <v>0</v>
      </c>
      <c r="AV382">
        <v>21</v>
      </c>
      <c r="AW382">
        <v>0</v>
      </c>
      <c r="AX382">
        <v>0</v>
      </c>
      <c r="AY382">
        <v>15.3</v>
      </c>
      <c r="AZ382">
        <v>9.8000000000000007</v>
      </c>
      <c r="BA382">
        <v>29.7</v>
      </c>
      <c r="BB382">
        <v>564</v>
      </c>
      <c r="BC382">
        <v>68</v>
      </c>
      <c r="BD382">
        <v>1.8</v>
      </c>
      <c r="BE382">
        <v>43</v>
      </c>
      <c r="BF382">
        <v>25.4</v>
      </c>
      <c r="BG382">
        <v>162</v>
      </c>
      <c r="BH382">
        <v>9.1</v>
      </c>
      <c r="BI382">
        <v>9.1999999999999993</v>
      </c>
      <c r="BJ382">
        <v>18.3</v>
      </c>
      <c r="BK382">
        <v>0.34</v>
      </c>
      <c r="BL382">
        <v>7.3</v>
      </c>
      <c r="BM382">
        <v>0.9</v>
      </c>
      <c r="BN382">
        <v>7.5</v>
      </c>
      <c r="BO382">
        <v>2.9</v>
      </c>
      <c r="BP382">
        <f t="shared" si="10"/>
        <v>8.8923913446909939</v>
      </c>
      <c r="BQ382">
        <f t="shared" si="11"/>
        <v>28.332976592165199</v>
      </c>
    </row>
    <row r="383" spans="1:69" hidden="1" x14ac:dyDescent="0.2">
      <c r="A383" t="s">
        <v>613</v>
      </c>
      <c r="B383" t="s">
        <v>68</v>
      </c>
      <c r="C383" t="s">
        <v>69</v>
      </c>
      <c r="D383" t="s">
        <v>70</v>
      </c>
      <c r="E383" t="s">
        <v>277</v>
      </c>
      <c r="F383">
        <v>4</v>
      </c>
      <c r="G383">
        <v>60</v>
      </c>
      <c r="H383">
        <v>3</v>
      </c>
      <c r="I383">
        <v>2</v>
      </c>
      <c r="J383">
        <v>1</v>
      </c>
      <c r="K383" t="s">
        <v>110</v>
      </c>
      <c r="L383" t="s">
        <v>115</v>
      </c>
      <c r="M383" s="4">
        <v>450000000</v>
      </c>
      <c r="N383">
        <v>0</v>
      </c>
      <c r="O383">
        <v>4.7253608700000003</v>
      </c>
      <c r="P383">
        <v>-74.059112549999995</v>
      </c>
      <c r="Q383" t="s">
        <v>614</v>
      </c>
      <c r="R383">
        <v>7500000</v>
      </c>
      <c r="S383">
        <v>0</v>
      </c>
      <c r="T383" t="s">
        <v>117</v>
      </c>
      <c r="U383" t="s">
        <v>118</v>
      </c>
      <c r="V383" t="s">
        <v>77</v>
      </c>
      <c r="W383" t="s">
        <v>119</v>
      </c>
      <c r="X383" t="s">
        <v>120</v>
      </c>
      <c r="Y383">
        <v>1.74819856643515</v>
      </c>
      <c r="Z383">
        <v>1748.19856643515</v>
      </c>
      <c r="AA383">
        <v>4.73719444444444</v>
      </c>
      <c r="AB383">
        <v>-74.069472222222203</v>
      </c>
      <c r="AC383">
        <v>2555</v>
      </c>
      <c r="AD383">
        <v>0</v>
      </c>
      <c r="AE383" t="s">
        <v>80</v>
      </c>
      <c r="AF383" t="s">
        <v>107</v>
      </c>
      <c r="AG383" t="s">
        <v>82</v>
      </c>
      <c r="AH383" t="s">
        <v>83</v>
      </c>
      <c r="AI383" t="s">
        <v>121</v>
      </c>
      <c r="AJ383">
        <v>0.967350627147052</v>
      </c>
      <c r="AK383">
        <v>3.9913434883689098</v>
      </c>
      <c r="AL383">
        <v>1.6569123990122401</v>
      </c>
      <c r="AM383">
        <v>0.33531631448747001</v>
      </c>
      <c r="AN383">
        <v>3.4036384207219301</v>
      </c>
      <c r="AO383">
        <v>0.10699048293482</v>
      </c>
      <c r="AP383">
        <v>0.10699048293482</v>
      </c>
      <c r="AQ383">
        <v>0</v>
      </c>
      <c r="AR383">
        <v>2</v>
      </c>
      <c r="AS383">
        <v>0</v>
      </c>
      <c r="AT383">
        <v>0</v>
      </c>
      <c r="AU383">
        <v>0</v>
      </c>
      <c r="AV383">
        <v>18</v>
      </c>
      <c r="AW383">
        <v>0</v>
      </c>
      <c r="AX383">
        <v>0</v>
      </c>
      <c r="AY383">
        <v>15.3</v>
      </c>
      <c r="AZ383">
        <v>9.8000000000000007</v>
      </c>
      <c r="BA383">
        <v>29.7</v>
      </c>
      <c r="BB383">
        <v>564</v>
      </c>
      <c r="BC383">
        <v>68</v>
      </c>
      <c r="BD383">
        <v>1.8</v>
      </c>
      <c r="BE383">
        <v>43</v>
      </c>
      <c r="BF383">
        <v>25.4</v>
      </c>
      <c r="BG383">
        <v>162</v>
      </c>
      <c r="BH383">
        <v>9.1</v>
      </c>
      <c r="BI383">
        <v>9.1999999999999993</v>
      </c>
      <c r="BJ383">
        <v>18.3</v>
      </c>
      <c r="BK383">
        <v>0.34</v>
      </c>
      <c r="BL383">
        <v>7.3</v>
      </c>
      <c r="BM383">
        <v>0.9</v>
      </c>
      <c r="BN383">
        <v>7.5</v>
      </c>
      <c r="BO383">
        <v>2.9</v>
      </c>
      <c r="BP383">
        <f t="shared" si="10"/>
        <v>8.9876063550267862</v>
      </c>
      <c r="BQ383">
        <f t="shared" si="11"/>
        <v>28.479663757718896</v>
      </c>
    </row>
    <row r="384" spans="1:69" hidden="1" x14ac:dyDescent="0.2">
      <c r="A384" t="s">
        <v>148</v>
      </c>
      <c r="B384" t="s">
        <v>68</v>
      </c>
      <c r="C384" t="s">
        <v>69</v>
      </c>
      <c r="D384" t="s">
        <v>70</v>
      </c>
      <c r="E384" t="s">
        <v>149</v>
      </c>
      <c r="F384">
        <v>3</v>
      </c>
      <c r="G384">
        <v>60</v>
      </c>
      <c r="H384">
        <v>3</v>
      </c>
      <c r="I384">
        <v>2</v>
      </c>
      <c r="J384">
        <v>1</v>
      </c>
      <c r="K384" t="s">
        <v>110</v>
      </c>
      <c r="L384" t="s">
        <v>111</v>
      </c>
      <c r="M384" s="4">
        <v>419000000</v>
      </c>
      <c r="N384">
        <v>0</v>
      </c>
      <c r="O384">
        <v>4.7604502000000002</v>
      </c>
      <c r="P384">
        <v>-74.029292499999997</v>
      </c>
      <c r="Q384" t="s">
        <v>150</v>
      </c>
      <c r="R384">
        <v>6983333.3329999996</v>
      </c>
      <c r="S384">
        <v>0</v>
      </c>
      <c r="T384" t="s">
        <v>151</v>
      </c>
      <c r="U384" t="s">
        <v>152</v>
      </c>
      <c r="V384" t="s">
        <v>77</v>
      </c>
      <c r="W384" t="s">
        <v>119</v>
      </c>
      <c r="X384" t="s">
        <v>153</v>
      </c>
      <c r="Y384">
        <v>3.0724390081611199</v>
      </c>
      <c r="Z384">
        <v>3072.43900816112</v>
      </c>
      <c r="AA384">
        <v>4.7837500000000004</v>
      </c>
      <c r="AB384">
        <v>-74.044138888888895</v>
      </c>
      <c r="AC384">
        <v>2580</v>
      </c>
      <c r="AD384">
        <v>0</v>
      </c>
      <c r="AE384" t="s">
        <v>154</v>
      </c>
      <c r="AF384" t="s">
        <v>107</v>
      </c>
      <c r="AG384" t="s">
        <v>82</v>
      </c>
      <c r="AH384" t="s">
        <v>83</v>
      </c>
      <c r="AI384" t="s">
        <v>108</v>
      </c>
      <c r="AJ384">
        <v>1.7097887313476601</v>
      </c>
      <c r="AK384">
        <v>0.86086234884032697</v>
      </c>
      <c r="AL384">
        <v>1.05883188151751</v>
      </c>
      <c r="AM384">
        <v>0.26892262333745198</v>
      </c>
      <c r="AN384">
        <v>2.10927039130747</v>
      </c>
      <c r="AO384">
        <v>0.26782450332876301</v>
      </c>
      <c r="AP384">
        <v>0.26782450332876301</v>
      </c>
      <c r="AQ384">
        <v>0</v>
      </c>
      <c r="AR384">
        <v>0</v>
      </c>
      <c r="AS384">
        <v>0</v>
      </c>
      <c r="AT384">
        <v>20</v>
      </c>
      <c r="AU384">
        <v>0</v>
      </c>
      <c r="AV384">
        <v>5</v>
      </c>
      <c r="AW384">
        <v>0</v>
      </c>
      <c r="AX384">
        <v>0</v>
      </c>
      <c r="AY384">
        <v>15.3</v>
      </c>
      <c r="AZ384">
        <v>9.8000000000000007</v>
      </c>
      <c r="BA384">
        <v>29.7</v>
      </c>
      <c r="BB384">
        <v>564</v>
      </c>
      <c r="BC384">
        <v>68</v>
      </c>
      <c r="BD384">
        <v>1.8</v>
      </c>
      <c r="BE384">
        <v>43</v>
      </c>
      <c r="BF384">
        <v>25.4</v>
      </c>
      <c r="BG384">
        <v>162</v>
      </c>
      <c r="BH384">
        <v>9.1</v>
      </c>
      <c r="BI384">
        <v>9.1999999999999993</v>
      </c>
      <c r="BJ384">
        <v>18.3</v>
      </c>
      <c r="BK384">
        <v>0.34</v>
      </c>
      <c r="BL384">
        <v>7.3</v>
      </c>
      <c r="BM384">
        <v>0.9</v>
      </c>
      <c r="BN384">
        <v>7.5</v>
      </c>
      <c r="BO384">
        <v>2.9</v>
      </c>
      <c r="BP384">
        <f t="shared" si="10"/>
        <v>8.4173634921479366</v>
      </c>
      <c r="BQ384">
        <f t="shared" si="11"/>
        <v>27.588761826757271</v>
      </c>
    </row>
    <row r="385" spans="1:69" hidden="1" x14ac:dyDescent="0.2">
      <c r="A385" t="s">
        <v>927</v>
      </c>
      <c r="B385" t="s">
        <v>68</v>
      </c>
      <c r="C385" t="s">
        <v>69</v>
      </c>
      <c r="D385" t="s">
        <v>70</v>
      </c>
      <c r="E385" t="s">
        <v>928</v>
      </c>
      <c r="F385">
        <v>4</v>
      </c>
      <c r="G385">
        <v>60</v>
      </c>
      <c r="H385">
        <v>2</v>
      </c>
      <c r="I385">
        <v>2</v>
      </c>
      <c r="J385">
        <v>1</v>
      </c>
      <c r="K385" t="s">
        <v>110</v>
      </c>
      <c r="L385" t="s">
        <v>162</v>
      </c>
      <c r="M385" s="4">
        <v>390000000</v>
      </c>
      <c r="N385">
        <v>0</v>
      </c>
      <c r="O385">
        <v>4.7326689999999996</v>
      </c>
      <c r="P385">
        <v>-74.053470000000004</v>
      </c>
      <c r="Q385" t="s">
        <v>929</v>
      </c>
      <c r="R385">
        <v>6500000</v>
      </c>
      <c r="S385">
        <v>0</v>
      </c>
      <c r="T385" t="s">
        <v>117</v>
      </c>
      <c r="U385" t="s">
        <v>118</v>
      </c>
      <c r="V385" t="s">
        <v>77</v>
      </c>
      <c r="W385" t="s">
        <v>119</v>
      </c>
      <c r="X385" t="s">
        <v>120</v>
      </c>
      <c r="Y385">
        <v>1.84537342159693</v>
      </c>
      <c r="Z385">
        <v>1845.37342159693</v>
      </c>
      <c r="AA385">
        <v>4.73719444444444</v>
      </c>
      <c r="AB385">
        <v>-74.069472222222203</v>
      </c>
      <c r="AC385">
        <v>2555</v>
      </c>
      <c r="AD385">
        <v>0</v>
      </c>
      <c r="AE385" t="s">
        <v>80</v>
      </c>
      <c r="AF385" t="s">
        <v>107</v>
      </c>
      <c r="AG385" t="s">
        <v>82</v>
      </c>
      <c r="AH385" t="s">
        <v>83</v>
      </c>
      <c r="AI385" t="s">
        <v>121</v>
      </c>
      <c r="AJ385">
        <v>0.450736584758752</v>
      </c>
      <c r="AK385">
        <v>3.4895767829312301</v>
      </c>
      <c r="AL385">
        <v>1.49669676106771</v>
      </c>
      <c r="AM385">
        <v>0.290912202887673</v>
      </c>
      <c r="AN385">
        <v>3.1222765982343601</v>
      </c>
      <c r="AO385">
        <v>7.20392882584708E-3</v>
      </c>
      <c r="AP385">
        <v>7.20392882584708E-3</v>
      </c>
      <c r="AQ385">
        <v>1</v>
      </c>
      <c r="AR385">
        <v>3</v>
      </c>
      <c r="AS385">
        <v>0</v>
      </c>
      <c r="AT385">
        <v>0</v>
      </c>
      <c r="AU385">
        <v>0</v>
      </c>
      <c r="AV385">
        <v>16</v>
      </c>
      <c r="AW385">
        <v>0</v>
      </c>
      <c r="AX385">
        <v>0</v>
      </c>
      <c r="AY385">
        <v>15.3</v>
      </c>
      <c r="AZ385">
        <v>9.8000000000000007</v>
      </c>
      <c r="BA385">
        <v>29.7</v>
      </c>
      <c r="BB385">
        <v>564</v>
      </c>
      <c r="BC385">
        <v>68</v>
      </c>
      <c r="BD385">
        <v>1.8</v>
      </c>
      <c r="BE385">
        <v>43</v>
      </c>
      <c r="BF385">
        <v>25.4</v>
      </c>
      <c r="BG385">
        <v>162</v>
      </c>
      <c r="BH385">
        <v>9.1</v>
      </c>
      <c r="BI385">
        <v>9.1999999999999993</v>
      </c>
      <c r="BJ385">
        <v>18.3</v>
      </c>
      <c r="BK385">
        <v>0.34</v>
      </c>
      <c r="BL385">
        <v>7.3</v>
      </c>
      <c r="BM385">
        <v>0.9</v>
      </c>
      <c r="BN385">
        <v>7.5</v>
      </c>
      <c r="BO385">
        <v>2.9</v>
      </c>
      <c r="BP385">
        <f t="shared" si="10"/>
        <v>8.9444783816914928</v>
      </c>
      <c r="BQ385">
        <f t="shared" si="11"/>
        <v>28.41332097717352</v>
      </c>
    </row>
    <row r="386" spans="1:69" hidden="1" x14ac:dyDescent="0.2">
      <c r="A386" t="s">
        <v>1421</v>
      </c>
      <c r="B386" t="s">
        <v>68</v>
      </c>
      <c r="C386" t="s">
        <v>69</v>
      </c>
      <c r="D386" t="s">
        <v>70</v>
      </c>
      <c r="E386" t="s">
        <v>184</v>
      </c>
      <c r="F386">
        <v>3</v>
      </c>
      <c r="G386">
        <v>60</v>
      </c>
      <c r="H386">
        <v>3</v>
      </c>
      <c r="I386">
        <v>2</v>
      </c>
      <c r="J386">
        <v>0</v>
      </c>
      <c r="K386" t="s">
        <v>110</v>
      </c>
      <c r="L386" t="s">
        <v>124</v>
      </c>
      <c r="M386" s="4">
        <v>334000000</v>
      </c>
      <c r="N386">
        <v>0</v>
      </c>
      <c r="O386">
        <v>4.7515528529999997</v>
      </c>
      <c r="P386">
        <v>-74.057262919999999</v>
      </c>
      <c r="Q386" t="s">
        <v>1422</v>
      </c>
      <c r="R386">
        <v>5566666.6670000004</v>
      </c>
      <c r="S386">
        <v>0</v>
      </c>
      <c r="T386" t="s">
        <v>117</v>
      </c>
      <c r="U386" t="s">
        <v>118</v>
      </c>
      <c r="V386" t="s">
        <v>77</v>
      </c>
      <c r="W386" t="s">
        <v>119</v>
      </c>
      <c r="X386" t="s">
        <v>120</v>
      </c>
      <c r="Y386">
        <v>2.09508838182354</v>
      </c>
      <c r="Z386">
        <v>2095.0883818235402</v>
      </c>
      <c r="AA386">
        <v>4.73719444444444</v>
      </c>
      <c r="AB386">
        <v>-74.069472222222203</v>
      </c>
      <c r="AC386">
        <v>2555</v>
      </c>
      <c r="AD386">
        <v>0</v>
      </c>
      <c r="AE386" t="s">
        <v>80</v>
      </c>
      <c r="AF386" t="s">
        <v>107</v>
      </c>
      <c r="AG386" t="s">
        <v>82</v>
      </c>
      <c r="AH386" t="s">
        <v>83</v>
      </c>
      <c r="AI386" t="s">
        <v>121</v>
      </c>
      <c r="AJ386">
        <v>1.25821344078652</v>
      </c>
      <c r="AK386">
        <v>3.9566572563237701</v>
      </c>
      <c r="AL386">
        <v>0.46322003280162499</v>
      </c>
      <c r="AM386">
        <v>0.17988501901595499</v>
      </c>
      <c r="AN386">
        <v>3.3054540183125201</v>
      </c>
      <c r="AO386">
        <v>0.14300163075528599</v>
      </c>
      <c r="AP386">
        <v>0.14300163075528599</v>
      </c>
      <c r="AQ386">
        <v>0</v>
      </c>
      <c r="AR386">
        <v>0</v>
      </c>
      <c r="AS386">
        <v>0</v>
      </c>
      <c r="AT386">
        <v>0</v>
      </c>
      <c r="AU386">
        <v>1</v>
      </c>
      <c r="AV386">
        <v>15</v>
      </c>
      <c r="AW386">
        <v>0</v>
      </c>
      <c r="AX386">
        <v>1</v>
      </c>
      <c r="AY386">
        <v>15.3</v>
      </c>
      <c r="AZ386">
        <v>9.8000000000000007</v>
      </c>
      <c r="BA386">
        <v>29.7</v>
      </c>
      <c r="BB386">
        <v>564</v>
      </c>
      <c r="BC386">
        <v>68</v>
      </c>
      <c r="BD386">
        <v>1.8</v>
      </c>
      <c r="BE386">
        <v>43</v>
      </c>
      <c r="BF386">
        <v>25.4</v>
      </c>
      <c r="BG386">
        <v>162</v>
      </c>
      <c r="BH386">
        <v>9.1</v>
      </c>
      <c r="BI386">
        <v>9.1999999999999993</v>
      </c>
      <c r="BJ386">
        <v>18.3</v>
      </c>
      <c r="BK386">
        <v>0.34</v>
      </c>
      <c r="BL386">
        <v>7.3</v>
      </c>
      <c r="BM386">
        <v>0.9</v>
      </c>
      <c r="BN386">
        <v>7.5</v>
      </c>
      <c r="BO386">
        <v>2.9</v>
      </c>
      <c r="BP386">
        <f t="shared" ref="BP386:BP449" si="12">+AZ386*EXP(-0.0495*Y386)</f>
        <v>8.8345971773990701</v>
      </c>
      <c r="BQ386">
        <f t="shared" ref="BQ386:BQ449" si="13">+BA386*EXP(-0.024*Y386)</f>
        <v>28.243544681885936</v>
      </c>
    </row>
    <row r="387" spans="1:69" hidden="1" x14ac:dyDescent="0.2">
      <c r="A387" t="s">
        <v>1159</v>
      </c>
      <c r="B387" t="s">
        <v>68</v>
      </c>
      <c r="C387" t="s">
        <v>69</v>
      </c>
      <c r="D387" t="s">
        <v>70</v>
      </c>
      <c r="E387" t="s">
        <v>1160</v>
      </c>
      <c r="F387">
        <v>5</v>
      </c>
      <c r="G387">
        <v>59.45</v>
      </c>
      <c r="H387">
        <v>3</v>
      </c>
      <c r="I387">
        <v>2</v>
      </c>
      <c r="J387">
        <v>1</v>
      </c>
      <c r="K387" t="s">
        <v>110</v>
      </c>
      <c r="L387" t="s">
        <v>162</v>
      </c>
      <c r="M387" s="4">
        <v>400000000</v>
      </c>
      <c r="N387">
        <v>0</v>
      </c>
      <c r="O387">
        <v>4.7306618690000004</v>
      </c>
      <c r="P387">
        <v>-74.064567569999994</v>
      </c>
      <c r="Q387" t="s">
        <v>1161</v>
      </c>
      <c r="R387">
        <v>6728343.1459999997</v>
      </c>
      <c r="S387">
        <v>0</v>
      </c>
      <c r="T387" t="s">
        <v>117</v>
      </c>
      <c r="U387" t="s">
        <v>118</v>
      </c>
      <c r="V387" t="s">
        <v>77</v>
      </c>
      <c r="W387" t="s">
        <v>119</v>
      </c>
      <c r="X387" t="s">
        <v>120</v>
      </c>
      <c r="Y387">
        <v>0.90823547802808202</v>
      </c>
      <c r="Z387">
        <v>908.23547802808196</v>
      </c>
      <c r="AA387">
        <v>4.73719444444444</v>
      </c>
      <c r="AB387">
        <v>-74.069472222222203</v>
      </c>
      <c r="AC387">
        <v>2555</v>
      </c>
      <c r="AD387">
        <v>0</v>
      </c>
      <c r="AE387" t="s">
        <v>80</v>
      </c>
      <c r="AF387" t="s">
        <v>107</v>
      </c>
      <c r="AG387" t="s">
        <v>82</v>
      </c>
      <c r="AH387" t="s">
        <v>83</v>
      </c>
      <c r="AI387" t="s">
        <v>121</v>
      </c>
      <c r="AJ387">
        <v>1.18043396738387</v>
      </c>
      <c r="AK387">
        <v>4.7050339113512898</v>
      </c>
      <c r="AL387">
        <v>1.7046790361592199</v>
      </c>
      <c r="AM387">
        <v>0.23477985747296601</v>
      </c>
      <c r="AN387">
        <v>2.5887230480484398</v>
      </c>
      <c r="AO387">
        <v>2.8441186525626799E-2</v>
      </c>
      <c r="AP387">
        <v>2.8441186525626799E-2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18</v>
      </c>
      <c r="AW387">
        <v>0</v>
      </c>
      <c r="AX387">
        <v>0</v>
      </c>
      <c r="AY387">
        <v>15.3</v>
      </c>
      <c r="AZ387">
        <v>9.8000000000000007</v>
      </c>
      <c r="BA387">
        <v>29.7</v>
      </c>
      <c r="BB387">
        <v>564</v>
      </c>
      <c r="BC387">
        <v>68</v>
      </c>
      <c r="BD387">
        <v>1.8</v>
      </c>
      <c r="BE387">
        <v>43</v>
      </c>
      <c r="BF387">
        <v>25.4</v>
      </c>
      <c r="BG387">
        <v>162</v>
      </c>
      <c r="BH387">
        <v>9.1</v>
      </c>
      <c r="BI387">
        <v>9.1999999999999993</v>
      </c>
      <c r="BJ387">
        <v>18.3</v>
      </c>
      <c r="BK387">
        <v>0.34</v>
      </c>
      <c r="BL387">
        <v>7.3</v>
      </c>
      <c r="BM387">
        <v>0.9</v>
      </c>
      <c r="BN387">
        <v>7.5</v>
      </c>
      <c r="BO387">
        <v>2.9</v>
      </c>
      <c r="BP387">
        <f t="shared" si="12"/>
        <v>9.3691720402644449</v>
      </c>
      <c r="BQ387">
        <f t="shared" si="13"/>
        <v>29.059614556349313</v>
      </c>
    </row>
    <row r="388" spans="1:69" hidden="1" x14ac:dyDescent="0.2">
      <c r="A388" t="s">
        <v>1787</v>
      </c>
      <c r="B388" t="s">
        <v>68</v>
      </c>
      <c r="C388" t="s">
        <v>69</v>
      </c>
      <c r="D388" t="s">
        <v>70</v>
      </c>
      <c r="E388" t="s">
        <v>140</v>
      </c>
      <c r="F388">
        <v>3</v>
      </c>
      <c r="G388">
        <v>59</v>
      </c>
      <c r="H388">
        <v>3</v>
      </c>
      <c r="I388">
        <v>2</v>
      </c>
      <c r="J388">
        <v>1</v>
      </c>
      <c r="K388" t="s">
        <v>110</v>
      </c>
      <c r="L388" t="s">
        <v>124</v>
      </c>
      <c r="M388" s="4">
        <v>433000000</v>
      </c>
      <c r="N388">
        <v>0</v>
      </c>
      <c r="O388">
        <v>4.7413163190000001</v>
      </c>
      <c r="P388">
        <v>-74.057518009999995</v>
      </c>
      <c r="Q388" t="s">
        <v>1788</v>
      </c>
      <c r="R388">
        <v>7338983.051</v>
      </c>
      <c r="S388">
        <v>0</v>
      </c>
      <c r="T388" t="s">
        <v>117</v>
      </c>
      <c r="U388" t="s">
        <v>118</v>
      </c>
      <c r="V388" t="s">
        <v>77</v>
      </c>
      <c r="W388" t="s">
        <v>119</v>
      </c>
      <c r="X388" t="s">
        <v>120</v>
      </c>
      <c r="Y388">
        <v>1.4033213440718999</v>
      </c>
      <c r="Z388">
        <v>1403.3213440719001</v>
      </c>
      <c r="AA388">
        <v>4.73719444444444</v>
      </c>
      <c r="AB388">
        <v>-74.069472222222203</v>
      </c>
      <c r="AC388">
        <v>2555</v>
      </c>
      <c r="AD388">
        <v>0</v>
      </c>
      <c r="AE388" t="s">
        <v>80</v>
      </c>
      <c r="AF388" t="s">
        <v>107</v>
      </c>
      <c r="AG388" t="s">
        <v>82</v>
      </c>
      <c r="AH388" t="s">
        <v>83</v>
      </c>
      <c r="AI388" t="s">
        <v>121</v>
      </c>
      <c r="AJ388">
        <v>1.0573067601671</v>
      </c>
      <c r="AK388">
        <v>4.0524204256817598</v>
      </c>
      <c r="AL388">
        <v>1.40528982097299</v>
      </c>
      <c r="AM388">
        <v>0.30030273337540198</v>
      </c>
      <c r="AN388">
        <v>3.0815071142651198</v>
      </c>
      <c r="AO388">
        <v>2.31631681787942E-2</v>
      </c>
      <c r="AP388">
        <v>2.31631681787942E-2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11</v>
      </c>
      <c r="AW388">
        <v>0</v>
      </c>
      <c r="AX388">
        <v>0</v>
      </c>
      <c r="AY388">
        <v>15.3</v>
      </c>
      <c r="AZ388">
        <v>9.8000000000000007</v>
      </c>
      <c r="BA388">
        <v>29.7</v>
      </c>
      <c r="BB388">
        <v>564</v>
      </c>
      <c r="BC388">
        <v>68</v>
      </c>
      <c r="BD388">
        <v>1.8</v>
      </c>
      <c r="BE388">
        <v>43</v>
      </c>
      <c r="BF388">
        <v>25.4</v>
      </c>
      <c r="BG388">
        <v>162</v>
      </c>
      <c r="BH388">
        <v>9.1</v>
      </c>
      <c r="BI388">
        <v>9.1999999999999993</v>
      </c>
      <c r="BJ388">
        <v>18.3</v>
      </c>
      <c r="BK388">
        <v>0.34</v>
      </c>
      <c r="BL388">
        <v>7.3</v>
      </c>
      <c r="BM388">
        <v>0.9</v>
      </c>
      <c r="BN388">
        <v>7.5</v>
      </c>
      <c r="BO388">
        <v>2.9</v>
      </c>
      <c r="BP388">
        <f t="shared" si="12"/>
        <v>9.1423547094913449</v>
      </c>
      <c r="BQ388">
        <f t="shared" si="13"/>
        <v>28.716369716190453</v>
      </c>
    </row>
    <row r="389" spans="1:69" hidden="1" x14ac:dyDescent="0.2">
      <c r="A389" t="s">
        <v>155</v>
      </c>
      <c r="B389" t="s">
        <v>68</v>
      </c>
      <c r="C389" t="s">
        <v>69</v>
      </c>
      <c r="D389" t="s">
        <v>70</v>
      </c>
      <c r="E389" t="s">
        <v>156</v>
      </c>
      <c r="F389">
        <v>3</v>
      </c>
      <c r="G389">
        <v>59</v>
      </c>
      <c r="H389">
        <v>2</v>
      </c>
      <c r="I389">
        <v>2</v>
      </c>
      <c r="J389">
        <v>1</v>
      </c>
      <c r="K389" t="s">
        <v>110</v>
      </c>
      <c r="L389" t="s">
        <v>111</v>
      </c>
      <c r="M389" s="4">
        <v>385000000</v>
      </c>
      <c r="N389">
        <v>0</v>
      </c>
      <c r="O389">
        <v>4.7629349999999997</v>
      </c>
      <c r="P389">
        <v>-74.029071999999999</v>
      </c>
      <c r="Q389" t="s">
        <v>157</v>
      </c>
      <c r="R389">
        <v>6525423.7290000003</v>
      </c>
      <c r="S389">
        <v>0</v>
      </c>
      <c r="T389" t="s">
        <v>151</v>
      </c>
      <c r="U389" t="s">
        <v>152</v>
      </c>
      <c r="V389" t="s">
        <v>77</v>
      </c>
      <c r="W389" t="s">
        <v>119</v>
      </c>
      <c r="X389" t="s">
        <v>153</v>
      </c>
      <c r="Y389">
        <v>2.85703896856741</v>
      </c>
      <c r="Z389">
        <v>2857.0389685674099</v>
      </c>
      <c r="AA389">
        <v>4.7837500000000004</v>
      </c>
      <c r="AB389">
        <v>-74.044138888888895</v>
      </c>
      <c r="AC389">
        <v>2580</v>
      </c>
      <c r="AD389">
        <v>0</v>
      </c>
      <c r="AE389" t="s">
        <v>154</v>
      </c>
      <c r="AF389" t="s">
        <v>107</v>
      </c>
      <c r="AG389" t="s">
        <v>82</v>
      </c>
      <c r="AH389" t="s">
        <v>83</v>
      </c>
      <c r="AI389" t="s">
        <v>108</v>
      </c>
      <c r="AJ389">
        <v>1.70479232774987</v>
      </c>
      <c r="AK389">
        <v>0.74397525041034696</v>
      </c>
      <c r="AL389">
        <v>1.3342699217149601</v>
      </c>
      <c r="AM389">
        <v>1.27721936378329E-2</v>
      </c>
      <c r="AN389">
        <v>2.37886706533852</v>
      </c>
      <c r="AO389">
        <v>7.5070334429215898E-3</v>
      </c>
      <c r="AP389">
        <v>7.5070334429215898E-3</v>
      </c>
      <c r="AQ389">
        <v>0</v>
      </c>
      <c r="AR389">
        <v>0</v>
      </c>
      <c r="AS389">
        <v>0</v>
      </c>
      <c r="AT389">
        <v>12</v>
      </c>
      <c r="AU389">
        <v>0</v>
      </c>
      <c r="AV389">
        <v>6</v>
      </c>
      <c r="AW389">
        <v>0</v>
      </c>
      <c r="AX389">
        <v>0</v>
      </c>
      <c r="AY389">
        <v>15.3</v>
      </c>
      <c r="AZ389">
        <v>9.8000000000000007</v>
      </c>
      <c r="BA389">
        <v>29.7</v>
      </c>
      <c r="BB389">
        <v>564</v>
      </c>
      <c r="BC389">
        <v>68</v>
      </c>
      <c r="BD389">
        <v>1.8</v>
      </c>
      <c r="BE389">
        <v>43</v>
      </c>
      <c r="BF389">
        <v>25.4</v>
      </c>
      <c r="BG389">
        <v>162</v>
      </c>
      <c r="BH389">
        <v>9.1</v>
      </c>
      <c r="BI389">
        <v>9.1999999999999993</v>
      </c>
      <c r="BJ389">
        <v>18.3</v>
      </c>
      <c r="BK389">
        <v>0.34</v>
      </c>
      <c r="BL389">
        <v>7.3</v>
      </c>
      <c r="BM389">
        <v>0.9</v>
      </c>
      <c r="BN389">
        <v>7.5</v>
      </c>
      <c r="BO389">
        <v>2.9</v>
      </c>
      <c r="BP389">
        <f t="shared" si="12"/>
        <v>8.50759213110479</v>
      </c>
      <c r="BQ389">
        <f t="shared" si="13"/>
        <v>27.731754003907845</v>
      </c>
    </row>
    <row r="390" spans="1:69" hidden="1" x14ac:dyDescent="0.2">
      <c r="A390" t="s">
        <v>969</v>
      </c>
      <c r="B390" t="s">
        <v>68</v>
      </c>
      <c r="C390" t="s">
        <v>69</v>
      </c>
      <c r="D390" t="s">
        <v>70</v>
      </c>
      <c r="E390" t="s">
        <v>970</v>
      </c>
      <c r="F390">
        <v>4</v>
      </c>
      <c r="G390">
        <v>59</v>
      </c>
      <c r="H390">
        <v>3</v>
      </c>
      <c r="I390">
        <v>2</v>
      </c>
      <c r="J390">
        <v>1</v>
      </c>
      <c r="K390" t="s">
        <v>110</v>
      </c>
      <c r="L390" t="s">
        <v>133</v>
      </c>
      <c r="M390" s="4">
        <v>340000000</v>
      </c>
      <c r="N390">
        <v>0</v>
      </c>
      <c r="O390">
        <v>4.7503886</v>
      </c>
      <c r="P390">
        <v>-74.081370000000007</v>
      </c>
      <c r="Q390" t="s">
        <v>971</v>
      </c>
      <c r="R390">
        <v>5762711.8640000001</v>
      </c>
      <c r="S390">
        <v>0</v>
      </c>
      <c r="T390" t="s">
        <v>119</v>
      </c>
      <c r="U390" t="s">
        <v>787</v>
      </c>
      <c r="V390" t="s">
        <v>77</v>
      </c>
      <c r="W390" t="s">
        <v>119</v>
      </c>
      <c r="X390" t="s">
        <v>788</v>
      </c>
      <c r="Y390">
        <v>1.8056409318593201</v>
      </c>
      <c r="Z390">
        <v>1805.6409318593201</v>
      </c>
      <c r="AA390">
        <v>4.7612472222222202</v>
      </c>
      <c r="AB390">
        <v>-74.093461111111097</v>
      </c>
      <c r="AC390">
        <v>2571</v>
      </c>
      <c r="AD390">
        <v>6</v>
      </c>
      <c r="AE390" t="s">
        <v>154</v>
      </c>
      <c r="AF390" t="s">
        <v>107</v>
      </c>
      <c r="AG390" t="s">
        <v>82</v>
      </c>
      <c r="AH390" t="s">
        <v>83</v>
      </c>
      <c r="AI390" t="s">
        <v>121</v>
      </c>
      <c r="AJ390">
        <v>1.3851833774159701</v>
      </c>
      <c r="AK390">
        <v>3.7935764793566502</v>
      </c>
      <c r="AL390">
        <v>3.1074020923172698</v>
      </c>
      <c r="AM390">
        <v>0.39350431495030602</v>
      </c>
      <c r="AN390">
        <v>1.0838229188013699</v>
      </c>
      <c r="AO390">
        <v>0.11425693811050699</v>
      </c>
      <c r="AP390">
        <v>0.11425693811050699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7</v>
      </c>
      <c r="AW390">
        <v>0</v>
      </c>
      <c r="AX390">
        <v>0</v>
      </c>
      <c r="AY390">
        <v>15.3</v>
      </c>
      <c r="AZ390">
        <v>9.8000000000000007</v>
      </c>
      <c r="BA390">
        <v>29.7</v>
      </c>
      <c r="BB390">
        <v>564</v>
      </c>
      <c r="BC390">
        <v>68</v>
      </c>
      <c r="BD390">
        <v>1.8</v>
      </c>
      <c r="BE390">
        <v>43</v>
      </c>
      <c r="BF390">
        <v>25.4</v>
      </c>
      <c r="BG390">
        <v>162</v>
      </c>
      <c r="BH390">
        <v>9.1</v>
      </c>
      <c r="BI390">
        <v>9.1999999999999993</v>
      </c>
      <c r="BJ390">
        <v>18.3</v>
      </c>
      <c r="BK390">
        <v>0.34</v>
      </c>
      <c r="BL390">
        <v>7.3</v>
      </c>
      <c r="BM390">
        <v>0.9</v>
      </c>
      <c r="BN390">
        <v>7.5</v>
      </c>
      <c r="BO390">
        <v>2.9</v>
      </c>
      <c r="BP390">
        <f t="shared" si="12"/>
        <v>8.962087318854179</v>
      </c>
      <c r="BQ390">
        <f t="shared" si="13"/>
        <v>28.440428267220206</v>
      </c>
    </row>
    <row r="391" spans="1:69" hidden="1" x14ac:dyDescent="0.2">
      <c r="A391" t="s">
        <v>3404</v>
      </c>
      <c r="B391" t="s">
        <v>68</v>
      </c>
      <c r="C391" t="s">
        <v>3294</v>
      </c>
      <c r="D391" t="s">
        <v>70</v>
      </c>
      <c r="E391" t="s">
        <v>3405</v>
      </c>
      <c r="F391">
        <v>6</v>
      </c>
      <c r="G391">
        <v>58</v>
      </c>
      <c r="H391">
        <v>1</v>
      </c>
      <c r="I391">
        <v>2</v>
      </c>
      <c r="J391">
        <v>1</v>
      </c>
      <c r="K391" t="s">
        <v>110</v>
      </c>
      <c r="L391" t="s">
        <v>124</v>
      </c>
      <c r="M391" s="4">
        <v>410000000</v>
      </c>
      <c r="N391">
        <v>0</v>
      </c>
      <c r="O391">
        <v>4.7134</v>
      </c>
      <c r="P391">
        <v>-74.089230000000001</v>
      </c>
      <c r="Q391" t="s">
        <v>3406</v>
      </c>
      <c r="R391">
        <v>7068965.517</v>
      </c>
      <c r="S391">
        <v>0</v>
      </c>
      <c r="T391" t="s">
        <v>117</v>
      </c>
      <c r="U391" t="s">
        <v>118</v>
      </c>
      <c r="V391" t="s">
        <v>77</v>
      </c>
      <c r="W391" t="s">
        <v>119</v>
      </c>
      <c r="X391" t="s">
        <v>120</v>
      </c>
      <c r="Y391">
        <v>3.4381259047030102</v>
      </c>
      <c r="Z391">
        <v>3438.1259047030098</v>
      </c>
      <c r="AA391">
        <v>4.73719444444444</v>
      </c>
      <c r="AB391">
        <v>-74.069472222222203</v>
      </c>
      <c r="AC391">
        <v>2555</v>
      </c>
      <c r="AD391">
        <v>0</v>
      </c>
      <c r="AE391" t="s">
        <v>80</v>
      </c>
      <c r="AF391" t="s">
        <v>107</v>
      </c>
      <c r="AG391" t="s">
        <v>82</v>
      </c>
      <c r="AH391" t="s">
        <v>83</v>
      </c>
      <c r="AI391" t="s">
        <v>121</v>
      </c>
      <c r="AJ391">
        <v>1.72027938896185</v>
      </c>
      <c r="AK391">
        <v>4.2587390013365702</v>
      </c>
      <c r="AL391">
        <v>1.3298445349067201</v>
      </c>
      <c r="AM391">
        <v>0.72316548149699</v>
      </c>
      <c r="AN391">
        <v>2.9839416128601801</v>
      </c>
      <c r="AO391">
        <v>0.41672877561411797</v>
      </c>
      <c r="AP391">
        <v>0.41672877561411797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2</v>
      </c>
      <c r="AW391">
        <v>0</v>
      </c>
      <c r="AX391">
        <v>0</v>
      </c>
      <c r="AY391">
        <v>15.3</v>
      </c>
      <c r="AZ391">
        <v>9.8000000000000007</v>
      </c>
      <c r="BA391">
        <v>29.7</v>
      </c>
      <c r="BB391">
        <v>564</v>
      </c>
      <c r="BC391">
        <v>68</v>
      </c>
      <c r="BD391">
        <v>1.8</v>
      </c>
      <c r="BE391">
        <v>43</v>
      </c>
      <c r="BF391">
        <v>25.4</v>
      </c>
      <c r="BG391">
        <v>162</v>
      </c>
      <c r="BH391">
        <v>9.1</v>
      </c>
      <c r="BI391">
        <v>9.1999999999999993</v>
      </c>
      <c r="BJ391">
        <v>18.3</v>
      </c>
      <c r="BK391">
        <v>0.34</v>
      </c>
      <c r="BL391">
        <v>7.3</v>
      </c>
      <c r="BM391">
        <v>0.9</v>
      </c>
      <c r="BN391">
        <v>7.5</v>
      </c>
      <c r="BO391">
        <v>2.9</v>
      </c>
      <c r="BP391">
        <f t="shared" si="12"/>
        <v>8.2663673269178553</v>
      </c>
      <c r="BQ391">
        <f t="shared" si="13"/>
        <v>27.347688892131295</v>
      </c>
    </row>
    <row r="392" spans="1:69" hidden="1" x14ac:dyDescent="0.2">
      <c r="A392" t="s">
        <v>4192</v>
      </c>
      <c r="B392" t="s">
        <v>68</v>
      </c>
      <c r="C392" t="s">
        <v>3294</v>
      </c>
      <c r="D392" t="s">
        <v>70</v>
      </c>
      <c r="E392" t="s">
        <v>679</v>
      </c>
      <c r="F392">
        <v>6</v>
      </c>
      <c r="G392">
        <v>58</v>
      </c>
      <c r="H392">
        <v>1</v>
      </c>
      <c r="I392">
        <v>2</v>
      </c>
      <c r="J392">
        <v>1</v>
      </c>
      <c r="K392" t="s">
        <v>110</v>
      </c>
      <c r="L392" t="s">
        <v>133</v>
      </c>
      <c r="M392" s="4">
        <v>410000000</v>
      </c>
      <c r="N392">
        <v>0</v>
      </c>
      <c r="O392">
        <v>4.7135777470000004</v>
      </c>
      <c r="P392">
        <v>-74.088577270000002</v>
      </c>
      <c r="Q392" t="s">
        <v>4193</v>
      </c>
      <c r="R392">
        <v>7068965.517</v>
      </c>
      <c r="S392">
        <v>0</v>
      </c>
      <c r="T392" t="s">
        <v>117</v>
      </c>
      <c r="U392" t="s">
        <v>118</v>
      </c>
      <c r="V392" t="s">
        <v>77</v>
      </c>
      <c r="W392" t="s">
        <v>119</v>
      </c>
      <c r="X392" t="s">
        <v>120</v>
      </c>
      <c r="Y392">
        <v>3.3769903914034098</v>
      </c>
      <c r="Z392">
        <v>3376.9903914034098</v>
      </c>
      <c r="AA392">
        <v>4.73719444444444</v>
      </c>
      <c r="AB392">
        <v>-74.069472222222203</v>
      </c>
      <c r="AC392">
        <v>2555</v>
      </c>
      <c r="AD392">
        <v>0</v>
      </c>
      <c r="AE392" t="s">
        <v>80</v>
      </c>
      <c r="AF392" t="s">
        <v>107</v>
      </c>
      <c r="AG392" t="s">
        <v>82</v>
      </c>
      <c r="AH392" t="s">
        <v>83</v>
      </c>
      <c r="AI392" t="s">
        <v>121</v>
      </c>
      <c r="AJ392">
        <v>1.75659236260079</v>
      </c>
      <c r="AK392">
        <v>4.3213659124531203</v>
      </c>
      <c r="AL392">
        <v>1.3552660412259301</v>
      </c>
      <c r="AM392">
        <v>0.79594529752069498</v>
      </c>
      <c r="AN392">
        <v>3.0375778369204598</v>
      </c>
      <c r="AO392">
        <v>0.394001584479439</v>
      </c>
      <c r="AP392">
        <v>0.394001584479439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1</v>
      </c>
      <c r="AW392">
        <v>0</v>
      </c>
      <c r="AX392">
        <v>0</v>
      </c>
      <c r="AY392">
        <v>15.3</v>
      </c>
      <c r="AZ392">
        <v>9.8000000000000007</v>
      </c>
      <c r="BA392">
        <v>29.7</v>
      </c>
      <c r="BB392">
        <v>564</v>
      </c>
      <c r="BC392">
        <v>68</v>
      </c>
      <c r="BD392">
        <v>1.8</v>
      </c>
      <c r="BE392">
        <v>43</v>
      </c>
      <c r="BF392">
        <v>25.4</v>
      </c>
      <c r="BG392">
        <v>162</v>
      </c>
      <c r="BH392">
        <v>9.1</v>
      </c>
      <c r="BI392">
        <v>9.1999999999999993</v>
      </c>
      <c r="BJ392">
        <v>18.3</v>
      </c>
      <c r="BK392">
        <v>0.34</v>
      </c>
      <c r="BL392">
        <v>7.3</v>
      </c>
      <c r="BM392">
        <v>0.9</v>
      </c>
      <c r="BN392">
        <v>7.5</v>
      </c>
      <c r="BO392">
        <v>2.9</v>
      </c>
      <c r="BP392">
        <f t="shared" si="12"/>
        <v>8.291420962731193</v>
      </c>
      <c r="BQ392">
        <f t="shared" si="13"/>
        <v>27.387844303939342</v>
      </c>
    </row>
    <row r="393" spans="1:69" hidden="1" x14ac:dyDescent="0.2">
      <c r="A393" t="s">
        <v>906</v>
      </c>
      <c r="B393" t="s">
        <v>68</v>
      </c>
      <c r="C393" t="s">
        <v>69</v>
      </c>
      <c r="D393" t="s">
        <v>70</v>
      </c>
      <c r="E393" t="s">
        <v>219</v>
      </c>
      <c r="F393">
        <v>3</v>
      </c>
      <c r="G393">
        <v>57.37</v>
      </c>
      <c r="H393">
        <v>3</v>
      </c>
      <c r="I393">
        <v>2</v>
      </c>
      <c r="J393">
        <v>1</v>
      </c>
      <c r="K393" t="s">
        <v>110</v>
      </c>
      <c r="L393" t="s">
        <v>133</v>
      </c>
      <c r="M393" s="4">
        <v>310000000</v>
      </c>
      <c r="N393">
        <v>0</v>
      </c>
      <c r="O393">
        <v>4.7562131880000003</v>
      </c>
      <c r="P393">
        <v>-74.093818659999997</v>
      </c>
      <c r="Q393" t="s">
        <v>907</v>
      </c>
      <c r="R393">
        <v>5403521.0039999997</v>
      </c>
      <c r="S393">
        <v>0</v>
      </c>
      <c r="T393" t="s">
        <v>119</v>
      </c>
      <c r="U393" t="s">
        <v>787</v>
      </c>
      <c r="V393" t="s">
        <v>77</v>
      </c>
      <c r="W393" t="s">
        <v>119</v>
      </c>
      <c r="X393" t="s">
        <v>788</v>
      </c>
      <c r="Y393">
        <v>0.56178814451966097</v>
      </c>
      <c r="Z393">
        <v>561.78814451966105</v>
      </c>
      <c r="AA393">
        <v>4.7612472222222202</v>
      </c>
      <c r="AB393">
        <v>-74.093461111111097</v>
      </c>
      <c r="AC393">
        <v>2571</v>
      </c>
      <c r="AD393">
        <v>6</v>
      </c>
      <c r="AE393" t="s">
        <v>154</v>
      </c>
      <c r="AF393" t="s">
        <v>107</v>
      </c>
      <c r="AG393" t="s">
        <v>82</v>
      </c>
      <c r="AH393" t="s">
        <v>83</v>
      </c>
      <c r="AI393" t="s">
        <v>121</v>
      </c>
      <c r="AJ393">
        <v>1.03987220887647</v>
      </c>
      <c r="AK393">
        <v>2.28296034023063</v>
      </c>
      <c r="AL393">
        <v>4.4809485081178</v>
      </c>
      <c r="AM393">
        <v>0.14377236652689801</v>
      </c>
      <c r="AN393">
        <v>1.88801845139587</v>
      </c>
      <c r="AO393">
        <v>0.28798512608738702</v>
      </c>
      <c r="AP393">
        <v>0.28798512608738702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10</v>
      </c>
      <c r="AW393">
        <v>0</v>
      </c>
      <c r="AX393">
        <v>0</v>
      </c>
      <c r="AY393">
        <v>15.3</v>
      </c>
      <c r="AZ393">
        <v>9.8000000000000007</v>
      </c>
      <c r="BA393">
        <v>29.7</v>
      </c>
      <c r="BB393">
        <v>564</v>
      </c>
      <c r="BC393">
        <v>68</v>
      </c>
      <c r="BD393">
        <v>1.8</v>
      </c>
      <c r="BE393">
        <v>43</v>
      </c>
      <c r="BF393">
        <v>25.4</v>
      </c>
      <c r="BG393">
        <v>162</v>
      </c>
      <c r="BH393">
        <v>9.1</v>
      </c>
      <c r="BI393">
        <v>9.1999999999999993</v>
      </c>
      <c r="BJ393">
        <v>18.3</v>
      </c>
      <c r="BK393">
        <v>0.34</v>
      </c>
      <c r="BL393">
        <v>7.3</v>
      </c>
      <c r="BM393">
        <v>0.9</v>
      </c>
      <c r="BN393">
        <v>7.5</v>
      </c>
      <c r="BO393">
        <v>2.9</v>
      </c>
      <c r="BP393">
        <f t="shared" si="12"/>
        <v>9.5312309252725562</v>
      </c>
      <c r="BQ393">
        <f t="shared" si="13"/>
        <v>29.302244885486886</v>
      </c>
    </row>
    <row r="394" spans="1:69" hidden="1" x14ac:dyDescent="0.2">
      <c r="A394" t="s">
        <v>489</v>
      </c>
      <c r="B394" t="s">
        <v>68</v>
      </c>
      <c r="C394" t="s">
        <v>69</v>
      </c>
      <c r="D394" t="s">
        <v>70</v>
      </c>
      <c r="E394" t="s">
        <v>277</v>
      </c>
      <c r="F394">
        <v>3</v>
      </c>
      <c r="G394">
        <v>57.35</v>
      </c>
      <c r="H394">
        <v>3</v>
      </c>
      <c r="I394">
        <v>2</v>
      </c>
      <c r="J394">
        <v>1</v>
      </c>
      <c r="K394" t="s">
        <v>110</v>
      </c>
      <c r="L394" t="s">
        <v>162</v>
      </c>
      <c r="M394" s="4">
        <v>330000000</v>
      </c>
      <c r="N394">
        <v>0</v>
      </c>
      <c r="O394">
        <v>4.7217712399999998</v>
      </c>
      <c r="P394">
        <v>-74.053047179999993</v>
      </c>
      <c r="Q394" t="s">
        <v>490</v>
      </c>
      <c r="R394">
        <v>5754141.2379999999</v>
      </c>
      <c r="S394">
        <v>0</v>
      </c>
      <c r="T394" t="s">
        <v>117</v>
      </c>
      <c r="U394" t="s">
        <v>118</v>
      </c>
      <c r="V394" t="s">
        <v>77</v>
      </c>
      <c r="W394" t="s">
        <v>119</v>
      </c>
      <c r="X394" t="s">
        <v>120</v>
      </c>
      <c r="Y394">
        <v>2.50363253467633</v>
      </c>
      <c r="Z394">
        <v>2503.6325346763301</v>
      </c>
      <c r="AA394">
        <v>4.73719444444444</v>
      </c>
      <c r="AB394">
        <v>-74.069472222222203</v>
      </c>
      <c r="AC394">
        <v>2555</v>
      </c>
      <c r="AD394">
        <v>0</v>
      </c>
      <c r="AE394" t="s">
        <v>80</v>
      </c>
      <c r="AF394" t="s">
        <v>107</v>
      </c>
      <c r="AG394" t="s">
        <v>82</v>
      </c>
      <c r="AH394" t="s">
        <v>83</v>
      </c>
      <c r="AI394" t="s">
        <v>121</v>
      </c>
      <c r="AJ394">
        <v>0.18865455931424099</v>
      </c>
      <c r="AK394">
        <v>3.27786634312847</v>
      </c>
      <c r="AL394">
        <v>1.89991540293508</v>
      </c>
      <c r="AM394">
        <v>0.22515192730698699</v>
      </c>
      <c r="AN394">
        <v>3.64472599163153</v>
      </c>
      <c r="AO394">
        <v>0.108760116591058</v>
      </c>
      <c r="AP394">
        <v>0.108760116591058</v>
      </c>
      <c r="AQ394">
        <v>1</v>
      </c>
      <c r="AR394">
        <v>3</v>
      </c>
      <c r="AS394">
        <v>0</v>
      </c>
      <c r="AT394">
        <v>0</v>
      </c>
      <c r="AU394">
        <v>0</v>
      </c>
      <c r="AV394">
        <v>37</v>
      </c>
      <c r="AW394">
        <v>0</v>
      </c>
      <c r="AX394">
        <v>0</v>
      </c>
      <c r="AY394">
        <v>15.3</v>
      </c>
      <c r="AZ394">
        <v>9.8000000000000007</v>
      </c>
      <c r="BA394">
        <v>29.7</v>
      </c>
      <c r="BB394">
        <v>564</v>
      </c>
      <c r="BC394">
        <v>68</v>
      </c>
      <c r="BD394">
        <v>1.8</v>
      </c>
      <c r="BE394">
        <v>43</v>
      </c>
      <c r="BF394">
        <v>25.4</v>
      </c>
      <c r="BG394">
        <v>162</v>
      </c>
      <c r="BH394">
        <v>9.1</v>
      </c>
      <c r="BI394">
        <v>9.1999999999999993</v>
      </c>
      <c r="BJ394">
        <v>18.3</v>
      </c>
      <c r="BK394">
        <v>0.34</v>
      </c>
      <c r="BL394">
        <v>7.3</v>
      </c>
      <c r="BM394">
        <v>0.9</v>
      </c>
      <c r="BN394">
        <v>7.5</v>
      </c>
      <c r="BO394">
        <v>2.9</v>
      </c>
      <c r="BP394">
        <f t="shared" si="12"/>
        <v>8.657730101362171</v>
      </c>
      <c r="BQ394">
        <f t="shared" si="13"/>
        <v>27.967968270414211</v>
      </c>
    </row>
    <row r="395" spans="1:69" hidden="1" x14ac:dyDescent="0.2">
      <c r="A395" t="s">
        <v>446</v>
      </c>
      <c r="B395" t="s">
        <v>68</v>
      </c>
      <c r="C395" t="s">
        <v>69</v>
      </c>
      <c r="D395" t="s">
        <v>70</v>
      </c>
      <c r="E395" t="s">
        <v>184</v>
      </c>
      <c r="F395">
        <v>3</v>
      </c>
      <c r="G395">
        <v>57.1</v>
      </c>
      <c r="H395">
        <v>2</v>
      </c>
      <c r="I395">
        <v>2</v>
      </c>
      <c r="J395">
        <v>1</v>
      </c>
      <c r="K395" t="s">
        <v>110</v>
      </c>
      <c r="L395" t="s">
        <v>133</v>
      </c>
      <c r="M395" s="4">
        <v>390000000</v>
      </c>
      <c r="N395">
        <v>0</v>
      </c>
      <c r="O395">
        <v>4.7461490629999998</v>
      </c>
      <c r="P395">
        <v>-74.058074950000005</v>
      </c>
      <c r="Q395" t="s">
        <v>447</v>
      </c>
      <c r="R395">
        <v>6830122.5920000002</v>
      </c>
      <c r="S395">
        <v>0</v>
      </c>
      <c r="T395" t="s">
        <v>117</v>
      </c>
      <c r="U395" t="s">
        <v>118</v>
      </c>
      <c r="V395" t="s">
        <v>77</v>
      </c>
      <c r="W395" t="s">
        <v>119</v>
      </c>
      <c r="X395" t="s">
        <v>120</v>
      </c>
      <c r="Y395">
        <v>1.6100792816041001</v>
      </c>
      <c r="Z395">
        <v>1610.0792816041001</v>
      </c>
      <c r="AA395">
        <v>4.73719444444444</v>
      </c>
      <c r="AB395">
        <v>-74.069472222222203</v>
      </c>
      <c r="AC395">
        <v>2555</v>
      </c>
      <c r="AD395">
        <v>0</v>
      </c>
      <c r="AE395" t="s">
        <v>80</v>
      </c>
      <c r="AF395" t="s">
        <v>107</v>
      </c>
      <c r="AG395" t="s">
        <v>82</v>
      </c>
      <c r="AH395" t="s">
        <v>83</v>
      </c>
      <c r="AI395" t="s">
        <v>121</v>
      </c>
      <c r="AJ395">
        <v>1.1996343126992299</v>
      </c>
      <c r="AK395">
        <v>4.17752562416785</v>
      </c>
      <c r="AL395">
        <v>0.94614282944586303</v>
      </c>
      <c r="AM395">
        <v>0.32912923501288899</v>
      </c>
      <c r="AN395">
        <v>3.06473638136071</v>
      </c>
      <c r="AO395">
        <v>0.109729911888269</v>
      </c>
      <c r="AP395">
        <v>0.109729911888269</v>
      </c>
      <c r="AQ395">
        <v>0</v>
      </c>
      <c r="AR395">
        <v>0</v>
      </c>
      <c r="AS395">
        <v>0</v>
      </c>
      <c r="AT395">
        <v>0</v>
      </c>
      <c r="AU395">
        <v>1</v>
      </c>
      <c r="AV395">
        <v>17</v>
      </c>
      <c r="AW395">
        <v>0</v>
      </c>
      <c r="AX395">
        <v>0</v>
      </c>
      <c r="AY395">
        <v>15.3</v>
      </c>
      <c r="AZ395">
        <v>9.8000000000000007</v>
      </c>
      <c r="BA395">
        <v>29.7</v>
      </c>
      <c r="BB395">
        <v>564</v>
      </c>
      <c r="BC395">
        <v>68</v>
      </c>
      <c r="BD395">
        <v>1.8</v>
      </c>
      <c r="BE395">
        <v>43</v>
      </c>
      <c r="BF395">
        <v>25.4</v>
      </c>
      <c r="BG395">
        <v>162</v>
      </c>
      <c r="BH395">
        <v>9.1</v>
      </c>
      <c r="BI395">
        <v>9.1999999999999993</v>
      </c>
      <c r="BJ395">
        <v>18.3</v>
      </c>
      <c r="BK395">
        <v>0.34</v>
      </c>
      <c r="BL395">
        <v>7.3</v>
      </c>
      <c r="BM395">
        <v>0.9</v>
      </c>
      <c r="BN395">
        <v>7.5</v>
      </c>
      <c r="BO395">
        <v>2.9</v>
      </c>
      <c r="BP395">
        <f t="shared" si="12"/>
        <v>9.0492642968093051</v>
      </c>
      <c r="BQ395">
        <f t="shared" si="13"/>
        <v>28.574226581494173</v>
      </c>
    </row>
    <row r="396" spans="1:69" hidden="1" x14ac:dyDescent="0.2">
      <c r="A396" t="s">
        <v>1926</v>
      </c>
      <c r="B396" t="s">
        <v>68</v>
      </c>
      <c r="C396" t="s">
        <v>69</v>
      </c>
      <c r="D396" t="s">
        <v>70</v>
      </c>
      <c r="E396" t="s">
        <v>1927</v>
      </c>
      <c r="F396">
        <v>3</v>
      </c>
      <c r="G396">
        <v>56</v>
      </c>
      <c r="H396">
        <v>2</v>
      </c>
      <c r="I396">
        <v>1</v>
      </c>
      <c r="J396">
        <v>1</v>
      </c>
      <c r="K396" t="s">
        <v>110</v>
      </c>
      <c r="L396" t="s">
        <v>162</v>
      </c>
      <c r="M396" s="4">
        <v>235000000</v>
      </c>
      <c r="N396">
        <v>0</v>
      </c>
      <c r="O396">
        <v>4.7364587780000003</v>
      </c>
      <c r="P396">
        <v>-74.089111329999994</v>
      </c>
      <c r="Q396" t="s">
        <v>1928</v>
      </c>
      <c r="R396">
        <v>4196428.5710000005</v>
      </c>
      <c r="S396">
        <v>0</v>
      </c>
      <c r="T396" t="s">
        <v>117</v>
      </c>
      <c r="U396" t="s">
        <v>118</v>
      </c>
      <c r="V396" t="s">
        <v>77</v>
      </c>
      <c r="W396" t="s">
        <v>119</v>
      </c>
      <c r="X396" t="s">
        <v>120</v>
      </c>
      <c r="Y396">
        <v>2.1802870500563798</v>
      </c>
      <c r="Z396">
        <v>2180.2870500563799</v>
      </c>
      <c r="AA396">
        <v>4.73719444444444</v>
      </c>
      <c r="AB396">
        <v>-74.069472222222203</v>
      </c>
      <c r="AC396">
        <v>2555</v>
      </c>
      <c r="AD396">
        <v>0</v>
      </c>
      <c r="AE396" t="s">
        <v>80</v>
      </c>
      <c r="AF396" t="s">
        <v>107</v>
      </c>
      <c r="AG396" t="s">
        <v>82</v>
      </c>
      <c r="AH396" t="s">
        <v>83</v>
      </c>
      <c r="AI396" t="s">
        <v>121</v>
      </c>
      <c r="AJ396">
        <v>0.36082470245794901</v>
      </c>
      <c r="AK396">
        <v>3.84053021876348</v>
      </c>
      <c r="AL396">
        <v>2.9230419434442498</v>
      </c>
      <c r="AM396">
        <v>0.21970973853911099</v>
      </c>
      <c r="AN396">
        <v>0.690925363441935</v>
      </c>
      <c r="AO396">
        <v>5.5258397788991401E-2</v>
      </c>
      <c r="AP396">
        <v>5.5258397788991401E-2</v>
      </c>
      <c r="AQ396">
        <v>1</v>
      </c>
      <c r="AR396">
        <v>3</v>
      </c>
      <c r="AS396">
        <v>0</v>
      </c>
      <c r="AT396">
        <v>0</v>
      </c>
      <c r="AU396">
        <v>0</v>
      </c>
      <c r="AV396">
        <v>31</v>
      </c>
      <c r="AW396">
        <v>1</v>
      </c>
      <c r="AX396">
        <v>0</v>
      </c>
      <c r="AY396">
        <v>15.3</v>
      </c>
      <c r="AZ396">
        <v>9.8000000000000007</v>
      </c>
      <c r="BA396">
        <v>29.7</v>
      </c>
      <c r="BB396">
        <v>564</v>
      </c>
      <c r="BC396">
        <v>68</v>
      </c>
      <c r="BD396">
        <v>1.8</v>
      </c>
      <c r="BE396">
        <v>43</v>
      </c>
      <c r="BF396">
        <v>25.4</v>
      </c>
      <c r="BG396">
        <v>162</v>
      </c>
      <c r="BH396">
        <v>9.1</v>
      </c>
      <c r="BI396">
        <v>9.1999999999999993</v>
      </c>
      <c r="BJ396">
        <v>18.3</v>
      </c>
      <c r="BK396">
        <v>0.34</v>
      </c>
      <c r="BL396">
        <v>7.3</v>
      </c>
      <c r="BM396">
        <v>0.9</v>
      </c>
      <c r="BN396">
        <v>7.5</v>
      </c>
      <c r="BO396">
        <v>2.9</v>
      </c>
      <c r="BP396">
        <f t="shared" si="12"/>
        <v>8.7974171849927423</v>
      </c>
      <c r="BQ396">
        <f t="shared" si="13"/>
        <v>28.185852188436922</v>
      </c>
    </row>
    <row r="397" spans="1:69" hidden="1" x14ac:dyDescent="0.2">
      <c r="A397" t="s">
        <v>1806</v>
      </c>
      <c r="B397" t="s">
        <v>68</v>
      </c>
      <c r="C397" t="s">
        <v>69</v>
      </c>
      <c r="D397" t="s">
        <v>70</v>
      </c>
      <c r="E397" t="s">
        <v>1807</v>
      </c>
      <c r="F397">
        <v>3</v>
      </c>
      <c r="G397">
        <v>55</v>
      </c>
      <c r="H397">
        <v>2</v>
      </c>
      <c r="I397">
        <v>2</v>
      </c>
      <c r="J397">
        <v>1</v>
      </c>
      <c r="K397" t="s">
        <v>110</v>
      </c>
      <c r="L397" t="s">
        <v>111</v>
      </c>
      <c r="M397" s="4">
        <v>300000000</v>
      </c>
      <c r="N397">
        <v>0</v>
      </c>
      <c r="O397">
        <v>4.7671511999999998</v>
      </c>
      <c r="P397">
        <v>-74.028700700000002</v>
      </c>
      <c r="Q397" t="s">
        <v>1808</v>
      </c>
      <c r="R397">
        <v>5454545.4550000001</v>
      </c>
      <c r="S397">
        <v>0</v>
      </c>
      <c r="T397" t="s">
        <v>151</v>
      </c>
      <c r="U397" t="s">
        <v>152</v>
      </c>
      <c r="V397" t="s">
        <v>77</v>
      </c>
      <c r="W397" t="s">
        <v>119</v>
      </c>
      <c r="X397" t="s">
        <v>153</v>
      </c>
      <c r="Y397">
        <v>2.5193791820621598</v>
      </c>
      <c r="Z397">
        <v>2519.37918206216</v>
      </c>
      <c r="AA397">
        <v>4.7837500000000004</v>
      </c>
      <c r="AB397">
        <v>-74.044138888888895</v>
      </c>
      <c r="AC397">
        <v>2580</v>
      </c>
      <c r="AD397">
        <v>0</v>
      </c>
      <c r="AE397" t="s">
        <v>154</v>
      </c>
      <c r="AF397" t="s">
        <v>107</v>
      </c>
      <c r="AG397" t="s">
        <v>82</v>
      </c>
      <c r="AH397" t="s">
        <v>83</v>
      </c>
      <c r="AI397" t="s">
        <v>108</v>
      </c>
      <c r="AJ397">
        <v>1.6590522074945999</v>
      </c>
      <c r="AK397">
        <v>0.63913163759187497</v>
      </c>
      <c r="AL397">
        <v>1.80176799856317</v>
      </c>
      <c r="AM397">
        <v>0.39066913099238099</v>
      </c>
      <c r="AN397">
        <v>2.83901845890527</v>
      </c>
      <c r="AO397">
        <v>0.184782619280213</v>
      </c>
      <c r="AP397">
        <v>0.184782619280213</v>
      </c>
      <c r="AQ397">
        <v>0</v>
      </c>
      <c r="AR397">
        <v>0</v>
      </c>
      <c r="AS397">
        <v>0</v>
      </c>
      <c r="AT397">
        <v>8</v>
      </c>
      <c r="AU397">
        <v>0</v>
      </c>
      <c r="AV397">
        <v>5</v>
      </c>
      <c r="AW397">
        <v>0</v>
      </c>
      <c r="AX397">
        <v>0</v>
      </c>
      <c r="AY397">
        <v>15.3</v>
      </c>
      <c r="AZ397">
        <v>9.8000000000000007</v>
      </c>
      <c r="BA397">
        <v>29.7</v>
      </c>
      <c r="BB397">
        <v>564</v>
      </c>
      <c r="BC397">
        <v>68</v>
      </c>
      <c r="BD397">
        <v>1.8</v>
      </c>
      <c r="BE397">
        <v>43</v>
      </c>
      <c r="BF397">
        <v>25.4</v>
      </c>
      <c r="BG397">
        <v>162</v>
      </c>
      <c r="BH397">
        <v>9.1</v>
      </c>
      <c r="BI397">
        <v>9.1999999999999993</v>
      </c>
      <c r="BJ397">
        <v>18.3</v>
      </c>
      <c r="BK397">
        <v>0.34</v>
      </c>
      <c r="BL397">
        <v>7.3</v>
      </c>
      <c r="BM397">
        <v>0.9</v>
      </c>
      <c r="BN397">
        <v>7.5</v>
      </c>
      <c r="BO397">
        <v>2.9</v>
      </c>
      <c r="BP397">
        <f t="shared" si="12"/>
        <v>8.6509843846667938</v>
      </c>
      <c r="BQ397">
        <f t="shared" si="13"/>
        <v>27.957400625772816</v>
      </c>
    </row>
    <row r="398" spans="1:69" hidden="1" x14ac:dyDescent="0.2">
      <c r="A398" t="s">
        <v>1303</v>
      </c>
      <c r="B398" t="s">
        <v>68</v>
      </c>
      <c r="C398" t="s">
        <v>69</v>
      </c>
      <c r="D398" t="s">
        <v>70</v>
      </c>
      <c r="E398" t="s">
        <v>785</v>
      </c>
      <c r="F398">
        <v>3</v>
      </c>
      <c r="G398">
        <v>55</v>
      </c>
      <c r="H398">
        <v>3</v>
      </c>
      <c r="I398">
        <v>2</v>
      </c>
      <c r="J398">
        <v>0</v>
      </c>
      <c r="K398" t="s">
        <v>110</v>
      </c>
      <c r="L398" t="s">
        <v>124</v>
      </c>
      <c r="M398" s="4">
        <v>253000000</v>
      </c>
      <c r="N398">
        <v>0</v>
      </c>
      <c r="O398">
        <v>4.7383740919999999</v>
      </c>
      <c r="P398">
        <v>-74.088528830000001</v>
      </c>
      <c r="Q398" t="s">
        <v>1304</v>
      </c>
      <c r="R398">
        <v>4600000</v>
      </c>
      <c r="S398">
        <v>0</v>
      </c>
      <c r="T398" t="s">
        <v>117</v>
      </c>
      <c r="U398" t="s">
        <v>118</v>
      </c>
      <c r="V398" t="s">
        <v>77</v>
      </c>
      <c r="W398" t="s">
        <v>119</v>
      </c>
      <c r="X398" t="s">
        <v>120</v>
      </c>
      <c r="Y398">
        <v>2.1181978763840501</v>
      </c>
      <c r="Z398">
        <v>2118.1978763840498</v>
      </c>
      <c r="AA398">
        <v>4.73719444444444</v>
      </c>
      <c r="AB398">
        <v>-74.069472222222203</v>
      </c>
      <c r="AC398">
        <v>2555</v>
      </c>
      <c r="AD398">
        <v>0</v>
      </c>
      <c r="AE398" t="s">
        <v>80</v>
      </c>
      <c r="AF398" t="s">
        <v>107</v>
      </c>
      <c r="AG398" t="s">
        <v>82</v>
      </c>
      <c r="AH398" t="s">
        <v>83</v>
      </c>
      <c r="AI398" t="s">
        <v>121</v>
      </c>
      <c r="AJ398">
        <v>0.181355729411696</v>
      </c>
      <c r="AK398">
        <v>3.8000871428898502</v>
      </c>
      <c r="AL398">
        <v>3.0425345884331398</v>
      </c>
      <c r="AM398">
        <v>0.160156340775086</v>
      </c>
      <c r="AN398">
        <v>0.49001262626848502</v>
      </c>
      <c r="AO398">
        <v>9.3733106526474597E-3</v>
      </c>
      <c r="AP398">
        <v>9.3733106526474597E-3</v>
      </c>
      <c r="AQ398">
        <v>1</v>
      </c>
      <c r="AR398">
        <v>3</v>
      </c>
      <c r="AS398">
        <v>0</v>
      </c>
      <c r="AT398">
        <v>0</v>
      </c>
      <c r="AU398">
        <v>0</v>
      </c>
      <c r="AV398">
        <v>34</v>
      </c>
      <c r="AW398">
        <v>1</v>
      </c>
      <c r="AX398">
        <v>0</v>
      </c>
      <c r="AY398">
        <v>15.3</v>
      </c>
      <c r="AZ398">
        <v>9.8000000000000007</v>
      </c>
      <c r="BA398">
        <v>29.7</v>
      </c>
      <c r="BB398">
        <v>564</v>
      </c>
      <c r="BC398">
        <v>68</v>
      </c>
      <c r="BD398">
        <v>1.8</v>
      </c>
      <c r="BE398">
        <v>43</v>
      </c>
      <c r="BF398">
        <v>25.4</v>
      </c>
      <c r="BG398">
        <v>162</v>
      </c>
      <c r="BH398">
        <v>9.1</v>
      </c>
      <c r="BI398">
        <v>9.1999999999999993</v>
      </c>
      <c r="BJ398">
        <v>18.3</v>
      </c>
      <c r="BK398">
        <v>0.34</v>
      </c>
      <c r="BL398">
        <v>7.3</v>
      </c>
      <c r="BM398">
        <v>0.9</v>
      </c>
      <c r="BN398">
        <v>7.5</v>
      </c>
      <c r="BO398">
        <v>2.9</v>
      </c>
      <c r="BP398">
        <f t="shared" si="12"/>
        <v>8.8244968832315607</v>
      </c>
      <c r="BQ398">
        <f t="shared" si="13"/>
        <v>28.227884368097918</v>
      </c>
    </row>
    <row r="399" spans="1:69" hidden="1" x14ac:dyDescent="0.2">
      <c r="A399" t="s">
        <v>4437</v>
      </c>
      <c r="B399" t="s">
        <v>68</v>
      </c>
      <c r="C399" t="s">
        <v>3294</v>
      </c>
      <c r="D399" t="s">
        <v>70</v>
      </c>
      <c r="E399" t="s">
        <v>73</v>
      </c>
      <c r="F399">
        <v>4</v>
      </c>
      <c r="G399">
        <v>54.54</v>
      </c>
      <c r="H399">
        <v>1</v>
      </c>
      <c r="I399">
        <v>2</v>
      </c>
      <c r="J399">
        <v>2</v>
      </c>
      <c r="K399" t="s">
        <v>110</v>
      </c>
      <c r="L399" t="s">
        <v>124</v>
      </c>
      <c r="M399" s="4">
        <v>560000000</v>
      </c>
      <c r="N399">
        <v>0</v>
      </c>
      <c r="O399">
        <v>4.7388925549999996</v>
      </c>
      <c r="P399">
        <v>-74.060836789999996</v>
      </c>
      <c r="Q399" t="s">
        <v>4438</v>
      </c>
      <c r="R399">
        <v>10267693.439999999</v>
      </c>
      <c r="S399">
        <v>0</v>
      </c>
      <c r="T399" t="s">
        <v>117</v>
      </c>
      <c r="U399" t="s">
        <v>118</v>
      </c>
      <c r="V399" t="s">
        <v>77</v>
      </c>
      <c r="W399" t="s">
        <v>119</v>
      </c>
      <c r="X399" t="s">
        <v>120</v>
      </c>
      <c r="Y399">
        <v>0.97647873695868503</v>
      </c>
      <c r="Z399">
        <v>976.47873695868498</v>
      </c>
      <c r="AA399">
        <v>4.73719444444444</v>
      </c>
      <c r="AB399">
        <v>-74.069472222222203</v>
      </c>
      <c r="AC399">
        <v>2555</v>
      </c>
      <c r="AD399">
        <v>0</v>
      </c>
      <c r="AE399" t="s">
        <v>80</v>
      </c>
      <c r="AF399" t="s">
        <v>107</v>
      </c>
      <c r="AG399" t="s">
        <v>82</v>
      </c>
      <c r="AH399" t="s">
        <v>83</v>
      </c>
      <c r="AI399" t="s">
        <v>121</v>
      </c>
      <c r="AJ399">
        <v>1.3723472139392601</v>
      </c>
      <c r="AK399">
        <v>4.3607582812677297</v>
      </c>
      <c r="AL399">
        <v>1.79547614378135</v>
      </c>
      <c r="AM399">
        <v>0.43791235941239798</v>
      </c>
      <c r="AN399">
        <v>2.72780366198909</v>
      </c>
      <c r="AO399">
        <v>0.29198930718934202</v>
      </c>
      <c r="AP399">
        <v>0.29198930718934202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12</v>
      </c>
      <c r="AW399">
        <v>0</v>
      </c>
      <c r="AX399">
        <v>0</v>
      </c>
      <c r="AY399">
        <v>15.3</v>
      </c>
      <c r="AZ399">
        <v>9.8000000000000007</v>
      </c>
      <c r="BA399">
        <v>29.7</v>
      </c>
      <c r="BB399">
        <v>564</v>
      </c>
      <c r="BC399">
        <v>68</v>
      </c>
      <c r="BD399">
        <v>1.8</v>
      </c>
      <c r="BE399">
        <v>43</v>
      </c>
      <c r="BF399">
        <v>25.4</v>
      </c>
      <c r="BG399">
        <v>162</v>
      </c>
      <c r="BH399">
        <v>9.1</v>
      </c>
      <c r="BI399">
        <v>9.1999999999999993</v>
      </c>
      <c r="BJ399">
        <v>18.3</v>
      </c>
      <c r="BK399">
        <v>0.34</v>
      </c>
      <c r="BL399">
        <v>7.3</v>
      </c>
      <c r="BM399">
        <v>0.9</v>
      </c>
      <c r="BN399">
        <v>7.5</v>
      </c>
      <c r="BO399">
        <v>2.9</v>
      </c>
      <c r="BP399">
        <f t="shared" si="12"/>
        <v>9.3375759864390204</v>
      </c>
      <c r="BQ399">
        <f t="shared" si="13"/>
        <v>29.012058564276462</v>
      </c>
    </row>
    <row r="400" spans="1:69" hidden="1" x14ac:dyDescent="0.2">
      <c r="A400" t="s">
        <v>158</v>
      </c>
      <c r="B400" t="s">
        <v>68</v>
      </c>
      <c r="C400" t="s">
        <v>69</v>
      </c>
      <c r="D400" t="s">
        <v>70</v>
      </c>
      <c r="E400" t="s">
        <v>156</v>
      </c>
      <c r="F400">
        <v>3</v>
      </c>
      <c r="G400">
        <v>54</v>
      </c>
      <c r="H400">
        <v>2</v>
      </c>
      <c r="I400">
        <v>2</v>
      </c>
      <c r="J400">
        <v>1</v>
      </c>
      <c r="K400" t="s">
        <v>110</v>
      </c>
      <c r="L400" t="s">
        <v>111</v>
      </c>
      <c r="M400" s="4">
        <v>354000000</v>
      </c>
      <c r="N400">
        <v>0</v>
      </c>
      <c r="O400">
        <v>4.7629349999999997</v>
      </c>
      <c r="P400">
        <v>-74.029071999999999</v>
      </c>
      <c r="Q400" t="s">
        <v>159</v>
      </c>
      <c r="R400">
        <v>6555555.5559999999</v>
      </c>
      <c r="S400">
        <v>0</v>
      </c>
      <c r="T400" t="s">
        <v>151</v>
      </c>
      <c r="U400" t="s">
        <v>152</v>
      </c>
      <c r="V400" t="s">
        <v>77</v>
      </c>
      <c r="W400" t="s">
        <v>119</v>
      </c>
      <c r="X400" t="s">
        <v>153</v>
      </c>
      <c r="Y400">
        <v>2.85703896856741</v>
      </c>
      <c r="Z400">
        <v>2857.0389685674099</v>
      </c>
      <c r="AA400">
        <v>4.7837500000000004</v>
      </c>
      <c r="AB400">
        <v>-74.044138888888895</v>
      </c>
      <c r="AC400">
        <v>2580</v>
      </c>
      <c r="AD400">
        <v>0</v>
      </c>
      <c r="AE400" t="s">
        <v>154</v>
      </c>
      <c r="AF400" t="s">
        <v>107</v>
      </c>
      <c r="AG400" t="s">
        <v>82</v>
      </c>
      <c r="AH400" t="s">
        <v>83</v>
      </c>
      <c r="AI400" t="s">
        <v>108</v>
      </c>
      <c r="AJ400">
        <v>1.70479232774987</v>
      </c>
      <c r="AK400">
        <v>0.74397525041034696</v>
      </c>
      <c r="AL400">
        <v>1.3342699217149601</v>
      </c>
      <c r="AM400">
        <v>1.27721936378329E-2</v>
      </c>
      <c r="AN400">
        <v>2.37886706533852</v>
      </c>
      <c r="AO400">
        <v>7.5070334429215898E-3</v>
      </c>
      <c r="AP400">
        <v>7.5070334429215898E-3</v>
      </c>
      <c r="AQ400">
        <v>0</v>
      </c>
      <c r="AR400">
        <v>0</v>
      </c>
      <c r="AS400">
        <v>0</v>
      </c>
      <c r="AT400">
        <v>12</v>
      </c>
      <c r="AU400">
        <v>0</v>
      </c>
      <c r="AV400">
        <v>6</v>
      </c>
      <c r="AW400">
        <v>0</v>
      </c>
      <c r="AX400">
        <v>0</v>
      </c>
      <c r="AY400">
        <v>15.3</v>
      </c>
      <c r="AZ400">
        <v>9.8000000000000007</v>
      </c>
      <c r="BA400">
        <v>29.7</v>
      </c>
      <c r="BB400">
        <v>564</v>
      </c>
      <c r="BC400">
        <v>68</v>
      </c>
      <c r="BD400">
        <v>1.8</v>
      </c>
      <c r="BE400">
        <v>43</v>
      </c>
      <c r="BF400">
        <v>25.4</v>
      </c>
      <c r="BG400">
        <v>162</v>
      </c>
      <c r="BH400">
        <v>9.1</v>
      </c>
      <c r="BI400">
        <v>9.1999999999999993</v>
      </c>
      <c r="BJ400">
        <v>18.3</v>
      </c>
      <c r="BK400">
        <v>0.34</v>
      </c>
      <c r="BL400">
        <v>7.3</v>
      </c>
      <c r="BM400">
        <v>0.9</v>
      </c>
      <c r="BN400">
        <v>7.5</v>
      </c>
      <c r="BO400">
        <v>2.9</v>
      </c>
      <c r="BP400">
        <f t="shared" si="12"/>
        <v>8.50759213110479</v>
      </c>
      <c r="BQ400">
        <f t="shared" si="13"/>
        <v>27.731754003907845</v>
      </c>
    </row>
    <row r="401" spans="1:69" hidden="1" x14ac:dyDescent="0.2">
      <c r="A401" t="s">
        <v>1121</v>
      </c>
      <c r="B401" t="s">
        <v>68</v>
      </c>
      <c r="C401" t="s">
        <v>69</v>
      </c>
      <c r="D401" t="s">
        <v>70</v>
      </c>
      <c r="E401" t="s">
        <v>1122</v>
      </c>
      <c r="F401">
        <v>4</v>
      </c>
      <c r="G401">
        <v>53</v>
      </c>
      <c r="H401">
        <v>1</v>
      </c>
      <c r="I401">
        <v>1</v>
      </c>
      <c r="J401">
        <v>1</v>
      </c>
      <c r="K401" t="s">
        <v>110</v>
      </c>
      <c r="L401" t="s">
        <v>111</v>
      </c>
      <c r="M401" s="4">
        <v>445000000</v>
      </c>
      <c r="N401">
        <v>0</v>
      </c>
      <c r="O401">
        <v>4.7385010000000003</v>
      </c>
      <c r="P401">
        <v>-74.067154000000002</v>
      </c>
      <c r="Q401" t="s">
        <v>1123</v>
      </c>
      <c r="R401">
        <v>8396226.4149999991</v>
      </c>
      <c r="S401">
        <v>0</v>
      </c>
      <c r="T401" t="s">
        <v>117</v>
      </c>
      <c r="U401" t="s">
        <v>118</v>
      </c>
      <c r="V401" t="s">
        <v>77</v>
      </c>
      <c r="W401" t="s">
        <v>119</v>
      </c>
      <c r="X401" t="s">
        <v>120</v>
      </c>
      <c r="Y401">
        <v>0.29546000452207699</v>
      </c>
      <c r="Z401">
        <v>295.46000452207699</v>
      </c>
      <c r="AA401">
        <v>4.73719444444444</v>
      </c>
      <c r="AB401">
        <v>-74.069472222222203</v>
      </c>
      <c r="AC401">
        <v>2555</v>
      </c>
      <c r="AD401">
        <v>0</v>
      </c>
      <c r="AE401" t="s">
        <v>80</v>
      </c>
      <c r="AF401" t="s">
        <v>107</v>
      </c>
      <c r="AG401" t="s">
        <v>82</v>
      </c>
      <c r="AH401" t="s">
        <v>83</v>
      </c>
      <c r="AI401" t="s">
        <v>121</v>
      </c>
      <c r="AJ401">
        <v>1.48130146463921</v>
      </c>
      <c r="AK401">
        <v>5.0479273578566701</v>
      </c>
      <c r="AL401">
        <v>2.2347131362632302</v>
      </c>
      <c r="AM401">
        <v>0.204720092373325</v>
      </c>
      <c r="AN401">
        <v>2.0387112341981899</v>
      </c>
      <c r="AO401">
        <v>0.118739559216227</v>
      </c>
      <c r="AP401">
        <v>0.118739559216227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8</v>
      </c>
      <c r="AW401">
        <v>0</v>
      </c>
      <c r="AX401">
        <v>0</v>
      </c>
      <c r="AY401">
        <v>15.3</v>
      </c>
      <c r="AZ401">
        <v>9.8000000000000007</v>
      </c>
      <c r="BA401">
        <v>29.7</v>
      </c>
      <c r="BB401">
        <v>564</v>
      </c>
      <c r="BC401">
        <v>68</v>
      </c>
      <c r="BD401">
        <v>1.8</v>
      </c>
      <c r="BE401">
        <v>43</v>
      </c>
      <c r="BF401">
        <v>25.4</v>
      </c>
      <c r="BG401">
        <v>162</v>
      </c>
      <c r="BH401">
        <v>9.1</v>
      </c>
      <c r="BI401">
        <v>9.1999999999999993</v>
      </c>
      <c r="BJ401">
        <v>18.3</v>
      </c>
      <c r="BK401">
        <v>0.34</v>
      </c>
      <c r="BL401">
        <v>7.3</v>
      </c>
      <c r="BM401">
        <v>0.9</v>
      </c>
      <c r="BN401">
        <v>7.5</v>
      </c>
      <c r="BO401">
        <v>2.9</v>
      </c>
      <c r="BP401">
        <f t="shared" si="12"/>
        <v>9.6577153636312989</v>
      </c>
      <c r="BQ401">
        <f t="shared" si="13"/>
        <v>29.490141047260281</v>
      </c>
    </row>
    <row r="402" spans="1:69" hidden="1" x14ac:dyDescent="0.2">
      <c r="A402" t="s">
        <v>160</v>
      </c>
      <c r="B402" t="s">
        <v>68</v>
      </c>
      <c r="C402" t="s">
        <v>69</v>
      </c>
      <c r="D402" t="s">
        <v>70</v>
      </c>
      <c r="E402" t="s">
        <v>161</v>
      </c>
      <c r="F402">
        <v>3</v>
      </c>
      <c r="G402">
        <v>52</v>
      </c>
      <c r="H402">
        <v>2</v>
      </c>
      <c r="I402">
        <v>2</v>
      </c>
      <c r="J402">
        <v>1</v>
      </c>
      <c r="K402" t="s">
        <v>110</v>
      </c>
      <c r="L402" t="s">
        <v>162</v>
      </c>
      <c r="M402" s="4">
        <v>340000000</v>
      </c>
      <c r="N402">
        <v>0</v>
      </c>
      <c r="O402">
        <v>4.7188536000000001</v>
      </c>
      <c r="P402">
        <v>-74.061131200000005</v>
      </c>
      <c r="Q402" t="s">
        <v>163</v>
      </c>
      <c r="R402">
        <v>6538461.5379999997</v>
      </c>
      <c r="S402">
        <v>0</v>
      </c>
      <c r="T402" t="s">
        <v>117</v>
      </c>
      <c r="U402" t="s">
        <v>118</v>
      </c>
      <c r="V402" t="s">
        <v>77</v>
      </c>
      <c r="W402" t="s">
        <v>119</v>
      </c>
      <c r="X402" t="s">
        <v>120</v>
      </c>
      <c r="Y402">
        <v>2.2416068027008</v>
      </c>
      <c r="Z402">
        <v>2241.6068027008</v>
      </c>
      <c r="AA402">
        <v>4.73719444444444</v>
      </c>
      <c r="AB402">
        <v>-74.069472222222203</v>
      </c>
      <c r="AC402">
        <v>2555</v>
      </c>
      <c r="AD402">
        <v>0</v>
      </c>
      <c r="AE402" t="s">
        <v>80</v>
      </c>
      <c r="AF402" t="s">
        <v>107</v>
      </c>
      <c r="AG402" t="s">
        <v>82</v>
      </c>
      <c r="AH402" t="s">
        <v>83</v>
      </c>
      <c r="AI402" t="s">
        <v>121</v>
      </c>
      <c r="AJ402">
        <v>1.06245131389201</v>
      </c>
      <c r="AK402">
        <v>4.0996083039081803</v>
      </c>
      <c r="AL402">
        <v>1.16166016243165</v>
      </c>
      <c r="AM402">
        <v>0.45296033678883102</v>
      </c>
      <c r="AN402">
        <v>3.66106786886255</v>
      </c>
      <c r="AO402">
        <v>2.19531486655563E-2</v>
      </c>
      <c r="AP402">
        <v>2.19531486655563E-2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21</v>
      </c>
      <c r="AW402">
        <v>0</v>
      </c>
      <c r="AX402">
        <v>0</v>
      </c>
      <c r="AY402">
        <v>15.3</v>
      </c>
      <c r="AZ402">
        <v>9.8000000000000007</v>
      </c>
      <c r="BA402">
        <v>29.7</v>
      </c>
      <c r="BB402">
        <v>564</v>
      </c>
      <c r="BC402">
        <v>68</v>
      </c>
      <c r="BD402">
        <v>1.8</v>
      </c>
      <c r="BE402">
        <v>43</v>
      </c>
      <c r="BF402">
        <v>25.4</v>
      </c>
      <c r="BG402">
        <v>162</v>
      </c>
      <c r="BH402">
        <v>9.1</v>
      </c>
      <c r="BI402">
        <v>9.1999999999999993</v>
      </c>
      <c r="BJ402">
        <v>18.3</v>
      </c>
      <c r="BK402">
        <v>0.34</v>
      </c>
      <c r="BL402">
        <v>7.3</v>
      </c>
      <c r="BM402">
        <v>0.9</v>
      </c>
      <c r="BN402">
        <v>7.5</v>
      </c>
      <c r="BO402">
        <v>2.9</v>
      </c>
      <c r="BP402">
        <f t="shared" si="12"/>
        <v>8.7707546257046918</v>
      </c>
      <c r="BQ402">
        <f t="shared" si="13"/>
        <v>28.144402308652111</v>
      </c>
    </row>
    <row r="403" spans="1:69" hidden="1" x14ac:dyDescent="0.2">
      <c r="A403" t="s">
        <v>1337</v>
      </c>
      <c r="B403" t="s">
        <v>68</v>
      </c>
      <c r="C403" t="s">
        <v>69</v>
      </c>
      <c r="D403" t="s">
        <v>70</v>
      </c>
      <c r="E403" t="s">
        <v>1338</v>
      </c>
      <c r="F403">
        <v>4</v>
      </c>
      <c r="G403">
        <v>52</v>
      </c>
      <c r="H403">
        <v>3</v>
      </c>
      <c r="I403">
        <v>2</v>
      </c>
      <c r="J403">
        <v>0</v>
      </c>
      <c r="K403" t="s">
        <v>110</v>
      </c>
      <c r="L403" t="s">
        <v>124</v>
      </c>
      <c r="M403" s="4">
        <v>241500000</v>
      </c>
      <c r="N403">
        <v>0</v>
      </c>
      <c r="O403">
        <v>4.7672324000000001</v>
      </c>
      <c r="P403">
        <v>-74.032026200000004</v>
      </c>
      <c r="Q403" t="s">
        <v>1339</v>
      </c>
      <c r="R403">
        <v>4644230.7690000003</v>
      </c>
      <c r="S403">
        <v>0</v>
      </c>
      <c r="T403" t="s">
        <v>151</v>
      </c>
      <c r="U403" t="s">
        <v>152</v>
      </c>
      <c r="V403" t="s">
        <v>77</v>
      </c>
      <c r="W403" t="s">
        <v>119</v>
      </c>
      <c r="X403" t="s">
        <v>153</v>
      </c>
      <c r="Y403">
        <v>2.2773787824497602</v>
      </c>
      <c r="Z403">
        <v>2277.3787824497599</v>
      </c>
      <c r="AA403">
        <v>4.7837500000000004</v>
      </c>
      <c r="AB403">
        <v>-74.044138888888895</v>
      </c>
      <c r="AC403">
        <v>2580</v>
      </c>
      <c r="AD403">
        <v>0</v>
      </c>
      <c r="AE403" t="s">
        <v>154</v>
      </c>
      <c r="AF403" t="s">
        <v>107</v>
      </c>
      <c r="AG403" t="s">
        <v>82</v>
      </c>
      <c r="AH403" t="s">
        <v>83</v>
      </c>
      <c r="AI403" t="s">
        <v>108</v>
      </c>
      <c r="AJ403">
        <v>1.2920492412919999</v>
      </c>
      <c r="AK403">
        <v>1.00769279014179</v>
      </c>
      <c r="AL403">
        <v>1.8055643667735699</v>
      </c>
      <c r="AM403">
        <v>0.20557958589952199</v>
      </c>
      <c r="AN403">
        <v>2.8996194836192601</v>
      </c>
      <c r="AO403">
        <v>0.265267075013772</v>
      </c>
      <c r="AP403">
        <v>0.265267075013772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6</v>
      </c>
      <c r="AW403">
        <v>0</v>
      </c>
      <c r="AX403">
        <v>0</v>
      </c>
      <c r="AY403">
        <v>15.3</v>
      </c>
      <c r="AZ403">
        <v>9.8000000000000007</v>
      </c>
      <c r="BA403">
        <v>29.7</v>
      </c>
      <c r="BB403">
        <v>564</v>
      </c>
      <c r="BC403">
        <v>68</v>
      </c>
      <c r="BD403">
        <v>1.8</v>
      </c>
      <c r="BE403">
        <v>43</v>
      </c>
      <c r="BF403">
        <v>25.4</v>
      </c>
      <c r="BG403">
        <v>162</v>
      </c>
      <c r="BH403">
        <v>9.1</v>
      </c>
      <c r="BI403">
        <v>9.1999999999999993</v>
      </c>
      <c r="BJ403">
        <v>18.3</v>
      </c>
      <c r="BK403">
        <v>0.34</v>
      </c>
      <c r="BL403">
        <v>7.3</v>
      </c>
      <c r="BM403">
        <v>0.9</v>
      </c>
      <c r="BN403">
        <v>7.5</v>
      </c>
      <c r="BO403">
        <v>2.9</v>
      </c>
      <c r="BP403">
        <f t="shared" si="12"/>
        <v>8.7552378783977947</v>
      </c>
      <c r="BQ403">
        <f t="shared" si="13"/>
        <v>28.120249934128278</v>
      </c>
    </row>
    <row r="404" spans="1:69" hidden="1" x14ac:dyDescent="0.2">
      <c r="A404" t="s">
        <v>1425</v>
      </c>
      <c r="B404" t="s">
        <v>68</v>
      </c>
      <c r="C404" t="s">
        <v>69</v>
      </c>
      <c r="D404" t="s">
        <v>70</v>
      </c>
      <c r="E404" t="s">
        <v>1426</v>
      </c>
      <c r="F404">
        <v>3</v>
      </c>
      <c r="G404">
        <v>52</v>
      </c>
      <c r="H404">
        <v>3</v>
      </c>
      <c r="I404">
        <v>2</v>
      </c>
      <c r="J404">
        <v>0</v>
      </c>
      <c r="K404" t="s">
        <v>110</v>
      </c>
      <c r="L404" t="s">
        <v>162</v>
      </c>
      <c r="M404" s="4">
        <v>240000000</v>
      </c>
      <c r="N404">
        <v>0</v>
      </c>
      <c r="O404">
        <v>4.759172038</v>
      </c>
      <c r="P404">
        <v>-74.037833539999994</v>
      </c>
      <c r="Q404" t="s">
        <v>1427</v>
      </c>
      <c r="R404">
        <v>4615384.6150000002</v>
      </c>
      <c r="S404">
        <v>0</v>
      </c>
      <c r="T404" t="s">
        <v>151</v>
      </c>
      <c r="U404" t="s">
        <v>152</v>
      </c>
      <c r="V404" t="s">
        <v>77</v>
      </c>
      <c r="W404" t="s">
        <v>119</v>
      </c>
      <c r="X404" t="s">
        <v>153</v>
      </c>
      <c r="Y404">
        <v>2.8240035872593698</v>
      </c>
      <c r="Z404">
        <v>2824.0035872593699</v>
      </c>
      <c r="AA404">
        <v>4.7837500000000004</v>
      </c>
      <c r="AB404">
        <v>-74.044138888888895</v>
      </c>
      <c r="AC404">
        <v>2580</v>
      </c>
      <c r="AD404">
        <v>0</v>
      </c>
      <c r="AE404" t="s">
        <v>154</v>
      </c>
      <c r="AF404" t="s">
        <v>107</v>
      </c>
      <c r="AG404" t="s">
        <v>82</v>
      </c>
      <c r="AH404" t="s">
        <v>83</v>
      </c>
      <c r="AI404" t="s">
        <v>108</v>
      </c>
      <c r="AJ404">
        <v>0.865379137601473</v>
      </c>
      <c r="AK404">
        <v>1.77068040874538</v>
      </c>
      <c r="AL404">
        <v>1.21202618176668</v>
      </c>
      <c r="AM404">
        <v>0.787099444675742</v>
      </c>
      <c r="AN404">
        <v>2.3049606151382398</v>
      </c>
      <c r="AO404">
        <v>0.14214680796952001</v>
      </c>
      <c r="AP404">
        <v>0.14214680796952001</v>
      </c>
      <c r="AQ404">
        <v>0</v>
      </c>
      <c r="AR404">
        <v>1</v>
      </c>
      <c r="AS404">
        <v>0</v>
      </c>
      <c r="AT404">
        <v>0</v>
      </c>
      <c r="AU404">
        <v>0</v>
      </c>
      <c r="AV404">
        <v>4</v>
      </c>
      <c r="AW404">
        <v>0</v>
      </c>
      <c r="AX404">
        <v>0</v>
      </c>
      <c r="AY404">
        <v>15.3</v>
      </c>
      <c r="AZ404">
        <v>9.8000000000000007</v>
      </c>
      <c r="BA404">
        <v>29.7</v>
      </c>
      <c r="BB404">
        <v>564</v>
      </c>
      <c r="BC404">
        <v>68</v>
      </c>
      <c r="BD404">
        <v>1.8</v>
      </c>
      <c r="BE404">
        <v>43</v>
      </c>
      <c r="BF404">
        <v>25.4</v>
      </c>
      <c r="BG404">
        <v>162</v>
      </c>
      <c r="BH404">
        <v>9.1</v>
      </c>
      <c r="BI404">
        <v>9.1999999999999993</v>
      </c>
      <c r="BJ404">
        <v>18.3</v>
      </c>
      <c r="BK404">
        <v>0.34</v>
      </c>
      <c r="BL404">
        <v>7.3</v>
      </c>
      <c r="BM404">
        <v>0.9</v>
      </c>
      <c r="BN404">
        <v>7.5</v>
      </c>
      <c r="BO404">
        <v>2.9</v>
      </c>
      <c r="BP404">
        <f t="shared" si="12"/>
        <v>8.5215155638866129</v>
      </c>
      <c r="BQ404">
        <f t="shared" si="13"/>
        <v>27.753749820066339</v>
      </c>
    </row>
    <row r="405" spans="1:69" hidden="1" x14ac:dyDescent="0.2">
      <c r="A405" t="s">
        <v>4046</v>
      </c>
      <c r="B405" t="s">
        <v>68</v>
      </c>
      <c r="C405" t="s">
        <v>3294</v>
      </c>
      <c r="D405" t="s">
        <v>70</v>
      </c>
      <c r="E405" t="s">
        <v>4047</v>
      </c>
      <c r="F405">
        <v>4</v>
      </c>
      <c r="G405">
        <v>50</v>
      </c>
      <c r="H405">
        <v>2</v>
      </c>
      <c r="I405">
        <v>1</v>
      </c>
      <c r="J405">
        <v>2</v>
      </c>
      <c r="K405" t="s">
        <v>110</v>
      </c>
      <c r="L405" t="s">
        <v>162</v>
      </c>
      <c r="M405" s="4">
        <v>249500000</v>
      </c>
      <c r="N405">
        <v>0</v>
      </c>
      <c r="O405">
        <v>4.732259</v>
      </c>
      <c r="P405">
        <v>-74.052040000000005</v>
      </c>
      <c r="Q405" t="s">
        <v>4048</v>
      </c>
      <c r="R405">
        <v>4990000</v>
      </c>
      <c r="S405">
        <v>0</v>
      </c>
      <c r="T405" t="s">
        <v>117</v>
      </c>
      <c r="U405" t="s">
        <v>118</v>
      </c>
      <c r="V405" t="s">
        <v>77</v>
      </c>
      <c r="W405" t="s">
        <v>119</v>
      </c>
      <c r="X405" t="s">
        <v>120</v>
      </c>
      <c r="Y405">
        <v>2.0104514223891301</v>
      </c>
      <c r="Z405">
        <v>2010.4514223891299</v>
      </c>
      <c r="AA405">
        <v>4.73719444444444</v>
      </c>
      <c r="AB405">
        <v>-74.069472222222203</v>
      </c>
      <c r="AC405">
        <v>2555</v>
      </c>
      <c r="AD405">
        <v>0</v>
      </c>
      <c r="AE405" t="s">
        <v>80</v>
      </c>
      <c r="AF405" t="s">
        <v>107</v>
      </c>
      <c r="AG405" t="s">
        <v>82</v>
      </c>
      <c r="AH405" t="s">
        <v>83</v>
      </c>
      <c r="AI405" t="s">
        <v>121</v>
      </c>
      <c r="AJ405">
        <v>0.28968342720957502</v>
      </c>
      <c r="AK405">
        <v>3.3313514099702299</v>
      </c>
      <c r="AL405">
        <v>1.3397428169348</v>
      </c>
      <c r="AM405">
        <v>0.317655199080697</v>
      </c>
      <c r="AN405">
        <v>2.9874074979784999</v>
      </c>
      <c r="AO405">
        <v>1.0568525483469799E-2</v>
      </c>
      <c r="AP405">
        <v>1.0568525483469799E-2</v>
      </c>
      <c r="AQ405">
        <v>2</v>
      </c>
      <c r="AR405">
        <v>3</v>
      </c>
      <c r="AS405">
        <v>0</v>
      </c>
      <c r="AT405">
        <v>0</v>
      </c>
      <c r="AU405">
        <v>0</v>
      </c>
      <c r="AV405">
        <v>21</v>
      </c>
      <c r="AW405">
        <v>0</v>
      </c>
      <c r="AX405">
        <v>0</v>
      </c>
      <c r="AY405">
        <v>15.3</v>
      </c>
      <c r="AZ405">
        <v>9.8000000000000007</v>
      </c>
      <c r="BA405">
        <v>29.7</v>
      </c>
      <c r="BB405">
        <v>564</v>
      </c>
      <c r="BC405">
        <v>68</v>
      </c>
      <c r="BD405">
        <v>1.8</v>
      </c>
      <c r="BE405">
        <v>43</v>
      </c>
      <c r="BF405">
        <v>25.4</v>
      </c>
      <c r="BG405">
        <v>162</v>
      </c>
      <c r="BH405">
        <v>9.1</v>
      </c>
      <c r="BI405">
        <v>9.1999999999999993</v>
      </c>
      <c r="BJ405">
        <v>18.3</v>
      </c>
      <c r="BK405">
        <v>0.34</v>
      </c>
      <c r="BL405">
        <v>7.3</v>
      </c>
      <c r="BM405">
        <v>0.9</v>
      </c>
      <c r="BN405">
        <v>7.5</v>
      </c>
      <c r="BO405">
        <v>2.9</v>
      </c>
      <c r="BP405">
        <f t="shared" si="12"/>
        <v>8.8716876243329725</v>
      </c>
      <c r="BQ405">
        <f t="shared" si="13"/>
        <v>28.300973735477648</v>
      </c>
    </row>
    <row r="406" spans="1:69" hidden="1" x14ac:dyDescent="0.2">
      <c r="A406" t="s">
        <v>1139</v>
      </c>
      <c r="B406" t="s">
        <v>68</v>
      </c>
      <c r="C406" t="s">
        <v>69</v>
      </c>
      <c r="D406" t="s">
        <v>70</v>
      </c>
      <c r="E406" t="s">
        <v>423</v>
      </c>
      <c r="F406">
        <v>3</v>
      </c>
      <c r="G406">
        <v>48.4</v>
      </c>
      <c r="H406">
        <v>3</v>
      </c>
      <c r="I406">
        <v>2</v>
      </c>
      <c r="J406">
        <v>0</v>
      </c>
      <c r="K406" t="s">
        <v>110</v>
      </c>
      <c r="L406" t="s">
        <v>162</v>
      </c>
      <c r="M406" s="4">
        <v>210000000</v>
      </c>
      <c r="N406">
        <v>0</v>
      </c>
      <c r="O406">
        <v>4.7585040000000003</v>
      </c>
      <c r="P406">
        <v>-74.036339999999996</v>
      </c>
      <c r="Q406" t="s">
        <v>1140</v>
      </c>
      <c r="R406">
        <v>4338842.9749999996</v>
      </c>
      <c r="S406">
        <v>0</v>
      </c>
      <c r="T406" t="s">
        <v>151</v>
      </c>
      <c r="U406" t="s">
        <v>152</v>
      </c>
      <c r="V406" t="s">
        <v>77</v>
      </c>
      <c r="W406" t="s">
        <v>119</v>
      </c>
      <c r="X406" t="s">
        <v>153</v>
      </c>
      <c r="Y406">
        <v>2.94052578922039</v>
      </c>
      <c r="Z406">
        <v>2940.5257892203899</v>
      </c>
      <c r="AA406">
        <v>4.7837500000000004</v>
      </c>
      <c r="AB406">
        <v>-74.044138888888895</v>
      </c>
      <c r="AC406">
        <v>2580</v>
      </c>
      <c r="AD406">
        <v>0</v>
      </c>
      <c r="AE406" t="s">
        <v>154</v>
      </c>
      <c r="AF406" t="s">
        <v>107</v>
      </c>
      <c r="AG406" t="s">
        <v>82</v>
      </c>
      <c r="AH406" t="s">
        <v>83</v>
      </c>
      <c r="AI406" t="s">
        <v>108</v>
      </c>
      <c r="AJ406">
        <v>1.04518037578616</v>
      </c>
      <c r="AK406">
        <v>1.5976592782679799</v>
      </c>
      <c r="AL406">
        <v>1.0497043874280501</v>
      </c>
      <c r="AM406">
        <v>0.91212559968347195</v>
      </c>
      <c r="AN406">
        <v>2.1564670884449999</v>
      </c>
      <c r="AO406">
        <v>0.18910840016316699</v>
      </c>
      <c r="AP406">
        <v>0.18910840016316699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5</v>
      </c>
      <c r="AW406">
        <v>0</v>
      </c>
      <c r="AX406">
        <v>0</v>
      </c>
      <c r="AY406">
        <v>15.3</v>
      </c>
      <c r="AZ406">
        <v>9.8000000000000007</v>
      </c>
      <c r="BA406">
        <v>29.7</v>
      </c>
      <c r="BB406">
        <v>564</v>
      </c>
      <c r="BC406">
        <v>68</v>
      </c>
      <c r="BD406">
        <v>1.8</v>
      </c>
      <c r="BE406">
        <v>43</v>
      </c>
      <c r="BF406">
        <v>25.4</v>
      </c>
      <c r="BG406">
        <v>162</v>
      </c>
      <c r="BH406">
        <v>9.1</v>
      </c>
      <c r="BI406">
        <v>9.1999999999999993</v>
      </c>
      <c r="BJ406">
        <v>18.3</v>
      </c>
      <c r="BK406">
        <v>0.34</v>
      </c>
      <c r="BL406">
        <v>7.3</v>
      </c>
      <c r="BM406">
        <v>0.9</v>
      </c>
      <c r="BN406">
        <v>7.5</v>
      </c>
      <c r="BO406">
        <v>2.9</v>
      </c>
      <c r="BP406">
        <f t="shared" si="12"/>
        <v>8.4725062239943867</v>
      </c>
      <c r="BQ406">
        <f t="shared" si="13"/>
        <v>27.676243971402947</v>
      </c>
    </row>
    <row r="407" spans="1:69" hidden="1" x14ac:dyDescent="0.2">
      <c r="A407" t="s">
        <v>1311</v>
      </c>
      <c r="B407" t="s">
        <v>68</v>
      </c>
      <c r="C407" t="s">
        <v>69</v>
      </c>
      <c r="D407" t="s">
        <v>70</v>
      </c>
      <c r="E407" t="s">
        <v>1312</v>
      </c>
      <c r="F407">
        <v>4</v>
      </c>
      <c r="G407">
        <v>47</v>
      </c>
      <c r="H407">
        <v>2</v>
      </c>
      <c r="I407">
        <v>1</v>
      </c>
      <c r="J407">
        <v>0</v>
      </c>
      <c r="K407" t="s">
        <v>110</v>
      </c>
      <c r="L407" t="s">
        <v>162</v>
      </c>
      <c r="M407" s="4">
        <v>222000000</v>
      </c>
      <c r="N407">
        <v>0</v>
      </c>
      <c r="O407">
        <v>4.7440768179999999</v>
      </c>
      <c r="P407">
        <v>-74.042153049999996</v>
      </c>
      <c r="Q407" t="s">
        <v>1313</v>
      </c>
      <c r="R407">
        <v>4723404.2549999999</v>
      </c>
      <c r="S407">
        <v>0</v>
      </c>
      <c r="T407" t="s">
        <v>117</v>
      </c>
      <c r="U407" t="s">
        <v>118</v>
      </c>
      <c r="V407" t="s">
        <v>77</v>
      </c>
      <c r="W407" t="s">
        <v>119</v>
      </c>
      <c r="X407" t="s">
        <v>120</v>
      </c>
      <c r="Y407">
        <v>3.1260894834772301</v>
      </c>
      <c r="Z407">
        <v>3126.0894834772298</v>
      </c>
      <c r="AA407">
        <v>4.73719444444444</v>
      </c>
      <c r="AB407">
        <v>-74.069472222222203</v>
      </c>
      <c r="AC407">
        <v>2555</v>
      </c>
      <c r="AD407">
        <v>0</v>
      </c>
      <c r="AE407" t="s">
        <v>80</v>
      </c>
      <c r="AF407" t="s">
        <v>107</v>
      </c>
      <c r="AG407" t="s">
        <v>82</v>
      </c>
      <c r="AH407" t="s">
        <v>83</v>
      </c>
      <c r="AI407" t="s">
        <v>108</v>
      </c>
      <c r="AJ407">
        <v>0.61173808117706996</v>
      </c>
      <c r="AK407">
        <v>2.4651814160045</v>
      </c>
      <c r="AL407">
        <v>1.2603375111456201</v>
      </c>
      <c r="AM407">
        <v>0.181546171651258</v>
      </c>
      <c r="AN407">
        <v>1.73261025095896</v>
      </c>
      <c r="AO407">
        <v>9.2706663581013204E-2</v>
      </c>
      <c r="AP407">
        <v>9.2706663581013204E-2</v>
      </c>
      <c r="AQ407">
        <v>0</v>
      </c>
      <c r="AR407">
        <v>2</v>
      </c>
      <c r="AS407">
        <v>0</v>
      </c>
      <c r="AT407">
        <v>0</v>
      </c>
      <c r="AU407">
        <v>0</v>
      </c>
      <c r="AV407">
        <v>39</v>
      </c>
      <c r="AW407">
        <v>0</v>
      </c>
      <c r="AX407">
        <v>0</v>
      </c>
      <c r="AY407">
        <v>15.3</v>
      </c>
      <c r="AZ407">
        <v>9.8000000000000007</v>
      </c>
      <c r="BA407">
        <v>29.7</v>
      </c>
      <c r="BB407">
        <v>564</v>
      </c>
      <c r="BC407">
        <v>68</v>
      </c>
      <c r="BD407">
        <v>1.8</v>
      </c>
      <c r="BE407">
        <v>43</v>
      </c>
      <c r="BF407">
        <v>25.4</v>
      </c>
      <c r="BG407">
        <v>162</v>
      </c>
      <c r="BH407">
        <v>9.1</v>
      </c>
      <c r="BI407">
        <v>9.1999999999999993</v>
      </c>
      <c r="BJ407">
        <v>18.3</v>
      </c>
      <c r="BK407">
        <v>0.34</v>
      </c>
      <c r="BL407">
        <v>7.3</v>
      </c>
      <c r="BM407">
        <v>0.9</v>
      </c>
      <c r="BN407">
        <v>7.5</v>
      </c>
      <c r="BO407">
        <v>2.9</v>
      </c>
      <c r="BP407">
        <f t="shared" si="12"/>
        <v>8.3950391687679549</v>
      </c>
      <c r="BQ407">
        <f t="shared" si="13"/>
        <v>27.553261082794251</v>
      </c>
    </row>
    <row r="408" spans="1:69" hidden="1" x14ac:dyDescent="0.2">
      <c r="A408" t="s">
        <v>1549</v>
      </c>
      <c r="B408" t="s">
        <v>68</v>
      </c>
      <c r="C408" t="s">
        <v>69</v>
      </c>
      <c r="D408" t="s">
        <v>70</v>
      </c>
      <c r="E408" t="s">
        <v>1550</v>
      </c>
      <c r="F408">
        <v>3</v>
      </c>
      <c r="G408">
        <v>47</v>
      </c>
      <c r="H408">
        <v>3</v>
      </c>
      <c r="I408">
        <v>1</v>
      </c>
      <c r="J408">
        <v>0</v>
      </c>
      <c r="K408" t="s">
        <v>110</v>
      </c>
      <c r="L408" t="s">
        <v>162</v>
      </c>
      <c r="M408" s="4">
        <v>214000000</v>
      </c>
      <c r="N408">
        <v>0</v>
      </c>
      <c r="O408">
        <v>4.753699685</v>
      </c>
      <c r="P408">
        <v>-74.102633249999997</v>
      </c>
      <c r="Q408" t="s">
        <v>1551</v>
      </c>
      <c r="R408">
        <v>4553191.4890000001</v>
      </c>
      <c r="S408">
        <v>0</v>
      </c>
      <c r="T408" t="s">
        <v>119</v>
      </c>
      <c r="U408" t="s">
        <v>787</v>
      </c>
      <c r="V408" t="s">
        <v>77</v>
      </c>
      <c r="W408" t="s">
        <v>119</v>
      </c>
      <c r="X408" t="s">
        <v>788</v>
      </c>
      <c r="Y408">
        <v>1.3195692135871</v>
      </c>
      <c r="Z408">
        <v>1319.5692135871</v>
      </c>
      <c r="AA408">
        <v>4.7612472222222202</v>
      </c>
      <c r="AB408">
        <v>-74.093461111111097</v>
      </c>
      <c r="AC408">
        <v>2571</v>
      </c>
      <c r="AD408">
        <v>6</v>
      </c>
      <c r="AE408" t="s">
        <v>154</v>
      </c>
      <c r="AF408" t="s">
        <v>107</v>
      </c>
      <c r="AG408" t="s">
        <v>82</v>
      </c>
      <c r="AH408" t="s">
        <v>83</v>
      </c>
      <c r="AI408" t="s">
        <v>121</v>
      </c>
      <c r="AJ408">
        <v>1.1986811285207</v>
      </c>
      <c r="AK408">
        <v>1.5122752400607</v>
      </c>
      <c r="AL408">
        <v>5.34432812356334</v>
      </c>
      <c r="AM408">
        <v>0.59632149020973402</v>
      </c>
      <c r="AN408">
        <v>2.35199083773148</v>
      </c>
      <c r="AO408">
        <v>1.39573463240951E-2</v>
      </c>
      <c r="AP408">
        <v>1.39573463240951E-2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4</v>
      </c>
      <c r="AW408">
        <v>0</v>
      </c>
      <c r="AX408">
        <v>0</v>
      </c>
      <c r="AY408">
        <v>15.3</v>
      </c>
      <c r="AZ408">
        <v>9.8000000000000007</v>
      </c>
      <c r="BA408">
        <v>29.7</v>
      </c>
      <c r="BB408">
        <v>564</v>
      </c>
      <c r="BC408">
        <v>68</v>
      </c>
      <c r="BD408">
        <v>1.8</v>
      </c>
      <c r="BE408">
        <v>43</v>
      </c>
      <c r="BF408">
        <v>25.4</v>
      </c>
      <c r="BG408">
        <v>162</v>
      </c>
      <c r="BH408">
        <v>9.1</v>
      </c>
      <c r="BI408">
        <v>9.1999999999999993</v>
      </c>
      <c r="BJ408">
        <v>18.3</v>
      </c>
      <c r="BK408">
        <v>0.34</v>
      </c>
      <c r="BL408">
        <v>7.3</v>
      </c>
      <c r="BM408">
        <v>0.9</v>
      </c>
      <c r="BN408">
        <v>7.5</v>
      </c>
      <c r="BO408">
        <v>2.9</v>
      </c>
      <c r="BP408">
        <f t="shared" si="12"/>
        <v>9.180335121755741</v>
      </c>
      <c r="BQ408">
        <f t="shared" si="13"/>
        <v>28.774149137977133</v>
      </c>
    </row>
    <row r="409" spans="1:69" hidden="1" x14ac:dyDescent="0.2">
      <c r="A409" t="s">
        <v>784</v>
      </c>
      <c r="B409" t="s">
        <v>68</v>
      </c>
      <c r="C409" t="s">
        <v>69</v>
      </c>
      <c r="D409" t="s">
        <v>70</v>
      </c>
      <c r="E409" t="s">
        <v>785</v>
      </c>
      <c r="F409">
        <v>4</v>
      </c>
      <c r="G409">
        <v>45</v>
      </c>
      <c r="H409">
        <v>2</v>
      </c>
      <c r="I409">
        <v>1</v>
      </c>
      <c r="J409">
        <v>1</v>
      </c>
      <c r="K409" t="s">
        <v>110</v>
      </c>
      <c r="L409" t="s">
        <v>124</v>
      </c>
      <c r="M409" s="4">
        <v>285000000</v>
      </c>
      <c r="N409">
        <v>0</v>
      </c>
      <c r="O409">
        <v>4.7426579999999996</v>
      </c>
      <c r="P409">
        <v>-74.091909999999999</v>
      </c>
      <c r="Q409" t="s">
        <v>786</v>
      </c>
      <c r="R409">
        <v>6333333.3329999996</v>
      </c>
      <c r="S409">
        <v>0</v>
      </c>
      <c r="T409" t="s">
        <v>119</v>
      </c>
      <c r="U409" t="s">
        <v>787</v>
      </c>
      <c r="V409" t="s">
        <v>77</v>
      </c>
      <c r="W409" t="s">
        <v>119</v>
      </c>
      <c r="X409" t="s">
        <v>788</v>
      </c>
      <c r="Y409">
        <v>2.0764848570944499</v>
      </c>
      <c r="Z409">
        <v>2076.48485709445</v>
      </c>
      <c r="AA409">
        <v>4.7612472222222202</v>
      </c>
      <c r="AB409">
        <v>-74.093461111111097</v>
      </c>
      <c r="AC409">
        <v>2571</v>
      </c>
      <c r="AD409">
        <v>6</v>
      </c>
      <c r="AE409" t="s">
        <v>154</v>
      </c>
      <c r="AF409" t="s">
        <v>107</v>
      </c>
      <c r="AG409" t="s">
        <v>82</v>
      </c>
      <c r="AH409" t="s">
        <v>83</v>
      </c>
      <c r="AI409" t="s">
        <v>121</v>
      </c>
      <c r="AJ409">
        <v>7.8614015242118696E-2</v>
      </c>
      <c r="AK409">
        <v>3.2045942425606699</v>
      </c>
      <c r="AL409">
        <v>3.6464099613228802</v>
      </c>
      <c r="AM409">
        <v>5.85637816404957E-2</v>
      </c>
      <c r="AN409">
        <v>0.74442220660273295</v>
      </c>
      <c r="AO409">
        <v>0.22234802376437701</v>
      </c>
      <c r="AP409">
        <v>0.22234802376437701</v>
      </c>
      <c r="AQ409">
        <v>1</v>
      </c>
      <c r="AR409">
        <v>3</v>
      </c>
      <c r="AS409">
        <v>0</v>
      </c>
      <c r="AT409">
        <v>0</v>
      </c>
      <c r="AU409">
        <v>0</v>
      </c>
      <c r="AV409">
        <v>52</v>
      </c>
      <c r="AW409">
        <v>1</v>
      </c>
      <c r="AX409">
        <v>0</v>
      </c>
      <c r="AY409">
        <v>15.3</v>
      </c>
      <c r="AZ409">
        <v>9.8000000000000007</v>
      </c>
      <c r="BA409">
        <v>29.7</v>
      </c>
      <c r="BB409">
        <v>564</v>
      </c>
      <c r="BC409">
        <v>68</v>
      </c>
      <c r="BD409">
        <v>1.8</v>
      </c>
      <c r="BE409">
        <v>43</v>
      </c>
      <c r="BF409">
        <v>25.4</v>
      </c>
      <c r="BG409">
        <v>162</v>
      </c>
      <c r="BH409">
        <v>9.1</v>
      </c>
      <c r="BI409">
        <v>9.1999999999999993</v>
      </c>
      <c r="BJ409">
        <v>18.3</v>
      </c>
      <c r="BK409">
        <v>0.34</v>
      </c>
      <c r="BL409">
        <v>7.3</v>
      </c>
      <c r="BM409">
        <v>0.9</v>
      </c>
      <c r="BN409">
        <v>7.5</v>
      </c>
      <c r="BO409">
        <v>2.9</v>
      </c>
      <c r="BP409">
        <f t="shared" si="12"/>
        <v>8.8427364794911867</v>
      </c>
      <c r="BQ409">
        <f t="shared" si="13"/>
        <v>28.256157805025218</v>
      </c>
    </row>
    <row r="410" spans="1:69" hidden="1" x14ac:dyDescent="0.2">
      <c r="A410" t="s">
        <v>2334</v>
      </c>
      <c r="B410" t="s">
        <v>68</v>
      </c>
      <c r="C410" t="s">
        <v>1956</v>
      </c>
      <c r="D410" t="s">
        <v>70</v>
      </c>
      <c r="E410" t="s">
        <v>2335</v>
      </c>
      <c r="F410">
        <v>3</v>
      </c>
      <c r="G410">
        <v>44</v>
      </c>
      <c r="H410">
        <v>3</v>
      </c>
      <c r="I410">
        <v>2</v>
      </c>
      <c r="J410">
        <v>0</v>
      </c>
      <c r="K410" t="s">
        <v>110</v>
      </c>
      <c r="L410" t="s">
        <v>124</v>
      </c>
      <c r="M410" s="4">
        <v>270000000</v>
      </c>
      <c r="N410">
        <v>0</v>
      </c>
      <c r="O410">
        <v>4.750227894</v>
      </c>
      <c r="P410">
        <v>-74.088519559999995</v>
      </c>
      <c r="Q410" t="s">
        <v>2336</v>
      </c>
      <c r="R410">
        <v>6136363.6359999999</v>
      </c>
      <c r="S410">
        <v>0</v>
      </c>
      <c r="T410" t="s">
        <v>119</v>
      </c>
      <c r="U410" t="s">
        <v>787</v>
      </c>
      <c r="V410" t="s">
        <v>77</v>
      </c>
      <c r="W410" t="s">
        <v>119</v>
      </c>
      <c r="X410" t="s">
        <v>788</v>
      </c>
      <c r="Y410">
        <v>1.34358831292186</v>
      </c>
      <c r="Z410">
        <v>1343.5883129218601</v>
      </c>
      <c r="AA410">
        <v>4.7612472222222202</v>
      </c>
      <c r="AB410">
        <v>-74.093461111111097</v>
      </c>
      <c r="AC410">
        <v>2571</v>
      </c>
      <c r="AD410">
        <v>6</v>
      </c>
      <c r="AE410" t="s">
        <v>154</v>
      </c>
      <c r="AF410" t="s">
        <v>107</v>
      </c>
      <c r="AG410" t="s">
        <v>82</v>
      </c>
      <c r="AH410" t="s">
        <v>83</v>
      </c>
      <c r="AI410" t="s">
        <v>121</v>
      </c>
      <c r="AJ410">
        <v>0.74161496748303601</v>
      </c>
      <c r="AK410">
        <v>3.0643898147884601</v>
      </c>
      <c r="AL410">
        <v>3.89804469141079</v>
      </c>
      <c r="AM410">
        <v>0.49200707238084701</v>
      </c>
      <c r="AN410">
        <v>1.0369854245892001</v>
      </c>
      <c r="AO410">
        <v>8.0551219252900097E-2</v>
      </c>
      <c r="AP410">
        <v>8.0551219252900097E-2</v>
      </c>
      <c r="AQ410">
        <v>0</v>
      </c>
      <c r="AR410">
        <v>2</v>
      </c>
      <c r="AS410">
        <v>0</v>
      </c>
      <c r="AT410">
        <v>0</v>
      </c>
      <c r="AU410">
        <v>0</v>
      </c>
      <c r="AV410">
        <v>34</v>
      </c>
      <c r="AW410">
        <v>0</v>
      </c>
      <c r="AX410">
        <v>0</v>
      </c>
      <c r="AY410">
        <v>15.3</v>
      </c>
      <c r="AZ410">
        <v>9.8000000000000007</v>
      </c>
      <c r="BA410">
        <v>29.7</v>
      </c>
      <c r="BB410">
        <v>564</v>
      </c>
      <c r="BC410">
        <v>68</v>
      </c>
      <c r="BD410">
        <v>1.8</v>
      </c>
      <c r="BE410">
        <v>43</v>
      </c>
      <c r="BF410">
        <v>25.4</v>
      </c>
      <c r="BG410">
        <v>162</v>
      </c>
      <c r="BH410">
        <v>9.1</v>
      </c>
      <c r="BI410">
        <v>9.1999999999999993</v>
      </c>
      <c r="BJ410">
        <v>18.3</v>
      </c>
      <c r="BK410">
        <v>0.34</v>
      </c>
      <c r="BL410">
        <v>7.3</v>
      </c>
      <c r="BM410">
        <v>0.9</v>
      </c>
      <c r="BN410">
        <v>7.5</v>
      </c>
      <c r="BO410">
        <v>2.9</v>
      </c>
      <c r="BP410">
        <f t="shared" si="12"/>
        <v>9.1694266904352748</v>
      </c>
      <c r="BQ410">
        <f t="shared" si="13"/>
        <v>28.75756681843086</v>
      </c>
    </row>
    <row r="411" spans="1:69" hidden="1" x14ac:dyDescent="0.2">
      <c r="A411" t="s">
        <v>798</v>
      </c>
      <c r="B411" t="s">
        <v>68</v>
      </c>
      <c r="C411" t="s">
        <v>69</v>
      </c>
      <c r="D411" t="s">
        <v>70</v>
      </c>
      <c r="E411" t="s">
        <v>542</v>
      </c>
      <c r="F411">
        <v>3</v>
      </c>
      <c r="G411">
        <v>44</v>
      </c>
      <c r="H411">
        <v>2</v>
      </c>
      <c r="I411">
        <v>1</v>
      </c>
      <c r="J411">
        <v>0</v>
      </c>
      <c r="K411" t="s">
        <v>110</v>
      </c>
      <c r="L411" t="s">
        <v>124</v>
      </c>
      <c r="M411" s="4">
        <v>215000000</v>
      </c>
      <c r="N411">
        <v>0</v>
      </c>
      <c r="O411">
        <v>4.7309313</v>
      </c>
      <c r="P411">
        <v>-74.086555000000004</v>
      </c>
      <c r="Q411" t="s">
        <v>799</v>
      </c>
      <c r="R411">
        <v>4886363.6359999999</v>
      </c>
      <c r="S411">
        <v>0</v>
      </c>
      <c r="T411" t="s">
        <v>117</v>
      </c>
      <c r="U411" t="s">
        <v>118</v>
      </c>
      <c r="V411" t="s">
        <v>77</v>
      </c>
      <c r="W411" t="s">
        <v>119</v>
      </c>
      <c r="X411" t="s">
        <v>120</v>
      </c>
      <c r="Y411">
        <v>2.01933854779546</v>
      </c>
      <c r="Z411">
        <v>2019.33854779546</v>
      </c>
      <c r="AA411">
        <v>4.73719444444444</v>
      </c>
      <c r="AB411">
        <v>-74.069472222222203</v>
      </c>
      <c r="AC411">
        <v>2555</v>
      </c>
      <c r="AD411">
        <v>0</v>
      </c>
      <c r="AE411" t="s">
        <v>80</v>
      </c>
      <c r="AF411" t="s">
        <v>107</v>
      </c>
      <c r="AG411" t="s">
        <v>82</v>
      </c>
      <c r="AH411" t="s">
        <v>83</v>
      </c>
      <c r="AI411" t="s">
        <v>121</v>
      </c>
      <c r="AJ411">
        <v>0.79812887166351598</v>
      </c>
      <c r="AK411">
        <v>4.2569654499351604</v>
      </c>
      <c r="AL411">
        <v>2.2887322690801502</v>
      </c>
      <c r="AM411">
        <v>0.12646318150873001</v>
      </c>
      <c r="AN411">
        <v>1.16663784452932</v>
      </c>
      <c r="AO411">
        <v>4.1828335790849602E-2</v>
      </c>
      <c r="AP411">
        <v>4.1828335790849602E-2</v>
      </c>
      <c r="AQ411">
        <v>0</v>
      </c>
      <c r="AR411">
        <v>2</v>
      </c>
      <c r="AS411">
        <v>0</v>
      </c>
      <c r="AT411">
        <v>0</v>
      </c>
      <c r="AU411">
        <v>0</v>
      </c>
      <c r="AV411">
        <v>21</v>
      </c>
      <c r="AW411">
        <v>0</v>
      </c>
      <c r="AX411">
        <v>0</v>
      </c>
      <c r="AY411">
        <v>15.3</v>
      </c>
      <c r="AZ411">
        <v>9.8000000000000007</v>
      </c>
      <c r="BA411">
        <v>29.7</v>
      </c>
      <c r="BB411">
        <v>564</v>
      </c>
      <c r="BC411">
        <v>68</v>
      </c>
      <c r="BD411">
        <v>1.8</v>
      </c>
      <c r="BE411">
        <v>43</v>
      </c>
      <c r="BF411">
        <v>25.4</v>
      </c>
      <c r="BG411">
        <v>162</v>
      </c>
      <c r="BH411">
        <v>9.1</v>
      </c>
      <c r="BI411">
        <v>9.1999999999999993</v>
      </c>
      <c r="BJ411">
        <v>18.3</v>
      </c>
      <c r="BK411">
        <v>0.34</v>
      </c>
      <c r="BL411">
        <v>7.3</v>
      </c>
      <c r="BM411">
        <v>0.9</v>
      </c>
      <c r="BN411">
        <v>7.5</v>
      </c>
      <c r="BO411">
        <v>2.9</v>
      </c>
      <c r="BP411">
        <f t="shared" si="12"/>
        <v>8.8677857145218333</v>
      </c>
      <c r="BQ411">
        <f t="shared" si="13"/>
        <v>28.294938035915756</v>
      </c>
    </row>
    <row r="412" spans="1:69" hidden="1" x14ac:dyDescent="0.2">
      <c r="A412" t="s">
        <v>1301</v>
      </c>
      <c r="B412" t="s">
        <v>68</v>
      </c>
      <c r="C412" t="s">
        <v>69</v>
      </c>
      <c r="D412" t="s">
        <v>70</v>
      </c>
      <c r="E412" t="s">
        <v>423</v>
      </c>
      <c r="F412">
        <v>3</v>
      </c>
      <c r="G412">
        <v>43</v>
      </c>
      <c r="H412">
        <v>2</v>
      </c>
      <c r="I412">
        <v>1</v>
      </c>
      <c r="J412">
        <v>0</v>
      </c>
      <c r="K412" t="s">
        <v>110</v>
      </c>
      <c r="L412" t="s">
        <v>124</v>
      </c>
      <c r="M412" s="4">
        <v>247000000</v>
      </c>
      <c r="N412">
        <v>0</v>
      </c>
      <c r="O412">
        <v>4.7586973180000003</v>
      </c>
      <c r="P412">
        <v>-74.035372870000003</v>
      </c>
      <c r="Q412" t="s">
        <v>1302</v>
      </c>
      <c r="R412">
        <v>5744186.0470000003</v>
      </c>
      <c r="S412">
        <v>0</v>
      </c>
      <c r="T412" t="s">
        <v>151</v>
      </c>
      <c r="U412" t="s">
        <v>152</v>
      </c>
      <c r="V412" t="s">
        <v>77</v>
      </c>
      <c r="W412" t="s">
        <v>119</v>
      </c>
      <c r="X412" t="s">
        <v>153</v>
      </c>
      <c r="Y412">
        <v>2.9535314581034098</v>
      </c>
      <c r="Z412">
        <v>2953.5314581034099</v>
      </c>
      <c r="AA412">
        <v>4.7837500000000004</v>
      </c>
      <c r="AB412">
        <v>-74.044138888888895</v>
      </c>
      <c r="AC412">
        <v>2580</v>
      </c>
      <c r="AD412">
        <v>0</v>
      </c>
      <c r="AE412" t="s">
        <v>154</v>
      </c>
      <c r="AF412" t="s">
        <v>107</v>
      </c>
      <c r="AG412" t="s">
        <v>82</v>
      </c>
      <c r="AH412" t="s">
        <v>83</v>
      </c>
      <c r="AI412" t="s">
        <v>108</v>
      </c>
      <c r="AJ412">
        <v>1.1288057583688</v>
      </c>
      <c r="AK412">
        <v>1.49343140874338</v>
      </c>
      <c r="AL412">
        <v>1.0063555804734501</v>
      </c>
      <c r="AM412">
        <v>0.84144687010309704</v>
      </c>
      <c r="AN412">
        <v>2.1246129127550502</v>
      </c>
      <c r="AO412">
        <v>0.21761684505832099</v>
      </c>
      <c r="AP412">
        <v>0.21761684505832099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5</v>
      </c>
      <c r="AW412">
        <v>0</v>
      </c>
      <c r="AX412">
        <v>0</v>
      </c>
      <c r="AY412">
        <v>15.3</v>
      </c>
      <c r="AZ412">
        <v>9.8000000000000007</v>
      </c>
      <c r="BA412">
        <v>29.7</v>
      </c>
      <c r="BB412">
        <v>564</v>
      </c>
      <c r="BC412">
        <v>68</v>
      </c>
      <c r="BD412">
        <v>1.8</v>
      </c>
      <c r="BE412">
        <v>43</v>
      </c>
      <c r="BF412">
        <v>25.4</v>
      </c>
      <c r="BG412">
        <v>162</v>
      </c>
      <c r="BH412">
        <v>9.1</v>
      </c>
      <c r="BI412">
        <v>9.1999999999999993</v>
      </c>
      <c r="BJ412">
        <v>18.3</v>
      </c>
      <c r="BK412">
        <v>0.34</v>
      </c>
      <c r="BL412">
        <v>7.3</v>
      </c>
      <c r="BM412">
        <v>0.9</v>
      </c>
      <c r="BN412">
        <v>7.5</v>
      </c>
      <c r="BO412">
        <v>2.9</v>
      </c>
      <c r="BP412">
        <f t="shared" si="12"/>
        <v>8.4670535441248447</v>
      </c>
      <c r="BQ412">
        <f t="shared" si="13"/>
        <v>27.667606565935476</v>
      </c>
    </row>
    <row r="413" spans="1:69" hidden="1" x14ac:dyDescent="0.2">
      <c r="A413" t="s">
        <v>494</v>
      </c>
      <c r="B413" t="s">
        <v>68</v>
      </c>
      <c r="C413" t="s">
        <v>69</v>
      </c>
      <c r="D413" t="s">
        <v>70</v>
      </c>
      <c r="E413" t="s">
        <v>495</v>
      </c>
      <c r="F413">
        <v>3</v>
      </c>
      <c r="G413">
        <v>42.14</v>
      </c>
      <c r="H413">
        <v>2</v>
      </c>
      <c r="I413">
        <v>2</v>
      </c>
      <c r="J413">
        <v>1</v>
      </c>
      <c r="K413" t="s">
        <v>110</v>
      </c>
      <c r="L413" t="s">
        <v>162</v>
      </c>
      <c r="M413" s="4">
        <v>285000000</v>
      </c>
      <c r="N413">
        <v>0</v>
      </c>
      <c r="O413">
        <v>4.726764202</v>
      </c>
      <c r="P413">
        <v>-74.055717470000005</v>
      </c>
      <c r="Q413" t="s">
        <v>496</v>
      </c>
      <c r="R413">
        <v>6763170.3839999996</v>
      </c>
      <c r="S413">
        <v>0</v>
      </c>
      <c r="T413" t="s">
        <v>117</v>
      </c>
      <c r="U413" t="s">
        <v>118</v>
      </c>
      <c r="V413" t="s">
        <v>77</v>
      </c>
      <c r="W413" t="s">
        <v>119</v>
      </c>
      <c r="X413" t="s">
        <v>120</v>
      </c>
      <c r="Y413">
        <v>1.9174620973571199</v>
      </c>
      <c r="Z413">
        <v>1917.46209735712</v>
      </c>
      <c r="AA413">
        <v>4.73719444444444</v>
      </c>
      <c r="AB413">
        <v>-74.069472222222203</v>
      </c>
      <c r="AC413">
        <v>2555</v>
      </c>
      <c r="AD413">
        <v>0</v>
      </c>
      <c r="AE413" t="s">
        <v>80</v>
      </c>
      <c r="AF413" t="s">
        <v>107</v>
      </c>
      <c r="AG413" t="s">
        <v>82</v>
      </c>
      <c r="AH413" t="s">
        <v>83</v>
      </c>
      <c r="AI413" t="s">
        <v>121</v>
      </c>
      <c r="AJ413">
        <v>0.57818702194752503</v>
      </c>
      <c r="AK413">
        <v>3.64982140573226</v>
      </c>
      <c r="AL413">
        <v>1.8721284229415101</v>
      </c>
      <c r="AM413">
        <v>0.37638006368314197</v>
      </c>
      <c r="AN413">
        <v>3.6045889565850899</v>
      </c>
      <c r="AO413">
        <v>2.3685467903279401E-2</v>
      </c>
      <c r="AP413">
        <v>2.3685467903279401E-2</v>
      </c>
      <c r="AQ413">
        <v>0</v>
      </c>
      <c r="AR413">
        <v>3</v>
      </c>
      <c r="AS413">
        <v>0</v>
      </c>
      <c r="AT413">
        <v>0</v>
      </c>
      <c r="AU413">
        <v>0</v>
      </c>
      <c r="AV413">
        <v>19</v>
      </c>
      <c r="AW413">
        <v>0</v>
      </c>
      <c r="AX413">
        <v>0</v>
      </c>
      <c r="AY413">
        <v>15.3</v>
      </c>
      <c r="AZ413">
        <v>9.8000000000000007</v>
      </c>
      <c r="BA413">
        <v>29.7</v>
      </c>
      <c r="BB413">
        <v>564</v>
      </c>
      <c r="BC413">
        <v>68</v>
      </c>
      <c r="BD413">
        <v>1.8</v>
      </c>
      <c r="BE413">
        <v>43</v>
      </c>
      <c r="BF413">
        <v>25.4</v>
      </c>
      <c r="BG413">
        <v>162</v>
      </c>
      <c r="BH413">
        <v>9.1</v>
      </c>
      <c r="BI413">
        <v>9.1999999999999993</v>
      </c>
      <c r="BJ413">
        <v>18.3</v>
      </c>
      <c r="BK413">
        <v>0.34</v>
      </c>
      <c r="BL413">
        <v>7.3</v>
      </c>
      <c r="BM413">
        <v>0.9</v>
      </c>
      <c r="BN413">
        <v>7.5</v>
      </c>
      <c r="BO413">
        <v>2.9</v>
      </c>
      <c r="BP413">
        <f t="shared" si="12"/>
        <v>8.9126178785467154</v>
      </c>
      <c r="BQ413">
        <f t="shared" si="13"/>
        <v>28.364204789679651</v>
      </c>
    </row>
    <row r="414" spans="1:69" hidden="1" x14ac:dyDescent="0.2">
      <c r="A414" t="s">
        <v>3520</v>
      </c>
      <c r="B414" t="s">
        <v>68</v>
      </c>
      <c r="C414" t="s">
        <v>3294</v>
      </c>
      <c r="D414" t="s">
        <v>70</v>
      </c>
      <c r="E414" t="s">
        <v>1122</v>
      </c>
      <c r="F414">
        <v>4</v>
      </c>
      <c r="G414">
        <v>42</v>
      </c>
      <c r="H414">
        <v>1</v>
      </c>
      <c r="I414">
        <v>1</v>
      </c>
      <c r="J414">
        <v>1</v>
      </c>
      <c r="K414" t="s">
        <v>110</v>
      </c>
      <c r="L414" t="s">
        <v>133</v>
      </c>
      <c r="M414" s="4">
        <v>440000000</v>
      </c>
      <c r="N414">
        <v>0</v>
      </c>
      <c r="O414">
        <v>4.7385010000000003</v>
      </c>
      <c r="P414">
        <v>-74.067154000000002</v>
      </c>
      <c r="Q414" t="s">
        <v>3521</v>
      </c>
      <c r="R414">
        <v>10476190.48</v>
      </c>
      <c r="S414">
        <v>0</v>
      </c>
      <c r="T414" t="s">
        <v>117</v>
      </c>
      <c r="U414" t="s">
        <v>118</v>
      </c>
      <c r="V414" t="s">
        <v>77</v>
      </c>
      <c r="W414" t="s">
        <v>119</v>
      </c>
      <c r="X414" t="s">
        <v>120</v>
      </c>
      <c r="Y414">
        <v>0.29546000452207699</v>
      </c>
      <c r="Z414">
        <v>295.46000452207699</v>
      </c>
      <c r="AA414">
        <v>4.73719444444444</v>
      </c>
      <c r="AB414">
        <v>-74.069472222222203</v>
      </c>
      <c r="AC414">
        <v>2555</v>
      </c>
      <c r="AD414">
        <v>0</v>
      </c>
      <c r="AE414" t="s">
        <v>80</v>
      </c>
      <c r="AF414" t="s">
        <v>107</v>
      </c>
      <c r="AG414" t="s">
        <v>82</v>
      </c>
      <c r="AH414" t="s">
        <v>83</v>
      </c>
      <c r="AI414" t="s">
        <v>121</v>
      </c>
      <c r="AJ414">
        <v>1.48130146463921</v>
      </c>
      <c r="AK414">
        <v>5.0479273578566701</v>
      </c>
      <c r="AL414">
        <v>2.2347131362632302</v>
      </c>
      <c r="AM414">
        <v>0.204720092373325</v>
      </c>
      <c r="AN414">
        <v>2.0387112341981899</v>
      </c>
      <c r="AO414">
        <v>0.118739559216227</v>
      </c>
      <c r="AP414">
        <v>0.118739559216227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8</v>
      </c>
      <c r="AW414">
        <v>0</v>
      </c>
      <c r="AX414">
        <v>0</v>
      </c>
      <c r="AY414">
        <v>15.3</v>
      </c>
      <c r="AZ414">
        <v>9.8000000000000007</v>
      </c>
      <c r="BA414">
        <v>29.7</v>
      </c>
      <c r="BB414">
        <v>564</v>
      </c>
      <c r="BC414">
        <v>68</v>
      </c>
      <c r="BD414">
        <v>1.8</v>
      </c>
      <c r="BE414">
        <v>43</v>
      </c>
      <c r="BF414">
        <v>25.4</v>
      </c>
      <c r="BG414">
        <v>162</v>
      </c>
      <c r="BH414">
        <v>9.1</v>
      </c>
      <c r="BI414">
        <v>9.1999999999999993</v>
      </c>
      <c r="BJ414">
        <v>18.3</v>
      </c>
      <c r="BK414">
        <v>0.34</v>
      </c>
      <c r="BL414">
        <v>7.3</v>
      </c>
      <c r="BM414">
        <v>0.9</v>
      </c>
      <c r="BN414">
        <v>7.5</v>
      </c>
      <c r="BO414">
        <v>2.9</v>
      </c>
      <c r="BP414">
        <f t="shared" si="12"/>
        <v>9.6577153636312989</v>
      </c>
      <c r="BQ414">
        <f t="shared" si="13"/>
        <v>29.490141047260281</v>
      </c>
    </row>
    <row r="415" spans="1:69" hidden="1" x14ac:dyDescent="0.2">
      <c r="A415" t="s">
        <v>3473</v>
      </c>
      <c r="B415" t="s">
        <v>68</v>
      </c>
      <c r="C415" t="s">
        <v>3294</v>
      </c>
      <c r="D415" t="s">
        <v>70</v>
      </c>
      <c r="E415" t="s">
        <v>545</v>
      </c>
      <c r="F415">
        <v>4</v>
      </c>
      <c r="G415">
        <v>42</v>
      </c>
      <c r="H415">
        <v>1</v>
      </c>
      <c r="I415">
        <v>1</v>
      </c>
      <c r="J415">
        <v>1</v>
      </c>
      <c r="K415" t="s">
        <v>110</v>
      </c>
      <c r="L415" t="s">
        <v>133</v>
      </c>
      <c r="M415" s="4">
        <v>420000000</v>
      </c>
      <c r="N415">
        <v>0</v>
      </c>
      <c r="O415">
        <v>4.7388925549999996</v>
      </c>
      <c r="P415">
        <v>-74.060836789999996</v>
      </c>
      <c r="Q415" t="s">
        <v>3474</v>
      </c>
      <c r="R415">
        <v>10000000</v>
      </c>
      <c r="S415">
        <v>0</v>
      </c>
      <c r="T415" t="s">
        <v>117</v>
      </c>
      <c r="U415" t="s">
        <v>118</v>
      </c>
      <c r="V415" t="s">
        <v>77</v>
      </c>
      <c r="W415" t="s">
        <v>119</v>
      </c>
      <c r="X415" t="s">
        <v>120</v>
      </c>
      <c r="Y415">
        <v>0.97647873695868503</v>
      </c>
      <c r="Z415">
        <v>976.47873695868498</v>
      </c>
      <c r="AA415">
        <v>4.73719444444444</v>
      </c>
      <c r="AB415">
        <v>-74.069472222222203</v>
      </c>
      <c r="AC415">
        <v>2555</v>
      </c>
      <c r="AD415">
        <v>0</v>
      </c>
      <c r="AE415" t="s">
        <v>80</v>
      </c>
      <c r="AF415" t="s">
        <v>107</v>
      </c>
      <c r="AG415" t="s">
        <v>82</v>
      </c>
      <c r="AH415" t="s">
        <v>83</v>
      </c>
      <c r="AI415" t="s">
        <v>121</v>
      </c>
      <c r="AJ415">
        <v>1.3723472139392601</v>
      </c>
      <c r="AK415">
        <v>4.3607582812677297</v>
      </c>
      <c r="AL415">
        <v>1.79547614378135</v>
      </c>
      <c r="AM415">
        <v>0.43791235941239798</v>
      </c>
      <c r="AN415">
        <v>2.72780366198909</v>
      </c>
      <c r="AO415">
        <v>0.29198930718934202</v>
      </c>
      <c r="AP415">
        <v>0.29198930718934202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12</v>
      </c>
      <c r="AW415">
        <v>0</v>
      </c>
      <c r="AX415">
        <v>0</v>
      </c>
      <c r="AY415">
        <v>15.3</v>
      </c>
      <c r="AZ415">
        <v>9.8000000000000007</v>
      </c>
      <c r="BA415">
        <v>29.7</v>
      </c>
      <c r="BB415">
        <v>564</v>
      </c>
      <c r="BC415">
        <v>68</v>
      </c>
      <c r="BD415">
        <v>1.8</v>
      </c>
      <c r="BE415">
        <v>43</v>
      </c>
      <c r="BF415">
        <v>25.4</v>
      </c>
      <c r="BG415">
        <v>162</v>
      </c>
      <c r="BH415">
        <v>9.1</v>
      </c>
      <c r="BI415">
        <v>9.1999999999999993</v>
      </c>
      <c r="BJ415">
        <v>18.3</v>
      </c>
      <c r="BK415">
        <v>0.34</v>
      </c>
      <c r="BL415">
        <v>7.3</v>
      </c>
      <c r="BM415">
        <v>0.9</v>
      </c>
      <c r="BN415">
        <v>7.5</v>
      </c>
      <c r="BO415">
        <v>2.9</v>
      </c>
      <c r="BP415">
        <f t="shared" si="12"/>
        <v>9.3375759864390204</v>
      </c>
      <c r="BQ415">
        <f t="shared" si="13"/>
        <v>29.012058564276462</v>
      </c>
    </row>
    <row r="416" spans="1:69" hidden="1" x14ac:dyDescent="0.2">
      <c r="A416" t="s">
        <v>3488</v>
      </c>
      <c r="B416" t="s">
        <v>68</v>
      </c>
      <c r="C416" t="s">
        <v>3294</v>
      </c>
      <c r="D416" t="s">
        <v>70</v>
      </c>
      <c r="E416" t="s">
        <v>545</v>
      </c>
      <c r="F416">
        <v>4</v>
      </c>
      <c r="G416">
        <v>42</v>
      </c>
      <c r="H416">
        <v>1</v>
      </c>
      <c r="I416">
        <v>1</v>
      </c>
      <c r="J416">
        <v>1</v>
      </c>
      <c r="K416" t="s">
        <v>110</v>
      </c>
      <c r="L416" t="s">
        <v>133</v>
      </c>
      <c r="M416" s="4">
        <v>390000000</v>
      </c>
      <c r="N416">
        <v>0</v>
      </c>
      <c r="O416">
        <v>4.7388925549999996</v>
      </c>
      <c r="P416">
        <v>-74.060836789999996</v>
      </c>
      <c r="Q416" t="s">
        <v>3489</v>
      </c>
      <c r="R416">
        <v>9285714.2860000003</v>
      </c>
      <c r="S416">
        <v>0</v>
      </c>
      <c r="T416" t="s">
        <v>117</v>
      </c>
      <c r="U416" t="s">
        <v>118</v>
      </c>
      <c r="V416" t="s">
        <v>77</v>
      </c>
      <c r="W416" t="s">
        <v>119</v>
      </c>
      <c r="X416" t="s">
        <v>120</v>
      </c>
      <c r="Y416">
        <v>0.97647873695868503</v>
      </c>
      <c r="Z416">
        <v>976.47873695868498</v>
      </c>
      <c r="AA416">
        <v>4.73719444444444</v>
      </c>
      <c r="AB416">
        <v>-74.069472222222203</v>
      </c>
      <c r="AC416">
        <v>2555</v>
      </c>
      <c r="AD416">
        <v>0</v>
      </c>
      <c r="AE416" t="s">
        <v>80</v>
      </c>
      <c r="AF416" t="s">
        <v>107</v>
      </c>
      <c r="AG416" t="s">
        <v>82</v>
      </c>
      <c r="AH416" t="s">
        <v>83</v>
      </c>
      <c r="AI416" t="s">
        <v>121</v>
      </c>
      <c r="AJ416">
        <v>1.3723472139392601</v>
      </c>
      <c r="AK416">
        <v>4.3607582812677297</v>
      </c>
      <c r="AL416">
        <v>1.79547614378135</v>
      </c>
      <c r="AM416">
        <v>0.43791235941239798</v>
      </c>
      <c r="AN416">
        <v>2.72780366198909</v>
      </c>
      <c r="AO416">
        <v>0.29198930718934202</v>
      </c>
      <c r="AP416">
        <v>0.29198930718934202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12</v>
      </c>
      <c r="AW416">
        <v>0</v>
      </c>
      <c r="AX416">
        <v>0</v>
      </c>
      <c r="AY416">
        <v>15.3</v>
      </c>
      <c r="AZ416">
        <v>9.8000000000000007</v>
      </c>
      <c r="BA416">
        <v>29.7</v>
      </c>
      <c r="BB416">
        <v>564</v>
      </c>
      <c r="BC416">
        <v>68</v>
      </c>
      <c r="BD416">
        <v>1.8</v>
      </c>
      <c r="BE416">
        <v>43</v>
      </c>
      <c r="BF416">
        <v>25.4</v>
      </c>
      <c r="BG416">
        <v>162</v>
      </c>
      <c r="BH416">
        <v>9.1</v>
      </c>
      <c r="BI416">
        <v>9.1999999999999993</v>
      </c>
      <c r="BJ416">
        <v>18.3</v>
      </c>
      <c r="BK416">
        <v>0.34</v>
      </c>
      <c r="BL416">
        <v>7.3</v>
      </c>
      <c r="BM416">
        <v>0.9</v>
      </c>
      <c r="BN416">
        <v>7.5</v>
      </c>
      <c r="BO416">
        <v>2.9</v>
      </c>
      <c r="BP416">
        <f t="shared" si="12"/>
        <v>9.3375759864390204</v>
      </c>
      <c r="BQ416">
        <f t="shared" si="13"/>
        <v>29.012058564276462</v>
      </c>
    </row>
    <row r="417" spans="1:69" hidden="1" x14ac:dyDescent="0.2">
      <c r="A417" t="s">
        <v>3359</v>
      </c>
      <c r="B417" t="s">
        <v>68</v>
      </c>
      <c r="C417" t="s">
        <v>3294</v>
      </c>
      <c r="D417" t="s">
        <v>70</v>
      </c>
      <c r="E417" t="s">
        <v>165</v>
      </c>
      <c r="F417">
        <v>4</v>
      </c>
      <c r="G417">
        <v>41.53</v>
      </c>
      <c r="H417">
        <v>1</v>
      </c>
      <c r="I417">
        <v>1</v>
      </c>
      <c r="J417">
        <v>0</v>
      </c>
      <c r="K417" t="s">
        <v>110</v>
      </c>
      <c r="L417" t="s">
        <v>111</v>
      </c>
      <c r="M417" s="4">
        <v>255000000</v>
      </c>
      <c r="N417">
        <v>0</v>
      </c>
      <c r="O417">
        <v>4.7578100000000001</v>
      </c>
      <c r="P417">
        <v>-74.05283</v>
      </c>
      <c r="Q417" t="s">
        <v>3360</v>
      </c>
      <c r="R417">
        <v>6140139.6579999998</v>
      </c>
      <c r="S417">
        <v>0</v>
      </c>
      <c r="T417" t="s">
        <v>117</v>
      </c>
      <c r="U417" t="s">
        <v>118</v>
      </c>
      <c r="V417" t="s">
        <v>77</v>
      </c>
      <c r="W417" t="s">
        <v>119</v>
      </c>
      <c r="X417" t="s">
        <v>120</v>
      </c>
      <c r="Y417">
        <v>2.9453788573394801</v>
      </c>
      <c r="Z417">
        <v>2945.37885733948</v>
      </c>
      <c r="AA417">
        <v>4.73719444444444</v>
      </c>
      <c r="AB417">
        <v>-74.069472222222203</v>
      </c>
      <c r="AC417">
        <v>2555</v>
      </c>
      <c r="AD417">
        <v>0</v>
      </c>
      <c r="AE417" t="s">
        <v>80</v>
      </c>
      <c r="AF417" t="s">
        <v>107</v>
      </c>
      <c r="AG417" t="s">
        <v>82</v>
      </c>
      <c r="AH417" t="s">
        <v>83</v>
      </c>
      <c r="AI417" t="s">
        <v>121</v>
      </c>
      <c r="AJ417">
        <v>0.83065346914868698</v>
      </c>
      <c r="AK417">
        <v>3.41894942102024</v>
      </c>
      <c r="AL417">
        <v>0.49551304324711998</v>
      </c>
      <c r="AM417">
        <v>0.14731434021786599</v>
      </c>
      <c r="AN417">
        <v>3.40676736918227</v>
      </c>
      <c r="AO417">
        <v>9.8542177686970794E-2</v>
      </c>
      <c r="AP417">
        <v>9.8542177686970794E-2</v>
      </c>
      <c r="AQ417">
        <v>0</v>
      </c>
      <c r="AR417">
        <v>1</v>
      </c>
      <c r="AS417">
        <v>0</v>
      </c>
      <c r="AT417">
        <v>0</v>
      </c>
      <c r="AU417">
        <v>1</v>
      </c>
      <c r="AV417">
        <v>19</v>
      </c>
      <c r="AW417">
        <v>0</v>
      </c>
      <c r="AX417">
        <v>0</v>
      </c>
      <c r="AY417">
        <v>15.3</v>
      </c>
      <c r="AZ417">
        <v>9.8000000000000007</v>
      </c>
      <c r="BA417">
        <v>29.7</v>
      </c>
      <c r="BB417">
        <v>564</v>
      </c>
      <c r="BC417">
        <v>68</v>
      </c>
      <c r="BD417">
        <v>1.8</v>
      </c>
      <c r="BE417">
        <v>43</v>
      </c>
      <c r="BF417">
        <v>25.4</v>
      </c>
      <c r="BG417">
        <v>162</v>
      </c>
      <c r="BH417">
        <v>9.1</v>
      </c>
      <c r="BI417">
        <v>9.1999999999999993</v>
      </c>
      <c r="BJ417">
        <v>18.3</v>
      </c>
      <c r="BK417">
        <v>0.34</v>
      </c>
      <c r="BL417">
        <v>7.3</v>
      </c>
      <c r="BM417">
        <v>0.9</v>
      </c>
      <c r="BN417">
        <v>7.5</v>
      </c>
      <c r="BO417">
        <v>2.9</v>
      </c>
      <c r="BP417">
        <f t="shared" si="12"/>
        <v>8.4704711447772318</v>
      </c>
      <c r="BQ417">
        <f t="shared" si="13"/>
        <v>27.673020606390544</v>
      </c>
    </row>
    <row r="418" spans="1:69" hidden="1" x14ac:dyDescent="0.2">
      <c r="A418" t="s">
        <v>3349</v>
      </c>
      <c r="B418" t="s">
        <v>68</v>
      </c>
      <c r="C418" t="s">
        <v>3294</v>
      </c>
      <c r="D418" t="s">
        <v>70</v>
      </c>
      <c r="E418" t="s">
        <v>165</v>
      </c>
      <c r="F418">
        <v>4</v>
      </c>
      <c r="G418">
        <v>41.53</v>
      </c>
      <c r="H418">
        <v>1</v>
      </c>
      <c r="I418">
        <v>1</v>
      </c>
      <c r="J418">
        <v>0</v>
      </c>
      <c r="K418" t="s">
        <v>110</v>
      </c>
      <c r="L418" t="s">
        <v>111</v>
      </c>
      <c r="M418" s="4">
        <v>245000000</v>
      </c>
      <c r="N418">
        <v>0</v>
      </c>
      <c r="O418">
        <v>4.7578100000000001</v>
      </c>
      <c r="P418">
        <v>-74.05283</v>
      </c>
      <c r="Q418" t="s">
        <v>3350</v>
      </c>
      <c r="R418">
        <v>5899349.8679999998</v>
      </c>
      <c r="S418">
        <v>0</v>
      </c>
      <c r="T418" t="s">
        <v>117</v>
      </c>
      <c r="U418" t="s">
        <v>118</v>
      </c>
      <c r="V418" t="s">
        <v>77</v>
      </c>
      <c r="W418" t="s">
        <v>119</v>
      </c>
      <c r="X418" t="s">
        <v>120</v>
      </c>
      <c r="Y418">
        <v>2.9453788573394801</v>
      </c>
      <c r="Z418">
        <v>2945.37885733948</v>
      </c>
      <c r="AA418">
        <v>4.73719444444444</v>
      </c>
      <c r="AB418">
        <v>-74.069472222222203</v>
      </c>
      <c r="AC418">
        <v>2555</v>
      </c>
      <c r="AD418">
        <v>0</v>
      </c>
      <c r="AE418" t="s">
        <v>80</v>
      </c>
      <c r="AF418" t="s">
        <v>107</v>
      </c>
      <c r="AG418" t="s">
        <v>82</v>
      </c>
      <c r="AH418" t="s">
        <v>83</v>
      </c>
      <c r="AI418" t="s">
        <v>121</v>
      </c>
      <c r="AJ418">
        <v>0.83065346914868698</v>
      </c>
      <c r="AK418">
        <v>3.41894942102024</v>
      </c>
      <c r="AL418">
        <v>0.49551304324711998</v>
      </c>
      <c r="AM418">
        <v>0.14731434021786599</v>
      </c>
      <c r="AN418">
        <v>3.40676736918227</v>
      </c>
      <c r="AO418">
        <v>9.8542177686970794E-2</v>
      </c>
      <c r="AP418">
        <v>9.8542177686970794E-2</v>
      </c>
      <c r="AQ418">
        <v>0</v>
      </c>
      <c r="AR418">
        <v>1</v>
      </c>
      <c r="AS418">
        <v>0</v>
      </c>
      <c r="AT418">
        <v>0</v>
      </c>
      <c r="AU418">
        <v>1</v>
      </c>
      <c r="AV418">
        <v>19</v>
      </c>
      <c r="AW418">
        <v>0</v>
      </c>
      <c r="AX418">
        <v>0</v>
      </c>
      <c r="AY418">
        <v>15.3</v>
      </c>
      <c r="AZ418">
        <v>9.8000000000000007</v>
      </c>
      <c r="BA418">
        <v>29.7</v>
      </c>
      <c r="BB418">
        <v>564</v>
      </c>
      <c r="BC418">
        <v>68</v>
      </c>
      <c r="BD418">
        <v>1.8</v>
      </c>
      <c r="BE418">
        <v>43</v>
      </c>
      <c r="BF418">
        <v>25.4</v>
      </c>
      <c r="BG418">
        <v>162</v>
      </c>
      <c r="BH418">
        <v>9.1</v>
      </c>
      <c r="BI418">
        <v>9.1999999999999993</v>
      </c>
      <c r="BJ418">
        <v>18.3</v>
      </c>
      <c r="BK418">
        <v>0.34</v>
      </c>
      <c r="BL418">
        <v>7.3</v>
      </c>
      <c r="BM418">
        <v>0.9</v>
      </c>
      <c r="BN418">
        <v>7.5</v>
      </c>
      <c r="BO418">
        <v>2.9</v>
      </c>
      <c r="BP418">
        <f t="shared" si="12"/>
        <v>8.4704711447772318</v>
      </c>
      <c r="BQ418">
        <f t="shared" si="13"/>
        <v>27.673020606390544</v>
      </c>
    </row>
    <row r="419" spans="1:69" hidden="1" x14ac:dyDescent="0.2">
      <c r="A419" t="s">
        <v>861</v>
      </c>
      <c r="B419" t="s">
        <v>68</v>
      </c>
      <c r="C419" t="s">
        <v>69</v>
      </c>
      <c r="D419" t="s">
        <v>70</v>
      </c>
      <c r="E419" t="s">
        <v>862</v>
      </c>
      <c r="F419">
        <v>3</v>
      </c>
      <c r="G419">
        <v>40</v>
      </c>
      <c r="H419">
        <v>2</v>
      </c>
      <c r="I419">
        <v>1</v>
      </c>
      <c r="J419">
        <v>0</v>
      </c>
      <c r="K419" t="s">
        <v>110</v>
      </c>
      <c r="L419" t="s">
        <v>111</v>
      </c>
      <c r="M419" s="4">
        <v>215000000</v>
      </c>
      <c r="N419">
        <v>0</v>
      </c>
      <c r="O419">
        <v>4.7587423319999997</v>
      </c>
      <c r="P419">
        <v>-74.101730349999997</v>
      </c>
      <c r="Q419" t="s">
        <v>863</v>
      </c>
      <c r="R419">
        <v>5375000</v>
      </c>
      <c r="S419">
        <v>0</v>
      </c>
      <c r="T419" t="s">
        <v>119</v>
      </c>
      <c r="U419" t="s">
        <v>787</v>
      </c>
      <c r="V419" t="s">
        <v>77</v>
      </c>
      <c r="W419" t="s">
        <v>119</v>
      </c>
      <c r="X419" t="s">
        <v>788</v>
      </c>
      <c r="Y419">
        <v>0.95879574089763198</v>
      </c>
      <c r="Z419">
        <v>958.79574089763196</v>
      </c>
      <c r="AA419">
        <v>4.7612472222222202</v>
      </c>
      <c r="AB419">
        <v>-74.093461111111097</v>
      </c>
      <c r="AC419">
        <v>2571</v>
      </c>
      <c r="AD419">
        <v>6</v>
      </c>
      <c r="AE419" t="s">
        <v>154</v>
      </c>
      <c r="AF419" t="s">
        <v>107</v>
      </c>
      <c r="AG419" t="s">
        <v>82</v>
      </c>
      <c r="AH419" t="s">
        <v>83</v>
      </c>
      <c r="AI419" t="s">
        <v>121</v>
      </c>
      <c r="AJ419">
        <v>1.5556275875410099</v>
      </c>
      <c r="AK419">
        <v>1.3633469452149201</v>
      </c>
      <c r="AL419">
        <v>5.3799109250006998</v>
      </c>
      <c r="AM419">
        <v>1.03693334964354</v>
      </c>
      <c r="AN419">
        <v>2.64219743399119</v>
      </c>
      <c r="AO419">
        <v>0.20505178951971001</v>
      </c>
      <c r="AP419">
        <v>0.20505178951971001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15.3</v>
      </c>
      <c r="AZ419">
        <v>9.8000000000000007</v>
      </c>
      <c r="BA419">
        <v>29.7</v>
      </c>
      <c r="BB419">
        <v>564</v>
      </c>
      <c r="BC419">
        <v>68</v>
      </c>
      <c r="BD419">
        <v>1.8</v>
      </c>
      <c r="BE419">
        <v>43</v>
      </c>
      <c r="BF419">
        <v>25.4</v>
      </c>
      <c r="BG419">
        <v>162</v>
      </c>
      <c r="BH419">
        <v>9.1</v>
      </c>
      <c r="BI419">
        <v>9.1999999999999993</v>
      </c>
      <c r="BJ419">
        <v>18.3</v>
      </c>
      <c r="BK419">
        <v>0.34</v>
      </c>
      <c r="BL419">
        <v>7.3</v>
      </c>
      <c r="BM419">
        <v>0.9</v>
      </c>
      <c r="BN419">
        <v>7.5</v>
      </c>
      <c r="BO419">
        <v>2.9</v>
      </c>
      <c r="BP419">
        <f t="shared" si="12"/>
        <v>9.3457528223528517</v>
      </c>
      <c r="BQ419">
        <f t="shared" si="13"/>
        <v>29.024373660120681</v>
      </c>
    </row>
    <row r="420" spans="1:69" hidden="1" x14ac:dyDescent="0.2">
      <c r="A420" t="s">
        <v>1340</v>
      </c>
      <c r="B420" t="s">
        <v>68</v>
      </c>
      <c r="C420" t="s">
        <v>69</v>
      </c>
      <c r="D420" t="s">
        <v>70</v>
      </c>
      <c r="E420" t="s">
        <v>862</v>
      </c>
      <c r="F420">
        <v>3</v>
      </c>
      <c r="G420">
        <v>40</v>
      </c>
      <c r="H420">
        <v>2</v>
      </c>
      <c r="I420">
        <v>1</v>
      </c>
      <c r="J420">
        <v>0</v>
      </c>
      <c r="K420" t="s">
        <v>110</v>
      </c>
      <c r="L420" t="s">
        <v>111</v>
      </c>
      <c r="M420" s="4">
        <v>215000000</v>
      </c>
      <c r="N420">
        <v>0</v>
      </c>
      <c r="O420">
        <v>4.7590995500000002</v>
      </c>
      <c r="P420">
        <v>-74.101642999999996</v>
      </c>
      <c r="Q420" t="s">
        <v>1341</v>
      </c>
      <c r="R420">
        <v>5375000</v>
      </c>
      <c r="S420">
        <v>0</v>
      </c>
      <c r="T420" t="s">
        <v>119</v>
      </c>
      <c r="U420" t="s">
        <v>787</v>
      </c>
      <c r="V420" t="s">
        <v>77</v>
      </c>
      <c r="W420" t="s">
        <v>119</v>
      </c>
      <c r="X420" t="s">
        <v>788</v>
      </c>
      <c r="Y420">
        <v>0.93862066591695004</v>
      </c>
      <c r="Z420">
        <v>938.62066591694997</v>
      </c>
      <c r="AA420">
        <v>4.7612472222222202</v>
      </c>
      <c r="AB420">
        <v>-74.093461111111097</v>
      </c>
      <c r="AC420">
        <v>2571</v>
      </c>
      <c r="AD420">
        <v>6</v>
      </c>
      <c r="AE420" t="s">
        <v>154</v>
      </c>
      <c r="AF420" t="s">
        <v>107</v>
      </c>
      <c r="AG420" t="s">
        <v>82</v>
      </c>
      <c r="AH420" t="s">
        <v>83</v>
      </c>
      <c r="AI420" t="s">
        <v>121</v>
      </c>
      <c r="AJ420">
        <v>1.5842032336546501</v>
      </c>
      <c r="AK420">
        <v>1.3636592126773801</v>
      </c>
      <c r="AL420">
        <v>5.3747859995353302</v>
      </c>
      <c r="AM420">
        <v>1.01961182599466</v>
      </c>
      <c r="AN420">
        <v>2.6643571722274499</v>
      </c>
      <c r="AO420">
        <v>0.21731965303816</v>
      </c>
      <c r="AP420">
        <v>0.21731965303816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15.3</v>
      </c>
      <c r="AZ420">
        <v>9.8000000000000007</v>
      </c>
      <c r="BA420">
        <v>29.7</v>
      </c>
      <c r="BB420">
        <v>564</v>
      </c>
      <c r="BC420">
        <v>68</v>
      </c>
      <c r="BD420">
        <v>1.8</v>
      </c>
      <c r="BE420">
        <v>43</v>
      </c>
      <c r="BF420">
        <v>25.4</v>
      </c>
      <c r="BG420">
        <v>162</v>
      </c>
      <c r="BH420">
        <v>9.1</v>
      </c>
      <c r="BI420">
        <v>9.1999999999999993</v>
      </c>
      <c r="BJ420">
        <v>18.3</v>
      </c>
      <c r="BK420">
        <v>0.34</v>
      </c>
      <c r="BL420">
        <v>7.3</v>
      </c>
      <c r="BM420">
        <v>0.9</v>
      </c>
      <c r="BN420">
        <v>7.5</v>
      </c>
      <c r="BO420">
        <v>2.9</v>
      </c>
      <c r="BP420">
        <f t="shared" si="12"/>
        <v>9.3550907718892304</v>
      </c>
      <c r="BQ420">
        <f t="shared" si="13"/>
        <v>29.038430717028813</v>
      </c>
    </row>
    <row r="421" spans="1:69" hidden="1" x14ac:dyDescent="0.2">
      <c r="A421" t="s">
        <v>4373</v>
      </c>
      <c r="B421" t="s">
        <v>68</v>
      </c>
      <c r="C421" t="s">
        <v>3294</v>
      </c>
      <c r="D421" t="s">
        <v>70</v>
      </c>
      <c r="E421" t="s">
        <v>121</v>
      </c>
      <c r="F421">
        <v>3</v>
      </c>
      <c r="G421">
        <v>40</v>
      </c>
      <c r="H421">
        <v>1</v>
      </c>
      <c r="I421">
        <v>1</v>
      </c>
      <c r="J421">
        <v>0</v>
      </c>
      <c r="K421" t="s">
        <v>110</v>
      </c>
      <c r="L421" t="s">
        <v>162</v>
      </c>
      <c r="M421" s="4">
        <v>175000000</v>
      </c>
      <c r="N421">
        <v>0</v>
      </c>
      <c r="O421">
        <v>4.7351299999999998</v>
      </c>
      <c r="P421">
        <v>-74.083690000000004</v>
      </c>
      <c r="Q421" t="s">
        <v>4374</v>
      </c>
      <c r="R421">
        <v>4375000</v>
      </c>
      <c r="S421">
        <v>0</v>
      </c>
      <c r="T421" t="s">
        <v>117</v>
      </c>
      <c r="U421" t="s">
        <v>118</v>
      </c>
      <c r="V421" t="s">
        <v>77</v>
      </c>
      <c r="W421" t="s">
        <v>119</v>
      </c>
      <c r="X421" t="s">
        <v>120</v>
      </c>
      <c r="Y421">
        <v>1.5939654063411399</v>
      </c>
      <c r="Z421">
        <v>1593.9654063411399</v>
      </c>
      <c r="AA421">
        <v>4.73719444444444</v>
      </c>
      <c r="AB421">
        <v>-74.069472222222203</v>
      </c>
      <c r="AC421">
        <v>2555</v>
      </c>
      <c r="AD421">
        <v>0</v>
      </c>
      <c r="AE421" t="s">
        <v>80</v>
      </c>
      <c r="AF421" t="s">
        <v>107</v>
      </c>
      <c r="AG421" t="s">
        <v>82</v>
      </c>
      <c r="AH421" t="s">
        <v>83</v>
      </c>
      <c r="AI421" t="s">
        <v>121</v>
      </c>
      <c r="AJ421">
        <v>0.302641478422007</v>
      </c>
      <c r="AK421">
        <v>4.4383951939188702</v>
      </c>
      <c r="AL421">
        <v>2.4355941233068901</v>
      </c>
      <c r="AM421">
        <v>0.26146974131853801</v>
      </c>
      <c r="AN421">
        <v>0.71733519752563202</v>
      </c>
      <c r="AO421">
        <v>1.7263803628133099E-2</v>
      </c>
      <c r="AP421">
        <v>1.7263803628133099E-2</v>
      </c>
      <c r="AQ421">
        <v>1</v>
      </c>
      <c r="AR421">
        <v>2</v>
      </c>
      <c r="AS421">
        <v>0</v>
      </c>
      <c r="AT421">
        <v>0</v>
      </c>
      <c r="AU421">
        <v>0</v>
      </c>
      <c r="AV421">
        <v>26</v>
      </c>
      <c r="AW421">
        <v>1</v>
      </c>
      <c r="AX421">
        <v>0</v>
      </c>
      <c r="AY421">
        <v>15.3</v>
      </c>
      <c r="AZ421">
        <v>9.8000000000000007</v>
      </c>
      <c r="BA421">
        <v>29.7</v>
      </c>
      <c r="BB421">
        <v>564</v>
      </c>
      <c r="BC421">
        <v>68</v>
      </c>
      <c r="BD421">
        <v>1.8</v>
      </c>
      <c r="BE421">
        <v>43</v>
      </c>
      <c r="BF421">
        <v>25.4</v>
      </c>
      <c r="BG421">
        <v>162</v>
      </c>
      <c r="BH421">
        <v>9.1</v>
      </c>
      <c r="BI421">
        <v>9.1999999999999993</v>
      </c>
      <c r="BJ421">
        <v>18.3</v>
      </c>
      <c r="BK421">
        <v>0.34</v>
      </c>
      <c r="BL421">
        <v>7.3</v>
      </c>
      <c r="BM421">
        <v>0.9</v>
      </c>
      <c r="BN421">
        <v>7.5</v>
      </c>
      <c r="BO421">
        <v>2.9</v>
      </c>
      <c r="BP421">
        <f t="shared" si="12"/>
        <v>9.0564852027036569</v>
      </c>
      <c r="BQ421">
        <f t="shared" si="13"/>
        <v>28.585279315133747</v>
      </c>
    </row>
    <row r="422" spans="1:69" hidden="1" x14ac:dyDescent="0.2">
      <c r="A422" t="s">
        <v>3821</v>
      </c>
      <c r="B422" t="s">
        <v>68</v>
      </c>
      <c r="C422" t="s">
        <v>3294</v>
      </c>
      <c r="D422" t="s">
        <v>70</v>
      </c>
      <c r="E422" t="s">
        <v>1767</v>
      </c>
      <c r="F422">
        <v>4</v>
      </c>
      <c r="G422">
        <v>39</v>
      </c>
      <c r="H422">
        <v>2</v>
      </c>
      <c r="I422">
        <v>1</v>
      </c>
      <c r="J422">
        <v>0</v>
      </c>
      <c r="K422" t="s">
        <v>110</v>
      </c>
      <c r="L422" t="s">
        <v>111</v>
      </c>
      <c r="M422" s="4">
        <v>260000000</v>
      </c>
      <c r="N422">
        <v>0</v>
      </c>
      <c r="O422">
        <v>4.7436600000000002</v>
      </c>
      <c r="P422">
        <v>-74.068110000000004</v>
      </c>
      <c r="Q422" t="s">
        <v>3822</v>
      </c>
      <c r="R422">
        <v>6666666.6670000004</v>
      </c>
      <c r="S422">
        <v>0</v>
      </c>
      <c r="T422" t="s">
        <v>117</v>
      </c>
      <c r="U422" t="s">
        <v>118</v>
      </c>
      <c r="V422" t="s">
        <v>77</v>
      </c>
      <c r="W422" t="s">
        <v>119</v>
      </c>
      <c r="X422" t="s">
        <v>120</v>
      </c>
      <c r="Y422">
        <v>0.73543678507976795</v>
      </c>
      <c r="Z422">
        <v>735.43678507976801</v>
      </c>
      <c r="AA422">
        <v>4.73719444444444</v>
      </c>
      <c r="AB422">
        <v>-74.069472222222203</v>
      </c>
      <c r="AC422">
        <v>2555</v>
      </c>
      <c r="AD422">
        <v>0</v>
      </c>
      <c r="AE422" t="s">
        <v>80</v>
      </c>
      <c r="AF422" t="s">
        <v>107</v>
      </c>
      <c r="AG422" t="s">
        <v>82</v>
      </c>
      <c r="AH422" t="s">
        <v>83</v>
      </c>
      <c r="AI422" t="s">
        <v>121</v>
      </c>
      <c r="AJ422">
        <v>1.68812807298878</v>
      </c>
      <c r="AK422">
        <v>5.2547917688862302</v>
      </c>
      <c r="AL422">
        <v>1.9433225892663999</v>
      </c>
      <c r="AM422">
        <v>0.52636933281906395</v>
      </c>
      <c r="AN422">
        <v>1.92322289081273</v>
      </c>
      <c r="AO422">
        <v>0.14863607771602599</v>
      </c>
      <c r="AP422">
        <v>0.14863607771602599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12</v>
      </c>
      <c r="AW422">
        <v>0</v>
      </c>
      <c r="AX422">
        <v>0</v>
      </c>
      <c r="AY422">
        <v>15.3</v>
      </c>
      <c r="AZ422">
        <v>9.8000000000000007</v>
      </c>
      <c r="BA422">
        <v>29.7</v>
      </c>
      <c r="BB422">
        <v>564</v>
      </c>
      <c r="BC422">
        <v>68</v>
      </c>
      <c r="BD422">
        <v>1.8</v>
      </c>
      <c r="BE422">
        <v>43</v>
      </c>
      <c r="BF422">
        <v>25.4</v>
      </c>
      <c r="BG422">
        <v>162</v>
      </c>
      <c r="BH422">
        <v>9.1</v>
      </c>
      <c r="BI422">
        <v>9.1999999999999993</v>
      </c>
      <c r="BJ422">
        <v>18.3</v>
      </c>
      <c r="BK422">
        <v>0.34</v>
      </c>
      <c r="BL422">
        <v>7.3</v>
      </c>
      <c r="BM422">
        <v>0.9</v>
      </c>
      <c r="BN422">
        <v>7.5</v>
      </c>
      <c r="BO422">
        <v>2.9</v>
      </c>
      <c r="BP422">
        <f t="shared" si="12"/>
        <v>9.4496553015608473</v>
      </c>
      <c r="BQ422">
        <f t="shared" si="13"/>
        <v>29.180379922341139</v>
      </c>
    </row>
    <row r="423" spans="1:69" hidden="1" x14ac:dyDescent="0.2">
      <c r="A423" t="s">
        <v>4169</v>
      </c>
      <c r="B423" t="s">
        <v>68</v>
      </c>
      <c r="C423" t="s">
        <v>3294</v>
      </c>
      <c r="D423" t="s">
        <v>70</v>
      </c>
      <c r="E423" t="s">
        <v>165</v>
      </c>
      <c r="F423">
        <v>3</v>
      </c>
      <c r="G423">
        <v>39</v>
      </c>
      <c r="H423">
        <v>1</v>
      </c>
      <c r="I423">
        <v>1</v>
      </c>
      <c r="J423">
        <v>0</v>
      </c>
      <c r="K423" t="s">
        <v>110</v>
      </c>
      <c r="L423" t="s">
        <v>111</v>
      </c>
      <c r="M423" s="4">
        <v>253000000</v>
      </c>
      <c r="N423">
        <v>0</v>
      </c>
      <c r="O423">
        <v>4.7586389000000002</v>
      </c>
      <c r="P423">
        <v>-74.052098999999998</v>
      </c>
      <c r="Q423" t="s">
        <v>4170</v>
      </c>
      <c r="R423">
        <v>6487179.4869999997</v>
      </c>
      <c r="S423">
        <v>0</v>
      </c>
      <c r="T423" t="s">
        <v>151</v>
      </c>
      <c r="U423" t="s">
        <v>152</v>
      </c>
      <c r="V423" t="s">
        <v>77</v>
      </c>
      <c r="W423" t="s">
        <v>119</v>
      </c>
      <c r="X423" t="s">
        <v>153</v>
      </c>
      <c r="Y423">
        <v>2.93151448813936</v>
      </c>
      <c r="Z423">
        <v>2931.5144881393599</v>
      </c>
      <c r="AA423">
        <v>4.7837500000000004</v>
      </c>
      <c r="AB423">
        <v>-74.044138888888895</v>
      </c>
      <c r="AC423">
        <v>2580</v>
      </c>
      <c r="AD423">
        <v>0</v>
      </c>
      <c r="AE423" t="s">
        <v>154</v>
      </c>
      <c r="AF423" t="s">
        <v>107</v>
      </c>
      <c r="AG423" t="s">
        <v>82</v>
      </c>
      <c r="AH423" t="s">
        <v>83</v>
      </c>
      <c r="AI423" t="s">
        <v>121</v>
      </c>
      <c r="AJ423">
        <v>0.80469574464798099</v>
      </c>
      <c r="AK423">
        <v>3.3377924904015401</v>
      </c>
      <c r="AL423">
        <v>0.60192000328283901</v>
      </c>
      <c r="AM423">
        <v>0.25306577116061901</v>
      </c>
      <c r="AN423">
        <v>3.3884317831345898</v>
      </c>
      <c r="AO423">
        <v>1.3387194689739999E-2</v>
      </c>
      <c r="AP423">
        <v>1.3387194689739999E-2</v>
      </c>
      <c r="AQ423">
        <v>0</v>
      </c>
      <c r="AR423">
        <v>2</v>
      </c>
      <c r="AS423">
        <v>0</v>
      </c>
      <c r="AT423">
        <v>0</v>
      </c>
      <c r="AU423">
        <v>1</v>
      </c>
      <c r="AV423">
        <v>19</v>
      </c>
      <c r="AW423">
        <v>0</v>
      </c>
      <c r="AX423">
        <v>0</v>
      </c>
      <c r="AY423">
        <v>15.3</v>
      </c>
      <c r="AZ423">
        <v>9.8000000000000007</v>
      </c>
      <c r="BA423">
        <v>29.7</v>
      </c>
      <c r="BB423">
        <v>564</v>
      </c>
      <c r="BC423">
        <v>68</v>
      </c>
      <c r="BD423">
        <v>1.8</v>
      </c>
      <c r="BE423">
        <v>43</v>
      </c>
      <c r="BF423">
        <v>25.4</v>
      </c>
      <c r="BG423">
        <v>162</v>
      </c>
      <c r="BH423">
        <v>9.1</v>
      </c>
      <c r="BI423">
        <v>9.1999999999999993</v>
      </c>
      <c r="BJ423">
        <v>18.3</v>
      </c>
      <c r="BK423">
        <v>0.34</v>
      </c>
      <c r="BL423">
        <v>7.3</v>
      </c>
      <c r="BM423">
        <v>0.9</v>
      </c>
      <c r="BN423">
        <v>7.5</v>
      </c>
      <c r="BO423">
        <v>2.9</v>
      </c>
      <c r="BP423">
        <f t="shared" si="12"/>
        <v>8.4762863080752542</v>
      </c>
      <c r="BQ423">
        <f t="shared" si="13"/>
        <v>27.682230193916698</v>
      </c>
    </row>
    <row r="424" spans="1:69" hidden="1" x14ac:dyDescent="0.2">
      <c r="A424" t="s">
        <v>4210</v>
      </c>
      <c r="B424" t="s">
        <v>68</v>
      </c>
      <c r="C424" t="s">
        <v>3294</v>
      </c>
      <c r="D424" t="s">
        <v>70</v>
      </c>
      <c r="E424" t="s">
        <v>165</v>
      </c>
      <c r="F424">
        <v>3</v>
      </c>
      <c r="G424">
        <v>39</v>
      </c>
      <c r="H424">
        <v>2</v>
      </c>
      <c r="I424">
        <v>1</v>
      </c>
      <c r="J424">
        <v>0</v>
      </c>
      <c r="K424" t="s">
        <v>110</v>
      </c>
      <c r="L424" t="s">
        <v>111</v>
      </c>
      <c r="M424" s="4">
        <v>241000000</v>
      </c>
      <c r="N424">
        <v>0</v>
      </c>
      <c r="O424">
        <v>4.7207926000000002</v>
      </c>
      <c r="P424">
        <v>-74.074768000000006</v>
      </c>
      <c r="Q424" t="s">
        <v>4211</v>
      </c>
      <c r="R424">
        <v>6179487.1789999995</v>
      </c>
      <c r="S424">
        <v>0</v>
      </c>
      <c r="T424" t="s">
        <v>117</v>
      </c>
      <c r="U424" t="s">
        <v>118</v>
      </c>
      <c r="V424" t="s">
        <v>77</v>
      </c>
      <c r="W424" t="s">
        <v>119</v>
      </c>
      <c r="X424" t="s">
        <v>120</v>
      </c>
      <c r="Y424">
        <v>1.91804207748638</v>
      </c>
      <c r="Z424">
        <v>1918.0420774863801</v>
      </c>
      <c r="AA424">
        <v>4.73719444444444</v>
      </c>
      <c r="AB424">
        <v>-74.069472222222203</v>
      </c>
      <c r="AC424">
        <v>2555</v>
      </c>
      <c r="AD424">
        <v>0</v>
      </c>
      <c r="AE424" t="s">
        <v>80</v>
      </c>
      <c r="AF424" t="s">
        <v>107</v>
      </c>
      <c r="AG424" t="s">
        <v>82</v>
      </c>
      <c r="AH424" t="s">
        <v>83</v>
      </c>
      <c r="AI424" t="s">
        <v>121</v>
      </c>
      <c r="AJ424">
        <v>5.2815802702927503E-2</v>
      </c>
      <c r="AK424">
        <v>5.6262528370061196</v>
      </c>
      <c r="AL424">
        <v>0.57249370046869297</v>
      </c>
      <c r="AM424">
        <v>0.28036028106592198</v>
      </c>
      <c r="AN424">
        <v>2.5612404988485502</v>
      </c>
      <c r="AO424">
        <v>0.120358298935377</v>
      </c>
      <c r="AP424">
        <v>0.120358298935377</v>
      </c>
      <c r="AQ424">
        <v>1</v>
      </c>
      <c r="AR424">
        <v>2</v>
      </c>
      <c r="AS424">
        <v>0</v>
      </c>
      <c r="AT424">
        <v>0</v>
      </c>
      <c r="AU424">
        <v>1</v>
      </c>
      <c r="AV424">
        <v>31</v>
      </c>
      <c r="AW424">
        <v>0</v>
      </c>
      <c r="AX424">
        <v>0</v>
      </c>
      <c r="AY424">
        <v>15.3</v>
      </c>
      <c r="AZ424">
        <v>9.8000000000000007</v>
      </c>
      <c r="BA424">
        <v>29.7</v>
      </c>
      <c r="BB424">
        <v>564</v>
      </c>
      <c r="BC424">
        <v>68</v>
      </c>
      <c r="BD424">
        <v>1.8</v>
      </c>
      <c r="BE424">
        <v>43</v>
      </c>
      <c r="BF424">
        <v>25.4</v>
      </c>
      <c r="BG424">
        <v>162</v>
      </c>
      <c r="BH424">
        <v>9.1</v>
      </c>
      <c r="BI424">
        <v>9.1999999999999993</v>
      </c>
      <c r="BJ424">
        <v>18.3</v>
      </c>
      <c r="BK424">
        <v>0.34</v>
      </c>
      <c r="BL424">
        <v>7.3</v>
      </c>
      <c r="BM424">
        <v>0.9</v>
      </c>
      <c r="BN424">
        <v>7.5</v>
      </c>
      <c r="BO424">
        <v>2.9</v>
      </c>
      <c r="BP424">
        <f t="shared" si="12"/>
        <v>8.9123620097267757</v>
      </c>
      <c r="BQ424">
        <f t="shared" si="13"/>
        <v>28.363809976223617</v>
      </c>
    </row>
    <row r="425" spans="1:69" hidden="1" x14ac:dyDescent="0.2">
      <c r="A425" t="s">
        <v>3791</v>
      </c>
      <c r="B425" t="s">
        <v>68</v>
      </c>
      <c r="C425" t="s">
        <v>3294</v>
      </c>
      <c r="D425" t="s">
        <v>70</v>
      </c>
      <c r="E425" t="s">
        <v>3792</v>
      </c>
      <c r="F425">
        <v>4</v>
      </c>
      <c r="G425">
        <v>39</v>
      </c>
      <c r="H425">
        <v>1</v>
      </c>
      <c r="I425">
        <v>1</v>
      </c>
      <c r="J425">
        <v>0</v>
      </c>
      <c r="K425" t="s">
        <v>110</v>
      </c>
      <c r="L425" t="s">
        <v>111</v>
      </c>
      <c r="M425" s="4">
        <v>215000000</v>
      </c>
      <c r="N425">
        <v>0</v>
      </c>
      <c r="O425">
        <v>4.7582000000000004</v>
      </c>
      <c r="P425">
        <v>-74.052109999999999</v>
      </c>
      <c r="Q425" t="s">
        <v>3793</v>
      </c>
      <c r="R425">
        <v>5512820.5130000003</v>
      </c>
      <c r="S425">
        <v>0</v>
      </c>
      <c r="T425" t="s">
        <v>151</v>
      </c>
      <c r="U425" t="s">
        <v>152</v>
      </c>
      <c r="V425" t="s">
        <v>77</v>
      </c>
      <c r="W425" t="s">
        <v>119</v>
      </c>
      <c r="X425" t="s">
        <v>153</v>
      </c>
      <c r="Y425">
        <v>2.97850180456228</v>
      </c>
      <c r="Z425">
        <v>2978.5018045622801</v>
      </c>
      <c r="AA425">
        <v>4.7837500000000004</v>
      </c>
      <c r="AB425">
        <v>-74.044138888888895</v>
      </c>
      <c r="AC425">
        <v>2580</v>
      </c>
      <c r="AD425">
        <v>0</v>
      </c>
      <c r="AE425" t="s">
        <v>154</v>
      </c>
      <c r="AF425" t="s">
        <v>107</v>
      </c>
      <c r="AG425" t="s">
        <v>82</v>
      </c>
      <c r="AH425" t="s">
        <v>83</v>
      </c>
      <c r="AI425" t="s">
        <v>121</v>
      </c>
      <c r="AJ425">
        <v>0.78004677605407502</v>
      </c>
      <c r="AK425">
        <v>3.3404846752127901</v>
      </c>
      <c r="AL425">
        <v>0.554863200125848</v>
      </c>
      <c r="AM425">
        <v>0.234478549037034</v>
      </c>
      <c r="AN425">
        <v>3.3626408370183101</v>
      </c>
      <c r="AO425">
        <v>3.2033839239975E-2</v>
      </c>
      <c r="AP425">
        <v>3.2033839239975E-2</v>
      </c>
      <c r="AQ425">
        <v>0</v>
      </c>
      <c r="AR425">
        <v>1</v>
      </c>
      <c r="AS425">
        <v>0</v>
      </c>
      <c r="AT425">
        <v>0</v>
      </c>
      <c r="AU425">
        <v>1</v>
      </c>
      <c r="AV425">
        <v>19</v>
      </c>
      <c r="AW425">
        <v>0</v>
      </c>
      <c r="AX425">
        <v>0</v>
      </c>
      <c r="AY425">
        <v>15.3</v>
      </c>
      <c r="AZ425">
        <v>9.8000000000000007</v>
      </c>
      <c r="BA425">
        <v>29.7</v>
      </c>
      <c r="BB425">
        <v>564</v>
      </c>
      <c r="BC425">
        <v>68</v>
      </c>
      <c r="BD425">
        <v>1.8</v>
      </c>
      <c r="BE425">
        <v>43</v>
      </c>
      <c r="BF425">
        <v>25.4</v>
      </c>
      <c r="BG425">
        <v>162</v>
      </c>
      <c r="BH425">
        <v>9.1</v>
      </c>
      <c r="BI425">
        <v>9.1999999999999993</v>
      </c>
      <c r="BJ425">
        <v>18.3</v>
      </c>
      <c r="BK425">
        <v>0.34</v>
      </c>
      <c r="BL425">
        <v>7.3</v>
      </c>
      <c r="BM425">
        <v>0.9</v>
      </c>
      <c r="BN425">
        <v>7.5</v>
      </c>
      <c r="BO425">
        <v>2.9</v>
      </c>
      <c r="BP425">
        <f t="shared" si="12"/>
        <v>8.4565944589453199</v>
      </c>
      <c r="BQ425">
        <f t="shared" si="13"/>
        <v>27.651030659985608</v>
      </c>
    </row>
    <row r="426" spans="1:69" hidden="1" x14ac:dyDescent="0.2">
      <c r="A426" t="s">
        <v>3765</v>
      </c>
      <c r="B426" t="s">
        <v>68</v>
      </c>
      <c r="C426" t="s">
        <v>3294</v>
      </c>
      <c r="D426" t="s">
        <v>70</v>
      </c>
      <c r="E426" t="s">
        <v>495</v>
      </c>
      <c r="F426">
        <v>3</v>
      </c>
      <c r="G426">
        <v>38.6</v>
      </c>
      <c r="H426">
        <v>1</v>
      </c>
      <c r="I426">
        <v>1</v>
      </c>
      <c r="J426">
        <v>0</v>
      </c>
      <c r="K426" t="s">
        <v>110</v>
      </c>
      <c r="L426" t="s">
        <v>111</v>
      </c>
      <c r="M426" s="4">
        <v>245000000</v>
      </c>
      <c r="N426">
        <v>0</v>
      </c>
      <c r="O426">
        <v>4.7275443079999997</v>
      </c>
      <c r="P426">
        <v>-74.053276060000002</v>
      </c>
      <c r="Q426" t="s">
        <v>3766</v>
      </c>
      <c r="R426">
        <v>6347150.2589999996</v>
      </c>
      <c r="S426">
        <v>0</v>
      </c>
      <c r="T426" t="s">
        <v>117</v>
      </c>
      <c r="U426" t="s">
        <v>118</v>
      </c>
      <c r="V426" t="s">
        <v>77</v>
      </c>
      <c r="W426" t="s">
        <v>119</v>
      </c>
      <c r="X426" t="s">
        <v>120</v>
      </c>
      <c r="Y426">
        <v>2.0934439016960198</v>
      </c>
      <c r="Z426">
        <v>2093.44390169602</v>
      </c>
      <c r="AA426">
        <v>4.73719444444444</v>
      </c>
      <c r="AB426">
        <v>-74.069472222222203</v>
      </c>
      <c r="AC426">
        <v>2555</v>
      </c>
      <c r="AD426">
        <v>0</v>
      </c>
      <c r="AE426" t="s">
        <v>80</v>
      </c>
      <c r="AF426" t="s">
        <v>107</v>
      </c>
      <c r="AG426" t="s">
        <v>82</v>
      </c>
      <c r="AH426" t="s">
        <v>83</v>
      </c>
      <c r="AI426" t="s">
        <v>121</v>
      </c>
      <c r="AJ426">
        <v>0.31684982994232103</v>
      </c>
      <c r="AK426">
        <v>3.4066387008022501</v>
      </c>
      <c r="AL426">
        <v>1.5886726239842599</v>
      </c>
      <c r="AM426">
        <v>0.23904603732339999</v>
      </c>
      <c r="AN426">
        <v>3.3245263037904902</v>
      </c>
      <c r="AO426">
        <v>1.34537550046637E-2</v>
      </c>
      <c r="AP426">
        <v>1.34537550046637E-2</v>
      </c>
      <c r="AQ426">
        <v>1</v>
      </c>
      <c r="AR426">
        <v>4</v>
      </c>
      <c r="AS426">
        <v>0</v>
      </c>
      <c r="AT426">
        <v>0</v>
      </c>
      <c r="AU426">
        <v>0</v>
      </c>
      <c r="AV426">
        <v>24</v>
      </c>
      <c r="AW426">
        <v>0</v>
      </c>
      <c r="AX426">
        <v>0</v>
      </c>
      <c r="AY426">
        <v>15.3</v>
      </c>
      <c r="AZ426">
        <v>9.8000000000000007</v>
      </c>
      <c r="BA426">
        <v>29.7</v>
      </c>
      <c r="BB426">
        <v>564</v>
      </c>
      <c r="BC426">
        <v>68</v>
      </c>
      <c r="BD426">
        <v>1.8</v>
      </c>
      <c r="BE426">
        <v>43</v>
      </c>
      <c r="BF426">
        <v>25.4</v>
      </c>
      <c r="BG426">
        <v>162</v>
      </c>
      <c r="BH426">
        <v>9.1</v>
      </c>
      <c r="BI426">
        <v>9.1999999999999993</v>
      </c>
      <c r="BJ426">
        <v>18.3</v>
      </c>
      <c r="BK426">
        <v>0.34</v>
      </c>
      <c r="BL426">
        <v>7.3</v>
      </c>
      <c r="BM426">
        <v>0.9</v>
      </c>
      <c r="BN426">
        <v>7.5</v>
      </c>
      <c r="BO426">
        <v>2.9</v>
      </c>
      <c r="BP426">
        <f t="shared" si="12"/>
        <v>8.8353163584848762</v>
      </c>
      <c r="BQ426">
        <f t="shared" si="13"/>
        <v>28.244659406634543</v>
      </c>
    </row>
    <row r="427" spans="1:69" hidden="1" x14ac:dyDescent="0.2">
      <c r="A427" t="s">
        <v>3898</v>
      </c>
      <c r="B427" t="s">
        <v>68</v>
      </c>
      <c r="C427" t="s">
        <v>3294</v>
      </c>
      <c r="D427" t="s">
        <v>70</v>
      </c>
      <c r="E427" t="s">
        <v>429</v>
      </c>
      <c r="F427">
        <v>5</v>
      </c>
      <c r="G427">
        <v>38.5</v>
      </c>
      <c r="H427">
        <v>1</v>
      </c>
      <c r="I427">
        <v>1</v>
      </c>
      <c r="J427">
        <v>1</v>
      </c>
      <c r="K427" t="s">
        <v>110</v>
      </c>
      <c r="L427" t="s">
        <v>111</v>
      </c>
      <c r="M427" s="4">
        <v>414800000</v>
      </c>
      <c r="N427">
        <v>0</v>
      </c>
      <c r="O427">
        <v>4.7248058320000004</v>
      </c>
      <c r="P427">
        <v>-74.049438480000006</v>
      </c>
      <c r="Q427" t="s">
        <v>3899</v>
      </c>
      <c r="R427">
        <v>10774025.970000001</v>
      </c>
      <c r="S427">
        <v>0</v>
      </c>
      <c r="T427" t="s">
        <v>117</v>
      </c>
      <c r="U427" t="s">
        <v>118</v>
      </c>
      <c r="V427" t="s">
        <v>77</v>
      </c>
      <c r="W427" t="s">
        <v>119</v>
      </c>
      <c r="X427" t="s">
        <v>120</v>
      </c>
      <c r="Y427">
        <v>2.6156487656109002</v>
      </c>
      <c r="Z427">
        <v>2615.6487656109002</v>
      </c>
      <c r="AA427">
        <v>4.73719444444444</v>
      </c>
      <c r="AB427">
        <v>-74.069472222222203</v>
      </c>
      <c r="AC427">
        <v>2555</v>
      </c>
      <c r="AD427">
        <v>0</v>
      </c>
      <c r="AE427" t="s">
        <v>80</v>
      </c>
      <c r="AF427" t="s">
        <v>107</v>
      </c>
      <c r="AG427" t="s">
        <v>82</v>
      </c>
      <c r="AH427" t="s">
        <v>83</v>
      </c>
      <c r="AI427" t="s">
        <v>108</v>
      </c>
      <c r="AJ427">
        <v>0.25490498305667603</v>
      </c>
      <c r="AK427">
        <v>2.9242209060889399</v>
      </c>
      <c r="AL427">
        <v>1.37785849747266</v>
      </c>
      <c r="AM427">
        <v>8.3370456925129399E-2</v>
      </c>
      <c r="AN427">
        <v>3.1235772803930999</v>
      </c>
      <c r="AO427">
        <v>1.43609813866763E-2</v>
      </c>
      <c r="AP427">
        <v>1.43609813866763E-2</v>
      </c>
      <c r="AQ427">
        <v>2</v>
      </c>
      <c r="AR427">
        <v>3</v>
      </c>
      <c r="AS427">
        <v>0</v>
      </c>
      <c r="AT427">
        <v>0</v>
      </c>
      <c r="AU427">
        <v>0</v>
      </c>
      <c r="AV427">
        <v>42</v>
      </c>
      <c r="AW427">
        <v>0</v>
      </c>
      <c r="AX427">
        <v>0</v>
      </c>
      <c r="AY427">
        <v>15.3</v>
      </c>
      <c r="AZ427">
        <v>9.8000000000000007</v>
      </c>
      <c r="BA427">
        <v>29.7</v>
      </c>
      <c r="BB427">
        <v>564</v>
      </c>
      <c r="BC427">
        <v>68</v>
      </c>
      <c r="BD427">
        <v>1.8</v>
      </c>
      <c r="BE427">
        <v>43</v>
      </c>
      <c r="BF427">
        <v>25.4</v>
      </c>
      <c r="BG427">
        <v>162</v>
      </c>
      <c r="BH427">
        <v>9.1</v>
      </c>
      <c r="BI427">
        <v>9.1999999999999993</v>
      </c>
      <c r="BJ427">
        <v>18.3</v>
      </c>
      <c r="BK427">
        <v>0.34</v>
      </c>
      <c r="BL427">
        <v>7.3</v>
      </c>
      <c r="BM427">
        <v>0.9</v>
      </c>
      <c r="BN427">
        <v>7.5</v>
      </c>
      <c r="BO427">
        <v>2.9</v>
      </c>
      <c r="BP427">
        <f t="shared" si="12"/>
        <v>8.6098575344287269</v>
      </c>
      <c r="BQ427">
        <f t="shared" si="13"/>
        <v>27.892880454866436</v>
      </c>
    </row>
    <row r="428" spans="1:69" hidden="1" x14ac:dyDescent="0.2">
      <c r="A428" t="s">
        <v>3726</v>
      </c>
      <c r="B428" t="s">
        <v>68</v>
      </c>
      <c r="C428" t="s">
        <v>3294</v>
      </c>
      <c r="D428" t="s">
        <v>70</v>
      </c>
      <c r="E428" t="s">
        <v>3727</v>
      </c>
      <c r="F428">
        <v>3</v>
      </c>
      <c r="G428">
        <v>38</v>
      </c>
      <c r="H428">
        <v>1</v>
      </c>
      <c r="I428">
        <v>1</v>
      </c>
      <c r="J428">
        <v>2</v>
      </c>
      <c r="K428" t="s">
        <v>110</v>
      </c>
      <c r="L428" t="s">
        <v>133</v>
      </c>
      <c r="M428" s="4">
        <v>320000000</v>
      </c>
      <c r="N428">
        <v>0</v>
      </c>
      <c r="O428">
        <v>4.7472410199999997</v>
      </c>
      <c r="P428">
        <v>-74.053718570000001</v>
      </c>
      <c r="Q428" t="s">
        <v>3728</v>
      </c>
      <c r="R428">
        <v>8421052.6319999993</v>
      </c>
      <c r="S428">
        <v>0</v>
      </c>
      <c r="T428" t="s">
        <v>117</v>
      </c>
      <c r="U428" t="s">
        <v>118</v>
      </c>
      <c r="V428" t="s">
        <v>77</v>
      </c>
      <c r="W428" t="s">
        <v>119</v>
      </c>
      <c r="X428" t="s">
        <v>120</v>
      </c>
      <c r="Y428">
        <v>2.0748919715582801</v>
      </c>
      <c r="Z428">
        <v>2074.8919715582801</v>
      </c>
      <c r="AA428">
        <v>4.73719444444444</v>
      </c>
      <c r="AB428">
        <v>-74.069472222222203</v>
      </c>
      <c r="AC428">
        <v>2555</v>
      </c>
      <c r="AD428">
        <v>0</v>
      </c>
      <c r="AE428" t="s">
        <v>80</v>
      </c>
      <c r="AF428" t="s">
        <v>107</v>
      </c>
      <c r="AG428" t="s">
        <v>82</v>
      </c>
      <c r="AH428" t="s">
        <v>83</v>
      </c>
      <c r="AI428" t="s">
        <v>121</v>
      </c>
      <c r="AJ428">
        <v>0.72607427024721904</v>
      </c>
      <c r="AK428">
        <v>3.6803412742991499</v>
      </c>
      <c r="AL428">
        <v>0.67853603146525598</v>
      </c>
      <c r="AM428">
        <v>0.471371194228005</v>
      </c>
      <c r="AN428">
        <v>3.05767445757518</v>
      </c>
      <c r="AO428">
        <v>4.4339473583280701E-3</v>
      </c>
      <c r="AP428">
        <v>4.4339473583280701E-3</v>
      </c>
      <c r="AQ428">
        <v>0</v>
      </c>
      <c r="AR428">
        <v>2</v>
      </c>
      <c r="AS428">
        <v>0</v>
      </c>
      <c r="AT428">
        <v>0</v>
      </c>
      <c r="AU428">
        <v>1</v>
      </c>
      <c r="AV428">
        <v>14</v>
      </c>
      <c r="AW428">
        <v>0</v>
      </c>
      <c r="AX428">
        <v>0</v>
      </c>
      <c r="AY428">
        <v>15.3</v>
      </c>
      <c r="AZ428">
        <v>9.8000000000000007</v>
      </c>
      <c r="BA428">
        <v>29.7</v>
      </c>
      <c r="BB428">
        <v>564</v>
      </c>
      <c r="BC428">
        <v>68</v>
      </c>
      <c r="BD428">
        <v>1.8</v>
      </c>
      <c r="BE428">
        <v>43</v>
      </c>
      <c r="BF428">
        <v>25.4</v>
      </c>
      <c r="BG428">
        <v>162</v>
      </c>
      <c r="BH428">
        <v>9.1</v>
      </c>
      <c r="BI428">
        <v>9.1999999999999993</v>
      </c>
      <c r="BJ428">
        <v>18.3</v>
      </c>
      <c r="BK428">
        <v>0.34</v>
      </c>
      <c r="BL428">
        <v>7.3</v>
      </c>
      <c r="BM428">
        <v>0.9</v>
      </c>
      <c r="BN428">
        <v>7.5</v>
      </c>
      <c r="BO428">
        <v>2.9</v>
      </c>
      <c r="BP428">
        <f t="shared" si="12"/>
        <v>8.84343373759787</v>
      </c>
      <c r="BQ428">
        <f t="shared" si="13"/>
        <v>28.257238037475137</v>
      </c>
    </row>
    <row r="429" spans="1:69" hidden="1" x14ac:dyDescent="0.2">
      <c r="A429" t="s">
        <v>4023</v>
      </c>
      <c r="B429" t="s">
        <v>68</v>
      </c>
      <c r="C429" t="s">
        <v>3294</v>
      </c>
      <c r="D429" t="s">
        <v>70</v>
      </c>
      <c r="E429" t="s">
        <v>140</v>
      </c>
      <c r="F429">
        <v>4</v>
      </c>
      <c r="G429">
        <v>38</v>
      </c>
      <c r="H429">
        <v>1</v>
      </c>
      <c r="I429">
        <v>1</v>
      </c>
      <c r="J429">
        <v>1</v>
      </c>
      <c r="K429" t="s">
        <v>110</v>
      </c>
      <c r="L429" t="s">
        <v>124</v>
      </c>
      <c r="M429" s="4">
        <v>280000000</v>
      </c>
      <c r="N429">
        <v>0</v>
      </c>
      <c r="O429">
        <v>4.7416770000000001</v>
      </c>
      <c r="P429">
        <v>-74.060261999999994</v>
      </c>
      <c r="Q429" t="s">
        <v>4024</v>
      </c>
      <c r="R429">
        <v>7368421.0530000003</v>
      </c>
      <c r="S429">
        <v>0</v>
      </c>
      <c r="T429" t="s">
        <v>117</v>
      </c>
      <c r="U429" t="s">
        <v>118</v>
      </c>
      <c r="V429" t="s">
        <v>77</v>
      </c>
      <c r="W429" t="s">
        <v>119</v>
      </c>
      <c r="X429" t="s">
        <v>120</v>
      </c>
      <c r="Y429">
        <v>1.13710771535105</v>
      </c>
      <c r="Z429">
        <v>1137.10771535105</v>
      </c>
      <c r="AA429">
        <v>4.73719444444444</v>
      </c>
      <c r="AB429">
        <v>-74.069472222222203</v>
      </c>
      <c r="AC429">
        <v>2555</v>
      </c>
      <c r="AD429">
        <v>0</v>
      </c>
      <c r="AE429" t="s">
        <v>80</v>
      </c>
      <c r="AF429" t="s">
        <v>107</v>
      </c>
      <c r="AG429" t="s">
        <v>82</v>
      </c>
      <c r="AH429" t="s">
        <v>83</v>
      </c>
      <c r="AI429" t="s">
        <v>121</v>
      </c>
      <c r="AJ429">
        <v>1.3597168495501699</v>
      </c>
      <c r="AK429">
        <v>4.3576029510064496</v>
      </c>
      <c r="AL429">
        <v>1.49455506562768</v>
      </c>
      <c r="AM429">
        <v>0.420685265647261</v>
      </c>
      <c r="AN429">
        <v>2.7774101614802902</v>
      </c>
      <c r="AO429">
        <v>0.15900331649439001</v>
      </c>
      <c r="AP429">
        <v>0.15900331649439001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11</v>
      </c>
      <c r="AW429">
        <v>0</v>
      </c>
      <c r="AX429">
        <v>0</v>
      </c>
      <c r="AY429">
        <v>15.3</v>
      </c>
      <c r="AZ429">
        <v>9.8000000000000007</v>
      </c>
      <c r="BA429">
        <v>29.7</v>
      </c>
      <c r="BB429">
        <v>564</v>
      </c>
      <c r="BC429">
        <v>68</v>
      </c>
      <c r="BD429">
        <v>1.8</v>
      </c>
      <c r="BE429">
        <v>43</v>
      </c>
      <c r="BF429">
        <v>25.4</v>
      </c>
      <c r="BG429">
        <v>162</v>
      </c>
      <c r="BH429">
        <v>9.1</v>
      </c>
      <c r="BI429">
        <v>9.1999999999999993</v>
      </c>
      <c r="BJ429">
        <v>18.3</v>
      </c>
      <c r="BK429">
        <v>0.34</v>
      </c>
      <c r="BL429">
        <v>7.3</v>
      </c>
      <c r="BM429">
        <v>0.9</v>
      </c>
      <c r="BN429">
        <v>7.5</v>
      </c>
      <c r="BO429">
        <v>2.9</v>
      </c>
      <c r="BP429">
        <f t="shared" si="12"/>
        <v>9.2636260470669374</v>
      </c>
      <c r="BQ429">
        <f t="shared" si="13"/>
        <v>28.900429616774471</v>
      </c>
    </row>
    <row r="430" spans="1:69" hidden="1" x14ac:dyDescent="0.2">
      <c r="A430" t="s">
        <v>4310</v>
      </c>
      <c r="B430" t="s">
        <v>68</v>
      </c>
      <c r="C430" t="s">
        <v>3294</v>
      </c>
      <c r="D430" t="s">
        <v>70</v>
      </c>
      <c r="E430" t="s">
        <v>542</v>
      </c>
      <c r="F430">
        <v>3</v>
      </c>
      <c r="G430">
        <v>38</v>
      </c>
      <c r="H430">
        <v>2</v>
      </c>
      <c r="I430">
        <v>1</v>
      </c>
      <c r="J430">
        <v>0</v>
      </c>
      <c r="K430" t="s">
        <v>110</v>
      </c>
      <c r="L430" t="s">
        <v>133</v>
      </c>
      <c r="M430" s="4">
        <v>222000000</v>
      </c>
      <c r="N430">
        <v>0</v>
      </c>
      <c r="O430">
        <v>4.7371258999999997</v>
      </c>
      <c r="P430">
        <v>-74.0841195</v>
      </c>
      <c r="Q430" t="s">
        <v>4311</v>
      </c>
      <c r="R430">
        <v>5842105.2630000003</v>
      </c>
      <c r="S430">
        <v>0</v>
      </c>
      <c r="T430" t="s">
        <v>117</v>
      </c>
      <c r="U430" t="s">
        <v>118</v>
      </c>
      <c r="V430" t="s">
        <v>77</v>
      </c>
      <c r="W430" t="s">
        <v>119</v>
      </c>
      <c r="X430" t="s">
        <v>120</v>
      </c>
      <c r="Y430">
        <v>1.62497559293198</v>
      </c>
      <c r="Z430">
        <v>1624.9755929319799</v>
      </c>
      <c r="AA430">
        <v>4.73719444444444</v>
      </c>
      <c r="AB430">
        <v>-74.069472222222203</v>
      </c>
      <c r="AC430">
        <v>2555</v>
      </c>
      <c r="AD430">
        <v>0</v>
      </c>
      <c r="AE430" t="s">
        <v>80</v>
      </c>
      <c r="AF430" t="s">
        <v>107</v>
      </c>
      <c r="AG430" t="s">
        <v>82</v>
      </c>
      <c r="AH430" t="s">
        <v>83</v>
      </c>
      <c r="AI430" t="s">
        <v>121</v>
      </c>
      <c r="AJ430">
        <v>0.37616697786118702</v>
      </c>
      <c r="AK430">
        <v>4.2585791598971596</v>
      </c>
      <c r="AL430">
        <v>2.6464589888157599</v>
      </c>
      <c r="AM430">
        <v>5.42106217479578E-2</v>
      </c>
      <c r="AN430">
        <v>0.49195216605150299</v>
      </c>
      <c r="AO430">
        <v>9.4736722488307806E-2</v>
      </c>
      <c r="AP430">
        <v>9.4736722488307806E-2</v>
      </c>
      <c r="AQ430">
        <v>2</v>
      </c>
      <c r="AR430">
        <v>3</v>
      </c>
      <c r="AS430">
        <v>0</v>
      </c>
      <c r="AT430">
        <v>0</v>
      </c>
      <c r="AU430">
        <v>0</v>
      </c>
      <c r="AV430">
        <v>26</v>
      </c>
      <c r="AW430">
        <v>1</v>
      </c>
      <c r="AX430">
        <v>0</v>
      </c>
      <c r="AY430">
        <v>15.3</v>
      </c>
      <c r="AZ430">
        <v>9.8000000000000007</v>
      </c>
      <c r="BA430">
        <v>29.7</v>
      </c>
      <c r="BB430">
        <v>564</v>
      </c>
      <c r="BC430">
        <v>68</v>
      </c>
      <c r="BD430">
        <v>1.8</v>
      </c>
      <c r="BE430">
        <v>43</v>
      </c>
      <c r="BF430">
        <v>25.4</v>
      </c>
      <c r="BG430">
        <v>162</v>
      </c>
      <c r="BH430">
        <v>9.1</v>
      </c>
      <c r="BI430">
        <v>9.1999999999999993</v>
      </c>
      <c r="BJ430">
        <v>18.3</v>
      </c>
      <c r="BK430">
        <v>0.34</v>
      </c>
      <c r="BL430">
        <v>7.3</v>
      </c>
      <c r="BM430">
        <v>0.9</v>
      </c>
      <c r="BN430">
        <v>7.5</v>
      </c>
      <c r="BO430">
        <v>2.9</v>
      </c>
      <c r="BP430">
        <f t="shared" si="12"/>
        <v>9.0425941237121084</v>
      </c>
      <c r="BQ430">
        <f t="shared" si="13"/>
        <v>28.564012793573468</v>
      </c>
    </row>
    <row r="431" spans="1:69" hidden="1" x14ac:dyDescent="0.2">
      <c r="A431" t="s">
        <v>3634</v>
      </c>
      <c r="B431" t="s">
        <v>68</v>
      </c>
      <c r="C431" t="s">
        <v>3294</v>
      </c>
      <c r="D431" t="s">
        <v>70</v>
      </c>
      <c r="E431" t="s">
        <v>205</v>
      </c>
      <c r="F431">
        <v>4</v>
      </c>
      <c r="G431">
        <v>37.31</v>
      </c>
      <c r="H431">
        <v>1</v>
      </c>
      <c r="I431">
        <v>1</v>
      </c>
      <c r="J431">
        <v>1</v>
      </c>
      <c r="K431" t="s">
        <v>110</v>
      </c>
      <c r="L431" t="s">
        <v>124</v>
      </c>
      <c r="M431" s="4">
        <v>265000000</v>
      </c>
      <c r="N431">
        <v>0</v>
      </c>
      <c r="O431">
        <v>4.72776</v>
      </c>
      <c r="P431">
        <v>-74.048850000000002</v>
      </c>
      <c r="Q431" t="s">
        <v>3635</v>
      </c>
      <c r="R431">
        <v>7102653.4440000001</v>
      </c>
      <c r="S431">
        <v>0</v>
      </c>
      <c r="T431" t="s">
        <v>117</v>
      </c>
      <c r="U431" t="s">
        <v>118</v>
      </c>
      <c r="V431" t="s">
        <v>77</v>
      </c>
      <c r="W431" t="s">
        <v>119</v>
      </c>
      <c r="X431" t="s">
        <v>120</v>
      </c>
      <c r="Y431">
        <v>2.51737162762387</v>
      </c>
      <c r="Z431">
        <v>2517.3716276238702</v>
      </c>
      <c r="AA431">
        <v>4.73719444444444</v>
      </c>
      <c r="AB431">
        <v>-74.069472222222203</v>
      </c>
      <c r="AC431">
        <v>2555</v>
      </c>
      <c r="AD431">
        <v>0</v>
      </c>
      <c r="AE431" t="s">
        <v>80</v>
      </c>
      <c r="AF431" t="s">
        <v>107</v>
      </c>
      <c r="AG431" t="s">
        <v>82</v>
      </c>
      <c r="AH431" t="s">
        <v>83</v>
      </c>
      <c r="AI431" t="s">
        <v>108</v>
      </c>
      <c r="AJ431">
        <v>0.20907919069931399</v>
      </c>
      <c r="AK431">
        <v>2.9416487823632802</v>
      </c>
      <c r="AL431">
        <v>1.13554778850088</v>
      </c>
      <c r="AM431">
        <v>7.7452555628140393E-2</v>
      </c>
      <c r="AN431">
        <v>2.88647397305302</v>
      </c>
      <c r="AO431">
        <v>8.4507960315511499E-2</v>
      </c>
      <c r="AP431">
        <v>8.4507960315511499E-2</v>
      </c>
      <c r="AQ431">
        <v>2</v>
      </c>
      <c r="AR431">
        <v>4</v>
      </c>
      <c r="AS431">
        <v>0</v>
      </c>
      <c r="AT431">
        <v>0</v>
      </c>
      <c r="AU431">
        <v>0</v>
      </c>
      <c r="AV431">
        <v>40</v>
      </c>
      <c r="AW431">
        <v>0</v>
      </c>
      <c r="AX431">
        <v>0</v>
      </c>
      <c r="AY431">
        <v>15.3</v>
      </c>
      <c r="AZ431">
        <v>9.8000000000000007</v>
      </c>
      <c r="BA431">
        <v>29.7</v>
      </c>
      <c r="BB431">
        <v>564</v>
      </c>
      <c r="BC431">
        <v>68</v>
      </c>
      <c r="BD431">
        <v>1.8</v>
      </c>
      <c r="BE431">
        <v>43</v>
      </c>
      <c r="BF431">
        <v>25.4</v>
      </c>
      <c r="BG431">
        <v>162</v>
      </c>
      <c r="BH431">
        <v>9.1</v>
      </c>
      <c r="BI431">
        <v>9.1999999999999993</v>
      </c>
      <c r="BJ431">
        <v>18.3</v>
      </c>
      <c r="BK431">
        <v>0.34</v>
      </c>
      <c r="BL431">
        <v>7.3</v>
      </c>
      <c r="BM431">
        <v>0.9</v>
      </c>
      <c r="BN431">
        <v>7.5</v>
      </c>
      <c r="BO431">
        <v>2.9</v>
      </c>
      <c r="BP431">
        <f t="shared" si="12"/>
        <v>8.651844109827028</v>
      </c>
      <c r="BQ431">
        <f t="shared" si="13"/>
        <v>27.958747682313049</v>
      </c>
    </row>
    <row r="432" spans="1:69" hidden="1" x14ac:dyDescent="0.2">
      <c r="A432" t="s">
        <v>164</v>
      </c>
      <c r="B432" t="s">
        <v>68</v>
      </c>
      <c r="C432" t="s">
        <v>69</v>
      </c>
      <c r="D432" t="s">
        <v>70</v>
      </c>
      <c r="E432" t="s">
        <v>165</v>
      </c>
      <c r="F432">
        <v>4</v>
      </c>
      <c r="G432">
        <v>37</v>
      </c>
      <c r="H432">
        <v>2</v>
      </c>
      <c r="I432">
        <v>1</v>
      </c>
      <c r="J432">
        <v>0</v>
      </c>
      <c r="K432" t="s">
        <v>110</v>
      </c>
      <c r="L432" t="s">
        <v>111</v>
      </c>
      <c r="M432" s="4">
        <v>270000000</v>
      </c>
      <c r="N432">
        <v>0</v>
      </c>
      <c r="O432">
        <v>4.7571954999999999</v>
      </c>
      <c r="P432">
        <v>-74.052574000000007</v>
      </c>
      <c r="Q432" t="s">
        <v>166</v>
      </c>
      <c r="R432">
        <v>7297297.2970000003</v>
      </c>
      <c r="S432">
        <v>0</v>
      </c>
      <c r="T432" t="s">
        <v>117</v>
      </c>
      <c r="U432" t="s">
        <v>118</v>
      </c>
      <c r="V432" t="s">
        <v>77</v>
      </c>
      <c r="W432" t="s">
        <v>119</v>
      </c>
      <c r="X432" t="s">
        <v>120</v>
      </c>
      <c r="Y432">
        <v>2.9106084804418102</v>
      </c>
      <c r="Z432">
        <v>2910.6084804418101</v>
      </c>
      <c r="AA432">
        <v>4.73719444444444</v>
      </c>
      <c r="AB432">
        <v>-74.069472222222203</v>
      </c>
      <c r="AC432">
        <v>2555</v>
      </c>
      <c r="AD432">
        <v>0</v>
      </c>
      <c r="AE432" t="s">
        <v>80</v>
      </c>
      <c r="AF432" t="s">
        <v>107</v>
      </c>
      <c r="AG432" t="s">
        <v>82</v>
      </c>
      <c r="AH432" t="s">
        <v>83</v>
      </c>
      <c r="AI432" t="s">
        <v>121</v>
      </c>
      <c r="AJ432">
        <v>0.77772871359934703</v>
      </c>
      <c r="AK432">
        <v>3.3896119000015701</v>
      </c>
      <c r="AL432">
        <v>0.43432513631529801</v>
      </c>
      <c r="AM432">
        <v>0.180647385569949</v>
      </c>
      <c r="AN432">
        <v>3.3470875235511701</v>
      </c>
      <c r="AO432">
        <v>7.6180792166303302E-2</v>
      </c>
      <c r="AP432">
        <v>7.6180792166303302E-2</v>
      </c>
      <c r="AQ432">
        <v>0</v>
      </c>
      <c r="AR432">
        <v>1</v>
      </c>
      <c r="AS432">
        <v>0</v>
      </c>
      <c r="AT432">
        <v>0</v>
      </c>
      <c r="AU432">
        <v>1</v>
      </c>
      <c r="AV432">
        <v>22</v>
      </c>
      <c r="AW432">
        <v>0</v>
      </c>
      <c r="AX432">
        <v>0</v>
      </c>
      <c r="AY432">
        <v>15.3</v>
      </c>
      <c r="AZ432">
        <v>9.8000000000000007</v>
      </c>
      <c r="BA432">
        <v>29.7</v>
      </c>
      <c r="BB432">
        <v>564</v>
      </c>
      <c r="BC432">
        <v>68</v>
      </c>
      <c r="BD432">
        <v>1.8</v>
      </c>
      <c r="BE432">
        <v>43</v>
      </c>
      <c r="BF432">
        <v>25.4</v>
      </c>
      <c r="BG432">
        <v>162</v>
      </c>
      <c r="BH432">
        <v>9.1</v>
      </c>
      <c r="BI432">
        <v>9.1999999999999993</v>
      </c>
      <c r="BJ432">
        <v>18.3</v>
      </c>
      <c r="BK432">
        <v>0.34</v>
      </c>
      <c r="BL432">
        <v>7.3</v>
      </c>
      <c r="BM432">
        <v>0.9</v>
      </c>
      <c r="BN432">
        <v>7.5</v>
      </c>
      <c r="BO432">
        <v>2.9</v>
      </c>
      <c r="BP432">
        <f t="shared" si="12"/>
        <v>8.4850625109941085</v>
      </c>
      <c r="BQ432">
        <f t="shared" si="13"/>
        <v>27.696123076982349</v>
      </c>
    </row>
    <row r="433" spans="1:69" hidden="1" x14ac:dyDescent="0.2">
      <c r="A433" t="s">
        <v>958</v>
      </c>
      <c r="B433" t="s">
        <v>68</v>
      </c>
      <c r="C433" t="s">
        <v>69</v>
      </c>
      <c r="D433" t="s">
        <v>70</v>
      </c>
      <c r="E433" t="s">
        <v>959</v>
      </c>
      <c r="F433">
        <v>4</v>
      </c>
      <c r="G433">
        <v>37</v>
      </c>
      <c r="H433">
        <v>1</v>
      </c>
      <c r="I433">
        <v>1</v>
      </c>
      <c r="J433">
        <v>0</v>
      </c>
      <c r="K433" t="s">
        <v>110</v>
      </c>
      <c r="L433" t="s">
        <v>111</v>
      </c>
      <c r="M433" s="4">
        <v>260000000</v>
      </c>
      <c r="N433">
        <v>0</v>
      </c>
      <c r="O433">
        <v>4.7584169999999997</v>
      </c>
      <c r="P433">
        <v>-74.052120000000002</v>
      </c>
      <c r="Q433" t="s">
        <v>960</v>
      </c>
      <c r="R433">
        <v>7027027.0269999998</v>
      </c>
      <c r="S433">
        <v>0</v>
      </c>
      <c r="T433" t="s">
        <v>151</v>
      </c>
      <c r="U433" t="s">
        <v>152</v>
      </c>
      <c r="V433" t="s">
        <v>77</v>
      </c>
      <c r="W433" t="s">
        <v>119</v>
      </c>
      <c r="X433" t="s">
        <v>153</v>
      </c>
      <c r="Y433">
        <v>2.9557753495646102</v>
      </c>
      <c r="Z433">
        <v>2955.7753495646102</v>
      </c>
      <c r="AA433">
        <v>4.7837500000000004</v>
      </c>
      <c r="AB433">
        <v>-74.044138888888895</v>
      </c>
      <c r="AC433">
        <v>2580</v>
      </c>
      <c r="AD433">
        <v>0</v>
      </c>
      <c r="AE433" t="s">
        <v>154</v>
      </c>
      <c r="AF433" t="s">
        <v>107</v>
      </c>
      <c r="AG433" t="s">
        <v>82</v>
      </c>
      <c r="AH433" t="s">
        <v>83</v>
      </c>
      <c r="AI433" t="s">
        <v>121</v>
      </c>
      <c r="AJ433">
        <v>0.79341067480966898</v>
      </c>
      <c r="AK433">
        <v>3.34257664552822</v>
      </c>
      <c r="AL433">
        <v>0.577642569756319</v>
      </c>
      <c r="AM433">
        <v>0.24104012890625601</v>
      </c>
      <c r="AN433">
        <v>3.3767564622976201</v>
      </c>
      <c r="AO433">
        <v>1.02187826009662E-2</v>
      </c>
      <c r="AP433">
        <v>1.02187826009662E-2</v>
      </c>
      <c r="AQ433">
        <v>0</v>
      </c>
      <c r="AR433">
        <v>1</v>
      </c>
      <c r="AS433">
        <v>0</v>
      </c>
      <c r="AT433">
        <v>0</v>
      </c>
      <c r="AU433">
        <v>1</v>
      </c>
      <c r="AV433">
        <v>19</v>
      </c>
      <c r="AW433">
        <v>0</v>
      </c>
      <c r="AX433">
        <v>0</v>
      </c>
      <c r="AY433">
        <v>15.3</v>
      </c>
      <c r="AZ433">
        <v>9.8000000000000007</v>
      </c>
      <c r="BA433">
        <v>29.7</v>
      </c>
      <c r="BB433">
        <v>564</v>
      </c>
      <c r="BC433">
        <v>68</v>
      </c>
      <c r="BD433">
        <v>1.8</v>
      </c>
      <c r="BE433">
        <v>43</v>
      </c>
      <c r="BF433">
        <v>25.4</v>
      </c>
      <c r="BG433">
        <v>162</v>
      </c>
      <c r="BH433">
        <v>9.1</v>
      </c>
      <c r="BI433">
        <v>9.1999999999999993</v>
      </c>
      <c r="BJ433">
        <v>18.3</v>
      </c>
      <c r="BK433">
        <v>0.34</v>
      </c>
      <c r="BL433">
        <v>7.3</v>
      </c>
      <c r="BM433">
        <v>0.9</v>
      </c>
      <c r="BN433">
        <v>7.5</v>
      </c>
      <c r="BO433">
        <v>2.9</v>
      </c>
      <c r="BP433">
        <f t="shared" si="12"/>
        <v>8.4661131384695913</v>
      </c>
      <c r="BQ433">
        <f t="shared" si="13"/>
        <v>27.666116611508386</v>
      </c>
    </row>
    <row r="434" spans="1:69" hidden="1" x14ac:dyDescent="0.2">
      <c r="A434" t="s">
        <v>3876</v>
      </c>
      <c r="B434" t="s">
        <v>68</v>
      </c>
      <c r="C434" t="s">
        <v>3294</v>
      </c>
      <c r="D434" t="s">
        <v>70</v>
      </c>
      <c r="E434" t="s">
        <v>3467</v>
      </c>
      <c r="F434">
        <v>3</v>
      </c>
      <c r="G434">
        <v>37</v>
      </c>
      <c r="H434">
        <v>1</v>
      </c>
      <c r="I434">
        <v>1</v>
      </c>
      <c r="J434">
        <v>0</v>
      </c>
      <c r="K434" t="s">
        <v>110</v>
      </c>
      <c r="L434" t="s">
        <v>111</v>
      </c>
      <c r="M434" s="4">
        <v>250000000</v>
      </c>
      <c r="N434">
        <v>0</v>
      </c>
      <c r="O434">
        <v>4.7292500000000004</v>
      </c>
      <c r="P434">
        <v>-74.094999999999999</v>
      </c>
      <c r="Q434" t="s">
        <v>3877</v>
      </c>
      <c r="R434">
        <v>6756756.7570000002</v>
      </c>
      <c r="S434">
        <v>0</v>
      </c>
      <c r="T434" t="s">
        <v>117</v>
      </c>
      <c r="U434" t="s">
        <v>118</v>
      </c>
      <c r="V434" t="s">
        <v>77</v>
      </c>
      <c r="W434" t="s">
        <v>119</v>
      </c>
      <c r="X434" t="s">
        <v>120</v>
      </c>
      <c r="Y434">
        <v>2.9669191408723501</v>
      </c>
      <c r="Z434">
        <v>2966.91914087235</v>
      </c>
      <c r="AA434">
        <v>4.73719444444444</v>
      </c>
      <c r="AB434">
        <v>-74.069472222222203</v>
      </c>
      <c r="AC434">
        <v>2555</v>
      </c>
      <c r="AD434">
        <v>0</v>
      </c>
      <c r="AE434" t="s">
        <v>80</v>
      </c>
      <c r="AF434" t="s">
        <v>107</v>
      </c>
      <c r="AG434" t="s">
        <v>82</v>
      </c>
      <c r="AH434" t="s">
        <v>83</v>
      </c>
      <c r="AI434" t="s">
        <v>121</v>
      </c>
      <c r="AJ434">
        <v>1.3907839109820599</v>
      </c>
      <c r="AK434">
        <v>3.3169765508328299</v>
      </c>
      <c r="AL434">
        <v>2.95204803820784</v>
      </c>
      <c r="AM434">
        <v>0.40884095948704502</v>
      </c>
      <c r="AN434">
        <v>1.7207569089036601</v>
      </c>
      <c r="AO434">
        <v>0.104993462424654</v>
      </c>
      <c r="AP434">
        <v>0.104993462424654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6</v>
      </c>
      <c r="AW434">
        <v>0</v>
      </c>
      <c r="AX434">
        <v>0</v>
      </c>
      <c r="AY434">
        <v>15.3</v>
      </c>
      <c r="AZ434">
        <v>9.8000000000000007</v>
      </c>
      <c r="BA434">
        <v>29.7</v>
      </c>
      <c r="BB434">
        <v>564</v>
      </c>
      <c r="BC434">
        <v>68</v>
      </c>
      <c r="BD434">
        <v>1.8</v>
      </c>
      <c r="BE434">
        <v>43</v>
      </c>
      <c r="BF434">
        <v>25.4</v>
      </c>
      <c r="BG434">
        <v>162</v>
      </c>
      <c r="BH434">
        <v>9.1</v>
      </c>
      <c r="BI434">
        <v>9.1999999999999993</v>
      </c>
      <c r="BJ434">
        <v>18.3</v>
      </c>
      <c r="BK434">
        <v>0.34</v>
      </c>
      <c r="BL434">
        <v>7.3</v>
      </c>
      <c r="BM434">
        <v>0.9</v>
      </c>
      <c r="BN434">
        <v>7.5</v>
      </c>
      <c r="BO434">
        <v>2.9</v>
      </c>
      <c r="BP434">
        <f t="shared" si="12"/>
        <v>8.461444368674794</v>
      </c>
      <c r="BQ434">
        <f t="shared" si="13"/>
        <v>27.658718270583751</v>
      </c>
    </row>
    <row r="435" spans="1:69" hidden="1" x14ac:dyDescent="0.2">
      <c r="A435" t="s">
        <v>4366</v>
      </c>
      <c r="B435" t="s">
        <v>68</v>
      </c>
      <c r="C435" t="s">
        <v>3294</v>
      </c>
      <c r="D435" t="s">
        <v>70</v>
      </c>
      <c r="E435" t="s">
        <v>4367</v>
      </c>
      <c r="F435">
        <v>3</v>
      </c>
      <c r="G435">
        <v>35.799999999999997</v>
      </c>
      <c r="H435">
        <v>1</v>
      </c>
      <c r="I435">
        <v>1</v>
      </c>
      <c r="J435">
        <v>0</v>
      </c>
      <c r="K435" t="s">
        <v>110</v>
      </c>
      <c r="L435" t="s">
        <v>111</v>
      </c>
      <c r="M435" s="4">
        <v>234999999</v>
      </c>
      <c r="N435">
        <v>0</v>
      </c>
      <c r="O435">
        <v>4.7491199999999996</v>
      </c>
      <c r="P435">
        <v>-74.027289999999994</v>
      </c>
      <c r="Q435" t="s">
        <v>4368</v>
      </c>
      <c r="R435">
        <v>6564245.7819999997</v>
      </c>
      <c r="S435">
        <v>0</v>
      </c>
      <c r="T435" t="s">
        <v>151</v>
      </c>
      <c r="U435" t="s">
        <v>152</v>
      </c>
      <c r="V435" t="s">
        <v>77</v>
      </c>
      <c r="W435" t="s">
        <v>119</v>
      </c>
      <c r="X435" t="s">
        <v>153</v>
      </c>
      <c r="Y435">
        <v>4.2842269289581703</v>
      </c>
      <c r="Z435">
        <v>4284.22692895817</v>
      </c>
      <c r="AA435">
        <v>4.7837500000000004</v>
      </c>
      <c r="AB435">
        <v>-74.044138888888895</v>
      </c>
      <c r="AC435">
        <v>2580</v>
      </c>
      <c r="AD435">
        <v>0</v>
      </c>
      <c r="AE435" t="s">
        <v>154</v>
      </c>
      <c r="AF435" t="s">
        <v>107</v>
      </c>
      <c r="AG435" t="s">
        <v>82</v>
      </c>
      <c r="AH435" t="s">
        <v>83</v>
      </c>
      <c r="AI435" t="s">
        <v>108</v>
      </c>
      <c r="AJ435">
        <v>2.1664101264058</v>
      </c>
      <c r="AK435">
        <v>0.75417960171493903</v>
      </c>
      <c r="AL435">
        <v>0.204282584578339</v>
      </c>
      <c r="AM435">
        <v>0.83323687237800903</v>
      </c>
      <c r="AN435">
        <v>0.840246222342105</v>
      </c>
      <c r="AO435">
        <v>0.206693226844124</v>
      </c>
      <c r="AP435">
        <v>0.206693226844124</v>
      </c>
      <c r="AQ435">
        <v>0</v>
      </c>
      <c r="AR435">
        <v>0</v>
      </c>
      <c r="AS435">
        <v>0</v>
      </c>
      <c r="AT435">
        <v>11</v>
      </c>
      <c r="AU435">
        <v>3</v>
      </c>
      <c r="AV435">
        <v>3</v>
      </c>
      <c r="AW435">
        <v>1</v>
      </c>
      <c r="AX435">
        <v>0</v>
      </c>
      <c r="AY435">
        <v>15.3</v>
      </c>
      <c r="AZ435">
        <v>9.8000000000000007</v>
      </c>
      <c r="BA435">
        <v>29.7</v>
      </c>
      <c r="BB435">
        <v>564</v>
      </c>
      <c r="BC435">
        <v>68</v>
      </c>
      <c r="BD435">
        <v>1.8</v>
      </c>
      <c r="BE435">
        <v>43</v>
      </c>
      <c r="BF435">
        <v>25.4</v>
      </c>
      <c r="BG435">
        <v>162</v>
      </c>
      <c r="BH435">
        <v>9.1</v>
      </c>
      <c r="BI435">
        <v>9.1999999999999993</v>
      </c>
      <c r="BJ435">
        <v>18.3</v>
      </c>
      <c r="BK435">
        <v>0.34</v>
      </c>
      <c r="BL435">
        <v>7.3</v>
      </c>
      <c r="BM435">
        <v>0.9</v>
      </c>
      <c r="BN435">
        <v>7.5</v>
      </c>
      <c r="BO435">
        <v>2.9</v>
      </c>
      <c r="BP435">
        <f t="shared" si="12"/>
        <v>7.9273051861640633</v>
      </c>
      <c r="BQ435">
        <f t="shared" si="13"/>
        <v>26.797955559499627</v>
      </c>
    </row>
    <row r="436" spans="1:69" hidden="1" x14ac:dyDescent="0.2">
      <c r="A436" t="s">
        <v>3372</v>
      </c>
      <c r="B436" t="s">
        <v>68</v>
      </c>
      <c r="C436" t="s">
        <v>3294</v>
      </c>
      <c r="D436" t="s">
        <v>70</v>
      </c>
      <c r="E436" t="s">
        <v>868</v>
      </c>
      <c r="F436">
        <v>4</v>
      </c>
      <c r="G436">
        <v>35.39</v>
      </c>
      <c r="H436">
        <v>1</v>
      </c>
      <c r="I436">
        <v>1</v>
      </c>
      <c r="J436">
        <v>1</v>
      </c>
      <c r="K436" t="s">
        <v>110</v>
      </c>
      <c r="L436" t="s">
        <v>124</v>
      </c>
      <c r="M436" s="4">
        <v>235000000</v>
      </c>
      <c r="N436">
        <v>0</v>
      </c>
      <c r="O436">
        <v>4.7434345000000002</v>
      </c>
      <c r="P436">
        <v>-74.037704500000004</v>
      </c>
      <c r="Q436" t="s">
        <v>3373</v>
      </c>
      <c r="R436">
        <v>6640293.8679999998</v>
      </c>
      <c r="S436">
        <v>0</v>
      </c>
      <c r="T436" t="s">
        <v>117</v>
      </c>
      <c r="U436" t="s">
        <v>118</v>
      </c>
      <c r="V436" t="s">
        <v>77</v>
      </c>
      <c r="W436" t="s">
        <v>119</v>
      </c>
      <c r="X436" t="s">
        <v>120</v>
      </c>
      <c r="Y436">
        <v>3.5920755565124298</v>
      </c>
      <c r="Z436">
        <v>3592.07555651243</v>
      </c>
      <c r="AA436">
        <v>4.73719444444444</v>
      </c>
      <c r="AB436">
        <v>-74.069472222222203</v>
      </c>
      <c r="AC436">
        <v>2555</v>
      </c>
      <c r="AD436">
        <v>0</v>
      </c>
      <c r="AE436" t="s">
        <v>80</v>
      </c>
      <c r="AF436" t="s">
        <v>107</v>
      </c>
      <c r="AG436" t="s">
        <v>82</v>
      </c>
      <c r="AH436" t="s">
        <v>83</v>
      </c>
      <c r="AI436" t="s">
        <v>108</v>
      </c>
      <c r="AJ436">
        <v>1.1016131624496499</v>
      </c>
      <c r="AK436">
        <v>1.9691601124040099</v>
      </c>
      <c r="AL436">
        <v>0.98788575613187601</v>
      </c>
      <c r="AM436">
        <v>0.24362193765677101</v>
      </c>
      <c r="AN436">
        <v>1.2344530359997701</v>
      </c>
      <c r="AO436">
        <v>0.135442760742119</v>
      </c>
      <c r="AP436">
        <v>0.135442760742119</v>
      </c>
      <c r="AQ436">
        <v>0</v>
      </c>
      <c r="AR436">
        <v>0</v>
      </c>
      <c r="AS436">
        <v>0</v>
      </c>
      <c r="AT436">
        <v>0</v>
      </c>
      <c r="AU436">
        <v>1</v>
      </c>
      <c r="AV436">
        <v>34</v>
      </c>
      <c r="AW436">
        <v>0</v>
      </c>
      <c r="AX436">
        <v>0</v>
      </c>
      <c r="AY436">
        <v>15.3</v>
      </c>
      <c r="AZ436">
        <v>9.8000000000000007</v>
      </c>
      <c r="BA436">
        <v>29.7</v>
      </c>
      <c r="BB436">
        <v>564</v>
      </c>
      <c r="BC436">
        <v>68</v>
      </c>
      <c r="BD436">
        <v>1.8</v>
      </c>
      <c r="BE436">
        <v>43</v>
      </c>
      <c r="BF436">
        <v>25.4</v>
      </c>
      <c r="BG436">
        <v>162</v>
      </c>
      <c r="BH436">
        <v>9.1</v>
      </c>
      <c r="BI436">
        <v>9.1999999999999993</v>
      </c>
      <c r="BJ436">
        <v>18.3</v>
      </c>
      <c r="BK436">
        <v>0.34</v>
      </c>
      <c r="BL436">
        <v>7.3</v>
      </c>
      <c r="BM436">
        <v>0.9</v>
      </c>
      <c r="BN436">
        <v>7.5</v>
      </c>
      <c r="BO436">
        <v>2.9</v>
      </c>
      <c r="BP436">
        <f t="shared" si="12"/>
        <v>8.2036128247940532</v>
      </c>
      <c r="BQ436">
        <f t="shared" si="13"/>
        <v>27.246831318343983</v>
      </c>
    </row>
    <row r="437" spans="1:69" hidden="1" x14ac:dyDescent="0.2">
      <c r="A437" t="s">
        <v>1111</v>
      </c>
      <c r="B437" t="s">
        <v>68</v>
      </c>
      <c r="C437" t="s">
        <v>69</v>
      </c>
      <c r="D437" t="s">
        <v>70</v>
      </c>
      <c r="E437" t="s">
        <v>423</v>
      </c>
      <c r="F437">
        <v>4</v>
      </c>
      <c r="G437">
        <v>35.17</v>
      </c>
      <c r="H437">
        <v>2</v>
      </c>
      <c r="I437">
        <v>1</v>
      </c>
      <c r="J437">
        <v>0</v>
      </c>
      <c r="K437" t="s">
        <v>110</v>
      </c>
      <c r="L437" t="s">
        <v>111</v>
      </c>
      <c r="M437" s="4">
        <v>295000000</v>
      </c>
      <c r="N437">
        <v>0</v>
      </c>
      <c r="O437">
        <v>4.7523999999999997</v>
      </c>
      <c r="P437">
        <v>-74.031739999999999</v>
      </c>
      <c r="Q437" t="s">
        <v>1112</v>
      </c>
      <c r="R437">
        <v>8387830.5369999995</v>
      </c>
      <c r="S437">
        <v>0</v>
      </c>
      <c r="T437" t="s">
        <v>151</v>
      </c>
      <c r="U437" t="s">
        <v>152</v>
      </c>
      <c r="V437" t="s">
        <v>77</v>
      </c>
      <c r="W437" t="s">
        <v>119</v>
      </c>
      <c r="X437" t="s">
        <v>153</v>
      </c>
      <c r="Y437">
        <v>3.7511410397782901</v>
      </c>
      <c r="Z437">
        <v>3751.1410397782902</v>
      </c>
      <c r="AA437">
        <v>4.7837500000000004</v>
      </c>
      <c r="AB437">
        <v>-74.044138888888895</v>
      </c>
      <c r="AC437">
        <v>2580</v>
      </c>
      <c r="AD437">
        <v>0</v>
      </c>
      <c r="AE437" t="s">
        <v>154</v>
      </c>
      <c r="AF437" t="s">
        <v>107</v>
      </c>
      <c r="AG437" t="s">
        <v>82</v>
      </c>
      <c r="AH437" t="s">
        <v>83</v>
      </c>
      <c r="AI437" t="s">
        <v>108</v>
      </c>
      <c r="AJ437">
        <v>1.6048489219597999</v>
      </c>
      <c r="AK437">
        <v>1.1966062195442799</v>
      </c>
      <c r="AL437">
        <v>0.20411455915511101</v>
      </c>
      <c r="AM437">
        <v>1.01936209298696</v>
      </c>
      <c r="AN437">
        <v>1.3226280081686099</v>
      </c>
      <c r="AO437">
        <v>8.1972117926907298E-2</v>
      </c>
      <c r="AP437">
        <v>8.1972117926907298E-2</v>
      </c>
      <c r="AQ437">
        <v>0</v>
      </c>
      <c r="AR437">
        <v>0</v>
      </c>
      <c r="AS437">
        <v>0</v>
      </c>
      <c r="AT437">
        <v>0</v>
      </c>
      <c r="AU437">
        <v>3</v>
      </c>
      <c r="AV437">
        <v>0</v>
      </c>
      <c r="AW437">
        <v>0</v>
      </c>
      <c r="AX437">
        <v>0</v>
      </c>
      <c r="AY437">
        <v>15.3</v>
      </c>
      <c r="AZ437">
        <v>9.8000000000000007</v>
      </c>
      <c r="BA437">
        <v>29.7</v>
      </c>
      <c r="BB437">
        <v>564</v>
      </c>
      <c r="BC437">
        <v>68</v>
      </c>
      <c r="BD437">
        <v>1.8</v>
      </c>
      <c r="BE437">
        <v>43</v>
      </c>
      <c r="BF437">
        <v>25.4</v>
      </c>
      <c r="BG437">
        <v>162</v>
      </c>
      <c r="BH437">
        <v>9.1</v>
      </c>
      <c r="BI437">
        <v>9.1999999999999993</v>
      </c>
      <c r="BJ437">
        <v>18.3</v>
      </c>
      <c r="BK437">
        <v>0.34</v>
      </c>
      <c r="BL437">
        <v>7.3</v>
      </c>
      <c r="BM437">
        <v>0.9</v>
      </c>
      <c r="BN437">
        <v>7.5</v>
      </c>
      <c r="BO437">
        <v>2.9</v>
      </c>
      <c r="BP437">
        <f t="shared" si="12"/>
        <v>8.1392733273690698</v>
      </c>
      <c r="BQ437">
        <f t="shared" si="13"/>
        <v>27.143012882199997</v>
      </c>
    </row>
    <row r="438" spans="1:69" hidden="1" x14ac:dyDescent="0.2">
      <c r="A438" t="s">
        <v>422</v>
      </c>
      <c r="B438" t="s">
        <v>68</v>
      </c>
      <c r="C438" t="s">
        <v>69</v>
      </c>
      <c r="D438" t="s">
        <v>70</v>
      </c>
      <c r="E438" t="s">
        <v>423</v>
      </c>
      <c r="F438">
        <v>3</v>
      </c>
      <c r="G438">
        <v>35.15</v>
      </c>
      <c r="H438">
        <v>2</v>
      </c>
      <c r="I438">
        <v>1</v>
      </c>
      <c r="J438">
        <v>0</v>
      </c>
      <c r="K438" t="s">
        <v>110</v>
      </c>
      <c r="L438" t="s">
        <v>111</v>
      </c>
      <c r="M438" s="4">
        <v>320000000</v>
      </c>
      <c r="N438">
        <v>0</v>
      </c>
      <c r="O438">
        <v>4.7531566620000003</v>
      </c>
      <c r="P438">
        <v>-74.036033630000006</v>
      </c>
      <c r="Q438" t="s">
        <v>424</v>
      </c>
      <c r="R438">
        <v>9103840.6830000002</v>
      </c>
      <c r="S438">
        <v>0</v>
      </c>
      <c r="T438" t="s">
        <v>151</v>
      </c>
      <c r="U438" t="s">
        <v>152</v>
      </c>
      <c r="V438" t="s">
        <v>77</v>
      </c>
      <c r="W438" t="s">
        <v>119</v>
      </c>
      <c r="X438" t="s">
        <v>153</v>
      </c>
      <c r="Y438">
        <v>3.5223315764246901</v>
      </c>
      <c r="Z438">
        <v>3522.33157642469</v>
      </c>
      <c r="AA438">
        <v>4.7837500000000004</v>
      </c>
      <c r="AB438">
        <v>-74.044138888888895</v>
      </c>
      <c r="AC438">
        <v>2580</v>
      </c>
      <c r="AD438">
        <v>0</v>
      </c>
      <c r="AE438" t="s">
        <v>154</v>
      </c>
      <c r="AF438" t="s">
        <v>107</v>
      </c>
      <c r="AG438" t="s">
        <v>82</v>
      </c>
      <c r="AH438" t="s">
        <v>83</v>
      </c>
      <c r="AI438" t="s">
        <v>108</v>
      </c>
      <c r="AJ438">
        <v>1.12167294787781</v>
      </c>
      <c r="AK438">
        <v>1.61468119685348</v>
      </c>
      <c r="AL438">
        <v>0.65062909330373897</v>
      </c>
      <c r="AM438">
        <v>0.83602913175073501</v>
      </c>
      <c r="AN438">
        <v>1.6469128054456801</v>
      </c>
      <c r="AO438">
        <v>0.17382242837807901</v>
      </c>
      <c r="AP438">
        <v>0.17382242837807901</v>
      </c>
      <c r="AQ438">
        <v>0</v>
      </c>
      <c r="AR438">
        <v>0</v>
      </c>
      <c r="AS438">
        <v>0</v>
      </c>
      <c r="AT438">
        <v>0</v>
      </c>
      <c r="AU438">
        <v>2</v>
      </c>
      <c r="AV438">
        <v>8</v>
      </c>
      <c r="AW438">
        <v>0</v>
      </c>
      <c r="AX438">
        <v>0</v>
      </c>
      <c r="AY438">
        <v>15.3</v>
      </c>
      <c r="AZ438">
        <v>9.8000000000000007</v>
      </c>
      <c r="BA438">
        <v>29.7</v>
      </c>
      <c r="BB438">
        <v>564</v>
      </c>
      <c r="BC438">
        <v>68</v>
      </c>
      <c r="BD438">
        <v>1.8</v>
      </c>
      <c r="BE438">
        <v>43</v>
      </c>
      <c r="BF438">
        <v>25.4</v>
      </c>
      <c r="BG438">
        <v>162</v>
      </c>
      <c r="BH438">
        <v>9.1</v>
      </c>
      <c r="BI438">
        <v>9.1999999999999993</v>
      </c>
      <c r="BJ438">
        <v>18.3</v>
      </c>
      <c r="BK438">
        <v>0.34</v>
      </c>
      <c r="BL438">
        <v>7.3</v>
      </c>
      <c r="BM438">
        <v>0.9</v>
      </c>
      <c r="BN438">
        <v>7.5</v>
      </c>
      <c r="BO438">
        <v>2.9</v>
      </c>
      <c r="BP438">
        <f t="shared" si="12"/>
        <v>8.2319833229048651</v>
      </c>
      <c r="BQ438">
        <f t="shared" si="13"/>
        <v>27.292476768693216</v>
      </c>
    </row>
    <row r="439" spans="1:69" hidden="1" x14ac:dyDescent="0.2">
      <c r="A439" t="s">
        <v>3689</v>
      </c>
      <c r="B439" t="s">
        <v>68</v>
      </c>
      <c r="C439" t="s">
        <v>3294</v>
      </c>
      <c r="D439" t="s">
        <v>70</v>
      </c>
      <c r="E439" t="s">
        <v>174</v>
      </c>
      <c r="F439">
        <v>4</v>
      </c>
      <c r="G439">
        <v>35</v>
      </c>
      <c r="H439">
        <v>1</v>
      </c>
      <c r="I439">
        <v>1</v>
      </c>
      <c r="J439">
        <v>0</v>
      </c>
      <c r="K439" t="s">
        <v>110</v>
      </c>
      <c r="L439" t="s">
        <v>133</v>
      </c>
      <c r="M439" s="4">
        <v>290000000</v>
      </c>
      <c r="N439">
        <v>0</v>
      </c>
      <c r="O439">
        <v>4.7412805560000004</v>
      </c>
      <c r="P439">
        <v>-74.069435119999994</v>
      </c>
      <c r="Q439" t="s">
        <v>3690</v>
      </c>
      <c r="R439">
        <v>8285714.2860000003</v>
      </c>
      <c r="S439">
        <v>0</v>
      </c>
      <c r="T439" t="s">
        <v>117</v>
      </c>
      <c r="U439" t="s">
        <v>118</v>
      </c>
      <c r="V439" t="s">
        <v>77</v>
      </c>
      <c r="W439" t="s">
        <v>119</v>
      </c>
      <c r="X439" t="s">
        <v>120</v>
      </c>
      <c r="Y439">
        <v>0.45488248058387398</v>
      </c>
      <c r="Z439">
        <v>454.88248058387398</v>
      </c>
      <c r="AA439">
        <v>4.73719444444444</v>
      </c>
      <c r="AB439">
        <v>-74.069472222222203</v>
      </c>
      <c r="AC439">
        <v>2555</v>
      </c>
      <c r="AD439">
        <v>0</v>
      </c>
      <c r="AE439" t="s">
        <v>80</v>
      </c>
      <c r="AF439" t="s">
        <v>107</v>
      </c>
      <c r="AG439" t="s">
        <v>82</v>
      </c>
      <c r="AH439" t="s">
        <v>83</v>
      </c>
      <c r="AI439" t="s">
        <v>121</v>
      </c>
      <c r="AJ439">
        <v>1.43081285123753</v>
      </c>
      <c r="AK439">
        <v>5.3448745604625199</v>
      </c>
      <c r="AL439">
        <v>2.2153819593696502</v>
      </c>
      <c r="AM439">
        <v>0.56479574971640201</v>
      </c>
      <c r="AN439">
        <v>1.76028290157206</v>
      </c>
      <c r="AO439">
        <v>1.7404830127152E-2</v>
      </c>
      <c r="AP439">
        <v>1.7404830127152E-2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5</v>
      </c>
      <c r="AW439">
        <v>0</v>
      </c>
      <c r="AX439">
        <v>0</v>
      </c>
      <c r="AY439">
        <v>15.3</v>
      </c>
      <c r="AZ439">
        <v>9.8000000000000007</v>
      </c>
      <c r="BA439">
        <v>29.7</v>
      </c>
      <c r="BB439">
        <v>564</v>
      </c>
      <c r="BC439">
        <v>68</v>
      </c>
      <c r="BD439">
        <v>1.8</v>
      </c>
      <c r="BE439">
        <v>43</v>
      </c>
      <c r="BF439">
        <v>25.4</v>
      </c>
      <c r="BG439">
        <v>162</v>
      </c>
      <c r="BH439">
        <v>9.1</v>
      </c>
      <c r="BI439">
        <v>9.1999999999999993</v>
      </c>
      <c r="BJ439">
        <v>18.3</v>
      </c>
      <c r="BK439">
        <v>0.34</v>
      </c>
      <c r="BL439">
        <v>7.3</v>
      </c>
      <c r="BM439">
        <v>0.9</v>
      </c>
      <c r="BN439">
        <v>7.5</v>
      </c>
      <c r="BO439">
        <v>2.9</v>
      </c>
      <c r="BP439">
        <f t="shared" si="12"/>
        <v>9.5818022719767058</v>
      </c>
      <c r="BQ439">
        <f t="shared" si="13"/>
        <v>29.377523239041846</v>
      </c>
    </row>
    <row r="440" spans="1:69" hidden="1" x14ac:dyDescent="0.2">
      <c r="A440" t="s">
        <v>1333</v>
      </c>
      <c r="B440" t="s">
        <v>68</v>
      </c>
      <c r="C440" t="s">
        <v>69</v>
      </c>
      <c r="D440" t="s">
        <v>70</v>
      </c>
      <c r="E440" t="s">
        <v>326</v>
      </c>
      <c r="F440">
        <v>3</v>
      </c>
      <c r="G440">
        <v>35</v>
      </c>
      <c r="H440">
        <v>2</v>
      </c>
      <c r="I440">
        <v>1</v>
      </c>
      <c r="J440">
        <v>0</v>
      </c>
      <c r="K440" t="s">
        <v>110</v>
      </c>
      <c r="L440" t="s">
        <v>111</v>
      </c>
      <c r="M440" s="4">
        <v>224000000</v>
      </c>
      <c r="N440">
        <v>0</v>
      </c>
      <c r="O440">
        <v>4.7492532729999999</v>
      </c>
      <c r="P440">
        <v>-74.027328490000002</v>
      </c>
      <c r="Q440" t="s">
        <v>1334</v>
      </c>
      <c r="R440">
        <v>6400000</v>
      </c>
      <c r="S440">
        <v>0</v>
      </c>
      <c r="T440" t="s">
        <v>151</v>
      </c>
      <c r="U440" t="s">
        <v>152</v>
      </c>
      <c r="V440" t="s">
        <v>77</v>
      </c>
      <c r="W440" t="s">
        <v>119</v>
      </c>
      <c r="X440" t="s">
        <v>153</v>
      </c>
      <c r="Y440">
        <v>4.2690153127430897</v>
      </c>
      <c r="Z440">
        <v>4269.0153127430904</v>
      </c>
      <c r="AA440">
        <v>4.7837500000000004</v>
      </c>
      <c r="AB440">
        <v>-74.044138888888895</v>
      </c>
      <c r="AC440">
        <v>2580</v>
      </c>
      <c r="AD440">
        <v>0</v>
      </c>
      <c r="AE440" t="s">
        <v>154</v>
      </c>
      <c r="AF440" t="s">
        <v>107</v>
      </c>
      <c r="AG440" t="s">
        <v>82</v>
      </c>
      <c r="AH440" t="s">
        <v>83</v>
      </c>
      <c r="AI440" t="s">
        <v>108</v>
      </c>
      <c r="AJ440">
        <v>2.1582186365918501</v>
      </c>
      <c r="AK440">
        <v>0.758483946383672</v>
      </c>
      <c r="AL440">
        <v>0.21922052646498499</v>
      </c>
      <c r="AM440">
        <v>0.8441796074172</v>
      </c>
      <c r="AN440">
        <v>0.85525446997222498</v>
      </c>
      <c r="AO440">
        <v>0.20120353646577199</v>
      </c>
      <c r="AP440">
        <v>0.20120353646577199</v>
      </c>
      <c r="AQ440">
        <v>0</v>
      </c>
      <c r="AR440">
        <v>0</v>
      </c>
      <c r="AS440">
        <v>0</v>
      </c>
      <c r="AT440">
        <v>12</v>
      </c>
      <c r="AU440">
        <v>3</v>
      </c>
      <c r="AV440">
        <v>3</v>
      </c>
      <c r="AW440">
        <v>1</v>
      </c>
      <c r="AX440">
        <v>0</v>
      </c>
      <c r="AY440">
        <v>15.3</v>
      </c>
      <c r="AZ440">
        <v>9.8000000000000007</v>
      </c>
      <c r="BA440">
        <v>29.7</v>
      </c>
      <c r="BB440">
        <v>564</v>
      </c>
      <c r="BC440">
        <v>68</v>
      </c>
      <c r="BD440">
        <v>1.8</v>
      </c>
      <c r="BE440">
        <v>43</v>
      </c>
      <c r="BF440">
        <v>25.4</v>
      </c>
      <c r="BG440">
        <v>162</v>
      </c>
      <c r="BH440">
        <v>9.1</v>
      </c>
      <c r="BI440">
        <v>9.1999999999999993</v>
      </c>
      <c r="BJ440">
        <v>18.3</v>
      </c>
      <c r="BK440">
        <v>0.34</v>
      </c>
      <c r="BL440">
        <v>7.3</v>
      </c>
      <c r="BM440">
        <v>0.9</v>
      </c>
      <c r="BN440">
        <v>7.5</v>
      </c>
      <c r="BO440">
        <v>2.9</v>
      </c>
      <c r="BP440">
        <f t="shared" si="12"/>
        <v>7.9332764966492286</v>
      </c>
      <c r="BQ440">
        <f t="shared" si="13"/>
        <v>26.807740710734205</v>
      </c>
    </row>
    <row r="441" spans="1:69" hidden="1" x14ac:dyDescent="0.2">
      <c r="A441" t="s">
        <v>1418</v>
      </c>
      <c r="B441" t="s">
        <v>68</v>
      </c>
      <c r="C441" t="s">
        <v>69</v>
      </c>
      <c r="D441" t="s">
        <v>70</v>
      </c>
      <c r="E441" t="s">
        <v>1419</v>
      </c>
      <c r="F441">
        <v>3</v>
      </c>
      <c r="G441">
        <v>34.700000000000003</v>
      </c>
      <c r="H441">
        <v>1</v>
      </c>
      <c r="I441">
        <v>1</v>
      </c>
      <c r="J441">
        <v>1</v>
      </c>
      <c r="K441" t="s">
        <v>110</v>
      </c>
      <c r="L441" t="s">
        <v>111</v>
      </c>
      <c r="M441" s="4">
        <v>310000000</v>
      </c>
      <c r="N441">
        <v>0</v>
      </c>
      <c r="O441">
        <v>4.7163534159999996</v>
      </c>
      <c r="P441">
        <v>-74.061294559999993</v>
      </c>
      <c r="Q441" t="s">
        <v>1420</v>
      </c>
      <c r="R441">
        <v>8933717.5789999999</v>
      </c>
      <c r="S441">
        <v>0</v>
      </c>
      <c r="T441" t="s">
        <v>117</v>
      </c>
      <c r="U441" t="s">
        <v>118</v>
      </c>
      <c r="V441" t="s">
        <v>77</v>
      </c>
      <c r="W441" t="s">
        <v>119</v>
      </c>
      <c r="X441" t="s">
        <v>120</v>
      </c>
      <c r="Y441">
        <v>2.4910917342423602</v>
      </c>
      <c r="Z441">
        <v>2491.09173424236</v>
      </c>
      <c r="AA441">
        <v>4.73719444444444</v>
      </c>
      <c r="AB441">
        <v>-74.069472222222203</v>
      </c>
      <c r="AC441">
        <v>2555</v>
      </c>
      <c r="AD441">
        <v>0</v>
      </c>
      <c r="AE441" t="s">
        <v>80</v>
      </c>
      <c r="AF441" t="s">
        <v>107</v>
      </c>
      <c r="AG441" t="s">
        <v>82</v>
      </c>
      <c r="AH441" t="s">
        <v>83</v>
      </c>
      <c r="AI441" t="s">
        <v>121</v>
      </c>
      <c r="AJ441">
        <v>0.98873986486427701</v>
      </c>
      <c r="AK441">
        <v>4.0802731636756002</v>
      </c>
      <c r="AL441">
        <v>1.1236393543907199</v>
      </c>
      <c r="AM441">
        <v>0.30372367528710298</v>
      </c>
      <c r="AN441">
        <v>3.8419720281664902</v>
      </c>
      <c r="AO441">
        <v>6.5098353744391501E-3</v>
      </c>
      <c r="AP441">
        <v>6.5098353744391501E-3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21</v>
      </c>
      <c r="AW441">
        <v>0</v>
      </c>
      <c r="AX441">
        <v>0</v>
      </c>
      <c r="AY441">
        <v>15.3</v>
      </c>
      <c r="AZ441">
        <v>9.8000000000000007</v>
      </c>
      <c r="BA441">
        <v>29.7</v>
      </c>
      <c r="BB441">
        <v>564</v>
      </c>
      <c r="BC441">
        <v>68</v>
      </c>
      <c r="BD441">
        <v>1.8</v>
      </c>
      <c r="BE441">
        <v>43</v>
      </c>
      <c r="BF441">
        <v>25.4</v>
      </c>
      <c r="BG441">
        <v>162</v>
      </c>
      <c r="BH441">
        <v>9.1</v>
      </c>
      <c r="BI441">
        <v>9.1999999999999993</v>
      </c>
      <c r="BJ441">
        <v>18.3</v>
      </c>
      <c r="BK441">
        <v>0.34</v>
      </c>
      <c r="BL441">
        <v>7.3</v>
      </c>
      <c r="BM441">
        <v>0.9</v>
      </c>
      <c r="BN441">
        <v>7.5</v>
      </c>
      <c r="BO441">
        <v>2.9</v>
      </c>
      <c r="BP441">
        <f t="shared" si="12"/>
        <v>8.6631062256947722</v>
      </c>
      <c r="BQ441">
        <f t="shared" si="13"/>
        <v>27.976387314336201</v>
      </c>
    </row>
    <row r="442" spans="1:69" hidden="1" x14ac:dyDescent="0.2">
      <c r="A442" t="s">
        <v>4057</v>
      </c>
      <c r="B442" t="s">
        <v>68</v>
      </c>
      <c r="C442" t="s">
        <v>3294</v>
      </c>
      <c r="D442" t="s">
        <v>70</v>
      </c>
      <c r="E442" t="s">
        <v>73</v>
      </c>
      <c r="F442">
        <v>1</v>
      </c>
      <c r="G442">
        <v>34</v>
      </c>
      <c r="H442">
        <v>1</v>
      </c>
      <c r="I442">
        <v>1</v>
      </c>
      <c r="J442">
        <v>1</v>
      </c>
      <c r="K442" t="s">
        <v>110</v>
      </c>
      <c r="L442" t="s">
        <v>111</v>
      </c>
      <c r="M442" s="4">
        <v>425000000</v>
      </c>
      <c r="N442">
        <v>0</v>
      </c>
      <c r="O442">
        <v>4.7351160050000001</v>
      </c>
      <c r="P442">
        <v>-74.06471252</v>
      </c>
      <c r="Q442" t="s">
        <v>4058</v>
      </c>
      <c r="R442">
        <v>12500000</v>
      </c>
      <c r="S442">
        <v>0</v>
      </c>
      <c r="T442" t="s">
        <v>117</v>
      </c>
      <c r="U442" t="s">
        <v>118</v>
      </c>
      <c r="V442" t="s">
        <v>77</v>
      </c>
      <c r="W442" t="s">
        <v>119</v>
      </c>
      <c r="X442" t="s">
        <v>120</v>
      </c>
      <c r="Y442">
        <v>0.57650417641582197</v>
      </c>
      <c r="Z442">
        <v>576.50417641582203</v>
      </c>
      <c r="AA442">
        <v>4.73719444444444</v>
      </c>
      <c r="AB442">
        <v>-74.069472222222203</v>
      </c>
      <c r="AC442">
        <v>2555</v>
      </c>
      <c r="AD442">
        <v>0</v>
      </c>
      <c r="AE442" t="s">
        <v>80</v>
      </c>
      <c r="AF442" t="s">
        <v>107</v>
      </c>
      <c r="AG442" t="s">
        <v>82</v>
      </c>
      <c r="AH442" t="s">
        <v>83</v>
      </c>
      <c r="AI442" t="s">
        <v>121</v>
      </c>
      <c r="AJ442">
        <v>1.3959181332438899</v>
      </c>
      <c r="AK442">
        <v>4.7437158188576101</v>
      </c>
      <c r="AL442">
        <v>2.15094760677185</v>
      </c>
      <c r="AM442">
        <v>0.32319638558976699</v>
      </c>
      <c r="AN442">
        <v>2.3875301242930398</v>
      </c>
      <c r="AO442">
        <v>0.33389926860673003</v>
      </c>
      <c r="AP442">
        <v>0.33389926860673003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18</v>
      </c>
      <c r="AW442">
        <v>0</v>
      </c>
      <c r="AX442">
        <v>0</v>
      </c>
      <c r="AY442">
        <v>15.3</v>
      </c>
      <c r="AZ442">
        <v>9.8000000000000007</v>
      </c>
      <c r="BA442">
        <v>29.7</v>
      </c>
      <c r="BB442">
        <v>564</v>
      </c>
      <c r="BC442">
        <v>68</v>
      </c>
      <c r="BD442">
        <v>1.8</v>
      </c>
      <c r="BE442">
        <v>43</v>
      </c>
      <c r="BF442">
        <v>25.4</v>
      </c>
      <c r="BG442">
        <v>162</v>
      </c>
      <c r="BH442">
        <v>9.1</v>
      </c>
      <c r="BI442">
        <v>9.1999999999999993</v>
      </c>
      <c r="BJ442">
        <v>18.3</v>
      </c>
      <c r="BK442">
        <v>0.34</v>
      </c>
      <c r="BL442">
        <v>7.3</v>
      </c>
      <c r="BM442">
        <v>0.9</v>
      </c>
      <c r="BN442">
        <v>7.5</v>
      </c>
      <c r="BO442">
        <v>2.9</v>
      </c>
      <c r="BP442">
        <f t="shared" si="12"/>
        <v>9.524290489471257</v>
      </c>
      <c r="BQ442">
        <f t="shared" si="13"/>
        <v>29.29189760635639</v>
      </c>
    </row>
    <row r="443" spans="1:69" hidden="1" x14ac:dyDescent="0.2">
      <c r="A443" t="s">
        <v>4539</v>
      </c>
      <c r="B443" t="s">
        <v>68</v>
      </c>
      <c r="C443" t="s">
        <v>3294</v>
      </c>
      <c r="D443" t="s">
        <v>70</v>
      </c>
      <c r="E443" t="s">
        <v>709</v>
      </c>
      <c r="F443">
        <v>4</v>
      </c>
      <c r="G443">
        <v>34</v>
      </c>
      <c r="H443">
        <v>1</v>
      </c>
      <c r="I443">
        <v>1</v>
      </c>
      <c r="J443">
        <v>0</v>
      </c>
      <c r="K443" t="s">
        <v>110</v>
      </c>
      <c r="L443" t="s">
        <v>111</v>
      </c>
      <c r="M443" s="4">
        <v>240000000</v>
      </c>
      <c r="N443">
        <v>0</v>
      </c>
      <c r="O443">
        <v>4.7435999999999998</v>
      </c>
      <c r="P443">
        <v>-74.067989999999995</v>
      </c>
      <c r="Q443" t="s">
        <v>4540</v>
      </c>
      <c r="R443">
        <v>7058823.5290000001</v>
      </c>
      <c r="S443">
        <v>0</v>
      </c>
      <c r="T443" t="s">
        <v>117</v>
      </c>
      <c r="U443" t="s">
        <v>118</v>
      </c>
      <c r="V443" t="s">
        <v>77</v>
      </c>
      <c r="W443" t="s">
        <v>119</v>
      </c>
      <c r="X443" t="s">
        <v>120</v>
      </c>
      <c r="Y443">
        <v>0.73177745296724395</v>
      </c>
      <c r="Z443">
        <v>731.77745296724402</v>
      </c>
      <c r="AA443">
        <v>4.73719444444444</v>
      </c>
      <c r="AB443">
        <v>-74.069472222222203</v>
      </c>
      <c r="AC443">
        <v>2555</v>
      </c>
      <c r="AD443">
        <v>0</v>
      </c>
      <c r="AE443" t="s">
        <v>80</v>
      </c>
      <c r="AF443" t="s">
        <v>107</v>
      </c>
      <c r="AG443" t="s">
        <v>82</v>
      </c>
      <c r="AH443" t="s">
        <v>83</v>
      </c>
      <c r="AI443" t="s">
        <v>121</v>
      </c>
      <c r="AJ443">
        <v>1.69588884646461</v>
      </c>
      <c r="AK443">
        <v>5.2403166828973404</v>
      </c>
      <c r="AL443">
        <v>1.9359408797345099</v>
      </c>
      <c r="AM443">
        <v>0.51154607886915904</v>
      </c>
      <c r="AN443">
        <v>1.9355781898687401</v>
      </c>
      <c r="AO443">
        <v>0.16300139856578999</v>
      </c>
      <c r="AP443">
        <v>0.16300139856578999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12</v>
      </c>
      <c r="AW443">
        <v>0</v>
      </c>
      <c r="AX443">
        <v>0</v>
      </c>
      <c r="AY443">
        <v>15.3</v>
      </c>
      <c r="AZ443">
        <v>9.8000000000000007</v>
      </c>
      <c r="BA443">
        <v>29.7</v>
      </c>
      <c r="BB443">
        <v>564</v>
      </c>
      <c r="BC443">
        <v>68</v>
      </c>
      <c r="BD443">
        <v>1.8</v>
      </c>
      <c r="BE443">
        <v>43</v>
      </c>
      <c r="BF443">
        <v>25.4</v>
      </c>
      <c r="BG443">
        <v>162</v>
      </c>
      <c r="BH443">
        <v>9.1</v>
      </c>
      <c r="BI443">
        <v>9.1999999999999993</v>
      </c>
      <c r="BJ443">
        <v>18.3</v>
      </c>
      <c r="BK443">
        <v>0.34</v>
      </c>
      <c r="BL443">
        <v>7.3</v>
      </c>
      <c r="BM443">
        <v>0.9</v>
      </c>
      <c r="BN443">
        <v>7.5</v>
      </c>
      <c r="BO443">
        <v>2.9</v>
      </c>
      <c r="BP443">
        <f t="shared" si="12"/>
        <v>9.451367138235911</v>
      </c>
      <c r="BQ443">
        <f t="shared" si="13"/>
        <v>29.182942771710625</v>
      </c>
    </row>
    <row r="444" spans="1:69" hidden="1" x14ac:dyDescent="0.2">
      <c r="A444" t="s">
        <v>4281</v>
      </c>
      <c r="B444" t="s">
        <v>68</v>
      </c>
      <c r="C444" t="s">
        <v>3294</v>
      </c>
      <c r="D444" t="s">
        <v>70</v>
      </c>
      <c r="E444" t="s">
        <v>3573</v>
      </c>
      <c r="F444">
        <v>4</v>
      </c>
      <c r="G444">
        <v>33.51</v>
      </c>
      <c r="H444">
        <v>1</v>
      </c>
      <c r="I444">
        <v>1</v>
      </c>
      <c r="J444">
        <v>1</v>
      </c>
      <c r="K444" t="s">
        <v>110</v>
      </c>
      <c r="L444" t="s">
        <v>133</v>
      </c>
      <c r="M444" s="4">
        <v>330000000</v>
      </c>
      <c r="N444">
        <v>0</v>
      </c>
      <c r="O444">
        <v>4.7441000000000004</v>
      </c>
      <c r="P444">
        <v>-74.041880000000006</v>
      </c>
      <c r="Q444" t="s">
        <v>4282</v>
      </c>
      <c r="R444">
        <v>9847806.625</v>
      </c>
      <c r="S444">
        <v>0</v>
      </c>
      <c r="T444" t="s">
        <v>117</v>
      </c>
      <c r="U444" t="s">
        <v>118</v>
      </c>
      <c r="V444" t="s">
        <v>77</v>
      </c>
      <c r="W444" t="s">
        <v>119</v>
      </c>
      <c r="X444" t="s">
        <v>120</v>
      </c>
      <c r="Y444">
        <v>3.15609371692533</v>
      </c>
      <c r="Z444">
        <v>3156.0937169253302</v>
      </c>
      <c r="AA444">
        <v>4.73719444444444</v>
      </c>
      <c r="AB444">
        <v>-74.069472222222203</v>
      </c>
      <c r="AC444">
        <v>2555</v>
      </c>
      <c r="AD444">
        <v>0</v>
      </c>
      <c r="AE444" t="s">
        <v>80</v>
      </c>
      <c r="AF444" t="s">
        <v>107</v>
      </c>
      <c r="AG444" t="s">
        <v>82</v>
      </c>
      <c r="AH444" t="s">
        <v>83</v>
      </c>
      <c r="AI444" t="s">
        <v>108</v>
      </c>
      <c r="AJ444">
        <v>0.63890524779841895</v>
      </c>
      <c r="AK444">
        <v>2.4351037523186201</v>
      </c>
      <c r="AL444">
        <v>1.2574072037580299</v>
      </c>
      <c r="AM444">
        <v>0.17231533055830101</v>
      </c>
      <c r="AN444">
        <v>1.7031679787687399</v>
      </c>
      <c r="AO444">
        <v>0.102070412767164</v>
      </c>
      <c r="AP444">
        <v>0.102070412767164</v>
      </c>
      <c r="AQ444">
        <v>0</v>
      </c>
      <c r="AR444">
        <v>2</v>
      </c>
      <c r="AS444">
        <v>0</v>
      </c>
      <c r="AT444">
        <v>0</v>
      </c>
      <c r="AU444">
        <v>0</v>
      </c>
      <c r="AV444">
        <v>39</v>
      </c>
      <c r="AW444">
        <v>0</v>
      </c>
      <c r="AX444">
        <v>0</v>
      </c>
      <c r="AY444">
        <v>15.3</v>
      </c>
      <c r="AZ444">
        <v>9.8000000000000007</v>
      </c>
      <c r="BA444">
        <v>29.7</v>
      </c>
      <c r="BB444">
        <v>564</v>
      </c>
      <c r="BC444">
        <v>68</v>
      </c>
      <c r="BD444">
        <v>1.8</v>
      </c>
      <c r="BE444">
        <v>43</v>
      </c>
      <c r="BF444">
        <v>25.4</v>
      </c>
      <c r="BG444">
        <v>162</v>
      </c>
      <c r="BH444">
        <v>9.1</v>
      </c>
      <c r="BI444">
        <v>9.1999999999999993</v>
      </c>
      <c r="BJ444">
        <v>18.3</v>
      </c>
      <c r="BK444">
        <v>0.34</v>
      </c>
      <c r="BL444">
        <v>7.3</v>
      </c>
      <c r="BM444">
        <v>0.9</v>
      </c>
      <c r="BN444">
        <v>7.5</v>
      </c>
      <c r="BO444">
        <v>2.9</v>
      </c>
      <c r="BP444">
        <f t="shared" si="12"/>
        <v>8.3825800308797547</v>
      </c>
      <c r="BQ444">
        <f t="shared" si="13"/>
        <v>27.533427077434013</v>
      </c>
    </row>
    <row r="445" spans="1:69" hidden="1" x14ac:dyDescent="0.2">
      <c r="A445" t="s">
        <v>383</v>
      </c>
      <c r="B445" t="s">
        <v>68</v>
      </c>
      <c r="C445" t="s">
        <v>69</v>
      </c>
      <c r="D445" t="s">
        <v>70</v>
      </c>
      <c r="E445" t="s">
        <v>156</v>
      </c>
      <c r="F445">
        <v>3</v>
      </c>
      <c r="G445">
        <v>33.39</v>
      </c>
      <c r="H445">
        <v>2</v>
      </c>
      <c r="I445">
        <v>2</v>
      </c>
      <c r="J445">
        <v>1</v>
      </c>
      <c r="K445" t="s">
        <v>110</v>
      </c>
      <c r="L445" t="s">
        <v>124</v>
      </c>
      <c r="M445" s="4">
        <v>198000000</v>
      </c>
      <c r="N445">
        <v>0</v>
      </c>
      <c r="O445">
        <v>4.7633233070000003</v>
      </c>
      <c r="P445">
        <v>-74.030380249999993</v>
      </c>
      <c r="Q445" t="s">
        <v>384</v>
      </c>
      <c r="R445">
        <v>5929919.1370000001</v>
      </c>
      <c r="S445">
        <v>0</v>
      </c>
      <c r="T445" t="s">
        <v>151</v>
      </c>
      <c r="U445" t="s">
        <v>152</v>
      </c>
      <c r="V445" t="s">
        <v>77</v>
      </c>
      <c r="W445" t="s">
        <v>119</v>
      </c>
      <c r="X445" t="s">
        <v>153</v>
      </c>
      <c r="Y445">
        <v>2.7386381989238702</v>
      </c>
      <c r="Z445">
        <v>2738.6381989238698</v>
      </c>
      <c r="AA445">
        <v>4.7837500000000004</v>
      </c>
      <c r="AB445">
        <v>-74.044138888888895</v>
      </c>
      <c r="AC445">
        <v>2580</v>
      </c>
      <c r="AD445">
        <v>0</v>
      </c>
      <c r="AE445" t="s">
        <v>154</v>
      </c>
      <c r="AF445" t="s">
        <v>107</v>
      </c>
      <c r="AG445" t="s">
        <v>82</v>
      </c>
      <c r="AH445" t="s">
        <v>83</v>
      </c>
      <c r="AI445" t="s">
        <v>108</v>
      </c>
      <c r="AJ445">
        <v>1.5591734928341701</v>
      </c>
      <c r="AK445">
        <v>0.87501627835000295</v>
      </c>
      <c r="AL445">
        <v>1.3667259334460899</v>
      </c>
      <c r="AM445">
        <v>0.16319138217972201</v>
      </c>
      <c r="AN445">
        <v>2.44133047917077</v>
      </c>
      <c r="AO445">
        <v>4.3955696629682302E-2</v>
      </c>
      <c r="AP445">
        <v>4.3955696629682302E-2</v>
      </c>
      <c r="AQ445">
        <v>0</v>
      </c>
      <c r="AR445">
        <v>0</v>
      </c>
      <c r="AS445">
        <v>0</v>
      </c>
      <c r="AT445">
        <v>6</v>
      </c>
      <c r="AU445">
        <v>0</v>
      </c>
      <c r="AV445">
        <v>6</v>
      </c>
      <c r="AW445">
        <v>0</v>
      </c>
      <c r="AX445">
        <v>0</v>
      </c>
      <c r="AY445">
        <v>15.3</v>
      </c>
      <c r="AZ445">
        <v>9.8000000000000007</v>
      </c>
      <c r="BA445">
        <v>29.7</v>
      </c>
      <c r="BB445">
        <v>564</v>
      </c>
      <c r="BC445">
        <v>68</v>
      </c>
      <c r="BD445">
        <v>1.8</v>
      </c>
      <c r="BE445">
        <v>43</v>
      </c>
      <c r="BF445">
        <v>25.4</v>
      </c>
      <c r="BG445">
        <v>162</v>
      </c>
      <c r="BH445">
        <v>9.1</v>
      </c>
      <c r="BI445">
        <v>9.1999999999999993</v>
      </c>
      <c r="BJ445">
        <v>18.3</v>
      </c>
      <c r="BK445">
        <v>0.34</v>
      </c>
      <c r="BL445">
        <v>7.3</v>
      </c>
      <c r="BM445">
        <v>0.9</v>
      </c>
      <c r="BN445">
        <v>7.5</v>
      </c>
      <c r="BO445">
        <v>2.9</v>
      </c>
      <c r="BP445">
        <f t="shared" si="12"/>
        <v>8.5576001524965246</v>
      </c>
      <c r="BQ445">
        <f t="shared" si="13"/>
        <v>27.810669138581144</v>
      </c>
    </row>
    <row r="446" spans="1:69" hidden="1" x14ac:dyDescent="0.2">
      <c r="A446" t="s">
        <v>4330</v>
      </c>
      <c r="B446" t="s">
        <v>68</v>
      </c>
      <c r="C446" t="s">
        <v>3294</v>
      </c>
      <c r="D446" t="s">
        <v>70</v>
      </c>
      <c r="E446" t="s">
        <v>165</v>
      </c>
      <c r="F446">
        <v>4</v>
      </c>
      <c r="G446">
        <v>32</v>
      </c>
      <c r="H446">
        <v>1</v>
      </c>
      <c r="I446">
        <v>1</v>
      </c>
      <c r="J446">
        <v>0</v>
      </c>
      <c r="K446" t="s">
        <v>110</v>
      </c>
      <c r="L446" t="s">
        <v>111</v>
      </c>
      <c r="M446" s="4">
        <v>268000000</v>
      </c>
      <c r="N446">
        <v>0</v>
      </c>
      <c r="O446">
        <v>4.7575306890000002</v>
      </c>
      <c r="P446">
        <v>-74.050407410000005</v>
      </c>
      <c r="Q446" t="s">
        <v>4331</v>
      </c>
      <c r="R446">
        <v>8375000</v>
      </c>
      <c r="S446">
        <v>0</v>
      </c>
      <c r="T446" t="s">
        <v>151</v>
      </c>
      <c r="U446" t="s">
        <v>152</v>
      </c>
      <c r="V446" t="s">
        <v>77</v>
      </c>
      <c r="W446" t="s">
        <v>119</v>
      </c>
      <c r="X446" t="s">
        <v>153</v>
      </c>
      <c r="Y446">
        <v>3.0004161785653598</v>
      </c>
      <c r="Z446">
        <v>3000.41617856536</v>
      </c>
      <c r="AA446">
        <v>4.7837500000000004</v>
      </c>
      <c r="AB446">
        <v>-74.044138888888895</v>
      </c>
      <c r="AC446">
        <v>2580</v>
      </c>
      <c r="AD446">
        <v>0</v>
      </c>
      <c r="AE446" t="s">
        <v>154</v>
      </c>
      <c r="AF446" t="s">
        <v>107</v>
      </c>
      <c r="AG446" t="s">
        <v>82</v>
      </c>
      <c r="AH446" t="s">
        <v>83</v>
      </c>
      <c r="AI446" t="s">
        <v>121</v>
      </c>
      <c r="AJ446">
        <v>0.58071034703616897</v>
      </c>
      <c r="AK446">
        <v>3.1497918881271199</v>
      </c>
      <c r="AL446">
        <v>0.57302899403019802</v>
      </c>
      <c r="AM446">
        <v>0.39012179514484102</v>
      </c>
      <c r="AN446">
        <v>3.1644621079634501</v>
      </c>
      <c r="AO446">
        <v>3.7609653435346897E-2</v>
      </c>
      <c r="AP446">
        <v>3.7609653435346897E-2</v>
      </c>
      <c r="AQ446">
        <v>0</v>
      </c>
      <c r="AR446">
        <v>2</v>
      </c>
      <c r="AS446">
        <v>0</v>
      </c>
      <c r="AT446">
        <v>0</v>
      </c>
      <c r="AU446">
        <v>1</v>
      </c>
      <c r="AV446">
        <v>20</v>
      </c>
      <c r="AW446">
        <v>0</v>
      </c>
      <c r="AX446">
        <v>0</v>
      </c>
      <c r="AY446">
        <v>15.3</v>
      </c>
      <c r="AZ446">
        <v>9.8000000000000007</v>
      </c>
      <c r="BA446">
        <v>29.7</v>
      </c>
      <c r="BB446">
        <v>564</v>
      </c>
      <c r="BC446">
        <v>68</v>
      </c>
      <c r="BD446">
        <v>1.8</v>
      </c>
      <c r="BE446">
        <v>43</v>
      </c>
      <c r="BF446">
        <v>25.4</v>
      </c>
      <c r="BG446">
        <v>162</v>
      </c>
      <c r="BH446">
        <v>9.1</v>
      </c>
      <c r="BI446">
        <v>9.1999999999999993</v>
      </c>
      <c r="BJ446">
        <v>18.3</v>
      </c>
      <c r="BK446">
        <v>0.34</v>
      </c>
      <c r="BL446">
        <v>7.3</v>
      </c>
      <c r="BM446">
        <v>0.9</v>
      </c>
      <c r="BN446">
        <v>7.5</v>
      </c>
      <c r="BO446">
        <v>2.9</v>
      </c>
      <c r="BP446">
        <f t="shared" si="12"/>
        <v>8.4474260444145735</v>
      </c>
      <c r="BQ446">
        <f t="shared" si="13"/>
        <v>27.63649156304437</v>
      </c>
    </row>
    <row r="447" spans="1:69" hidden="1" x14ac:dyDescent="0.2">
      <c r="A447" t="s">
        <v>3847</v>
      </c>
      <c r="B447" t="s">
        <v>68</v>
      </c>
      <c r="C447" t="s">
        <v>3294</v>
      </c>
      <c r="D447" t="s">
        <v>70</v>
      </c>
      <c r="E447" t="s">
        <v>495</v>
      </c>
      <c r="F447">
        <v>3</v>
      </c>
      <c r="G447">
        <v>30.63</v>
      </c>
      <c r="H447">
        <v>1</v>
      </c>
      <c r="I447">
        <v>1</v>
      </c>
      <c r="J447">
        <v>0</v>
      </c>
      <c r="K447" t="s">
        <v>110</v>
      </c>
      <c r="L447" t="s">
        <v>111</v>
      </c>
      <c r="M447" s="4">
        <v>215000000</v>
      </c>
      <c r="N447">
        <v>0</v>
      </c>
      <c r="O447">
        <v>4.7274500000000002</v>
      </c>
      <c r="P447">
        <v>-74.053120000000007</v>
      </c>
      <c r="Q447" t="s">
        <v>3848</v>
      </c>
      <c r="R447">
        <v>7019262.1610000003</v>
      </c>
      <c r="S447">
        <v>0</v>
      </c>
      <c r="T447" t="s">
        <v>117</v>
      </c>
      <c r="U447" t="s">
        <v>118</v>
      </c>
      <c r="V447" t="s">
        <v>77</v>
      </c>
      <c r="W447" t="s">
        <v>119</v>
      </c>
      <c r="X447" t="s">
        <v>120</v>
      </c>
      <c r="Y447">
        <v>2.1136912069093001</v>
      </c>
      <c r="Z447">
        <v>2113.6912069093</v>
      </c>
      <c r="AA447">
        <v>4.73719444444444</v>
      </c>
      <c r="AB447">
        <v>-74.069472222222203</v>
      </c>
      <c r="AC447">
        <v>2555</v>
      </c>
      <c r="AD447">
        <v>0</v>
      </c>
      <c r="AE447" t="s">
        <v>80</v>
      </c>
      <c r="AF447" t="s">
        <v>107</v>
      </c>
      <c r="AG447" t="s">
        <v>82</v>
      </c>
      <c r="AH447" t="s">
        <v>83</v>
      </c>
      <c r="AI447" t="s">
        <v>121</v>
      </c>
      <c r="AJ447">
        <v>0.29759723353601902</v>
      </c>
      <c r="AK447">
        <v>3.3872647655441401</v>
      </c>
      <c r="AL447">
        <v>1.5765613267627101</v>
      </c>
      <c r="AM447">
        <v>0.23970749844703801</v>
      </c>
      <c r="AN447">
        <v>3.31410237205198</v>
      </c>
      <c r="AO447">
        <v>6.1120495297220696E-3</v>
      </c>
      <c r="AP447">
        <v>6.1120495297220696E-3</v>
      </c>
      <c r="AQ447">
        <v>1</v>
      </c>
      <c r="AR447">
        <v>4</v>
      </c>
      <c r="AS447">
        <v>0</v>
      </c>
      <c r="AT447">
        <v>0</v>
      </c>
      <c r="AU447">
        <v>0</v>
      </c>
      <c r="AV447">
        <v>25</v>
      </c>
      <c r="AW447">
        <v>0</v>
      </c>
      <c r="AX447">
        <v>0</v>
      </c>
      <c r="AY447">
        <v>15.3</v>
      </c>
      <c r="AZ447">
        <v>9.8000000000000007</v>
      </c>
      <c r="BA447">
        <v>29.7</v>
      </c>
      <c r="BB447">
        <v>564</v>
      </c>
      <c r="BC447">
        <v>68</v>
      </c>
      <c r="BD447">
        <v>1.8</v>
      </c>
      <c r="BE447">
        <v>43</v>
      </c>
      <c r="BF447">
        <v>25.4</v>
      </c>
      <c r="BG447">
        <v>162</v>
      </c>
      <c r="BH447">
        <v>9.1</v>
      </c>
      <c r="BI447">
        <v>9.1999999999999993</v>
      </c>
      <c r="BJ447">
        <v>18.3</v>
      </c>
      <c r="BK447">
        <v>0.34</v>
      </c>
      <c r="BL447">
        <v>7.3</v>
      </c>
      <c r="BM447">
        <v>0.9</v>
      </c>
      <c r="BN447">
        <v>7.5</v>
      </c>
      <c r="BO447">
        <v>2.9</v>
      </c>
      <c r="BP447">
        <f t="shared" si="12"/>
        <v>8.8264656728136401</v>
      </c>
      <c r="BQ447">
        <f t="shared" si="13"/>
        <v>28.230937663092885</v>
      </c>
    </row>
    <row r="448" spans="1:69" hidden="1" x14ac:dyDescent="0.2">
      <c r="A448" t="s">
        <v>3141</v>
      </c>
      <c r="B448" t="s">
        <v>68</v>
      </c>
      <c r="C448" t="s">
        <v>1956</v>
      </c>
      <c r="D448" t="s">
        <v>70</v>
      </c>
      <c r="E448" t="s">
        <v>2943</v>
      </c>
      <c r="F448">
        <v>6</v>
      </c>
      <c r="G448">
        <v>30</v>
      </c>
      <c r="H448">
        <v>5</v>
      </c>
      <c r="I448">
        <v>5</v>
      </c>
      <c r="J448">
        <v>2</v>
      </c>
      <c r="K448" t="s">
        <v>110</v>
      </c>
      <c r="L448" t="s">
        <v>133</v>
      </c>
      <c r="M448" s="4">
        <v>998000000</v>
      </c>
      <c r="N448">
        <v>0</v>
      </c>
      <c r="O448">
        <v>4.7098699999999996</v>
      </c>
      <c r="P448">
        <v>-74.06832</v>
      </c>
      <c r="Q448" t="s">
        <v>3142</v>
      </c>
      <c r="R448">
        <v>33266666.670000002</v>
      </c>
      <c r="S448">
        <v>0</v>
      </c>
      <c r="T448" t="s">
        <v>117</v>
      </c>
      <c r="U448" t="s">
        <v>118</v>
      </c>
      <c r="V448" t="s">
        <v>77</v>
      </c>
      <c r="W448" t="s">
        <v>119</v>
      </c>
      <c r="X448" t="s">
        <v>120</v>
      </c>
      <c r="Y448">
        <v>3.0444280649015401</v>
      </c>
      <c r="Z448">
        <v>3044.42806490154</v>
      </c>
      <c r="AA448">
        <v>4.73719444444444</v>
      </c>
      <c r="AB448">
        <v>-74.069472222222203</v>
      </c>
      <c r="AC448">
        <v>2555</v>
      </c>
      <c r="AD448">
        <v>0</v>
      </c>
      <c r="AE448" t="s">
        <v>80</v>
      </c>
      <c r="AF448" t="s">
        <v>107</v>
      </c>
      <c r="AG448" t="s">
        <v>82</v>
      </c>
      <c r="AH448" t="s">
        <v>83</v>
      </c>
      <c r="AI448" t="s">
        <v>121</v>
      </c>
      <c r="AJ448">
        <v>0.47293914861679898</v>
      </c>
      <c r="AK448">
        <v>4.7955353152625397</v>
      </c>
      <c r="AL448">
        <v>0.84451360059834901</v>
      </c>
      <c r="AM448">
        <v>0.14722414653544799</v>
      </c>
      <c r="AN448">
        <v>3.9624833482641302</v>
      </c>
      <c r="AO448">
        <v>0.530252188211915</v>
      </c>
      <c r="AP448">
        <v>0.530252188211915</v>
      </c>
      <c r="AQ448">
        <v>1</v>
      </c>
      <c r="AR448">
        <v>2</v>
      </c>
      <c r="AS448">
        <v>0</v>
      </c>
      <c r="AT448">
        <v>0</v>
      </c>
      <c r="AU448">
        <v>1</v>
      </c>
      <c r="AV448">
        <v>34</v>
      </c>
      <c r="AW448">
        <v>0</v>
      </c>
      <c r="AX448">
        <v>0</v>
      </c>
      <c r="AY448">
        <v>15.3</v>
      </c>
      <c r="AZ448">
        <v>9.8000000000000007</v>
      </c>
      <c r="BA448">
        <v>29.7</v>
      </c>
      <c r="BB448">
        <v>564</v>
      </c>
      <c r="BC448">
        <v>68</v>
      </c>
      <c r="BD448">
        <v>1.8</v>
      </c>
      <c r="BE448">
        <v>43</v>
      </c>
      <c r="BF448">
        <v>25.4</v>
      </c>
      <c r="BG448">
        <v>162</v>
      </c>
      <c r="BH448">
        <v>9.1</v>
      </c>
      <c r="BI448">
        <v>9.1999999999999993</v>
      </c>
      <c r="BJ448">
        <v>18.3</v>
      </c>
      <c r="BK448">
        <v>0.34</v>
      </c>
      <c r="BL448">
        <v>7.3</v>
      </c>
      <c r="BM448">
        <v>0.9</v>
      </c>
      <c r="BN448">
        <v>7.5</v>
      </c>
      <c r="BO448">
        <v>2.9</v>
      </c>
      <c r="BP448">
        <f t="shared" si="12"/>
        <v>8.4290426124835829</v>
      </c>
      <c r="BQ448">
        <f t="shared" si="13"/>
        <v>27.607314956157545</v>
      </c>
    </row>
    <row r="449" spans="1:69" hidden="1" x14ac:dyDescent="0.2">
      <c r="A449" t="s">
        <v>1129</v>
      </c>
      <c r="B449" t="s">
        <v>68</v>
      </c>
      <c r="C449" t="s">
        <v>69</v>
      </c>
      <c r="D449" t="s">
        <v>70</v>
      </c>
      <c r="E449" t="s">
        <v>326</v>
      </c>
      <c r="F449">
        <v>4</v>
      </c>
      <c r="G449">
        <v>30</v>
      </c>
      <c r="H449">
        <v>1</v>
      </c>
      <c r="I449">
        <v>1</v>
      </c>
      <c r="J449">
        <v>1</v>
      </c>
      <c r="K449" t="s">
        <v>110</v>
      </c>
      <c r="L449" t="s">
        <v>111</v>
      </c>
      <c r="M449" s="4">
        <v>250000000</v>
      </c>
      <c r="N449">
        <v>0</v>
      </c>
      <c r="O449">
        <v>4.7500404999999999</v>
      </c>
      <c r="P449">
        <v>-74.023920000000004</v>
      </c>
      <c r="Q449" t="s">
        <v>1130</v>
      </c>
      <c r="R449">
        <v>8333333.3329999996</v>
      </c>
      <c r="S449">
        <v>0</v>
      </c>
      <c r="T449" t="s">
        <v>151</v>
      </c>
      <c r="U449" t="s">
        <v>152</v>
      </c>
      <c r="V449" t="s">
        <v>77</v>
      </c>
      <c r="W449" t="s">
        <v>119</v>
      </c>
      <c r="X449" t="s">
        <v>153</v>
      </c>
      <c r="Y449">
        <v>4.3717683579254096</v>
      </c>
      <c r="Z449">
        <v>4371.7683579254099</v>
      </c>
      <c r="AA449">
        <v>4.7837500000000004</v>
      </c>
      <c r="AB449">
        <v>-74.044138888888895</v>
      </c>
      <c r="AC449">
        <v>2580</v>
      </c>
      <c r="AD449">
        <v>0</v>
      </c>
      <c r="AE449" t="s">
        <v>154</v>
      </c>
      <c r="AF449" t="s">
        <v>107</v>
      </c>
      <c r="AG449" t="s">
        <v>82</v>
      </c>
      <c r="AH449" t="s">
        <v>83</v>
      </c>
      <c r="AI449" t="s">
        <v>108</v>
      </c>
      <c r="AJ449">
        <v>2.5046580905410698</v>
      </c>
      <c r="AK449">
        <v>0.39252187808303102</v>
      </c>
      <c r="AL449">
        <v>0.47558837345632898</v>
      </c>
      <c r="AM449">
        <v>0.82387514700267594</v>
      </c>
      <c r="AN449">
        <v>0.99005980468446897</v>
      </c>
      <c r="AO449">
        <v>0.17359718481571501</v>
      </c>
      <c r="AP449">
        <v>0.17359718481571501</v>
      </c>
      <c r="AQ449">
        <v>0</v>
      </c>
      <c r="AR449">
        <v>0</v>
      </c>
      <c r="AS449">
        <v>3</v>
      </c>
      <c r="AT449">
        <v>45</v>
      </c>
      <c r="AU449">
        <v>3</v>
      </c>
      <c r="AV449">
        <v>2</v>
      </c>
      <c r="AW449">
        <v>1</v>
      </c>
      <c r="AX449">
        <v>0</v>
      </c>
      <c r="AY449">
        <v>15.3</v>
      </c>
      <c r="AZ449">
        <v>9.8000000000000007</v>
      </c>
      <c r="BA449">
        <v>29.7</v>
      </c>
      <c r="BB449">
        <v>564</v>
      </c>
      <c r="BC449">
        <v>68</v>
      </c>
      <c r="BD449">
        <v>1.8</v>
      </c>
      <c r="BE449">
        <v>43</v>
      </c>
      <c r="BF449">
        <v>25.4</v>
      </c>
      <c r="BG449">
        <v>162</v>
      </c>
      <c r="BH449">
        <v>9.1</v>
      </c>
      <c r="BI449">
        <v>9.1999999999999993</v>
      </c>
      <c r="BJ449">
        <v>18.3</v>
      </c>
      <c r="BK449">
        <v>0.34</v>
      </c>
      <c r="BL449">
        <v>7.3</v>
      </c>
      <c r="BM449">
        <v>0.9</v>
      </c>
      <c r="BN449">
        <v>7.5</v>
      </c>
      <c r="BO449">
        <v>2.9</v>
      </c>
      <c r="BP449">
        <f t="shared" si="12"/>
        <v>7.89302810886175</v>
      </c>
      <c r="BQ449">
        <f t="shared" si="13"/>
        <v>26.741712311805973</v>
      </c>
    </row>
    <row r="450" spans="1:69" hidden="1" x14ac:dyDescent="0.2">
      <c r="A450" t="s">
        <v>3314</v>
      </c>
      <c r="B450" t="s">
        <v>68</v>
      </c>
      <c r="C450" t="s">
        <v>3294</v>
      </c>
      <c r="D450" t="s">
        <v>70</v>
      </c>
      <c r="E450" t="s">
        <v>483</v>
      </c>
      <c r="F450">
        <v>4</v>
      </c>
      <c r="G450">
        <v>30</v>
      </c>
      <c r="H450">
        <v>1</v>
      </c>
      <c r="I450">
        <v>1</v>
      </c>
      <c r="J450">
        <v>0</v>
      </c>
      <c r="K450" t="s">
        <v>110</v>
      </c>
      <c r="L450" t="s">
        <v>111</v>
      </c>
      <c r="M450" s="4">
        <v>245000000</v>
      </c>
      <c r="N450">
        <v>0</v>
      </c>
      <c r="O450">
        <v>4.7241783000000002</v>
      </c>
      <c r="P450">
        <v>-74.073099999999997</v>
      </c>
      <c r="Q450" t="s">
        <v>3315</v>
      </c>
      <c r="R450">
        <v>8166666.6670000004</v>
      </c>
      <c r="S450">
        <v>0</v>
      </c>
      <c r="T450" t="s">
        <v>117</v>
      </c>
      <c r="U450" t="s">
        <v>118</v>
      </c>
      <c r="V450" t="s">
        <v>77</v>
      </c>
      <c r="W450" t="s">
        <v>119</v>
      </c>
      <c r="X450" t="s">
        <v>120</v>
      </c>
      <c r="Y450">
        <v>1.50380754949125</v>
      </c>
      <c r="Z450">
        <v>1503.80754949125</v>
      </c>
      <c r="AA450">
        <v>4.73719444444444</v>
      </c>
      <c r="AB450">
        <v>-74.069472222222203</v>
      </c>
      <c r="AC450">
        <v>2555</v>
      </c>
      <c r="AD450">
        <v>0</v>
      </c>
      <c r="AE450" t="s">
        <v>80</v>
      </c>
      <c r="AF450" t="s">
        <v>107</v>
      </c>
      <c r="AG450" t="s">
        <v>82</v>
      </c>
      <c r="AH450" t="s">
        <v>83</v>
      </c>
      <c r="AI450" t="s">
        <v>121</v>
      </c>
      <c r="AJ450">
        <v>0.36801168432527098</v>
      </c>
      <c r="AK450">
        <v>5.5153775491366899</v>
      </c>
      <c r="AL450">
        <v>0.83091214856195394</v>
      </c>
      <c r="AM450">
        <v>0.43709818106130699</v>
      </c>
      <c r="AN450">
        <v>2.33690809736011</v>
      </c>
      <c r="AO450">
        <v>0.204032477875631</v>
      </c>
      <c r="AP450">
        <v>0.204032477875631</v>
      </c>
      <c r="AQ450">
        <v>2</v>
      </c>
      <c r="AR450">
        <v>2</v>
      </c>
      <c r="AS450">
        <v>0</v>
      </c>
      <c r="AT450">
        <v>0</v>
      </c>
      <c r="AU450">
        <v>1</v>
      </c>
      <c r="AV450">
        <v>27</v>
      </c>
      <c r="AW450">
        <v>0</v>
      </c>
      <c r="AX450">
        <v>0</v>
      </c>
      <c r="AY450">
        <v>15.3</v>
      </c>
      <c r="AZ450">
        <v>9.8000000000000007</v>
      </c>
      <c r="BA450">
        <v>29.7</v>
      </c>
      <c r="BB450">
        <v>564</v>
      </c>
      <c r="BC450">
        <v>68</v>
      </c>
      <c r="BD450">
        <v>1.8</v>
      </c>
      <c r="BE450">
        <v>43</v>
      </c>
      <c r="BF450">
        <v>25.4</v>
      </c>
      <c r="BG450">
        <v>162</v>
      </c>
      <c r="BH450">
        <v>9.1</v>
      </c>
      <c r="BI450">
        <v>9.1999999999999993</v>
      </c>
      <c r="BJ450">
        <v>18.3</v>
      </c>
      <c r="BK450">
        <v>0.34</v>
      </c>
      <c r="BL450">
        <v>7.3</v>
      </c>
      <c r="BM450">
        <v>0.9</v>
      </c>
      <c r="BN450">
        <v>7.5</v>
      </c>
      <c r="BO450">
        <v>2.9</v>
      </c>
      <c r="BP450">
        <f t="shared" ref="BP450:BP513" si="14">+AZ450*EXP(-0.0495*Y450)</f>
        <v>9.0969929328780754</v>
      </c>
      <c r="BQ450">
        <f t="shared" ref="BQ450:BQ513" si="15">+BA450*EXP(-0.024*Y450)</f>
        <v>28.647198781784052</v>
      </c>
    </row>
    <row r="451" spans="1:69" hidden="1" x14ac:dyDescent="0.2">
      <c r="A451" t="s">
        <v>4390</v>
      </c>
      <c r="B451" t="s">
        <v>68</v>
      </c>
      <c r="C451" t="s">
        <v>3294</v>
      </c>
      <c r="D451" t="s">
        <v>70</v>
      </c>
      <c r="E451" t="s">
        <v>661</v>
      </c>
      <c r="F451">
        <v>3</v>
      </c>
      <c r="G451">
        <v>30</v>
      </c>
      <c r="H451">
        <v>1</v>
      </c>
      <c r="I451">
        <v>1</v>
      </c>
      <c r="J451">
        <v>0</v>
      </c>
      <c r="K451" t="s">
        <v>110</v>
      </c>
      <c r="L451" t="s">
        <v>111</v>
      </c>
      <c r="M451" s="4">
        <v>218000000</v>
      </c>
      <c r="N451">
        <v>0</v>
      </c>
      <c r="O451">
        <v>4.7470021999999998</v>
      </c>
      <c r="P451">
        <v>-74.062111299999998</v>
      </c>
      <c r="Q451" t="s">
        <v>4391</v>
      </c>
      <c r="R451">
        <v>7266666.6670000004</v>
      </c>
      <c r="S451">
        <v>0</v>
      </c>
      <c r="T451" t="s">
        <v>117</v>
      </c>
      <c r="U451" t="s">
        <v>118</v>
      </c>
      <c r="V451" t="s">
        <v>77</v>
      </c>
      <c r="W451" t="s">
        <v>119</v>
      </c>
      <c r="X451" t="s">
        <v>120</v>
      </c>
      <c r="Y451">
        <v>1.3634021695844101</v>
      </c>
      <c r="Z451">
        <v>1363.4021695844101</v>
      </c>
      <c r="AA451">
        <v>4.73719444444444</v>
      </c>
      <c r="AB451">
        <v>-74.069472222222203</v>
      </c>
      <c r="AC451">
        <v>2555</v>
      </c>
      <c r="AD451">
        <v>0</v>
      </c>
      <c r="AE451" t="s">
        <v>80</v>
      </c>
      <c r="AF451" t="s">
        <v>107</v>
      </c>
      <c r="AG451" t="s">
        <v>82</v>
      </c>
      <c r="AH451" t="s">
        <v>83</v>
      </c>
      <c r="AI451" t="s">
        <v>121</v>
      </c>
      <c r="AJ451">
        <v>1.64961312746184</v>
      </c>
      <c r="AK451">
        <v>4.5839896624581904</v>
      </c>
      <c r="AL451">
        <v>1.1864089801334901</v>
      </c>
      <c r="AM451">
        <v>0.37618588029316202</v>
      </c>
      <c r="AN451">
        <v>2.64531557555547</v>
      </c>
      <c r="AO451">
        <v>5.1856322204296E-2</v>
      </c>
      <c r="AP451">
        <v>5.1856322204296E-2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14</v>
      </c>
      <c r="AW451">
        <v>0</v>
      </c>
      <c r="AX451">
        <v>0</v>
      </c>
      <c r="AY451">
        <v>15.3</v>
      </c>
      <c r="AZ451">
        <v>9.8000000000000007</v>
      </c>
      <c r="BA451">
        <v>29.7</v>
      </c>
      <c r="BB451">
        <v>564</v>
      </c>
      <c r="BC451">
        <v>68</v>
      </c>
      <c r="BD451">
        <v>1.8</v>
      </c>
      <c r="BE451">
        <v>43</v>
      </c>
      <c r="BF451">
        <v>25.4</v>
      </c>
      <c r="BG451">
        <v>162</v>
      </c>
      <c r="BH451">
        <v>9.1</v>
      </c>
      <c r="BI451">
        <v>9.1999999999999993</v>
      </c>
      <c r="BJ451">
        <v>18.3</v>
      </c>
      <c r="BK451">
        <v>0.34</v>
      </c>
      <c r="BL451">
        <v>7.3</v>
      </c>
      <c r="BM451">
        <v>0.9</v>
      </c>
      <c r="BN451">
        <v>7.5</v>
      </c>
      <c r="BO451">
        <v>2.9</v>
      </c>
      <c r="BP451">
        <f t="shared" si="14"/>
        <v>9.1604378547644583</v>
      </c>
      <c r="BQ451">
        <f t="shared" si="15"/>
        <v>28.743894910041597</v>
      </c>
    </row>
    <row r="452" spans="1:69" hidden="1" x14ac:dyDescent="0.2">
      <c r="A452" t="s">
        <v>4643</v>
      </c>
      <c r="B452" t="s">
        <v>68</v>
      </c>
      <c r="C452" t="s">
        <v>3294</v>
      </c>
      <c r="D452" t="s">
        <v>70</v>
      </c>
      <c r="E452" t="s">
        <v>709</v>
      </c>
      <c r="F452">
        <v>4</v>
      </c>
      <c r="G452">
        <v>28</v>
      </c>
      <c r="H452">
        <v>1</v>
      </c>
      <c r="I452">
        <v>1</v>
      </c>
      <c r="J452">
        <v>1</v>
      </c>
      <c r="K452" t="s">
        <v>110</v>
      </c>
      <c r="L452" t="s">
        <v>133</v>
      </c>
      <c r="M452" s="4">
        <v>220000000</v>
      </c>
      <c r="N452">
        <v>0</v>
      </c>
      <c r="O452">
        <v>4.7243456769999996</v>
      </c>
      <c r="P452">
        <v>-74.072991889999997</v>
      </c>
      <c r="Q452" t="s">
        <v>4644</v>
      </c>
      <c r="R452">
        <v>7857142.8569999998</v>
      </c>
      <c r="S452">
        <v>0</v>
      </c>
      <c r="T452" t="s">
        <v>117</v>
      </c>
      <c r="U452" t="s">
        <v>118</v>
      </c>
      <c r="V452" t="s">
        <v>77</v>
      </c>
      <c r="W452" t="s">
        <v>119</v>
      </c>
      <c r="X452" t="s">
        <v>120</v>
      </c>
      <c r="Y452">
        <v>1.4826595442911299</v>
      </c>
      <c r="Z452">
        <v>1482.65954429113</v>
      </c>
      <c r="AA452">
        <v>4.73719444444444</v>
      </c>
      <c r="AB452">
        <v>-74.069472222222203</v>
      </c>
      <c r="AC452">
        <v>2555</v>
      </c>
      <c r="AD452">
        <v>0</v>
      </c>
      <c r="AE452" t="s">
        <v>80</v>
      </c>
      <c r="AF452" t="s">
        <v>107</v>
      </c>
      <c r="AG452" t="s">
        <v>82</v>
      </c>
      <c r="AH452" t="s">
        <v>83</v>
      </c>
      <c r="AI452" t="s">
        <v>121</v>
      </c>
      <c r="AJ452">
        <v>0.390005174170028</v>
      </c>
      <c r="AK452">
        <v>5.5051193803714904</v>
      </c>
      <c r="AL452">
        <v>0.84639234462455404</v>
      </c>
      <c r="AM452">
        <v>0.45298825859990499</v>
      </c>
      <c r="AN452">
        <v>2.3288658807844702</v>
      </c>
      <c r="AO452">
        <v>0.21378853060202899</v>
      </c>
      <c r="AP452">
        <v>0.21378853060202899</v>
      </c>
      <c r="AQ452">
        <v>2</v>
      </c>
      <c r="AR452">
        <v>2</v>
      </c>
      <c r="AS452">
        <v>0</v>
      </c>
      <c r="AT452">
        <v>0</v>
      </c>
      <c r="AU452">
        <v>1</v>
      </c>
      <c r="AV452">
        <v>28</v>
      </c>
      <c r="AW452">
        <v>0</v>
      </c>
      <c r="AX452">
        <v>0</v>
      </c>
      <c r="AY452">
        <v>15.3</v>
      </c>
      <c r="AZ452">
        <v>9.8000000000000007</v>
      </c>
      <c r="BA452">
        <v>29.7</v>
      </c>
      <c r="BB452">
        <v>564</v>
      </c>
      <c r="BC452">
        <v>68</v>
      </c>
      <c r="BD452">
        <v>1.8</v>
      </c>
      <c r="BE452">
        <v>43</v>
      </c>
      <c r="BF452">
        <v>25.4</v>
      </c>
      <c r="BG452">
        <v>162</v>
      </c>
      <c r="BH452">
        <v>9.1</v>
      </c>
      <c r="BI452">
        <v>9.1999999999999993</v>
      </c>
      <c r="BJ452">
        <v>18.3</v>
      </c>
      <c r="BK452">
        <v>0.34</v>
      </c>
      <c r="BL452">
        <v>7.3</v>
      </c>
      <c r="BM452">
        <v>0.9</v>
      </c>
      <c r="BN452">
        <v>7.5</v>
      </c>
      <c r="BO452">
        <v>2.9</v>
      </c>
      <c r="BP452">
        <f t="shared" si="14"/>
        <v>9.1065208901314669</v>
      </c>
      <c r="BQ452">
        <f t="shared" si="15"/>
        <v>28.661742418910144</v>
      </c>
    </row>
    <row r="453" spans="1:69" hidden="1" x14ac:dyDescent="0.2">
      <c r="A453" t="s">
        <v>4002</v>
      </c>
      <c r="B453" t="s">
        <v>68</v>
      </c>
      <c r="C453" t="s">
        <v>3294</v>
      </c>
      <c r="D453" t="s">
        <v>70</v>
      </c>
      <c r="E453" t="s">
        <v>4003</v>
      </c>
      <c r="F453">
        <v>3</v>
      </c>
      <c r="G453">
        <v>28</v>
      </c>
      <c r="H453">
        <v>1</v>
      </c>
      <c r="I453">
        <v>1</v>
      </c>
      <c r="J453">
        <v>0</v>
      </c>
      <c r="K453" t="s">
        <v>110</v>
      </c>
      <c r="L453" t="s">
        <v>111</v>
      </c>
      <c r="M453" s="4">
        <v>210000000</v>
      </c>
      <c r="N453">
        <v>0</v>
      </c>
      <c r="O453">
        <v>4.7273567999999999</v>
      </c>
      <c r="P453">
        <v>-74.055225300000004</v>
      </c>
      <c r="Q453" t="s">
        <v>4004</v>
      </c>
      <c r="R453">
        <v>7500000</v>
      </c>
      <c r="S453">
        <v>0</v>
      </c>
      <c r="T453" t="s">
        <v>117</v>
      </c>
      <c r="U453" t="s">
        <v>118</v>
      </c>
      <c r="V453" t="s">
        <v>77</v>
      </c>
      <c r="W453" t="s">
        <v>119</v>
      </c>
      <c r="X453" t="s">
        <v>120</v>
      </c>
      <c r="Y453">
        <v>1.9228731765563301</v>
      </c>
      <c r="Z453">
        <v>1922.87317655633</v>
      </c>
      <c r="AA453">
        <v>4.73719444444444</v>
      </c>
      <c r="AB453">
        <v>-74.069472222222203</v>
      </c>
      <c r="AC453">
        <v>2555</v>
      </c>
      <c r="AD453">
        <v>0</v>
      </c>
      <c r="AE453" t="s">
        <v>80</v>
      </c>
      <c r="AF453" t="s">
        <v>107</v>
      </c>
      <c r="AG453" t="s">
        <v>82</v>
      </c>
      <c r="AH453" t="s">
        <v>83</v>
      </c>
      <c r="AI453" t="s">
        <v>121</v>
      </c>
      <c r="AJ453">
        <v>0.52652651248948201</v>
      </c>
      <c r="AK453">
        <v>3.6112326344055101</v>
      </c>
      <c r="AL453">
        <v>1.7980618730623701</v>
      </c>
      <c r="AM453">
        <v>0.40848997798015801</v>
      </c>
      <c r="AN453">
        <v>3.5264368552504002</v>
      </c>
      <c r="AO453">
        <v>5.7658914624038701E-2</v>
      </c>
      <c r="AP453">
        <v>5.7658914624038701E-2</v>
      </c>
      <c r="AQ453">
        <v>0</v>
      </c>
      <c r="AR453">
        <v>3</v>
      </c>
      <c r="AS453">
        <v>0</v>
      </c>
      <c r="AT453">
        <v>0</v>
      </c>
      <c r="AU453">
        <v>0</v>
      </c>
      <c r="AV453">
        <v>17</v>
      </c>
      <c r="AW453">
        <v>0</v>
      </c>
      <c r="AX453">
        <v>0</v>
      </c>
      <c r="AY453">
        <v>15.3</v>
      </c>
      <c r="AZ453">
        <v>9.8000000000000007</v>
      </c>
      <c r="BA453">
        <v>29.7</v>
      </c>
      <c r="BB453">
        <v>564</v>
      </c>
      <c r="BC453">
        <v>68</v>
      </c>
      <c r="BD453">
        <v>1.8</v>
      </c>
      <c r="BE453">
        <v>43</v>
      </c>
      <c r="BF453">
        <v>25.4</v>
      </c>
      <c r="BG453">
        <v>162</v>
      </c>
      <c r="BH453">
        <v>9.1</v>
      </c>
      <c r="BI453">
        <v>9.1999999999999993</v>
      </c>
      <c r="BJ453">
        <v>18.3</v>
      </c>
      <c r="BK453">
        <v>0.34</v>
      </c>
      <c r="BL453">
        <v>7.3</v>
      </c>
      <c r="BM453">
        <v>0.9</v>
      </c>
      <c r="BN453">
        <v>7.5</v>
      </c>
      <c r="BO453">
        <v>2.9</v>
      </c>
      <c r="BP453">
        <f t="shared" si="14"/>
        <v>8.9102309676060987</v>
      </c>
      <c r="BQ453">
        <f t="shared" si="15"/>
        <v>28.360521485847666</v>
      </c>
    </row>
    <row r="454" spans="1:69" hidden="1" x14ac:dyDescent="0.2">
      <c r="A454" t="s">
        <v>3477</v>
      </c>
      <c r="B454" t="s">
        <v>68</v>
      </c>
      <c r="C454" t="s">
        <v>3294</v>
      </c>
      <c r="D454" t="s">
        <v>70</v>
      </c>
      <c r="E454" t="s">
        <v>165</v>
      </c>
      <c r="F454">
        <v>3</v>
      </c>
      <c r="G454">
        <v>27.67</v>
      </c>
      <c r="H454">
        <v>1</v>
      </c>
      <c r="I454">
        <v>1</v>
      </c>
      <c r="J454">
        <v>1</v>
      </c>
      <c r="K454" t="s">
        <v>110</v>
      </c>
      <c r="L454" t="s">
        <v>111</v>
      </c>
      <c r="M454" s="4">
        <v>230000000</v>
      </c>
      <c r="N454">
        <v>0</v>
      </c>
      <c r="O454">
        <v>4.7578836740000003</v>
      </c>
      <c r="P454">
        <v>-74.050089830000005</v>
      </c>
      <c r="Q454" t="s">
        <v>3478</v>
      </c>
      <c r="R454">
        <v>8312251.5360000003</v>
      </c>
      <c r="S454">
        <v>0</v>
      </c>
      <c r="T454" t="s">
        <v>151</v>
      </c>
      <c r="U454" t="s">
        <v>152</v>
      </c>
      <c r="V454" t="s">
        <v>77</v>
      </c>
      <c r="W454" t="s">
        <v>119</v>
      </c>
      <c r="X454" t="s">
        <v>153</v>
      </c>
      <c r="Y454">
        <v>2.9541339542928702</v>
      </c>
      <c r="Z454">
        <v>2954.1339542928699</v>
      </c>
      <c r="AA454">
        <v>4.7837500000000004</v>
      </c>
      <c r="AB454">
        <v>-74.044138888888895</v>
      </c>
      <c r="AC454">
        <v>2580</v>
      </c>
      <c r="AD454">
        <v>0</v>
      </c>
      <c r="AE454" t="s">
        <v>154</v>
      </c>
      <c r="AF454" t="s">
        <v>107</v>
      </c>
      <c r="AG454" t="s">
        <v>82</v>
      </c>
      <c r="AH454" t="s">
        <v>83</v>
      </c>
      <c r="AI454" t="s">
        <v>121</v>
      </c>
      <c r="AJ454">
        <v>0.57532217326871304</v>
      </c>
      <c r="AK454">
        <v>3.1154723736379299</v>
      </c>
      <c r="AL454">
        <v>0.62537242677060101</v>
      </c>
      <c r="AM454">
        <v>0.35189237309575</v>
      </c>
      <c r="AN454">
        <v>3.15747165769708</v>
      </c>
      <c r="AO454">
        <v>1.1001468661722099E-2</v>
      </c>
      <c r="AP454">
        <v>1.1001468661722099E-2</v>
      </c>
      <c r="AQ454">
        <v>0</v>
      </c>
      <c r="AR454">
        <v>2</v>
      </c>
      <c r="AS454">
        <v>0</v>
      </c>
      <c r="AT454">
        <v>0</v>
      </c>
      <c r="AU454">
        <v>1</v>
      </c>
      <c r="AV454">
        <v>20</v>
      </c>
      <c r="AW454">
        <v>0</v>
      </c>
      <c r="AX454">
        <v>0</v>
      </c>
      <c r="AY454">
        <v>15.3</v>
      </c>
      <c r="AZ454">
        <v>9.8000000000000007</v>
      </c>
      <c r="BA454">
        <v>29.7</v>
      </c>
      <c r="BB454">
        <v>564</v>
      </c>
      <c r="BC454">
        <v>68</v>
      </c>
      <c r="BD454">
        <v>1.8</v>
      </c>
      <c r="BE454">
        <v>43</v>
      </c>
      <c r="BF454">
        <v>25.4</v>
      </c>
      <c r="BG454">
        <v>162</v>
      </c>
      <c r="BH454">
        <v>9.1</v>
      </c>
      <c r="BI454">
        <v>9.1999999999999993</v>
      </c>
      <c r="BJ454">
        <v>18.3</v>
      </c>
      <c r="BK454">
        <v>0.34</v>
      </c>
      <c r="BL454">
        <v>7.3</v>
      </c>
      <c r="BM454">
        <v>0.9</v>
      </c>
      <c r="BN454">
        <v>7.5</v>
      </c>
      <c r="BO454">
        <v>2.9</v>
      </c>
      <c r="BP454">
        <f t="shared" si="14"/>
        <v>8.46680103019923</v>
      </c>
      <c r="BQ454">
        <f t="shared" si="15"/>
        <v>27.6672064977673</v>
      </c>
    </row>
    <row r="455" spans="1:69" hidden="1" x14ac:dyDescent="0.2">
      <c r="A455" t="s">
        <v>4402</v>
      </c>
      <c r="B455" t="s">
        <v>68</v>
      </c>
      <c r="C455" t="s">
        <v>3294</v>
      </c>
      <c r="D455" t="s">
        <v>70</v>
      </c>
      <c r="E455" t="s">
        <v>4403</v>
      </c>
      <c r="F455">
        <v>3</v>
      </c>
      <c r="G455">
        <v>27.46</v>
      </c>
      <c r="H455">
        <v>1</v>
      </c>
      <c r="I455">
        <v>1</v>
      </c>
      <c r="J455">
        <v>0</v>
      </c>
      <c r="K455" t="s">
        <v>110</v>
      </c>
      <c r="L455" t="s">
        <v>111</v>
      </c>
      <c r="M455" s="4">
        <v>255000000</v>
      </c>
      <c r="N455">
        <v>0</v>
      </c>
      <c r="O455">
        <v>4.72736</v>
      </c>
      <c r="P455">
        <v>-74.055229999999995</v>
      </c>
      <c r="Q455" t="s">
        <v>4404</v>
      </c>
      <c r="R455">
        <v>9286234.523</v>
      </c>
      <c r="S455">
        <v>0</v>
      </c>
      <c r="T455" t="s">
        <v>117</v>
      </c>
      <c r="U455" t="s">
        <v>118</v>
      </c>
      <c r="V455" t="s">
        <v>77</v>
      </c>
      <c r="W455" t="s">
        <v>119</v>
      </c>
      <c r="X455" t="s">
        <v>120</v>
      </c>
      <c r="Y455">
        <v>1.92224170392265</v>
      </c>
      <c r="Z455">
        <v>1922.24170392265</v>
      </c>
      <c r="AA455">
        <v>4.73719444444444</v>
      </c>
      <c r="AB455">
        <v>-74.069472222222203</v>
      </c>
      <c r="AC455">
        <v>2555</v>
      </c>
      <c r="AD455">
        <v>0</v>
      </c>
      <c r="AE455" t="s">
        <v>80</v>
      </c>
      <c r="AF455" t="s">
        <v>107</v>
      </c>
      <c r="AG455" t="s">
        <v>82</v>
      </c>
      <c r="AH455" t="s">
        <v>83</v>
      </c>
      <c r="AI455" t="s">
        <v>121</v>
      </c>
      <c r="AJ455">
        <v>0.52708235451677998</v>
      </c>
      <c r="AK455">
        <v>3.61182185625684</v>
      </c>
      <c r="AL455">
        <v>1.7984319182035899</v>
      </c>
      <c r="AM455">
        <v>0.40873170207382498</v>
      </c>
      <c r="AN455">
        <v>3.52674655683844</v>
      </c>
      <c r="AO455">
        <v>5.70595167197862E-2</v>
      </c>
      <c r="AP455">
        <v>5.70595167197862E-2</v>
      </c>
      <c r="AQ455">
        <v>0</v>
      </c>
      <c r="AR455">
        <v>3</v>
      </c>
      <c r="AS455">
        <v>0</v>
      </c>
      <c r="AT455">
        <v>0</v>
      </c>
      <c r="AU455">
        <v>0</v>
      </c>
      <c r="AV455">
        <v>17</v>
      </c>
      <c r="AW455">
        <v>0</v>
      </c>
      <c r="AX455">
        <v>0</v>
      </c>
      <c r="AY455">
        <v>15.3</v>
      </c>
      <c r="AZ455">
        <v>9.8000000000000007</v>
      </c>
      <c r="BA455">
        <v>29.7</v>
      </c>
      <c r="BB455">
        <v>564</v>
      </c>
      <c r="BC455">
        <v>68</v>
      </c>
      <c r="BD455">
        <v>1.8</v>
      </c>
      <c r="BE455">
        <v>43</v>
      </c>
      <c r="BF455">
        <v>25.4</v>
      </c>
      <c r="BG455">
        <v>162</v>
      </c>
      <c r="BH455">
        <v>9.1</v>
      </c>
      <c r="BI455">
        <v>9.1999999999999993</v>
      </c>
      <c r="BJ455">
        <v>18.3</v>
      </c>
      <c r="BK455">
        <v>0.34</v>
      </c>
      <c r="BL455">
        <v>7.3</v>
      </c>
      <c r="BM455">
        <v>0.9</v>
      </c>
      <c r="BN455">
        <v>7.5</v>
      </c>
      <c r="BO455">
        <v>2.9</v>
      </c>
      <c r="BP455">
        <f t="shared" si="14"/>
        <v>8.9105094870263244</v>
      </c>
      <c r="BQ455">
        <f t="shared" si="15"/>
        <v>28.360951302541352</v>
      </c>
    </row>
    <row r="456" spans="1:69" hidden="1" x14ac:dyDescent="0.2">
      <c r="A456" t="s">
        <v>4324</v>
      </c>
      <c r="B456" t="s">
        <v>68</v>
      </c>
      <c r="C456" t="s">
        <v>3294</v>
      </c>
      <c r="D456" t="s">
        <v>70</v>
      </c>
      <c r="E456" t="s">
        <v>495</v>
      </c>
      <c r="F456">
        <v>3</v>
      </c>
      <c r="G456">
        <v>27.07</v>
      </c>
      <c r="H456">
        <v>1</v>
      </c>
      <c r="I456">
        <v>1</v>
      </c>
      <c r="J456">
        <v>0</v>
      </c>
      <c r="K456" t="s">
        <v>110</v>
      </c>
      <c r="L456" t="s">
        <v>111</v>
      </c>
      <c r="M456" s="4">
        <v>255000000</v>
      </c>
      <c r="N456">
        <v>0</v>
      </c>
      <c r="O456">
        <v>4.7274799999999999</v>
      </c>
      <c r="P456">
        <v>-74.055239999999998</v>
      </c>
      <c r="Q456" t="s">
        <v>4325</v>
      </c>
      <c r="R456">
        <v>9420022.1649999991</v>
      </c>
      <c r="S456">
        <v>0</v>
      </c>
      <c r="T456" t="s">
        <v>117</v>
      </c>
      <c r="U456" t="s">
        <v>118</v>
      </c>
      <c r="V456" t="s">
        <v>77</v>
      </c>
      <c r="W456" t="s">
        <v>119</v>
      </c>
      <c r="X456" t="s">
        <v>120</v>
      </c>
      <c r="Y456">
        <v>1.9137497598189499</v>
      </c>
      <c r="Z456">
        <v>1913.74975981895</v>
      </c>
      <c r="AA456">
        <v>4.73719444444444</v>
      </c>
      <c r="AB456">
        <v>-74.069472222222203</v>
      </c>
      <c r="AC456">
        <v>2555</v>
      </c>
      <c r="AD456">
        <v>0</v>
      </c>
      <c r="AE456" t="s">
        <v>80</v>
      </c>
      <c r="AF456" t="s">
        <v>107</v>
      </c>
      <c r="AG456" t="s">
        <v>82</v>
      </c>
      <c r="AH456" t="s">
        <v>83</v>
      </c>
      <c r="AI456" t="s">
        <v>121</v>
      </c>
      <c r="AJ456">
        <v>0.52976366640588002</v>
      </c>
      <c r="AK456">
        <v>3.6160159685265798</v>
      </c>
      <c r="AL456">
        <v>1.7950191227863601</v>
      </c>
      <c r="AM456">
        <v>0.40256272711366597</v>
      </c>
      <c r="AN456">
        <v>3.5218699600263701</v>
      </c>
      <c r="AO456">
        <v>5.2073108003588602E-2</v>
      </c>
      <c r="AP456">
        <v>5.2073108003588602E-2</v>
      </c>
      <c r="AQ456">
        <v>0</v>
      </c>
      <c r="AR456">
        <v>3</v>
      </c>
      <c r="AS456">
        <v>0</v>
      </c>
      <c r="AT456">
        <v>0</v>
      </c>
      <c r="AU456">
        <v>0</v>
      </c>
      <c r="AV456">
        <v>17</v>
      </c>
      <c r="AW456">
        <v>0</v>
      </c>
      <c r="AX456">
        <v>0</v>
      </c>
      <c r="AY456">
        <v>15.3</v>
      </c>
      <c r="AZ456">
        <v>9.8000000000000007</v>
      </c>
      <c r="BA456">
        <v>29.7</v>
      </c>
      <c r="BB456">
        <v>564</v>
      </c>
      <c r="BC456">
        <v>68</v>
      </c>
      <c r="BD456">
        <v>1.8</v>
      </c>
      <c r="BE456">
        <v>43</v>
      </c>
      <c r="BF456">
        <v>25.4</v>
      </c>
      <c r="BG456">
        <v>162</v>
      </c>
      <c r="BH456">
        <v>9.1</v>
      </c>
      <c r="BI456">
        <v>9.1999999999999993</v>
      </c>
      <c r="BJ456">
        <v>18.3</v>
      </c>
      <c r="BK456">
        <v>0.34</v>
      </c>
      <c r="BL456">
        <v>7.3</v>
      </c>
      <c r="BM456">
        <v>0.9</v>
      </c>
      <c r="BN456">
        <v>7.5</v>
      </c>
      <c r="BO456">
        <v>2.9</v>
      </c>
      <c r="BP456">
        <f t="shared" si="14"/>
        <v>8.9142558180093019</v>
      </c>
      <c r="BQ456">
        <f t="shared" si="15"/>
        <v>28.366732042314506</v>
      </c>
    </row>
    <row r="457" spans="1:69" hidden="1" x14ac:dyDescent="0.2">
      <c r="A457" t="s">
        <v>3740</v>
      </c>
      <c r="B457" t="s">
        <v>68</v>
      </c>
      <c r="C457" t="s">
        <v>3294</v>
      </c>
      <c r="D457" t="s">
        <v>70</v>
      </c>
      <c r="E457" t="s">
        <v>1010</v>
      </c>
      <c r="F457">
        <v>4</v>
      </c>
      <c r="G457">
        <v>27</v>
      </c>
      <c r="H457">
        <v>1</v>
      </c>
      <c r="I457">
        <v>1</v>
      </c>
      <c r="J457">
        <v>0</v>
      </c>
      <c r="K457" t="s">
        <v>110</v>
      </c>
      <c r="L457" t="s">
        <v>111</v>
      </c>
      <c r="M457" s="4">
        <v>290000000</v>
      </c>
      <c r="N457">
        <v>0</v>
      </c>
      <c r="O457">
        <v>4.7367714000000003</v>
      </c>
      <c r="P457">
        <v>-74.053145900000004</v>
      </c>
      <c r="Q457" t="s">
        <v>3741</v>
      </c>
      <c r="R457">
        <v>10740740.74</v>
      </c>
      <c r="S457">
        <v>0</v>
      </c>
      <c r="T457" t="s">
        <v>117</v>
      </c>
      <c r="U457" t="s">
        <v>118</v>
      </c>
      <c r="V457" t="s">
        <v>77</v>
      </c>
      <c r="W457" t="s">
        <v>119</v>
      </c>
      <c r="X457" t="s">
        <v>120</v>
      </c>
      <c r="Y457">
        <v>1.8118421568220899</v>
      </c>
      <c r="Z457">
        <v>1811.8421568220899</v>
      </c>
      <c r="AA457">
        <v>4.73719444444444</v>
      </c>
      <c r="AB457">
        <v>-74.069472222222203</v>
      </c>
      <c r="AC457">
        <v>2555</v>
      </c>
      <c r="AD457">
        <v>0</v>
      </c>
      <c r="AE457" t="s">
        <v>80</v>
      </c>
      <c r="AF457" t="s">
        <v>107</v>
      </c>
      <c r="AG457" t="s">
        <v>82</v>
      </c>
      <c r="AH457" t="s">
        <v>83</v>
      </c>
      <c r="AI457" t="s">
        <v>121</v>
      </c>
      <c r="AJ457">
        <v>0.497043711660623</v>
      </c>
      <c r="AK457">
        <v>3.4831373217135599</v>
      </c>
      <c r="AL457">
        <v>1.5224385143125101</v>
      </c>
      <c r="AM457">
        <v>0.248121412394299</v>
      </c>
      <c r="AN457">
        <v>2.97551658671664</v>
      </c>
      <c r="AO457">
        <v>0.15005951554880101</v>
      </c>
      <c r="AP457">
        <v>0.15005951554880101</v>
      </c>
      <c r="AQ457">
        <v>1</v>
      </c>
      <c r="AR457">
        <v>3</v>
      </c>
      <c r="AS457">
        <v>0</v>
      </c>
      <c r="AT457">
        <v>0</v>
      </c>
      <c r="AU457">
        <v>0</v>
      </c>
      <c r="AV457">
        <v>13</v>
      </c>
      <c r="AW457">
        <v>0</v>
      </c>
      <c r="AX457">
        <v>0</v>
      </c>
      <c r="AY457">
        <v>15.3</v>
      </c>
      <c r="AZ457">
        <v>9.8000000000000007</v>
      </c>
      <c r="BA457">
        <v>29.7</v>
      </c>
      <c r="BB457">
        <v>564</v>
      </c>
      <c r="BC457">
        <v>68</v>
      </c>
      <c r="BD457">
        <v>1.8</v>
      </c>
      <c r="BE457">
        <v>43</v>
      </c>
      <c r="BF457">
        <v>25.4</v>
      </c>
      <c r="BG457">
        <v>162</v>
      </c>
      <c r="BH457">
        <v>9.1</v>
      </c>
      <c r="BI457">
        <v>9.1999999999999993</v>
      </c>
      <c r="BJ457">
        <v>18.3</v>
      </c>
      <c r="BK457">
        <v>0.34</v>
      </c>
      <c r="BL457">
        <v>7.3</v>
      </c>
      <c r="BM457">
        <v>0.9</v>
      </c>
      <c r="BN457">
        <v>7.5</v>
      </c>
      <c r="BO457">
        <v>2.9</v>
      </c>
      <c r="BP457">
        <f t="shared" si="14"/>
        <v>8.9593367330163556</v>
      </c>
      <c r="BQ457">
        <f t="shared" si="15"/>
        <v>28.436195810335679</v>
      </c>
    </row>
    <row r="458" spans="1:69" hidden="1" x14ac:dyDescent="0.2">
      <c r="A458" t="s">
        <v>4000</v>
      </c>
      <c r="B458" t="s">
        <v>68</v>
      </c>
      <c r="C458" t="s">
        <v>3294</v>
      </c>
      <c r="D458" t="s">
        <v>70</v>
      </c>
      <c r="E458" t="s">
        <v>1777</v>
      </c>
      <c r="F458">
        <v>3</v>
      </c>
      <c r="G458">
        <v>27</v>
      </c>
      <c r="H458">
        <v>1</v>
      </c>
      <c r="I458">
        <v>1</v>
      </c>
      <c r="J458">
        <v>0</v>
      </c>
      <c r="K458" t="s">
        <v>110</v>
      </c>
      <c r="L458" t="s">
        <v>111</v>
      </c>
      <c r="M458" s="4">
        <v>175000000</v>
      </c>
      <c r="N458">
        <v>0</v>
      </c>
      <c r="O458">
        <v>4.7627908999999997</v>
      </c>
      <c r="P458">
        <v>-74.027353500000004</v>
      </c>
      <c r="Q458" t="s">
        <v>4001</v>
      </c>
      <c r="R458">
        <v>6481481.4809999997</v>
      </c>
      <c r="S458">
        <v>0</v>
      </c>
      <c r="T458" t="s">
        <v>151</v>
      </c>
      <c r="U458" t="s">
        <v>152</v>
      </c>
      <c r="V458" t="s">
        <v>77</v>
      </c>
      <c r="W458" t="s">
        <v>119</v>
      </c>
      <c r="X458" t="s">
        <v>153</v>
      </c>
      <c r="Y458">
        <v>2.9851109822768298</v>
      </c>
      <c r="Z458">
        <v>2985.1109822768299</v>
      </c>
      <c r="AA458">
        <v>4.7837500000000004</v>
      </c>
      <c r="AB458">
        <v>-74.044138888888895</v>
      </c>
      <c r="AC458">
        <v>2580</v>
      </c>
      <c r="AD458">
        <v>0</v>
      </c>
      <c r="AE458" t="s">
        <v>154</v>
      </c>
      <c r="AF458" t="s">
        <v>107</v>
      </c>
      <c r="AG458" t="s">
        <v>82</v>
      </c>
      <c r="AH458" t="s">
        <v>83</v>
      </c>
      <c r="AI458" t="s">
        <v>108</v>
      </c>
      <c r="AJ458">
        <v>1.89569860402208</v>
      </c>
      <c r="AK458">
        <v>0.56970043684633898</v>
      </c>
      <c r="AL458">
        <v>1.35602190903206</v>
      </c>
      <c r="AM458">
        <v>0.18066402729789299</v>
      </c>
      <c r="AN458">
        <v>2.3497637790073198</v>
      </c>
      <c r="AO458">
        <v>2.9350346422144701E-2</v>
      </c>
      <c r="AP458">
        <v>2.9350346422144701E-2</v>
      </c>
      <c r="AQ458">
        <v>0</v>
      </c>
      <c r="AR458">
        <v>0</v>
      </c>
      <c r="AS458">
        <v>0</v>
      </c>
      <c r="AT458">
        <v>24</v>
      </c>
      <c r="AU458">
        <v>0</v>
      </c>
      <c r="AV458">
        <v>6</v>
      </c>
      <c r="AW458">
        <v>0</v>
      </c>
      <c r="AX458">
        <v>0</v>
      </c>
      <c r="AY458">
        <v>15.3</v>
      </c>
      <c r="AZ458">
        <v>9.8000000000000007</v>
      </c>
      <c r="BA458">
        <v>29.7</v>
      </c>
      <c r="BB458">
        <v>564</v>
      </c>
      <c r="BC458">
        <v>68</v>
      </c>
      <c r="BD458">
        <v>1.8</v>
      </c>
      <c r="BE458">
        <v>43</v>
      </c>
      <c r="BF458">
        <v>25.4</v>
      </c>
      <c r="BG458">
        <v>162</v>
      </c>
      <c r="BH458">
        <v>9.1</v>
      </c>
      <c r="BI458">
        <v>9.1999999999999993</v>
      </c>
      <c r="BJ458">
        <v>18.3</v>
      </c>
      <c r="BK458">
        <v>0.34</v>
      </c>
      <c r="BL458">
        <v>7.3</v>
      </c>
      <c r="BM458">
        <v>0.9</v>
      </c>
      <c r="BN458">
        <v>7.5</v>
      </c>
      <c r="BO458">
        <v>2.9</v>
      </c>
      <c r="BP458">
        <f t="shared" si="14"/>
        <v>8.4538283002362142</v>
      </c>
      <c r="BQ458">
        <f t="shared" si="15"/>
        <v>27.64664499400762</v>
      </c>
    </row>
    <row r="459" spans="1:69" hidden="1" x14ac:dyDescent="0.2">
      <c r="A459" t="s">
        <v>3593</v>
      </c>
      <c r="B459" t="s">
        <v>68</v>
      </c>
      <c r="C459" t="s">
        <v>3294</v>
      </c>
      <c r="D459" t="s">
        <v>70</v>
      </c>
      <c r="E459" t="s">
        <v>928</v>
      </c>
      <c r="F459">
        <v>4</v>
      </c>
      <c r="G459">
        <v>26.55</v>
      </c>
      <c r="H459">
        <v>1</v>
      </c>
      <c r="I459">
        <v>1</v>
      </c>
      <c r="J459">
        <v>0</v>
      </c>
      <c r="K459" t="s">
        <v>110</v>
      </c>
      <c r="L459" t="s">
        <v>111</v>
      </c>
      <c r="M459" s="4">
        <v>283000000</v>
      </c>
      <c r="N459">
        <v>0</v>
      </c>
      <c r="O459">
        <v>4.7329268459999998</v>
      </c>
      <c r="P459">
        <v>-74.053024289999996</v>
      </c>
      <c r="Q459" t="s">
        <v>3594</v>
      </c>
      <c r="R459">
        <v>10659133.710000001</v>
      </c>
      <c r="S459">
        <v>0</v>
      </c>
      <c r="T459" t="s">
        <v>117</v>
      </c>
      <c r="U459" t="s">
        <v>118</v>
      </c>
      <c r="V459" t="s">
        <v>77</v>
      </c>
      <c r="W459" t="s">
        <v>119</v>
      </c>
      <c r="X459" t="s">
        <v>120</v>
      </c>
      <c r="Y459">
        <v>1.8855543190917401</v>
      </c>
      <c r="Z459">
        <v>1885.5543190917399</v>
      </c>
      <c r="AA459">
        <v>4.73719444444444</v>
      </c>
      <c r="AB459">
        <v>-74.069472222222203</v>
      </c>
      <c r="AC459">
        <v>2555</v>
      </c>
      <c r="AD459">
        <v>0</v>
      </c>
      <c r="AE459" t="s">
        <v>80</v>
      </c>
      <c r="AF459" t="s">
        <v>107</v>
      </c>
      <c r="AG459" t="s">
        <v>82</v>
      </c>
      <c r="AH459" t="s">
        <v>83</v>
      </c>
      <c r="AI459" t="s">
        <v>121</v>
      </c>
      <c r="AJ459">
        <v>0.42133393314850798</v>
      </c>
      <c r="AK459">
        <v>3.4402692358698399</v>
      </c>
      <c r="AL459">
        <v>1.4470985696915399</v>
      </c>
      <c r="AM459">
        <v>0.29170759545218</v>
      </c>
      <c r="AN459">
        <v>3.0664343874631999</v>
      </c>
      <c r="AO459">
        <v>4.4212772447441102E-2</v>
      </c>
      <c r="AP459">
        <v>4.4212772447441102E-2</v>
      </c>
      <c r="AQ459">
        <v>2</v>
      </c>
      <c r="AR459">
        <v>3</v>
      </c>
      <c r="AS459">
        <v>0</v>
      </c>
      <c r="AT459">
        <v>0</v>
      </c>
      <c r="AU459">
        <v>0</v>
      </c>
      <c r="AV459">
        <v>19</v>
      </c>
      <c r="AW459">
        <v>0</v>
      </c>
      <c r="AX459">
        <v>0</v>
      </c>
      <c r="AY459">
        <v>15.3</v>
      </c>
      <c r="AZ459">
        <v>9.8000000000000007</v>
      </c>
      <c r="BA459">
        <v>29.7</v>
      </c>
      <c r="BB459">
        <v>564</v>
      </c>
      <c r="BC459">
        <v>68</v>
      </c>
      <c r="BD459">
        <v>1.8</v>
      </c>
      <c r="BE459">
        <v>43</v>
      </c>
      <c r="BF459">
        <v>25.4</v>
      </c>
      <c r="BG459">
        <v>162</v>
      </c>
      <c r="BH459">
        <v>9.1</v>
      </c>
      <c r="BI459">
        <v>9.1999999999999993</v>
      </c>
      <c r="BJ459">
        <v>18.3</v>
      </c>
      <c r="BK459">
        <v>0.34</v>
      </c>
      <c r="BL459">
        <v>7.3</v>
      </c>
      <c r="BM459">
        <v>0.9</v>
      </c>
      <c r="BN459">
        <v>7.5</v>
      </c>
      <c r="BO459">
        <v>2.9</v>
      </c>
      <c r="BP459">
        <f t="shared" si="14"/>
        <v>8.9267059020109922</v>
      </c>
      <c r="BQ459">
        <f t="shared" si="15"/>
        <v>28.385934038772977</v>
      </c>
    </row>
    <row r="460" spans="1:69" hidden="1" x14ac:dyDescent="0.2">
      <c r="A460" t="s">
        <v>4515</v>
      </c>
      <c r="B460" t="s">
        <v>68</v>
      </c>
      <c r="C460" t="s">
        <v>3294</v>
      </c>
      <c r="D460" t="s">
        <v>70</v>
      </c>
      <c r="E460" t="s">
        <v>483</v>
      </c>
      <c r="F460">
        <v>4</v>
      </c>
      <c r="G460">
        <v>26</v>
      </c>
      <c r="H460">
        <v>1</v>
      </c>
      <c r="I460">
        <v>1</v>
      </c>
      <c r="J460">
        <v>1</v>
      </c>
      <c r="K460" t="s">
        <v>110</v>
      </c>
      <c r="L460" t="s">
        <v>133</v>
      </c>
      <c r="M460" s="4">
        <v>230000000</v>
      </c>
      <c r="N460">
        <v>0</v>
      </c>
      <c r="O460">
        <v>4.7242493630000002</v>
      </c>
      <c r="P460">
        <v>-74.073295590000001</v>
      </c>
      <c r="Q460" t="s">
        <v>4516</v>
      </c>
      <c r="R460">
        <v>8846153.8460000008</v>
      </c>
      <c r="S460">
        <v>0</v>
      </c>
      <c r="T460" t="s">
        <v>117</v>
      </c>
      <c r="U460" t="s">
        <v>118</v>
      </c>
      <c r="V460" t="s">
        <v>77</v>
      </c>
      <c r="W460" t="s">
        <v>119</v>
      </c>
      <c r="X460" t="s">
        <v>120</v>
      </c>
      <c r="Y460">
        <v>1.50216917086618</v>
      </c>
      <c r="Z460">
        <v>1502.1691708661799</v>
      </c>
      <c r="AA460">
        <v>4.73719444444444</v>
      </c>
      <c r="AB460">
        <v>-74.069472222222203</v>
      </c>
      <c r="AC460">
        <v>2555</v>
      </c>
      <c r="AD460">
        <v>0</v>
      </c>
      <c r="AE460" t="s">
        <v>80</v>
      </c>
      <c r="AF460" t="s">
        <v>107</v>
      </c>
      <c r="AG460" t="s">
        <v>82</v>
      </c>
      <c r="AH460" t="s">
        <v>83</v>
      </c>
      <c r="AI460" t="s">
        <v>121</v>
      </c>
      <c r="AJ460">
        <v>0.36505833128508097</v>
      </c>
      <c r="AK460">
        <v>5.5376795633654403</v>
      </c>
      <c r="AL460">
        <v>0.84365842736249996</v>
      </c>
      <c r="AM460">
        <v>0.44968788500322499</v>
      </c>
      <c r="AN460">
        <v>2.3179804179505599</v>
      </c>
      <c r="AO460">
        <v>0.18140246454141901</v>
      </c>
      <c r="AP460">
        <v>0.18140246454141901</v>
      </c>
      <c r="AQ460">
        <v>2</v>
      </c>
      <c r="AR460">
        <v>2</v>
      </c>
      <c r="AS460">
        <v>0</v>
      </c>
      <c r="AT460">
        <v>0</v>
      </c>
      <c r="AU460">
        <v>1</v>
      </c>
      <c r="AV460">
        <v>28</v>
      </c>
      <c r="AW460">
        <v>0</v>
      </c>
      <c r="AX460">
        <v>0</v>
      </c>
      <c r="AY460">
        <v>15.3</v>
      </c>
      <c r="AZ460">
        <v>9.8000000000000007</v>
      </c>
      <c r="BA460">
        <v>29.7</v>
      </c>
      <c r="BB460">
        <v>564</v>
      </c>
      <c r="BC460">
        <v>68</v>
      </c>
      <c r="BD460">
        <v>1.8</v>
      </c>
      <c r="BE460">
        <v>43</v>
      </c>
      <c r="BF460">
        <v>25.4</v>
      </c>
      <c r="BG460">
        <v>162</v>
      </c>
      <c r="BH460">
        <v>9.1</v>
      </c>
      <c r="BI460">
        <v>9.1999999999999993</v>
      </c>
      <c r="BJ460">
        <v>18.3</v>
      </c>
      <c r="BK460">
        <v>0.34</v>
      </c>
      <c r="BL460">
        <v>7.3</v>
      </c>
      <c r="BM460">
        <v>0.9</v>
      </c>
      <c r="BN460">
        <v>7.5</v>
      </c>
      <c r="BO460">
        <v>2.9</v>
      </c>
      <c r="BP460">
        <f t="shared" si="14"/>
        <v>9.0977307265744045</v>
      </c>
      <c r="BQ460">
        <f t="shared" si="15"/>
        <v>28.648325242926397</v>
      </c>
    </row>
    <row r="461" spans="1:69" hidden="1" x14ac:dyDescent="0.2">
      <c r="A461" t="s">
        <v>4206</v>
      </c>
      <c r="B461" t="s">
        <v>68</v>
      </c>
      <c r="C461" t="s">
        <v>3294</v>
      </c>
      <c r="D461" t="s">
        <v>70</v>
      </c>
      <c r="E461" t="s">
        <v>709</v>
      </c>
      <c r="F461">
        <v>3</v>
      </c>
      <c r="G461">
        <v>25</v>
      </c>
      <c r="H461">
        <v>1</v>
      </c>
      <c r="I461">
        <v>1</v>
      </c>
      <c r="J461">
        <v>0</v>
      </c>
      <c r="K461" t="s">
        <v>110</v>
      </c>
      <c r="L461" t="s">
        <v>111</v>
      </c>
      <c r="M461" s="4">
        <v>218000000</v>
      </c>
      <c r="N461">
        <v>0</v>
      </c>
      <c r="O461">
        <v>4.7470021999999998</v>
      </c>
      <c r="P461">
        <v>-74.062111299999998</v>
      </c>
      <c r="Q461" t="s">
        <v>4207</v>
      </c>
      <c r="R461">
        <v>8720000</v>
      </c>
      <c r="S461">
        <v>0</v>
      </c>
      <c r="T461" t="s">
        <v>117</v>
      </c>
      <c r="U461" t="s">
        <v>118</v>
      </c>
      <c r="V461" t="s">
        <v>77</v>
      </c>
      <c r="W461" t="s">
        <v>119</v>
      </c>
      <c r="X461" t="s">
        <v>120</v>
      </c>
      <c r="Y461">
        <v>1.3634021695844101</v>
      </c>
      <c r="Z461">
        <v>1363.4021695844101</v>
      </c>
      <c r="AA461">
        <v>4.73719444444444</v>
      </c>
      <c r="AB461">
        <v>-74.069472222222203</v>
      </c>
      <c r="AC461">
        <v>2555</v>
      </c>
      <c r="AD461">
        <v>0</v>
      </c>
      <c r="AE461" t="s">
        <v>80</v>
      </c>
      <c r="AF461" t="s">
        <v>107</v>
      </c>
      <c r="AG461" t="s">
        <v>82</v>
      </c>
      <c r="AH461" t="s">
        <v>83</v>
      </c>
      <c r="AI461" t="s">
        <v>121</v>
      </c>
      <c r="AJ461">
        <v>1.64961312746184</v>
      </c>
      <c r="AK461">
        <v>4.5839896624581904</v>
      </c>
      <c r="AL461">
        <v>1.1864089801334901</v>
      </c>
      <c r="AM461">
        <v>0.37618588029316202</v>
      </c>
      <c r="AN461">
        <v>2.64531557555547</v>
      </c>
      <c r="AO461">
        <v>5.1856322204296E-2</v>
      </c>
      <c r="AP461">
        <v>5.1856322204296E-2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14</v>
      </c>
      <c r="AW461">
        <v>0</v>
      </c>
      <c r="AX461">
        <v>0</v>
      </c>
      <c r="AY461">
        <v>15.3</v>
      </c>
      <c r="AZ461">
        <v>9.8000000000000007</v>
      </c>
      <c r="BA461">
        <v>29.7</v>
      </c>
      <c r="BB461">
        <v>564</v>
      </c>
      <c r="BC461">
        <v>68</v>
      </c>
      <c r="BD461">
        <v>1.8</v>
      </c>
      <c r="BE461">
        <v>43</v>
      </c>
      <c r="BF461">
        <v>25.4</v>
      </c>
      <c r="BG461">
        <v>162</v>
      </c>
      <c r="BH461">
        <v>9.1</v>
      </c>
      <c r="BI461">
        <v>9.1999999999999993</v>
      </c>
      <c r="BJ461">
        <v>18.3</v>
      </c>
      <c r="BK461">
        <v>0.34</v>
      </c>
      <c r="BL461">
        <v>7.3</v>
      </c>
      <c r="BM461">
        <v>0.9</v>
      </c>
      <c r="BN461">
        <v>7.5</v>
      </c>
      <c r="BO461">
        <v>2.9</v>
      </c>
      <c r="BP461">
        <f t="shared" si="14"/>
        <v>9.1604378547644583</v>
      </c>
      <c r="BQ461">
        <f t="shared" si="15"/>
        <v>28.743894910041597</v>
      </c>
    </row>
    <row r="462" spans="1:69" hidden="1" x14ac:dyDescent="0.2">
      <c r="A462" t="s">
        <v>4254</v>
      </c>
      <c r="B462" t="s">
        <v>68</v>
      </c>
      <c r="C462" t="s">
        <v>3294</v>
      </c>
      <c r="D462" t="s">
        <v>70</v>
      </c>
      <c r="E462" t="s">
        <v>2893</v>
      </c>
      <c r="F462">
        <v>5</v>
      </c>
      <c r="G462">
        <v>18</v>
      </c>
      <c r="H462">
        <v>1</v>
      </c>
      <c r="I462">
        <v>1</v>
      </c>
      <c r="J462">
        <v>0</v>
      </c>
      <c r="K462" t="s">
        <v>110</v>
      </c>
      <c r="L462" t="s">
        <v>133</v>
      </c>
      <c r="M462" s="4">
        <v>190000000</v>
      </c>
      <c r="N462">
        <v>0</v>
      </c>
      <c r="O462">
        <v>4.7583080000000004</v>
      </c>
      <c r="P462">
        <v>-74.038864000000004</v>
      </c>
      <c r="Q462" t="s">
        <v>4255</v>
      </c>
      <c r="R462">
        <v>10555555.560000001</v>
      </c>
      <c r="S462">
        <v>0</v>
      </c>
      <c r="T462" t="s">
        <v>151</v>
      </c>
      <c r="U462" t="s">
        <v>152</v>
      </c>
      <c r="V462" t="s">
        <v>77</v>
      </c>
      <c r="W462" t="s">
        <v>119</v>
      </c>
      <c r="X462" t="s">
        <v>153</v>
      </c>
      <c r="Y462">
        <v>2.8920095190305801</v>
      </c>
      <c r="Z462">
        <v>2892.0095190305801</v>
      </c>
      <c r="AA462">
        <v>4.7837500000000004</v>
      </c>
      <c r="AB462">
        <v>-74.044138888888895</v>
      </c>
      <c r="AC462">
        <v>2580</v>
      </c>
      <c r="AD462">
        <v>0</v>
      </c>
      <c r="AE462" t="s">
        <v>154</v>
      </c>
      <c r="AF462" t="s">
        <v>107</v>
      </c>
      <c r="AG462" t="s">
        <v>82</v>
      </c>
      <c r="AH462" t="s">
        <v>83</v>
      </c>
      <c r="AI462" t="s">
        <v>108</v>
      </c>
      <c r="AJ462">
        <v>0.83156080323188997</v>
      </c>
      <c r="AK462">
        <v>1.87460105479145</v>
      </c>
      <c r="AL462">
        <v>1.2252838492362499</v>
      </c>
      <c r="AM462">
        <v>0.83725590883030698</v>
      </c>
      <c r="AN462">
        <v>2.28999460067168</v>
      </c>
      <c r="AO462">
        <v>0.28110695748931602</v>
      </c>
      <c r="AP462">
        <v>0.28110695748931602</v>
      </c>
      <c r="AQ462">
        <v>0</v>
      </c>
      <c r="AR462">
        <v>2</v>
      </c>
      <c r="AS462">
        <v>0</v>
      </c>
      <c r="AT462">
        <v>0</v>
      </c>
      <c r="AU462">
        <v>0</v>
      </c>
      <c r="AV462">
        <v>13</v>
      </c>
      <c r="AW462">
        <v>0</v>
      </c>
      <c r="AX462">
        <v>0</v>
      </c>
      <c r="AY462">
        <v>15.3</v>
      </c>
      <c r="AZ462">
        <v>9.8000000000000007</v>
      </c>
      <c r="BA462">
        <v>29.7</v>
      </c>
      <c r="BB462">
        <v>564</v>
      </c>
      <c r="BC462">
        <v>68</v>
      </c>
      <c r="BD462">
        <v>1.8</v>
      </c>
      <c r="BE462">
        <v>43</v>
      </c>
      <c r="BF462">
        <v>25.4</v>
      </c>
      <c r="BG462">
        <v>162</v>
      </c>
      <c r="BH462">
        <v>9.1</v>
      </c>
      <c r="BI462">
        <v>9.1999999999999993</v>
      </c>
      <c r="BJ462">
        <v>18.3</v>
      </c>
      <c r="BK462">
        <v>0.34</v>
      </c>
      <c r="BL462">
        <v>7.3</v>
      </c>
      <c r="BM462">
        <v>0.9</v>
      </c>
      <c r="BN462">
        <v>7.5</v>
      </c>
      <c r="BO462">
        <v>2.9</v>
      </c>
      <c r="BP462">
        <f t="shared" si="14"/>
        <v>8.4928778688767803</v>
      </c>
      <c r="BQ462">
        <f t="shared" si="15"/>
        <v>27.708488695613379</v>
      </c>
    </row>
    <row r="463" spans="1:69" hidden="1" x14ac:dyDescent="0.2">
      <c r="A463" t="s">
        <v>2636</v>
      </c>
      <c r="B463" t="s">
        <v>68</v>
      </c>
      <c r="C463" t="s">
        <v>1956</v>
      </c>
      <c r="D463" t="s">
        <v>70</v>
      </c>
      <c r="E463" t="s">
        <v>2153</v>
      </c>
      <c r="F463">
        <v>6</v>
      </c>
      <c r="G463">
        <v>1000</v>
      </c>
      <c r="H463">
        <v>4</v>
      </c>
      <c r="I463">
        <v>3</v>
      </c>
      <c r="J463">
        <v>2</v>
      </c>
      <c r="K463" t="s">
        <v>110</v>
      </c>
      <c r="L463" t="s">
        <v>124</v>
      </c>
      <c r="M463" s="4">
        <v>3500000000</v>
      </c>
      <c r="N463">
        <v>0</v>
      </c>
      <c r="O463">
        <v>4.6395788189999996</v>
      </c>
      <c r="P463">
        <v>-74.170257570000004</v>
      </c>
      <c r="Q463" t="s">
        <v>2637</v>
      </c>
      <c r="R463">
        <v>3500000</v>
      </c>
      <c r="S463">
        <v>0</v>
      </c>
      <c r="T463" t="s">
        <v>462</v>
      </c>
      <c r="U463" t="s">
        <v>649</v>
      </c>
      <c r="V463" t="s">
        <v>77</v>
      </c>
      <c r="W463" t="s">
        <v>462</v>
      </c>
      <c r="X463" t="s">
        <v>650</v>
      </c>
      <c r="Y463">
        <v>1.8963860203370899</v>
      </c>
      <c r="Z463">
        <v>1896.38602033709</v>
      </c>
      <c r="AA463">
        <v>4.6250499999999999</v>
      </c>
      <c r="AB463">
        <v>-74.161333333333303</v>
      </c>
      <c r="AC463">
        <v>2580</v>
      </c>
      <c r="AD463">
        <v>3</v>
      </c>
      <c r="AE463" t="s">
        <v>80</v>
      </c>
      <c r="AF463" t="s">
        <v>107</v>
      </c>
      <c r="AG463" t="s">
        <v>82</v>
      </c>
      <c r="AH463" t="s">
        <v>83</v>
      </c>
      <c r="AI463" t="s">
        <v>221</v>
      </c>
      <c r="AJ463">
        <v>0.94428248605089404</v>
      </c>
      <c r="AK463">
        <v>1.5872820179217499</v>
      </c>
      <c r="AL463">
        <v>5.29714744941404</v>
      </c>
      <c r="AM463">
        <v>0.17502974407174399</v>
      </c>
      <c r="AN463">
        <v>2.5104041938132098</v>
      </c>
      <c r="AO463">
        <v>6.9301509206790707E-2</v>
      </c>
      <c r="AP463">
        <v>6.9301509206790707E-2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8</v>
      </c>
      <c r="AW463">
        <v>0</v>
      </c>
      <c r="AX463">
        <v>0</v>
      </c>
      <c r="AZ463">
        <v>14.5</v>
      </c>
      <c r="BA463">
        <v>27.9</v>
      </c>
      <c r="BB463">
        <v>564</v>
      </c>
      <c r="BC463">
        <v>65.5</v>
      </c>
      <c r="BD463">
        <v>1.3</v>
      </c>
      <c r="BE463">
        <v>189</v>
      </c>
      <c r="BF463">
        <v>8.8000000000000007</v>
      </c>
      <c r="BG463">
        <v>167</v>
      </c>
      <c r="BH463">
        <v>21.9</v>
      </c>
      <c r="BI463">
        <v>16.3</v>
      </c>
      <c r="BJ463">
        <v>38.200000000000003</v>
      </c>
      <c r="BK463">
        <v>1.02</v>
      </c>
      <c r="BL463">
        <v>7.4</v>
      </c>
      <c r="BM463">
        <v>2.1</v>
      </c>
      <c r="BN463">
        <v>7.4</v>
      </c>
      <c r="BO463">
        <v>4.8</v>
      </c>
      <c r="BP463">
        <f t="shared" si="14"/>
        <v>13.200801420450835</v>
      </c>
      <c r="BQ463">
        <f t="shared" si="15"/>
        <v>26.658643296155766</v>
      </c>
    </row>
    <row r="464" spans="1:69" hidden="1" x14ac:dyDescent="0.2">
      <c r="A464" t="s">
        <v>2726</v>
      </c>
      <c r="B464" t="s">
        <v>68</v>
      </c>
      <c r="C464" t="s">
        <v>1956</v>
      </c>
      <c r="D464" t="s">
        <v>70</v>
      </c>
      <c r="E464" t="s">
        <v>2727</v>
      </c>
      <c r="F464">
        <v>3</v>
      </c>
      <c r="G464">
        <v>480</v>
      </c>
      <c r="H464">
        <v>5</v>
      </c>
      <c r="I464">
        <v>5</v>
      </c>
      <c r="J464">
        <v>0</v>
      </c>
      <c r="K464" t="s">
        <v>110</v>
      </c>
      <c r="L464" t="s">
        <v>162</v>
      </c>
      <c r="M464" s="4">
        <v>1300000000</v>
      </c>
      <c r="N464">
        <v>0</v>
      </c>
      <c r="O464">
        <v>4.6183399999999999</v>
      </c>
      <c r="P464">
        <v>-74.163759999999996</v>
      </c>
      <c r="Q464" t="s">
        <v>2728</v>
      </c>
      <c r="R464">
        <v>2708333.3330000001</v>
      </c>
      <c r="S464">
        <v>0</v>
      </c>
      <c r="T464" t="s">
        <v>462</v>
      </c>
      <c r="U464" t="s">
        <v>649</v>
      </c>
      <c r="V464" t="s">
        <v>77</v>
      </c>
      <c r="W464" t="s">
        <v>462</v>
      </c>
      <c r="X464" t="s">
        <v>650</v>
      </c>
      <c r="Y464">
        <v>0.79400204786749196</v>
      </c>
      <c r="Z464">
        <v>794.00204786749202</v>
      </c>
      <c r="AA464">
        <v>4.6250499999999999</v>
      </c>
      <c r="AB464">
        <v>-74.161333333333303</v>
      </c>
      <c r="AC464">
        <v>2580</v>
      </c>
      <c r="AD464">
        <v>3</v>
      </c>
      <c r="AE464" t="s">
        <v>80</v>
      </c>
      <c r="AF464" t="s">
        <v>107</v>
      </c>
      <c r="AG464" t="s">
        <v>82</v>
      </c>
      <c r="AH464" t="s">
        <v>83</v>
      </c>
      <c r="AI464" t="s">
        <v>221</v>
      </c>
      <c r="AJ464">
        <v>1.5975747627025001</v>
      </c>
      <c r="AK464">
        <v>3.7885787531775699</v>
      </c>
      <c r="AL464">
        <v>3.96249033131217</v>
      </c>
      <c r="AM464">
        <v>7.5069233306339994E-2</v>
      </c>
      <c r="AN464">
        <v>0.48339575737034002</v>
      </c>
      <c r="AO464">
        <v>9.3972890709748107E-3</v>
      </c>
      <c r="AP464">
        <v>9.3972890709748107E-3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</v>
      </c>
      <c r="AW464">
        <v>1</v>
      </c>
      <c r="AX464">
        <v>0</v>
      </c>
      <c r="AZ464">
        <v>14.5</v>
      </c>
      <c r="BA464">
        <v>27.9</v>
      </c>
      <c r="BB464">
        <v>564</v>
      </c>
      <c r="BC464">
        <v>65.5</v>
      </c>
      <c r="BD464">
        <v>1.3</v>
      </c>
      <c r="BE464">
        <v>189</v>
      </c>
      <c r="BF464">
        <v>8.8000000000000007</v>
      </c>
      <c r="BG464">
        <v>167</v>
      </c>
      <c r="BH464">
        <v>21.9</v>
      </c>
      <c r="BI464">
        <v>16.3</v>
      </c>
      <c r="BJ464">
        <v>38.200000000000003</v>
      </c>
      <c r="BK464">
        <v>1.02</v>
      </c>
      <c r="BL464">
        <v>7.4</v>
      </c>
      <c r="BM464">
        <v>2.1</v>
      </c>
      <c r="BN464">
        <v>7.4</v>
      </c>
      <c r="BO464">
        <v>4.8</v>
      </c>
      <c r="BP464">
        <f t="shared" si="14"/>
        <v>13.9411590577654</v>
      </c>
      <c r="BQ464">
        <f t="shared" si="15"/>
        <v>27.373369909492908</v>
      </c>
    </row>
    <row r="465" spans="1:69" hidden="1" x14ac:dyDescent="0.2">
      <c r="A465" t="s">
        <v>2411</v>
      </c>
      <c r="B465" t="s">
        <v>68</v>
      </c>
      <c r="C465" t="s">
        <v>1956</v>
      </c>
      <c r="D465" t="s">
        <v>70</v>
      </c>
      <c r="E465" t="s">
        <v>2412</v>
      </c>
      <c r="F465">
        <v>4</v>
      </c>
      <c r="G465">
        <v>450</v>
      </c>
      <c r="H465">
        <v>5</v>
      </c>
      <c r="I465">
        <v>4</v>
      </c>
      <c r="J465">
        <v>4</v>
      </c>
      <c r="K465" t="s">
        <v>110</v>
      </c>
      <c r="L465" t="s">
        <v>111</v>
      </c>
      <c r="M465" s="4">
        <v>1500000000</v>
      </c>
      <c r="N465">
        <v>0</v>
      </c>
      <c r="O465">
        <v>4.6280117030000003</v>
      </c>
      <c r="P465">
        <v>-74.145950319999997</v>
      </c>
      <c r="Q465" t="s">
        <v>2413</v>
      </c>
      <c r="R465">
        <v>3333333.3330000001</v>
      </c>
      <c r="S465">
        <v>0</v>
      </c>
      <c r="T465" t="s">
        <v>462</v>
      </c>
      <c r="U465" t="s">
        <v>649</v>
      </c>
      <c r="V465" t="s">
        <v>77</v>
      </c>
      <c r="W465" t="s">
        <v>462</v>
      </c>
      <c r="X465" t="s">
        <v>650</v>
      </c>
      <c r="Y465">
        <v>1.7383998849759801</v>
      </c>
      <c r="Z465">
        <v>1738.3998849759801</v>
      </c>
      <c r="AA465">
        <v>4.6250499999999999</v>
      </c>
      <c r="AB465">
        <v>-74.161333333333303</v>
      </c>
      <c r="AC465">
        <v>2580</v>
      </c>
      <c r="AD465">
        <v>3</v>
      </c>
      <c r="AE465" t="s">
        <v>80</v>
      </c>
      <c r="AF465" t="s">
        <v>107</v>
      </c>
      <c r="AG465" t="s">
        <v>82</v>
      </c>
      <c r="AH465" t="s">
        <v>83</v>
      </c>
      <c r="AI465" t="s">
        <v>221</v>
      </c>
      <c r="AJ465">
        <v>0.36335373370093799</v>
      </c>
      <c r="AK465">
        <v>3.6905247614861301</v>
      </c>
      <c r="AL465">
        <v>2.9659849957287698</v>
      </c>
      <c r="AM465">
        <v>0.121456872206294</v>
      </c>
      <c r="AN465">
        <v>1.7763997724859799</v>
      </c>
      <c r="AO465">
        <v>0.307761245360546</v>
      </c>
      <c r="AP465">
        <v>0.307761245360546</v>
      </c>
      <c r="AQ465">
        <v>1</v>
      </c>
      <c r="AR465">
        <v>3</v>
      </c>
      <c r="AS465">
        <v>0</v>
      </c>
      <c r="AT465">
        <v>0</v>
      </c>
      <c r="AU465">
        <v>0</v>
      </c>
      <c r="AV465">
        <v>31</v>
      </c>
      <c r="AW465">
        <v>0</v>
      </c>
      <c r="AX465">
        <v>0</v>
      </c>
      <c r="AZ465">
        <v>14.5</v>
      </c>
      <c r="BA465">
        <v>27.9</v>
      </c>
      <c r="BB465">
        <v>564</v>
      </c>
      <c r="BC465">
        <v>65.5</v>
      </c>
      <c r="BD465">
        <v>1.3</v>
      </c>
      <c r="BE465">
        <v>189</v>
      </c>
      <c r="BF465">
        <v>8.8000000000000007</v>
      </c>
      <c r="BG465">
        <v>167</v>
      </c>
      <c r="BH465">
        <v>21.9</v>
      </c>
      <c r="BI465">
        <v>16.3</v>
      </c>
      <c r="BJ465">
        <v>38.200000000000003</v>
      </c>
      <c r="BK465">
        <v>1.02</v>
      </c>
      <c r="BL465">
        <v>7.4</v>
      </c>
      <c r="BM465">
        <v>2.1</v>
      </c>
      <c r="BN465">
        <v>7.4</v>
      </c>
      <c r="BO465">
        <v>4.8</v>
      </c>
      <c r="BP465">
        <f t="shared" si="14"/>
        <v>13.304440545700386</v>
      </c>
      <c r="BQ465">
        <f t="shared" si="15"/>
        <v>26.759915875465996</v>
      </c>
    </row>
    <row r="466" spans="1:69" hidden="1" x14ac:dyDescent="0.2">
      <c r="A466" t="s">
        <v>2611</v>
      </c>
      <c r="B466" t="s">
        <v>68</v>
      </c>
      <c r="C466" t="s">
        <v>1956</v>
      </c>
      <c r="D466" t="s">
        <v>70</v>
      </c>
      <c r="E466" t="s">
        <v>2612</v>
      </c>
      <c r="F466">
        <v>3</v>
      </c>
      <c r="G466">
        <v>400</v>
      </c>
      <c r="H466">
        <v>5</v>
      </c>
      <c r="I466">
        <v>3</v>
      </c>
      <c r="J466">
        <v>3</v>
      </c>
      <c r="K466" t="s">
        <v>110</v>
      </c>
      <c r="L466" t="s">
        <v>133</v>
      </c>
      <c r="M466" s="4">
        <v>890000000</v>
      </c>
      <c r="N466">
        <v>0</v>
      </c>
      <c r="O466">
        <v>4.6384439999999998</v>
      </c>
      <c r="P466">
        <v>-74.145583999999999</v>
      </c>
      <c r="Q466" t="s">
        <v>2613</v>
      </c>
      <c r="R466">
        <v>2225000</v>
      </c>
      <c r="S466">
        <v>0</v>
      </c>
      <c r="T466" t="s">
        <v>462</v>
      </c>
      <c r="U466" t="s">
        <v>649</v>
      </c>
      <c r="V466" t="s">
        <v>77</v>
      </c>
      <c r="W466" t="s">
        <v>462</v>
      </c>
      <c r="X466" t="s">
        <v>650</v>
      </c>
      <c r="Y466">
        <v>2.2971318854484402</v>
      </c>
      <c r="Z466">
        <v>2297.1318854484398</v>
      </c>
      <c r="AA466">
        <v>4.6250499999999999</v>
      </c>
      <c r="AB466">
        <v>-74.161333333333303</v>
      </c>
      <c r="AC466">
        <v>2580</v>
      </c>
      <c r="AD466">
        <v>3</v>
      </c>
      <c r="AE466" t="s">
        <v>80</v>
      </c>
      <c r="AF466" t="s">
        <v>107</v>
      </c>
      <c r="AG466" t="s">
        <v>82</v>
      </c>
      <c r="AH466" t="s">
        <v>83</v>
      </c>
      <c r="AI466" t="s">
        <v>221</v>
      </c>
      <c r="AJ466">
        <v>0.79039309148998704</v>
      </c>
      <c r="AK466">
        <v>2.7266014322106802</v>
      </c>
      <c r="AL466">
        <v>2.5737009527644501</v>
      </c>
      <c r="AM466">
        <v>0.36992686272043201</v>
      </c>
      <c r="AN466">
        <v>2.6008992235497801</v>
      </c>
      <c r="AO466">
        <v>4.3272468409234301E-2</v>
      </c>
      <c r="AP466">
        <v>4.3272468409234301E-2</v>
      </c>
      <c r="AQ466">
        <v>0</v>
      </c>
      <c r="AR466">
        <v>3</v>
      </c>
      <c r="AS466">
        <v>0</v>
      </c>
      <c r="AT466">
        <v>0</v>
      </c>
      <c r="AU466">
        <v>0</v>
      </c>
      <c r="AV466">
        <v>15</v>
      </c>
      <c r="AW466">
        <v>0</v>
      </c>
      <c r="AX466">
        <v>0</v>
      </c>
      <c r="AZ466">
        <v>14.5</v>
      </c>
      <c r="BA466">
        <v>27.9</v>
      </c>
      <c r="BB466">
        <v>564</v>
      </c>
      <c r="BC466">
        <v>65.5</v>
      </c>
      <c r="BD466">
        <v>1.3</v>
      </c>
      <c r="BE466">
        <v>189</v>
      </c>
      <c r="BF466">
        <v>8.8000000000000007</v>
      </c>
      <c r="BG466">
        <v>167</v>
      </c>
      <c r="BH466">
        <v>21.9</v>
      </c>
      <c r="BI466">
        <v>16.3</v>
      </c>
      <c r="BJ466">
        <v>38.200000000000003</v>
      </c>
      <c r="BK466">
        <v>1.02</v>
      </c>
      <c r="BL466">
        <v>7.4</v>
      </c>
      <c r="BM466">
        <v>2.1</v>
      </c>
      <c r="BN466">
        <v>7.4</v>
      </c>
      <c r="BO466">
        <v>4.8</v>
      </c>
      <c r="BP466">
        <f t="shared" si="14"/>
        <v>12.941518365466253</v>
      </c>
      <c r="BQ466">
        <f t="shared" si="15"/>
        <v>26.403472182715486</v>
      </c>
    </row>
    <row r="467" spans="1:69" hidden="1" x14ac:dyDescent="0.2">
      <c r="A467" t="s">
        <v>2152</v>
      </c>
      <c r="B467" t="s">
        <v>68</v>
      </c>
      <c r="C467" t="s">
        <v>1956</v>
      </c>
      <c r="D467" t="s">
        <v>70</v>
      </c>
      <c r="E467" t="s">
        <v>2153</v>
      </c>
      <c r="F467">
        <v>5</v>
      </c>
      <c r="G467">
        <v>370</v>
      </c>
      <c r="H467">
        <v>4</v>
      </c>
      <c r="I467">
        <v>5</v>
      </c>
      <c r="J467">
        <v>2</v>
      </c>
      <c r="K467" t="s">
        <v>110</v>
      </c>
      <c r="L467" t="s">
        <v>133</v>
      </c>
      <c r="M467" s="4">
        <v>2150000000</v>
      </c>
      <c r="N467">
        <v>0</v>
      </c>
      <c r="O467">
        <v>4.6395788189999996</v>
      </c>
      <c r="P467">
        <v>-74.170257570000004</v>
      </c>
      <c r="Q467" t="s">
        <v>2154</v>
      </c>
      <c r="R467">
        <v>5810810.8109999998</v>
      </c>
      <c r="S467">
        <v>0</v>
      </c>
      <c r="T467" t="s">
        <v>462</v>
      </c>
      <c r="U467" t="s">
        <v>649</v>
      </c>
      <c r="V467" t="s">
        <v>77</v>
      </c>
      <c r="W467" t="s">
        <v>462</v>
      </c>
      <c r="X467" t="s">
        <v>650</v>
      </c>
      <c r="Y467">
        <v>1.8963860203370899</v>
      </c>
      <c r="Z467">
        <v>1896.38602033709</v>
      </c>
      <c r="AA467">
        <v>4.6250499999999999</v>
      </c>
      <c r="AB467">
        <v>-74.161333333333303</v>
      </c>
      <c r="AC467">
        <v>2580</v>
      </c>
      <c r="AD467">
        <v>3</v>
      </c>
      <c r="AE467" t="s">
        <v>80</v>
      </c>
      <c r="AF467" t="s">
        <v>107</v>
      </c>
      <c r="AG467" t="s">
        <v>82</v>
      </c>
      <c r="AH467" t="s">
        <v>83</v>
      </c>
      <c r="AI467" t="s">
        <v>221</v>
      </c>
      <c r="AJ467">
        <v>0.94428248605089404</v>
      </c>
      <c r="AK467">
        <v>1.5872820179217499</v>
      </c>
      <c r="AL467">
        <v>5.29714744941404</v>
      </c>
      <c r="AM467">
        <v>0.17502974407174399</v>
      </c>
      <c r="AN467">
        <v>2.5104041938132098</v>
      </c>
      <c r="AO467">
        <v>6.9301509206790707E-2</v>
      </c>
      <c r="AP467">
        <v>6.9301509206790707E-2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8</v>
      </c>
      <c r="AW467">
        <v>0</v>
      </c>
      <c r="AX467">
        <v>0</v>
      </c>
      <c r="AZ467">
        <v>14.5</v>
      </c>
      <c r="BA467">
        <v>27.9</v>
      </c>
      <c r="BB467">
        <v>564</v>
      </c>
      <c r="BC467">
        <v>65.5</v>
      </c>
      <c r="BD467">
        <v>1.3</v>
      </c>
      <c r="BE467">
        <v>189</v>
      </c>
      <c r="BF467">
        <v>8.8000000000000007</v>
      </c>
      <c r="BG467">
        <v>167</v>
      </c>
      <c r="BH467">
        <v>21.9</v>
      </c>
      <c r="BI467">
        <v>16.3</v>
      </c>
      <c r="BJ467">
        <v>38.200000000000003</v>
      </c>
      <c r="BK467">
        <v>1.02</v>
      </c>
      <c r="BL467">
        <v>7.4</v>
      </c>
      <c r="BM467">
        <v>2.1</v>
      </c>
      <c r="BN467">
        <v>7.4</v>
      </c>
      <c r="BO467">
        <v>4.8</v>
      </c>
      <c r="BP467">
        <f t="shared" si="14"/>
        <v>13.200801420450835</v>
      </c>
      <c r="BQ467">
        <f t="shared" si="15"/>
        <v>26.658643296155766</v>
      </c>
    </row>
    <row r="468" spans="1:69" hidden="1" x14ac:dyDescent="0.2">
      <c r="A468" t="s">
        <v>2900</v>
      </c>
      <c r="B468" t="s">
        <v>68</v>
      </c>
      <c r="C468" t="s">
        <v>1956</v>
      </c>
      <c r="D468" t="s">
        <v>70</v>
      </c>
      <c r="E468" t="s">
        <v>1626</v>
      </c>
      <c r="F468">
        <v>2</v>
      </c>
      <c r="G468">
        <v>288</v>
      </c>
      <c r="H468">
        <v>5</v>
      </c>
      <c r="I468">
        <v>5</v>
      </c>
      <c r="J468">
        <v>0</v>
      </c>
      <c r="K468" t="s">
        <v>110</v>
      </c>
      <c r="L468" t="s">
        <v>124</v>
      </c>
      <c r="M468" s="4">
        <v>760000000</v>
      </c>
      <c r="N468">
        <v>0</v>
      </c>
      <c r="O468">
        <v>4.6229800000000001</v>
      </c>
      <c r="P468">
        <v>-74.168143999999998</v>
      </c>
      <c r="Q468" t="s">
        <v>2901</v>
      </c>
      <c r="R468">
        <v>2638888.889</v>
      </c>
      <c r="S468">
        <v>0</v>
      </c>
      <c r="T468" t="s">
        <v>462</v>
      </c>
      <c r="U468" t="s">
        <v>649</v>
      </c>
      <c r="V468" t="s">
        <v>77</v>
      </c>
      <c r="W468" t="s">
        <v>462</v>
      </c>
      <c r="X468" t="s">
        <v>650</v>
      </c>
      <c r="Y468">
        <v>0.79004392884102403</v>
      </c>
      <c r="Z468">
        <v>790.04392884102401</v>
      </c>
      <c r="AA468">
        <v>4.6250499999999999</v>
      </c>
      <c r="AB468">
        <v>-74.161333333333303</v>
      </c>
      <c r="AC468">
        <v>2580</v>
      </c>
      <c r="AD468">
        <v>3</v>
      </c>
      <c r="AE468" t="s">
        <v>80</v>
      </c>
      <c r="AF468" t="s">
        <v>107</v>
      </c>
      <c r="AG468" t="s">
        <v>82</v>
      </c>
      <c r="AH468" t="s">
        <v>83</v>
      </c>
      <c r="AI468" t="s">
        <v>221</v>
      </c>
      <c r="AJ468">
        <v>0.89302219256329596</v>
      </c>
      <c r="AK468">
        <v>3.0918580999625198</v>
      </c>
      <c r="AL468">
        <v>4.6690624164798598</v>
      </c>
      <c r="AM468">
        <v>7.7504216714099503E-2</v>
      </c>
      <c r="AN468">
        <v>1.02324836679255</v>
      </c>
      <c r="AO468">
        <v>0.20127463448975</v>
      </c>
      <c r="AP468">
        <v>0.20127463448975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8</v>
      </c>
      <c r="AW468">
        <v>0</v>
      </c>
      <c r="AX468">
        <v>0</v>
      </c>
      <c r="AZ468">
        <v>14.5</v>
      </c>
      <c r="BA468">
        <v>27.9</v>
      </c>
      <c r="BB468">
        <v>564</v>
      </c>
      <c r="BC468">
        <v>65.5</v>
      </c>
      <c r="BD468">
        <v>1.3</v>
      </c>
      <c r="BE468">
        <v>189</v>
      </c>
      <c r="BF468">
        <v>8.8000000000000007</v>
      </c>
      <c r="BG468">
        <v>167</v>
      </c>
      <c r="BH468">
        <v>21.9</v>
      </c>
      <c r="BI468">
        <v>16.3</v>
      </c>
      <c r="BJ468">
        <v>38.200000000000003</v>
      </c>
      <c r="BK468">
        <v>1.02</v>
      </c>
      <c r="BL468">
        <v>7.4</v>
      </c>
      <c r="BM468">
        <v>2.1</v>
      </c>
      <c r="BN468">
        <v>7.4</v>
      </c>
      <c r="BO468">
        <v>4.8</v>
      </c>
      <c r="BP468">
        <f t="shared" si="14"/>
        <v>13.94389077332735</v>
      </c>
      <c r="BQ468">
        <f t="shared" si="15"/>
        <v>27.37597036235595</v>
      </c>
    </row>
    <row r="469" spans="1:69" hidden="1" x14ac:dyDescent="0.2">
      <c r="A469" t="s">
        <v>3287</v>
      </c>
      <c r="B469" t="s">
        <v>68</v>
      </c>
      <c r="C469" t="s">
        <v>1956</v>
      </c>
      <c r="D469" t="s">
        <v>70</v>
      </c>
      <c r="E469" t="s">
        <v>2170</v>
      </c>
      <c r="F469">
        <v>2</v>
      </c>
      <c r="G469">
        <v>288</v>
      </c>
      <c r="H469">
        <v>5</v>
      </c>
      <c r="I469">
        <v>5</v>
      </c>
      <c r="J469">
        <v>1</v>
      </c>
      <c r="K469" t="s">
        <v>110</v>
      </c>
      <c r="L469" t="s">
        <v>162</v>
      </c>
      <c r="M469" s="4">
        <v>415000000</v>
      </c>
      <c r="N469">
        <v>0</v>
      </c>
      <c r="O469">
        <v>4.6483363999999998</v>
      </c>
      <c r="P469">
        <v>-74.174310000000006</v>
      </c>
      <c r="Q469" t="s">
        <v>3288</v>
      </c>
      <c r="R469">
        <v>1440972.2220000001</v>
      </c>
      <c r="S469">
        <v>0</v>
      </c>
      <c r="T469" t="s">
        <v>462</v>
      </c>
      <c r="U469" t="s">
        <v>649</v>
      </c>
      <c r="V469" t="s">
        <v>77</v>
      </c>
      <c r="W469" t="s">
        <v>462</v>
      </c>
      <c r="X469" t="s">
        <v>650</v>
      </c>
      <c r="Y469">
        <v>2.9652593475807199</v>
      </c>
      <c r="Z469">
        <v>2965.2593475807198</v>
      </c>
      <c r="AA469">
        <v>4.6250499999999999</v>
      </c>
      <c r="AB469">
        <v>-74.161333333333303</v>
      </c>
      <c r="AC469">
        <v>2580</v>
      </c>
      <c r="AD469">
        <v>3</v>
      </c>
      <c r="AE469" t="s">
        <v>80</v>
      </c>
      <c r="AF469" t="s">
        <v>107</v>
      </c>
      <c r="AG469" t="s">
        <v>82</v>
      </c>
      <c r="AH469" t="s">
        <v>83</v>
      </c>
      <c r="AI469" t="s">
        <v>221</v>
      </c>
      <c r="AJ469">
        <v>1.9903778903970699</v>
      </c>
      <c r="AK469">
        <v>0.56097297581693695</v>
      </c>
      <c r="AL469">
        <v>5.48736216578894</v>
      </c>
      <c r="AM469">
        <v>0.70294213866284905</v>
      </c>
      <c r="AN469">
        <v>3.55288794426788</v>
      </c>
      <c r="AO469">
        <v>3.8596058442655297E-2</v>
      </c>
      <c r="AP469">
        <v>3.8596058442655297E-2</v>
      </c>
      <c r="AQ469">
        <v>0</v>
      </c>
      <c r="AR469">
        <v>0</v>
      </c>
      <c r="AS469">
        <v>0</v>
      </c>
      <c r="AT469">
        <v>10</v>
      </c>
      <c r="AU469">
        <v>0</v>
      </c>
      <c r="AV469">
        <v>1</v>
      </c>
      <c r="AW469">
        <v>0</v>
      </c>
      <c r="AX469">
        <v>0</v>
      </c>
      <c r="AZ469">
        <v>14.5</v>
      </c>
      <c r="BA469">
        <v>27.9</v>
      </c>
      <c r="BB469">
        <v>564</v>
      </c>
      <c r="BC469">
        <v>65.5</v>
      </c>
      <c r="BD469">
        <v>1.3</v>
      </c>
      <c r="BE469">
        <v>189</v>
      </c>
      <c r="BF469">
        <v>8.8000000000000007</v>
      </c>
      <c r="BG469">
        <v>167</v>
      </c>
      <c r="BH469">
        <v>21.9</v>
      </c>
      <c r="BI469">
        <v>16.3</v>
      </c>
      <c r="BJ469">
        <v>38.200000000000003</v>
      </c>
      <c r="BK469">
        <v>1.02</v>
      </c>
      <c r="BL469">
        <v>7.4</v>
      </c>
      <c r="BM469">
        <v>2.1</v>
      </c>
      <c r="BN469">
        <v>7.4</v>
      </c>
      <c r="BO469">
        <v>4.8</v>
      </c>
      <c r="BP469">
        <f t="shared" si="14"/>
        <v>12.520512655033148</v>
      </c>
      <c r="BQ469">
        <f t="shared" si="15"/>
        <v>25.983467346610478</v>
      </c>
    </row>
    <row r="470" spans="1:69" hidden="1" x14ac:dyDescent="0.2">
      <c r="A470" t="s">
        <v>3103</v>
      </c>
      <c r="B470" t="s">
        <v>68</v>
      </c>
      <c r="C470" t="s">
        <v>1956</v>
      </c>
      <c r="D470" t="s">
        <v>70</v>
      </c>
      <c r="E470" t="s">
        <v>3104</v>
      </c>
      <c r="F470">
        <v>3</v>
      </c>
      <c r="G470">
        <v>278.64</v>
      </c>
      <c r="H470">
        <v>5</v>
      </c>
      <c r="I470">
        <v>5</v>
      </c>
      <c r="J470">
        <v>1</v>
      </c>
      <c r="K470" t="s">
        <v>110</v>
      </c>
      <c r="L470" t="s">
        <v>162</v>
      </c>
      <c r="M470" s="4">
        <v>750000000</v>
      </c>
      <c r="N470">
        <v>0</v>
      </c>
      <c r="O470">
        <v>4.5990300179999997</v>
      </c>
      <c r="P470">
        <v>-74.143821720000005</v>
      </c>
      <c r="Q470" t="s">
        <v>3105</v>
      </c>
      <c r="R470">
        <v>2691645.1340000001</v>
      </c>
      <c r="S470">
        <v>0</v>
      </c>
      <c r="T470" t="s">
        <v>460</v>
      </c>
      <c r="U470" t="s">
        <v>461</v>
      </c>
      <c r="V470" t="s">
        <v>77</v>
      </c>
      <c r="W470" t="s">
        <v>462</v>
      </c>
      <c r="X470" t="s">
        <v>463</v>
      </c>
      <c r="Y470">
        <v>0.62936857954977199</v>
      </c>
      <c r="Z470">
        <v>629.36857954977199</v>
      </c>
      <c r="AA470">
        <v>4.5958333333333297</v>
      </c>
      <c r="AB470">
        <v>-74.148499999999999</v>
      </c>
      <c r="AC470">
        <v>2563</v>
      </c>
      <c r="AD470">
        <v>3</v>
      </c>
      <c r="AE470" t="s">
        <v>80</v>
      </c>
      <c r="AF470" t="s">
        <v>100</v>
      </c>
      <c r="AG470" t="s">
        <v>82</v>
      </c>
      <c r="AH470" t="s">
        <v>83</v>
      </c>
      <c r="AI470" t="s">
        <v>221</v>
      </c>
      <c r="AJ470">
        <v>0.40463704864268701</v>
      </c>
      <c r="AK470">
        <v>4.4891999747743396</v>
      </c>
      <c r="AL470">
        <v>0.89651094034834899</v>
      </c>
      <c r="AM470">
        <v>0.24658160722351</v>
      </c>
      <c r="AN470">
        <v>1.8477275881083099</v>
      </c>
      <c r="AO470">
        <v>6.2960870647216602E-2</v>
      </c>
      <c r="AP470">
        <v>6.2960870647216602E-2</v>
      </c>
      <c r="AQ470">
        <v>1</v>
      </c>
      <c r="AR470">
        <v>2</v>
      </c>
      <c r="AS470">
        <v>0</v>
      </c>
      <c r="AT470">
        <v>0</v>
      </c>
      <c r="AU470">
        <v>1</v>
      </c>
      <c r="AV470">
        <v>18</v>
      </c>
      <c r="AW470">
        <v>0</v>
      </c>
      <c r="AX470">
        <v>0</v>
      </c>
      <c r="AZ470">
        <v>14.5</v>
      </c>
      <c r="BA470">
        <v>27.9</v>
      </c>
      <c r="BB470">
        <v>564</v>
      </c>
      <c r="BC470">
        <v>65.5</v>
      </c>
      <c r="BD470">
        <v>1.3</v>
      </c>
      <c r="BE470">
        <v>189</v>
      </c>
      <c r="BF470">
        <v>8.8000000000000007</v>
      </c>
      <c r="BG470">
        <v>167</v>
      </c>
      <c r="BH470">
        <v>21.9</v>
      </c>
      <c r="BI470">
        <v>16.3</v>
      </c>
      <c r="BJ470">
        <v>38.200000000000003</v>
      </c>
      <c r="BK470">
        <v>1.02</v>
      </c>
      <c r="BL470">
        <v>7.4</v>
      </c>
      <c r="BM470">
        <v>2.1</v>
      </c>
      <c r="BN470">
        <v>7.4</v>
      </c>
      <c r="BO470">
        <v>4.8</v>
      </c>
      <c r="BP470">
        <f t="shared" si="14"/>
        <v>14.055234725805395</v>
      </c>
      <c r="BQ470">
        <f t="shared" si="15"/>
        <v>27.481741615685436</v>
      </c>
    </row>
    <row r="471" spans="1:69" hidden="1" x14ac:dyDescent="0.2">
      <c r="A471" t="s">
        <v>1992</v>
      </c>
      <c r="B471" t="s">
        <v>68</v>
      </c>
      <c r="C471" t="s">
        <v>1956</v>
      </c>
      <c r="D471" t="s">
        <v>70</v>
      </c>
      <c r="E471" t="s">
        <v>1572</v>
      </c>
      <c r="F471">
        <v>2</v>
      </c>
      <c r="G471">
        <v>267.89999999999998</v>
      </c>
      <c r="H471">
        <v>5</v>
      </c>
      <c r="I471">
        <v>3</v>
      </c>
      <c r="J471">
        <v>1</v>
      </c>
      <c r="K471" t="s">
        <v>110</v>
      </c>
      <c r="L471" t="s">
        <v>162</v>
      </c>
      <c r="M471" s="4">
        <v>580000000</v>
      </c>
      <c r="N471">
        <v>0</v>
      </c>
      <c r="O471">
        <v>4.6220600000000003</v>
      </c>
      <c r="P471">
        <v>-74.173069999999996</v>
      </c>
      <c r="Q471" t="s">
        <v>1993</v>
      </c>
      <c r="R471">
        <v>2164986.9350000001</v>
      </c>
      <c r="S471">
        <v>0</v>
      </c>
      <c r="T471" t="s">
        <v>462</v>
      </c>
      <c r="U471" t="s">
        <v>649</v>
      </c>
      <c r="V471" t="s">
        <v>77</v>
      </c>
      <c r="W471" t="s">
        <v>462</v>
      </c>
      <c r="X471" t="s">
        <v>650</v>
      </c>
      <c r="Y471">
        <v>1.34413102457444</v>
      </c>
      <c r="Z471">
        <v>1344.1310245744401</v>
      </c>
      <c r="AA471">
        <v>4.6250499999999999</v>
      </c>
      <c r="AB471">
        <v>-74.161333333333303</v>
      </c>
      <c r="AC471">
        <v>2580</v>
      </c>
      <c r="AD471">
        <v>3</v>
      </c>
      <c r="AE471" t="s">
        <v>80</v>
      </c>
      <c r="AF471" t="s">
        <v>107</v>
      </c>
      <c r="AG471" t="s">
        <v>82</v>
      </c>
      <c r="AH471" t="s">
        <v>83</v>
      </c>
      <c r="AI471" t="s">
        <v>221</v>
      </c>
      <c r="AJ471">
        <v>0.80912437982313101</v>
      </c>
      <c r="AK471">
        <v>2.9201042600799698</v>
      </c>
      <c r="AL471">
        <v>4.9975283706757603</v>
      </c>
      <c r="AM471">
        <v>0.139780782272239</v>
      </c>
      <c r="AN471">
        <v>1.5222744843651601</v>
      </c>
      <c r="AO471">
        <v>4.7418755998295002E-2</v>
      </c>
      <c r="AP471">
        <v>4.7418755998295002E-2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14</v>
      </c>
      <c r="AW471">
        <v>0</v>
      </c>
      <c r="AX471">
        <v>0</v>
      </c>
      <c r="AZ471">
        <v>14.5</v>
      </c>
      <c r="BA471">
        <v>27.9</v>
      </c>
      <c r="BB471">
        <v>564</v>
      </c>
      <c r="BC471">
        <v>65.5</v>
      </c>
      <c r="BD471">
        <v>1.3</v>
      </c>
      <c r="BE471">
        <v>189</v>
      </c>
      <c r="BF471">
        <v>8.8000000000000007</v>
      </c>
      <c r="BG471">
        <v>167</v>
      </c>
      <c r="BH471">
        <v>21.9</v>
      </c>
      <c r="BI471">
        <v>16.3</v>
      </c>
      <c r="BJ471">
        <v>38.200000000000003</v>
      </c>
      <c r="BK471">
        <v>1.02</v>
      </c>
      <c r="BL471">
        <v>7.4</v>
      </c>
      <c r="BM471">
        <v>2.1</v>
      </c>
      <c r="BN471">
        <v>7.4</v>
      </c>
      <c r="BO471">
        <v>4.8</v>
      </c>
      <c r="BP471">
        <f t="shared" si="14"/>
        <v>13.566644416397223</v>
      </c>
      <c r="BQ471">
        <f t="shared" si="15"/>
        <v>27.014332114830854</v>
      </c>
    </row>
    <row r="472" spans="1:69" hidden="1" x14ac:dyDescent="0.2">
      <c r="A472" t="s">
        <v>2897</v>
      </c>
      <c r="B472" t="s">
        <v>68</v>
      </c>
      <c r="C472" t="s">
        <v>1956</v>
      </c>
      <c r="D472" t="s">
        <v>70</v>
      </c>
      <c r="E472" t="s">
        <v>2898</v>
      </c>
      <c r="F472">
        <v>3</v>
      </c>
      <c r="G472">
        <v>260</v>
      </c>
      <c r="H472">
        <v>4</v>
      </c>
      <c r="I472">
        <v>5</v>
      </c>
      <c r="J472">
        <v>2</v>
      </c>
      <c r="K472" t="s">
        <v>110</v>
      </c>
      <c r="L472" t="s">
        <v>115</v>
      </c>
      <c r="M472" s="4">
        <v>990000000</v>
      </c>
      <c r="N472">
        <v>0</v>
      </c>
      <c r="O472">
        <v>4.6272606999999999</v>
      </c>
      <c r="P472">
        <v>-74.140259999999998</v>
      </c>
      <c r="Q472" t="s">
        <v>2899</v>
      </c>
      <c r="R472">
        <v>3807692.3080000002</v>
      </c>
      <c r="S472">
        <v>0</v>
      </c>
      <c r="T472" t="s">
        <v>462</v>
      </c>
      <c r="U472" t="s">
        <v>649</v>
      </c>
      <c r="V472" t="s">
        <v>77</v>
      </c>
      <c r="W472" t="s">
        <v>462</v>
      </c>
      <c r="X472" t="s">
        <v>650</v>
      </c>
      <c r="Y472">
        <v>2.3511450483400802</v>
      </c>
      <c r="Z472">
        <v>2351.1450483400799</v>
      </c>
      <c r="AA472">
        <v>4.6250499999999999</v>
      </c>
      <c r="AB472">
        <v>-74.161333333333303</v>
      </c>
      <c r="AC472">
        <v>2580</v>
      </c>
      <c r="AD472">
        <v>3</v>
      </c>
      <c r="AE472" t="s">
        <v>80</v>
      </c>
      <c r="AF472" t="s">
        <v>107</v>
      </c>
      <c r="AG472" t="s">
        <v>82</v>
      </c>
      <c r="AH472" t="s">
        <v>83</v>
      </c>
      <c r="AI472" t="s">
        <v>221</v>
      </c>
      <c r="AJ472">
        <v>0.41448956417820698</v>
      </c>
      <c r="AK472">
        <v>4.0869932037278698</v>
      </c>
      <c r="AL472">
        <v>2.4816185053845601</v>
      </c>
      <c r="AM472">
        <v>0.110998113834988</v>
      </c>
      <c r="AN472">
        <v>2.3047479451937001</v>
      </c>
      <c r="AO472">
        <v>8.21199593020535E-2</v>
      </c>
      <c r="AP472">
        <v>8.21199593020535E-2</v>
      </c>
      <c r="AQ472">
        <v>1</v>
      </c>
      <c r="AR472">
        <v>3</v>
      </c>
      <c r="AS472">
        <v>0</v>
      </c>
      <c r="AT472">
        <v>0</v>
      </c>
      <c r="AU472">
        <v>0</v>
      </c>
      <c r="AV472">
        <v>40</v>
      </c>
      <c r="AW472">
        <v>0</v>
      </c>
      <c r="AX472">
        <v>0</v>
      </c>
      <c r="AZ472">
        <v>14.5</v>
      </c>
      <c r="BA472">
        <v>27.9</v>
      </c>
      <c r="BB472">
        <v>564</v>
      </c>
      <c r="BC472">
        <v>65.5</v>
      </c>
      <c r="BD472">
        <v>1.3</v>
      </c>
      <c r="BE472">
        <v>189</v>
      </c>
      <c r="BF472">
        <v>8.8000000000000007</v>
      </c>
      <c r="BG472">
        <v>167</v>
      </c>
      <c r="BH472">
        <v>21.9</v>
      </c>
      <c r="BI472">
        <v>16.3</v>
      </c>
      <c r="BJ472">
        <v>38.200000000000003</v>
      </c>
      <c r="BK472">
        <v>1.02</v>
      </c>
      <c r="BL472">
        <v>7.4</v>
      </c>
      <c r="BM472">
        <v>2.1</v>
      </c>
      <c r="BN472">
        <v>7.4</v>
      </c>
      <c r="BO472">
        <v>4.8</v>
      </c>
      <c r="BP472">
        <f t="shared" si="14"/>
        <v>12.90696346911977</v>
      </c>
      <c r="BQ472">
        <f t="shared" si="15"/>
        <v>26.369267116737205</v>
      </c>
    </row>
    <row r="473" spans="1:69" hidden="1" x14ac:dyDescent="0.2">
      <c r="A473" t="s">
        <v>2342</v>
      </c>
      <c r="B473" t="s">
        <v>68</v>
      </c>
      <c r="C473" t="s">
        <v>1956</v>
      </c>
      <c r="D473" t="s">
        <v>70</v>
      </c>
      <c r="E473" t="s">
        <v>2343</v>
      </c>
      <c r="F473">
        <v>3</v>
      </c>
      <c r="G473">
        <v>250</v>
      </c>
      <c r="H473">
        <v>4</v>
      </c>
      <c r="I473">
        <v>4</v>
      </c>
      <c r="J473">
        <v>3</v>
      </c>
      <c r="K473" t="s">
        <v>110</v>
      </c>
      <c r="L473" t="s">
        <v>162</v>
      </c>
      <c r="M473" s="4">
        <v>700000000</v>
      </c>
      <c r="N473">
        <v>0</v>
      </c>
      <c r="O473">
        <v>4.5998080000000003</v>
      </c>
      <c r="P473">
        <v>-74.147643000000002</v>
      </c>
      <c r="Q473" t="s">
        <v>2344</v>
      </c>
      <c r="R473">
        <v>2800000</v>
      </c>
      <c r="S473">
        <v>0</v>
      </c>
      <c r="T473" t="s">
        <v>460</v>
      </c>
      <c r="U473" t="s">
        <v>461</v>
      </c>
      <c r="V473" t="s">
        <v>77</v>
      </c>
      <c r="W473" t="s">
        <v>462</v>
      </c>
      <c r="X473" t="s">
        <v>463</v>
      </c>
      <c r="Y473">
        <v>0.45256137309727801</v>
      </c>
      <c r="Z473">
        <v>452.56137309727802</v>
      </c>
      <c r="AA473">
        <v>4.5958333333333297</v>
      </c>
      <c r="AB473">
        <v>-74.148499999999999</v>
      </c>
      <c r="AC473">
        <v>2563</v>
      </c>
      <c r="AD473">
        <v>3</v>
      </c>
      <c r="AE473" t="s">
        <v>80</v>
      </c>
      <c r="AF473" t="s">
        <v>100</v>
      </c>
      <c r="AG473" t="s">
        <v>82</v>
      </c>
      <c r="AH473" t="s">
        <v>83</v>
      </c>
      <c r="AI473" t="s">
        <v>221</v>
      </c>
      <c r="AJ473">
        <v>0.52014311916561895</v>
      </c>
      <c r="AK473">
        <v>4.2517894032213199</v>
      </c>
      <c r="AL473">
        <v>1.25659839052218</v>
      </c>
      <c r="AM473">
        <v>0.110529786193702</v>
      </c>
      <c r="AN473">
        <v>2.19884880774734</v>
      </c>
      <c r="AO473">
        <v>5.8256862217501898E-2</v>
      </c>
      <c r="AP473">
        <v>5.8256862217501898E-2</v>
      </c>
      <c r="AQ473">
        <v>0</v>
      </c>
      <c r="AR473">
        <v>2</v>
      </c>
      <c r="AS473">
        <v>0</v>
      </c>
      <c r="AT473">
        <v>0</v>
      </c>
      <c r="AU473">
        <v>0</v>
      </c>
      <c r="AV473">
        <v>12</v>
      </c>
      <c r="AW473">
        <v>0</v>
      </c>
      <c r="AX473">
        <v>0</v>
      </c>
      <c r="AZ473">
        <v>14.5</v>
      </c>
      <c r="BA473">
        <v>27.9</v>
      </c>
      <c r="BB473">
        <v>564</v>
      </c>
      <c r="BC473">
        <v>65.5</v>
      </c>
      <c r="BD473">
        <v>1.3</v>
      </c>
      <c r="BE473">
        <v>189</v>
      </c>
      <c r="BF473">
        <v>8.8000000000000007</v>
      </c>
      <c r="BG473">
        <v>167</v>
      </c>
      <c r="BH473">
        <v>21.9</v>
      </c>
      <c r="BI473">
        <v>16.3</v>
      </c>
      <c r="BJ473">
        <v>38.200000000000003</v>
      </c>
      <c r="BK473">
        <v>1.02</v>
      </c>
      <c r="BL473">
        <v>7.4</v>
      </c>
      <c r="BM473">
        <v>2.1</v>
      </c>
      <c r="BN473">
        <v>7.4</v>
      </c>
      <c r="BO473">
        <v>4.8</v>
      </c>
      <c r="BP473">
        <f t="shared" si="14"/>
        <v>14.17878539824493</v>
      </c>
      <c r="BQ473">
        <f t="shared" si="15"/>
        <v>27.59860466620885</v>
      </c>
    </row>
    <row r="474" spans="1:69" hidden="1" x14ac:dyDescent="0.2">
      <c r="A474" t="s">
        <v>2283</v>
      </c>
      <c r="B474" t="s">
        <v>68</v>
      </c>
      <c r="C474" t="s">
        <v>1956</v>
      </c>
      <c r="D474" t="s">
        <v>70</v>
      </c>
      <c r="E474" t="s">
        <v>2284</v>
      </c>
      <c r="F474">
        <v>2</v>
      </c>
      <c r="G474">
        <v>244</v>
      </c>
      <c r="H474">
        <v>5</v>
      </c>
      <c r="I474">
        <v>5</v>
      </c>
      <c r="J474">
        <v>0</v>
      </c>
      <c r="K474" t="s">
        <v>110</v>
      </c>
      <c r="L474" t="s">
        <v>162</v>
      </c>
      <c r="M474" s="4">
        <v>500000000</v>
      </c>
      <c r="N474">
        <v>0</v>
      </c>
      <c r="O474">
        <v>4.6105827680000004</v>
      </c>
      <c r="P474">
        <v>-74.144081180000001</v>
      </c>
      <c r="Q474" t="s">
        <v>2285</v>
      </c>
      <c r="R474">
        <v>2049180.328</v>
      </c>
      <c r="S474">
        <v>0</v>
      </c>
      <c r="T474" t="s">
        <v>460</v>
      </c>
      <c r="U474" t="s">
        <v>461</v>
      </c>
      <c r="V474" t="s">
        <v>77</v>
      </c>
      <c r="W474" t="s">
        <v>462</v>
      </c>
      <c r="X474" t="s">
        <v>463</v>
      </c>
      <c r="Y474">
        <v>1.7135466376684001</v>
      </c>
      <c r="Z474">
        <v>1713.5466376684001</v>
      </c>
      <c r="AA474">
        <v>4.5958333333333297</v>
      </c>
      <c r="AB474">
        <v>-74.148499999999999</v>
      </c>
      <c r="AC474">
        <v>2563</v>
      </c>
      <c r="AD474">
        <v>3</v>
      </c>
      <c r="AE474" t="s">
        <v>80</v>
      </c>
      <c r="AF474" t="s">
        <v>100</v>
      </c>
      <c r="AG474" t="s">
        <v>82</v>
      </c>
      <c r="AH474" t="s">
        <v>83</v>
      </c>
      <c r="AI474" t="s">
        <v>221</v>
      </c>
      <c r="AJ474">
        <v>1.6675067159508601</v>
      </c>
      <c r="AK474">
        <v>5.42108265473128</v>
      </c>
      <c r="AL474">
        <v>2.06710313405853</v>
      </c>
      <c r="AM474">
        <v>0.29229126975004899</v>
      </c>
      <c r="AN474">
        <v>1.9833858611853401</v>
      </c>
      <c r="AO474">
        <v>0.14530574821098799</v>
      </c>
      <c r="AP474">
        <v>0.14530574821098799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8</v>
      </c>
      <c r="AW474">
        <v>0</v>
      </c>
      <c r="AX474">
        <v>0</v>
      </c>
      <c r="AZ474">
        <v>14.5</v>
      </c>
      <c r="BA474">
        <v>27.9</v>
      </c>
      <c r="BB474">
        <v>564</v>
      </c>
      <c r="BC474">
        <v>65.5</v>
      </c>
      <c r="BD474">
        <v>1.3</v>
      </c>
      <c r="BE474">
        <v>189</v>
      </c>
      <c r="BF474">
        <v>8.8000000000000007</v>
      </c>
      <c r="BG474">
        <v>167</v>
      </c>
      <c r="BH474">
        <v>21.9</v>
      </c>
      <c r="BI474">
        <v>16.3</v>
      </c>
      <c r="BJ474">
        <v>38.200000000000003</v>
      </c>
      <c r="BK474">
        <v>1.02</v>
      </c>
      <c r="BL474">
        <v>7.4</v>
      </c>
      <c r="BM474">
        <v>2.1</v>
      </c>
      <c r="BN474">
        <v>7.4</v>
      </c>
      <c r="BO474">
        <v>4.8</v>
      </c>
      <c r="BP474">
        <f t="shared" si="14"/>
        <v>13.320818216115514</v>
      </c>
      <c r="BQ474">
        <f t="shared" si="15"/>
        <v>26.775882336185763</v>
      </c>
    </row>
    <row r="475" spans="1:69" hidden="1" x14ac:dyDescent="0.2">
      <c r="A475" t="s">
        <v>2631</v>
      </c>
      <c r="B475" t="s">
        <v>68</v>
      </c>
      <c r="C475" t="s">
        <v>1956</v>
      </c>
      <c r="D475" t="s">
        <v>70</v>
      </c>
      <c r="E475" t="s">
        <v>2632</v>
      </c>
      <c r="F475">
        <v>3</v>
      </c>
      <c r="G475">
        <v>240</v>
      </c>
      <c r="H475">
        <v>5</v>
      </c>
      <c r="I475">
        <v>3</v>
      </c>
      <c r="J475">
        <v>1</v>
      </c>
      <c r="K475" t="s">
        <v>110</v>
      </c>
      <c r="L475" t="s">
        <v>162</v>
      </c>
      <c r="M475" s="4">
        <v>570000000</v>
      </c>
      <c r="N475">
        <v>0</v>
      </c>
      <c r="O475">
        <v>4.6089353089999996</v>
      </c>
      <c r="P475">
        <v>-74.174952509999997</v>
      </c>
      <c r="Q475" t="s">
        <v>2633</v>
      </c>
      <c r="R475">
        <v>2375000</v>
      </c>
      <c r="S475">
        <v>0</v>
      </c>
      <c r="T475" t="s">
        <v>462</v>
      </c>
      <c r="U475" t="s">
        <v>649</v>
      </c>
      <c r="V475" t="s">
        <v>77</v>
      </c>
      <c r="W475" t="s">
        <v>462</v>
      </c>
      <c r="X475" t="s">
        <v>650</v>
      </c>
      <c r="Y475">
        <v>2.3455506237380201</v>
      </c>
      <c r="Z475">
        <v>2345.55062373802</v>
      </c>
      <c r="AA475">
        <v>4.6250499999999999</v>
      </c>
      <c r="AB475">
        <v>-74.161333333333303</v>
      </c>
      <c r="AC475">
        <v>2580</v>
      </c>
      <c r="AD475">
        <v>3</v>
      </c>
      <c r="AE475" t="s">
        <v>80</v>
      </c>
      <c r="AF475" t="s">
        <v>107</v>
      </c>
      <c r="AG475" t="s">
        <v>82</v>
      </c>
      <c r="AH475" t="s">
        <v>83</v>
      </c>
      <c r="AI475" t="s">
        <v>221</v>
      </c>
      <c r="AJ475">
        <v>1.4665157007374601</v>
      </c>
      <c r="AK475">
        <v>4.0828113089940699</v>
      </c>
      <c r="AL475">
        <v>4.3899160283814602</v>
      </c>
      <c r="AM475">
        <v>0.27216734222963901</v>
      </c>
      <c r="AN475">
        <v>1.63210657713203</v>
      </c>
      <c r="AO475">
        <v>0.107752157468507</v>
      </c>
      <c r="AP475">
        <v>0.107752157468507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12</v>
      </c>
      <c r="AW475">
        <v>0</v>
      </c>
      <c r="AX475">
        <v>0</v>
      </c>
      <c r="AZ475">
        <v>14.5</v>
      </c>
      <c r="BA475">
        <v>27.9</v>
      </c>
      <c r="BB475">
        <v>564</v>
      </c>
      <c r="BC475">
        <v>65.5</v>
      </c>
      <c r="BD475">
        <v>1.3</v>
      </c>
      <c r="BE475">
        <v>189</v>
      </c>
      <c r="BF475">
        <v>8.8000000000000007</v>
      </c>
      <c r="BG475">
        <v>167</v>
      </c>
      <c r="BH475">
        <v>21.9</v>
      </c>
      <c r="BI475">
        <v>16.3</v>
      </c>
      <c r="BJ475">
        <v>38.200000000000003</v>
      </c>
      <c r="BK475">
        <v>1.02</v>
      </c>
      <c r="BL475">
        <v>7.4</v>
      </c>
      <c r="BM475">
        <v>2.1</v>
      </c>
      <c r="BN475">
        <v>7.4</v>
      </c>
      <c r="BO475">
        <v>4.8</v>
      </c>
      <c r="BP475">
        <f t="shared" si="14"/>
        <v>12.910538212244532</v>
      </c>
      <c r="BQ475">
        <f t="shared" si="15"/>
        <v>26.372807855473344</v>
      </c>
    </row>
    <row r="476" spans="1:69" hidden="1" x14ac:dyDescent="0.2">
      <c r="A476" t="s">
        <v>3263</v>
      </c>
      <c r="B476" t="s">
        <v>68</v>
      </c>
      <c r="C476" t="s">
        <v>1956</v>
      </c>
      <c r="D476" t="s">
        <v>70</v>
      </c>
      <c r="E476" t="s">
        <v>3264</v>
      </c>
      <c r="F476">
        <v>3</v>
      </c>
      <c r="G476">
        <v>205</v>
      </c>
      <c r="H476">
        <v>4</v>
      </c>
      <c r="I476">
        <v>3</v>
      </c>
      <c r="J476">
        <v>3</v>
      </c>
      <c r="K476" t="s">
        <v>110</v>
      </c>
      <c r="L476" t="s">
        <v>162</v>
      </c>
      <c r="M476" s="4">
        <v>750000000</v>
      </c>
      <c r="N476">
        <v>0</v>
      </c>
      <c r="O476">
        <v>4.6255300999999998</v>
      </c>
      <c r="P476">
        <v>-74.140986999999996</v>
      </c>
      <c r="Q476" t="s">
        <v>3265</v>
      </c>
      <c r="R476">
        <v>3658536.585</v>
      </c>
      <c r="S476">
        <v>0</v>
      </c>
      <c r="T476" t="s">
        <v>462</v>
      </c>
      <c r="U476" t="s">
        <v>649</v>
      </c>
      <c r="V476" t="s">
        <v>77</v>
      </c>
      <c r="W476" t="s">
        <v>462</v>
      </c>
      <c r="X476" t="s">
        <v>650</v>
      </c>
      <c r="Y476">
        <v>2.2581999304118199</v>
      </c>
      <c r="Z476">
        <v>2258.1999304118199</v>
      </c>
      <c r="AA476">
        <v>4.6250499999999999</v>
      </c>
      <c r="AB476">
        <v>-74.161333333333303</v>
      </c>
      <c r="AC476">
        <v>2580</v>
      </c>
      <c r="AD476">
        <v>3</v>
      </c>
      <c r="AE476" t="s">
        <v>80</v>
      </c>
      <c r="AF476" t="s">
        <v>107</v>
      </c>
      <c r="AG476" t="s">
        <v>82</v>
      </c>
      <c r="AH476" t="s">
        <v>83</v>
      </c>
      <c r="AI476" t="s">
        <v>221</v>
      </c>
      <c r="AJ476">
        <v>0.59044706573874395</v>
      </c>
      <c r="AK476">
        <v>4.2078241928200999</v>
      </c>
      <c r="AL476">
        <v>2.6640003403031201</v>
      </c>
      <c r="AM476">
        <v>0.19746904082212</v>
      </c>
      <c r="AN476">
        <v>2.1642148977050799</v>
      </c>
      <c r="AO476">
        <v>0.19890002664787701</v>
      </c>
      <c r="AP476">
        <v>0.19890002664787701</v>
      </c>
      <c r="AQ476">
        <v>0</v>
      </c>
      <c r="AR476">
        <v>3</v>
      </c>
      <c r="AS476">
        <v>0</v>
      </c>
      <c r="AT476">
        <v>0</v>
      </c>
      <c r="AU476">
        <v>0</v>
      </c>
      <c r="AV476">
        <v>51</v>
      </c>
      <c r="AW476">
        <v>0</v>
      </c>
      <c r="AX476">
        <v>0</v>
      </c>
      <c r="AZ476">
        <v>14.5</v>
      </c>
      <c r="BA476">
        <v>27.9</v>
      </c>
      <c r="BB476">
        <v>564</v>
      </c>
      <c r="BC476">
        <v>65.5</v>
      </c>
      <c r="BD476">
        <v>1.3</v>
      </c>
      <c r="BE476">
        <v>189</v>
      </c>
      <c r="BF476">
        <v>8.8000000000000007</v>
      </c>
      <c r="BG476">
        <v>167</v>
      </c>
      <c r="BH476">
        <v>21.9</v>
      </c>
      <c r="BI476">
        <v>16.3</v>
      </c>
      <c r="BJ476">
        <v>38.200000000000003</v>
      </c>
      <c r="BK476">
        <v>1.02</v>
      </c>
      <c r="BL476">
        <v>7.4</v>
      </c>
      <c r="BM476">
        <v>2.1</v>
      </c>
      <c r="BN476">
        <v>7.4</v>
      </c>
      <c r="BO476">
        <v>4.8</v>
      </c>
      <c r="BP476">
        <f t="shared" si="14"/>
        <v>12.966482423504889</v>
      </c>
      <c r="BQ476">
        <f t="shared" si="15"/>
        <v>26.428154242973982</v>
      </c>
    </row>
    <row r="477" spans="1:69" hidden="1" x14ac:dyDescent="0.2">
      <c r="A477" t="s">
        <v>2111</v>
      </c>
      <c r="B477" t="s">
        <v>68</v>
      </c>
      <c r="C477" t="s">
        <v>1956</v>
      </c>
      <c r="D477" t="s">
        <v>70</v>
      </c>
      <c r="E477" t="s">
        <v>2112</v>
      </c>
      <c r="F477">
        <v>3</v>
      </c>
      <c r="G477">
        <v>196</v>
      </c>
      <c r="H477">
        <v>5</v>
      </c>
      <c r="I477">
        <v>2</v>
      </c>
      <c r="J477">
        <v>1</v>
      </c>
      <c r="K477" t="s">
        <v>110</v>
      </c>
      <c r="L477" t="s">
        <v>124</v>
      </c>
      <c r="M477" s="4">
        <v>520000000</v>
      </c>
      <c r="N477">
        <v>0</v>
      </c>
      <c r="O477">
        <v>4.6006454999999997</v>
      </c>
      <c r="P477">
        <v>-74.158270000000002</v>
      </c>
      <c r="Q477" t="s">
        <v>2113</v>
      </c>
      <c r="R477">
        <v>2653061.2239999999</v>
      </c>
      <c r="S477">
        <v>0</v>
      </c>
      <c r="T477" t="s">
        <v>460</v>
      </c>
      <c r="U477" t="s">
        <v>461</v>
      </c>
      <c r="V477" t="s">
        <v>77</v>
      </c>
      <c r="W477" t="s">
        <v>462</v>
      </c>
      <c r="X477" t="s">
        <v>463</v>
      </c>
      <c r="Y477">
        <v>1.20922062590285</v>
      </c>
      <c r="Z477">
        <v>1209.2206259028501</v>
      </c>
      <c r="AA477">
        <v>4.5958333333333297</v>
      </c>
      <c r="AB477">
        <v>-74.148499999999999</v>
      </c>
      <c r="AC477">
        <v>2563</v>
      </c>
      <c r="AD477">
        <v>3</v>
      </c>
      <c r="AE477" t="s">
        <v>80</v>
      </c>
      <c r="AF477" t="s">
        <v>100</v>
      </c>
      <c r="AG477" t="s">
        <v>82</v>
      </c>
      <c r="AH477" t="s">
        <v>83</v>
      </c>
      <c r="AI477" t="s">
        <v>368</v>
      </c>
      <c r="AJ477">
        <v>0.50634807541483895</v>
      </c>
      <c r="AK477">
        <v>3.6452957883316599</v>
      </c>
      <c r="AL477">
        <v>2.3280960350487701</v>
      </c>
      <c r="AM477">
        <v>0.38053750043020002</v>
      </c>
      <c r="AN477">
        <v>2.0945825108317799</v>
      </c>
      <c r="AO477">
        <v>8.6205459218335001E-2</v>
      </c>
      <c r="AP477">
        <v>8.6205459218335001E-2</v>
      </c>
      <c r="AQ477">
        <v>0</v>
      </c>
      <c r="AR477">
        <v>2</v>
      </c>
      <c r="AS477">
        <v>0</v>
      </c>
      <c r="AT477">
        <v>0</v>
      </c>
      <c r="AU477">
        <v>0</v>
      </c>
      <c r="AV477">
        <v>6</v>
      </c>
      <c r="AW477">
        <v>0</v>
      </c>
      <c r="AX477">
        <v>0</v>
      </c>
      <c r="AZ477">
        <v>14.5</v>
      </c>
      <c r="BA477">
        <v>27.9</v>
      </c>
      <c r="BB477">
        <v>564</v>
      </c>
      <c r="BC477">
        <v>65.5</v>
      </c>
      <c r="BD477">
        <v>1.3</v>
      </c>
      <c r="BE477">
        <v>189</v>
      </c>
      <c r="BF477">
        <v>8.8000000000000007</v>
      </c>
      <c r="BG477">
        <v>167</v>
      </c>
      <c r="BH477">
        <v>21.9</v>
      </c>
      <c r="BI477">
        <v>16.3</v>
      </c>
      <c r="BJ477">
        <v>38.200000000000003</v>
      </c>
      <c r="BK477">
        <v>1.02</v>
      </c>
      <c r="BL477">
        <v>7.4</v>
      </c>
      <c r="BM477">
        <v>2.1</v>
      </c>
      <c r="BN477">
        <v>7.4</v>
      </c>
      <c r="BO477">
        <v>4.8</v>
      </c>
      <c r="BP477">
        <f t="shared" si="14"/>
        <v>13.657546533320565</v>
      </c>
      <c r="BQ477">
        <f t="shared" si="15"/>
        <v>27.101942216026416</v>
      </c>
    </row>
    <row r="478" spans="1:69" hidden="1" x14ac:dyDescent="0.2">
      <c r="A478" t="s">
        <v>1968</v>
      </c>
      <c r="B478" t="s">
        <v>68</v>
      </c>
      <c r="C478" t="s">
        <v>1956</v>
      </c>
      <c r="D478" t="s">
        <v>70</v>
      </c>
      <c r="E478" t="s">
        <v>1969</v>
      </c>
      <c r="F478">
        <v>3</v>
      </c>
      <c r="G478">
        <v>147</v>
      </c>
      <c r="H478">
        <v>4</v>
      </c>
      <c r="I478">
        <v>2</v>
      </c>
      <c r="J478">
        <v>1</v>
      </c>
      <c r="K478" t="s">
        <v>110</v>
      </c>
      <c r="L478" t="s">
        <v>162</v>
      </c>
      <c r="M478" s="4">
        <v>550000000</v>
      </c>
      <c r="N478">
        <v>0</v>
      </c>
      <c r="O478">
        <v>4.5862499999999997</v>
      </c>
      <c r="P478">
        <v>-74.147810000000007</v>
      </c>
      <c r="Q478" t="s">
        <v>1970</v>
      </c>
      <c r="R478">
        <v>3741496.5989999999</v>
      </c>
      <c r="S478">
        <v>0</v>
      </c>
      <c r="T478" t="s">
        <v>460</v>
      </c>
      <c r="U478" t="s">
        <v>461</v>
      </c>
      <c r="V478" t="s">
        <v>77</v>
      </c>
      <c r="W478" t="s">
        <v>462</v>
      </c>
      <c r="X478" t="s">
        <v>463</v>
      </c>
      <c r="Y478">
        <v>1.06955571791098</v>
      </c>
      <c r="Z478">
        <v>1069.5557179109801</v>
      </c>
      <c r="AA478">
        <v>4.5958333333333297</v>
      </c>
      <c r="AB478">
        <v>-74.148499999999999</v>
      </c>
      <c r="AC478">
        <v>2563</v>
      </c>
      <c r="AD478">
        <v>3</v>
      </c>
      <c r="AE478" t="s">
        <v>80</v>
      </c>
      <c r="AF478" t="s">
        <v>100</v>
      </c>
      <c r="AG478" t="s">
        <v>82</v>
      </c>
      <c r="AH478" t="s">
        <v>83</v>
      </c>
      <c r="AI478" t="s">
        <v>1971</v>
      </c>
      <c r="AJ478">
        <v>0.97986442047340705</v>
      </c>
      <c r="AK478">
        <v>3.2850937779736502</v>
      </c>
      <c r="AL478">
        <v>1.21768965413387</v>
      </c>
      <c r="AM478">
        <v>0.73007174658396701</v>
      </c>
      <c r="AN478">
        <v>1.6072556253571599</v>
      </c>
      <c r="AO478">
        <v>7.9466528075080103E-3</v>
      </c>
      <c r="AP478">
        <v>7.9466528075080103E-3</v>
      </c>
      <c r="AQ478">
        <v>0</v>
      </c>
      <c r="AR478">
        <v>1</v>
      </c>
      <c r="AS478">
        <v>0</v>
      </c>
      <c r="AT478">
        <v>0</v>
      </c>
      <c r="AU478">
        <v>0</v>
      </c>
      <c r="AV478">
        <v>14</v>
      </c>
      <c r="AW478">
        <v>0</v>
      </c>
      <c r="AX478">
        <v>0</v>
      </c>
      <c r="AZ478">
        <v>14.5</v>
      </c>
      <c r="BA478">
        <v>27.9</v>
      </c>
      <c r="BB478">
        <v>564</v>
      </c>
      <c r="BC478">
        <v>65.5</v>
      </c>
      <c r="BD478">
        <v>1.3</v>
      </c>
      <c r="BE478">
        <v>189</v>
      </c>
      <c r="BF478">
        <v>8.8000000000000007</v>
      </c>
      <c r="BG478">
        <v>167</v>
      </c>
      <c r="BH478">
        <v>21.9</v>
      </c>
      <c r="BI478">
        <v>16.3</v>
      </c>
      <c r="BJ478">
        <v>38.200000000000003</v>
      </c>
      <c r="BK478">
        <v>1.02</v>
      </c>
      <c r="BL478">
        <v>7.4</v>
      </c>
      <c r="BM478">
        <v>2.1</v>
      </c>
      <c r="BN478">
        <v>7.4</v>
      </c>
      <c r="BO478">
        <v>4.8</v>
      </c>
      <c r="BP478">
        <f t="shared" si="14"/>
        <v>13.752293928891797</v>
      </c>
      <c r="BQ478">
        <f t="shared" si="15"/>
        <v>27.192939206245047</v>
      </c>
    </row>
    <row r="479" spans="1:69" hidden="1" x14ac:dyDescent="0.2">
      <c r="A479" t="s">
        <v>2787</v>
      </c>
      <c r="B479" t="s">
        <v>68</v>
      </c>
      <c r="C479" t="s">
        <v>1956</v>
      </c>
      <c r="D479" t="s">
        <v>70</v>
      </c>
      <c r="E479" t="s">
        <v>2788</v>
      </c>
      <c r="F479">
        <v>3</v>
      </c>
      <c r="G479">
        <v>143</v>
      </c>
      <c r="H479">
        <v>4</v>
      </c>
      <c r="I479">
        <v>2</v>
      </c>
      <c r="J479">
        <v>0</v>
      </c>
      <c r="K479" t="s">
        <v>110</v>
      </c>
      <c r="L479" t="s">
        <v>111</v>
      </c>
      <c r="M479" s="4">
        <v>1200000000</v>
      </c>
      <c r="N479">
        <v>0</v>
      </c>
      <c r="O479">
        <v>4.5946455640000003</v>
      </c>
      <c r="P479">
        <v>-74.134502999999995</v>
      </c>
      <c r="Q479" t="s">
        <v>2789</v>
      </c>
      <c r="R479">
        <v>8391608.3920000009</v>
      </c>
      <c r="S479">
        <v>0</v>
      </c>
      <c r="T479" t="s">
        <v>460</v>
      </c>
      <c r="U479" t="s">
        <v>461</v>
      </c>
      <c r="V479" t="s">
        <v>77</v>
      </c>
      <c r="W479" t="s">
        <v>462</v>
      </c>
      <c r="X479" t="s">
        <v>463</v>
      </c>
      <c r="Y479">
        <v>1.55874836410323</v>
      </c>
      <c r="Z479">
        <v>1558.74836410323</v>
      </c>
      <c r="AA479">
        <v>4.5958333333333297</v>
      </c>
      <c r="AB479">
        <v>-74.148499999999999</v>
      </c>
      <c r="AC479">
        <v>2563</v>
      </c>
      <c r="AD479">
        <v>3</v>
      </c>
      <c r="AE479" t="s">
        <v>80</v>
      </c>
      <c r="AF479" t="s">
        <v>100</v>
      </c>
      <c r="AG479" t="s">
        <v>82</v>
      </c>
      <c r="AH479" t="s">
        <v>83</v>
      </c>
      <c r="AI479" t="s">
        <v>288</v>
      </c>
      <c r="AJ479">
        <v>4.8901564534738498E-2</v>
      </c>
      <c r="AK479">
        <v>5.0276675815629499</v>
      </c>
      <c r="AL479">
        <v>0.53178529368613303</v>
      </c>
      <c r="AM479">
        <v>7.7400407290946396E-2</v>
      </c>
      <c r="AN479">
        <v>0.95883733491544498</v>
      </c>
      <c r="AO479">
        <v>0.198885297845206</v>
      </c>
      <c r="AP479">
        <v>0.198885297845206</v>
      </c>
      <c r="AQ479">
        <v>1</v>
      </c>
      <c r="AR479">
        <v>3</v>
      </c>
      <c r="AS479">
        <v>0</v>
      </c>
      <c r="AT479">
        <v>0</v>
      </c>
      <c r="AU479">
        <v>1</v>
      </c>
      <c r="AV479">
        <v>25</v>
      </c>
      <c r="AW479">
        <v>1</v>
      </c>
      <c r="AX479">
        <v>0</v>
      </c>
      <c r="AZ479">
        <v>14.5</v>
      </c>
      <c r="BA479">
        <v>27.9</v>
      </c>
      <c r="BB479">
        <v>564</v>
      </c>
      <c r="BC479">
        <v>65.5</v>
      </c>
      <c r="BD479">
        <v>1.3</v>
      </c>
      <c r="BE479">
        <v>189</v>
      </c>
      <c r="BF479">
        <v>8.8000000000000007</v>
      </c>
      <c r="BG479">
        <v>167</v>
      </c>
      <c r="BH479">
        <v>21.9</v>
      </c>
      <c r="BI479">
        <v>16.3</v>
      </c>
      <c r="BJ479">
        <v>38.200000000000003</v>
      </c>
      <c r="BK479">
        <v>1.02</v>
      </c>
      <c r="BL479">
        <v>7.4</v>
      </c>
      <c r="BM479">
        <v>2.1</v>
      </c>
      <c r="BN479">
        <v>7.4</v>
      </c>
      <c r="BO479">
        <v>4.8</v>
      </c>
      <c r="BP479">
        <f t="shared" si="14"/>
        <v>13.423281240272026</v>
      </c>
      <c r="BQ479">
        <f t="shared" si="15"/>
        <v>26.875543999607995</v>
      </c>
    </row>
    <row r="480" spans="1:69" hidden="1" x14ac:dyDescent="0.2">
      <c r="A480" t="s">
        <v>2263</v>
      </c>
      <c r="B480" t="s">
        <v>68</v>
      </c>
      <c r="C480" t="s">
        <v>1956</v>
      </c>
      <c r="D480" t="s">
        <v>70</v>
      </c>
      <c r="E480" t="s">
        <v>2264</v>
      </c>
      <c r="F480">
        <v>3</v>
      </c>
      <c r="G480">
        <v>140</v>
      </c>
      <c r="H480">
        <v>3</v>
      </c>
      <c r="I480">
        <v>2</v>
      </c>
      <c r="J480">
        <v>1</v>
      </c>
      <c r="K480" t="s">
        <v>110</v>
      </c>
      <c r="L480" t="s">
        <v>115</v>
      </c>
      <c r="M480" s="4">
        <v>730000000</v>
      </c>
      <c r="N480">
        <v>0</v>
      </c>
      <c r="O480">
        <v>4.626962185</v>
      </c>
      <c r="P480">
        <v>-74.139953610000006</v>
      </c>
      <c r="Q480" t="s">
        <v>2265</v>
      </c>
      <c r="R480">
        <v>5214285.7139999997</v>
      </c>
      <c r="S480">
        <v>0</v>
      </c>
      <c r="T480" t="s">
        <v>462</v>
      </c>
      <c r="U480" t="s">
        <v>649</v>
      </c>
      <c r="V480" t="s">
        <v>77</v>
      </c>
      <c r="W480" t="s">
        <v>462</v>
      </c>
      <c r="X480" t="s">
        <v>650</v>
      </c>
      <c r="Y480">
        <v>2.3817579616470499</v>
      </c>
      <c r="Z480">
        <v>2381.7579616470498</v>
      </c>
      <c r="AA480">
        <v>4.6250499999999999</v>
      </c>
      <c r="AB480">
        <v>-74.161333333333303</v>
      </c>
      <c r="AC480">
        <v>2580</v>
      </c>
      <c r="AD480">
        <v>3</v>
      </c>
      <c r="AE480" t="s">
        <v>80</v>
      </c>
      <c r="AF480" t="s">
        <v>107</v>
      </c>
      <c r="AG480" t="s">
        <v>82</v>
      </c>
      <c r="AH480" t="s">
        <v>83</v>
      </c>
      <c r="AI480" t="s">
        <v>221</v>
      </c>
      <c r="AJ480">
        <v>0.456223195849634</v>
      </c>
      <c r="AK480">
        <v>4.13303183269299</v>
      </c>
      <c r="AL480">
        <v>2.4751969636792501</v>
      </c>
      <c r="AM480">
        <v>0.149521918134498</v>
      </c>
      <c r="AN480">
        <v>2.3245282409077301</v>
      </c>
      <c r="AO480">
        <v>0.12788879213631099</v>
      </c>
      <c r="AP480">
        <v>0.12788879213631099</v>
      </c>
      <c r="AQ480">
        <v>1</v>
      </c>
      <c r="AR480">
        <v>3</v>
      </c>
      <c r="AS480">
        <v>0</v>
      </c>
      <c r="AT480">
        <v>0</v>
      </c>
      <c r="AU480">
        <v>0</v>
      </c>
      <c r="AV480">
        <v>39</v>
      </c>
      <c r="AW480">
        <v>0</v>
      </c>
      <c r="AX480">
        <v>0</v>
      </c>
      <c r="AZ480">
        <v>14.5</v>
      </c>
      <c r="BA480">
        <v>27.9</v>
      </c>
      <c r="BB480">
        <v>564</v>
      </c>
      <c r="BC480">
        <v>65.5</v>
      </c>
      <c r="BD480">
        <v>1.3</v>
      </c>
      <c r="BE480">
        <v>189</v>
      </c>
      <c r="BF480">
        <v>8.8000000000000007</v>
      </c>
      <c r="BG480">
        <v>167</v>
      </c>
      <c r="BH480">
        <v>21.9</v>
      </c>
      <c r="BI480">
        <v>16.3</v>
      </c>
      <c r="BJ480">
        <v>38.200000000000003</v>
      </c>
      <c r="BK480">
        <v>1.02</v>
      </c>
      <c r="BL480">
        <v>7.4</v>
      </c>
      <c r="BM480">
        <v>2.1</v>
      </c>
      <c r="BN480">
        <v>7.4</v>
      </c>
      <c r="BO480">
        <v>4.8</v>
      </c>
      <c r="BP480">
        <f t="shared" si="14"/>
        <v>12.887419852653732</v>
      </c>
      <c r="BQ480">
        <f t="shared" si="15"/>
        <v>26.349900469925025</v>
      </c>
    </row>
    <row r="481" spans="1:69" hidden="1" x14ac:dyDescent="0.2">
      <c r="A481" t="s">
        <v>3151</v>
      </c>
      <c r="B481" t="s">
        <v>68</v>
      </c>
      <c r="C481" t="s">
        <v>1956</v>
      </c>
      <c r="D481" t="s">
        <v>70</v>
      </c>
      <c r="E481" t="s">
        <v>2612</v>
      </c>
      <c r="F481">
        <v>4</v>
      </c>
      <c r="G481">
        <v>134</v>
      </c>
      <c r="H481">
        <v>4</v>
      </c>
      <c r="I481">
        <v>3</v>
      </c>
      <c r="J481">
        <v>1</v>
      </c>
      <c r="K481" t="s">
        <v>110</v>
      </c>
      <c r="L481" t="s">
        <v>124</v>
      </c>
      <c r="M481" s="4">
        <v>800000000</v>
      </c>
      <c r="N481">
        <v>0</v>
      </c>
      <c r="O481">
        <v>4.6385412219999997</v>
      </c>
      <c r="P481">
        <v>-74.145553590000006</v>
      </c>
      <c r="Q481" t="s">
        <v>3152</v>
      </c>
      <c r="R481">
        <v>5970149.2539999997</v>
      </c>
      <c r="S481">
        <v>0</v>
      </c>
      <c r="T481" t="s">
        <v>462</v>
      </c>
      <c r="U481" t="s">
        <v>649</v>
      </c>
      <c r="V481" t="s">
        <v>77</v>
      </c>
      <c r="W481" t="s">
        <v>462</v>
      </c>
      <c r="X481" t="s">
        <v>650</v>
      </c>
      <c r="Y481">
        <v>2.30673127800278</v>
      </c>
      <c r="Z481">
        <v>2306.7312780027801</v>
      </c>
      <c r="AA481">
        <v>4.6250499999999999</v>
      </c>
      <c r="AB481">
        <v>-74.161333333333303</v>
      </c>
      <c r="AC481">
        <v>2580</v>
      </c>
      <c r="AD481">
        <v>3</v>
      </c>
      <c r="AE481" t="s">
        <v>80</v>
      </c>
      <c r="AF481" t="s">
        <v>107</v>
      </c>
      <c r="AG481" t="s">
        <v>82</v>
      </c>
      <c r="AH481" t="s">
        <v>83</v>
      </c>
      <c r="AI481" t="s">
        <v>221</v>
      </c>
      <c r="AJ481">
        <v>0.80122787852753896</v>
      </c>
      <c r="AK481">
        <v>2.7192321113570901</v>
      </c>
      <c r="AL481">
        <v>2.56922033672803</v>
      </c>
      <c r="AM481">
        <v>0.35983872689649599</v>
      </c>
      <c r="AN481">
        <v>2.6115374991356299</v>
      </c>
      <c r="AO481">
        <v>5.4132061991807298E-2</v>
      </c>
      <c r="AP481">
        <v>5.4132061991807298E-2</v>
      </c>
      <c r="AQ481">
        <v>0</v>
      </c>
      <c r="AR481">
        <v>3</v>
      </c>
      <c r="AS481">
        <v>0</v>
      </c>
      <c r="AT481">
        <v>0</v>
      </c>
      <c r="AU481">
        <v>0</v>
      </c>
      <c r="AV481">
        <v>15</v>
      </c>
      <c r="AW481">
        <v>0</v>
      </c>
      <c r="AX481">
        <v>0</v>
      </c>
      <c r="AZ481">
        <v>14.5</v>
      </c>
      <c r="BA481">
        <v>27.9</v>
      </c>
      <c r="BB481">
        <v>564</v>
      </c>
      <c r="BC481">
        <v>65.5</v>
      </c>
      <c r="BD481">
        <v>1.3</v>
      </c>
      <c r="BE481">
        <v>189</v>
      </c>
      <c r="BF481">
        <v>8.8000000000000007</v>
      </c>
      <c r="BG481">
        <v>167</v>
      </c>
      <c r="BH481">
        <v>21.9</v>
      </c>
      <c r="BI481">
        <v>16.3</v>
      </c>
      <c r="BJ481">
        <v>38.200000000000003</v>
      </c>
      <c r="BK481">
        <v>1.02</v>
      </c>
      <c r="BL481">
        <v>7.4</v>
      </c>
      <c r="BM481">
        <v>2.1</v>
      </c>
      <c r="BN481">
        <v>7.4</v>
      </c>
      <c r="BO481">
        <v>4.8</v>
      </c>
      <c r="BP481">
        <f t="shared" si="14"/>
        <v>12.935370405850261</v>
      </c>
      <c r="BQ481">
        <f t="shared" si="15"/>
        <v>26.397389908313357</v>
      </c>
    </row>
    <row r="482" spans="1:69" hidden="1" x14ac:dyDescent="0.2">
      <c r="A482" t="s">
        <v>3175</v>
      </c>
      <c r="B482" t="s">
        <v>68</v>
      </c>
      <c r="C482" t="s">
        <v>1956</v>
      </c>
      <c r="D482" t="s">
        <v>70</v>
      </c>
      <c r="E482" t="s">
        <v>3176</v>
      </c>
      <c r="F482">
        <v>3</v>
      </c>
      <c r="G482">
        <v>111</v>
      </c>
      <c r="H482">
        <v>5</v>
      </c>
      <c r="I482">
        <v>2</v>
      </c>
      <c r="J482">
        <v>0</v>
      </c>
      <c r="K482" t="s">
        <v>110</v>
      </c>
      <c r="L482" t="s">
        <v>162</v>
      </c>
      <c r="M482" s="4">
        <v>700000000</v>
      </c>
      <c r="N482">
        <v>0</v>
      </c>
      <c r="O482">
        <v>4.6197233200000003</v>
      </c>
      <c r="P482">
        <v>-74.166213990000003</v>
      </c>
      <c r="Q482" t="s">
        <v>3177</v>
      </c>
      <c r="R482">
        <v>6306306.3059999999</v>
      </c>
      <c r="S482">
        <v>0</v>
      </c>
      <c r="T482" t="s">
        <v>462</v>
      </c>
      <c r="U482" t="s">
        <v>649</v>
      </c>
      <c r="V482" t="s">
        <v>77</v>
      </c>
      <c r="W482" t="s">
        <v>462</v>
      </c>
      <c r="X482" t="s">
        <v>650</v>
      </c>
      <c r="Y482">
        <v>0.80304205882053603</v>
      </c>
      <c r="Z482">
        <v>803.042058820536</v>
      </c>
      <c r="AA482">
        <v>4.6250499999999999</v>
      </c>
      <c r="AB482">
        <v>-74.161333333333303</v>
      </c>
      <c r="AC482">
        <v>2580</v>
      </c>
      <c r="AD482">
        <v>3</v>
      </c>
      <c r="AE482" t="s">
        <v>80</v>
      </c>
      <c r="AF482" t="s">
        <v>107</v>
      </c>
      <c r="AG482" t="s">
        <v>82</v>
      </c>
      <c r="AH482" t="s">
        <v>83</v>
      </c>
      <c r="AI482" t="s">
        <v>221</v>
      </c>
      <c r="AJ482">
        <v>1.3097175230675999</v>
      </c>
      <c r="AK482">
        <v>3.5103380492553802</v>
      </c>
      <c r="AL482">
        <v>4.26271058771467</v>
      </c>
      <c r="AM482">
        <v>0.32688440951111197</v>
      </c>
      <c r="AN482">
        <v>0.73680119262502997</v>
      </c>
      <c r="AO482">
        <v>0.198557919184534</v>
      </c>
      <c r="AP482">
        <v>0.198557919184534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12</v>
      </c>
      <c r="AW482">
        <v>1</v>
      </c>
      <c r="AX482">
        <v>0</v>
      </c>
      <c r="AZ482">
        <v>14.5</v>
      </c>
      <c r="BA482">
        <v>27.9</v>
      </c>
      <c r="BB482">
        <v>564</v>
      </c>
      <c r="BC482">
        <v>65.5</v>
      </c>
      <c r="BD482">
        <v>1.3</v>
      </c>
      <c r="BE482">
        <v>189</v>
      </c>
      <c r="BF482">
        <v>8.8000000000000007</v>
      </c>
      <c r="BG482">
        <v>167</v>
      </c>
      <c r="BH482">
        <v>21.9</v>
      </c>
      <c r="BI482">
        <v>16.3</v>
      </c>
      <c r="BJ482">
        <v>38.200000000000003</v>
      </c>
      <c r="BK482">
        <v>1.02</v>
      </c>
      <c r="BL482">
        <v>7.4</v>
      </c>
      <c r="BM482">
        <v>2.1</v>
      </c>
      <c r="BN482">
        <v>7.4</v>
      </c>
      <c r="BO482">
        <v>4.8</v>
      </c>
      <c r="BP482">
        <f t="shared" si="14"/>
        <v>13.934922055924231</v>
      </c>
      <c r="BQ482">
        <f t="shared" si="15"/>
        <v>27.367431620171324</v>
      </c>
    </row>
    <row r="483" spans="1:69" hidden="1" x14ac:dyDescent="0.2">
      <c r="A483" t="s">
        <v>3024</v>
      </c>
      <c r="B483" t="s">
        <v>68</v>
      </c>
      <c r="C483" t="s">
        <v>1956</v>
      </c>
      <c r="D483" t="s">
        <v>70</v>
      </c>
      <c r="E483" t="s">
        <v>3025</v>
      </c>
      <c r="F483">
        <v>3</v>
      </c>
      <c r="G483">
        <v>100</v>
      </c>
      <c r="H483">
        <v>4</v>
      </c>
      <c r="I483">
        <v>4</v>
      </c>
      <c r="J483">
        <v>1</v>
      </c>
      <c r="K483" t="s">
        <v>110</v>
      </c>
      <c r="L483" t="s">
        <v>115</v>
      </c>
      <c r="M483" s="4">
        <v>700000000</v>
      </c>
      <c r="N483">
        <v>0</v>
      </c>
      <c r="O483">
        <v>4.6222529410000002</v>
      </c>
      <c r="P483">
        <v>-74.139381409999999</v>
      </c>
      <c r="Q483" t="s">
        <v>3026</v>
      </c>
      <c r="R483">
        <v>7000000</v>
      </c>
      <c r="S483">
        <v>0</v>
      </c>
      <c r="T483" t="s">
        <v>462</v>
      </c>
      <c r="U483" t="s">
        <v>649</v>
      </c>
      <c r="V483" t="s">
        <v>77</v>
      </c>
      <c r="W483" t="s">
        <v>462</v>
      </c>
      <c r="X483" t="s">
        <v>650</v>
      </c>
      <c r="Y483">
        <v>2.4555453705886201</v>
      </c>
      <c r="Z483">
        <v>2455.5453705886198</v>
      </c>
      <c r="AA483">
        <v>4.6250499999999999</v>
      </c>
      <c r="AB483">
        <v>-74.161333333333303</v>
      </c>
      <c r="AC483">
        <v>2580</v>
      </c>
      <c r="AD483">
        <v>3</v>
      </c>
      <c r="AE483" t="s">
        <v>80</v>
      </c>
      <c r="AF483" t="s">
        <v>107</v>
      </c>
      <c r="AG483" t="s">
        <v>82</v>
      </c>
      <c r="AH483" t="s">
        <v>83</v>
      </c>
      <c r="AI483" t="s">
        <v>221</v>
      </c>
      <c r="AJ483">
        <v>0.97506207013188795</v>
      </c>
      <c r="AK483">
        <v>4.6096804467836598</v>
      </c>
      <c r="AL483">
        <v>2.7862313242894001</v>
      </c>
      <c r="AM483">
        <v>0.32690477767002202</v>
      </c>
      <c r="AN483">
        <v>2.2587965351936599</v>
      </c>
      <c r="AO483">
        <v>0.37116599050842097</v>
      </c>
      <c r="AP483">
        <v>0.37116599050842097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51</v>
      </c>
      <c r="AW483">
        <v>0</v>
      </c>
      <c r="AX483">
        <v>0</v>
      </c>
      <c r="AZ483">
        <v>14.5</v>
      </c>
      <c r="BA483">
        <v>27.9</v>
      </c>
      <c r="BB483">
        <v>564</v>
      </c>
      <c r="BC483">
        <v>65.5</v>
      </c>
      <c r="BD483">
        <v>1.3</v>
      </c>
      <c r="BE483">
        <v>189</v>
      </c>
      <c r="BF483">
        <v>8.8000000000000007</v>
      </c>
      <c r="BG483">
        <v>167</v>
      </c>
      <c r="BH483">
        <v>21.9</v>
      </c>
      <c r="BI483">
        <v>16.3</v>
      </c>
      <c r="BJ483">
        <v>38.200000000000003</v>
      </c>
      <c r="BK483">
        <v>1.02</v>
      </c>
      <c r="BL483">
        <v>7.4</v>
      </c>
      <c r="BM483">
        <v>2.1</v>
      </c>
      <c r="BN483">
        <v>7.4</v>
      </c>
      <c r="BO483">
        <v>4.8</v>
      </c>
      <c r="BP483">
        <f t="shared" si="14"/>
        <v>12.840434709674783</v>
      </c>
      <c r="BQ483">
        <f t="shared" si="15"/>
        <v>26.303278782074639</v>
      </c>
    </row>
    <row r="484" spans="1:69" hidden="1" x14ac:dyDescent="0.2">
      <c r="A484" t="s">
        <v>2833</v>
      </c>
      <c r="B484" t="s">
        <v>68</v>
      </c>
      <c r="C484" t="s">
        <v>1956</v>
      </c>
      <c r="D484" t="s">
        <v>70</v>
      </c>
      <c r="E484" t="s">
        <v>2834</v>
      </c>
      <c r="F484">
        <v>3</v>
      </c>
      <c r="G484">
        <v>93.2</v>
      </c>
      <c r="H484">
        <v>3</v>
      </c>
      <c r="I484">
        <v>2</v>
      </c>
      <c r="J484">
        <v>1</v>
      </c>
      <c r="K484" t="s">
        <v>110</v>
      </c>
      <c r="L484" t="s">
        <v>162</v>
      </c>
      <c r="M484" s="4">
        <v>430000000</v>
      </c>
      <c r="N484">
        <v>0</v>
      </c>
      <c r="O484">
        <v>4.5903840000000002</v>
      </c>
      <c r="P484">
        <v>-74.148347000000001</v>
      </c>
      <c r="Q484" t="s">
        <v>2835</v>
      </c>
      <c r="R484">
        <v>4613733.9060000004</v>
      </c>
      <c r="S484">
        <v>0</v>
      </c>
      <c r="T484" t="s">
        <v>460</v>
      </c>
      <c r="U484" t="s">
        <v>461</v>
      </c>
      <c r="V484" t="s">
        <v>77</v>
      </c>
      <c r="W484" t="s">
        <v>462</v>
      </c>
      <c r="X484" t="s">
        <v>463</v>
      </c>
      <c r="Y484">
        <v>0.60685453267989797</v>
      </c>
      <c r="Z484">
        <v>606.85453267989806</v>
      </c>
      <c r="AA484">
        <v>4.5958333333333297</v>
      </c>
      <c r="AB484">
        <v>-74.148499999999999</v>
      </c>
      <c r="AC484">
        <v>2563</v>
      </c>
      <c r="AD484">
        <v>3</v>
      </c>
      <c r="AE484" t="s">
        <v>80</v>
      </c>
      <c r="AF484" t="s">
        <v>100</v>
      </c>
      <c r="AG484" t="s">
        <v>82</v>
      </c>
      <c r="AH484" t="s">
        <v>83</v>
      </c>
      <c r="AI484" t="s">
        <v>1971</v>
      </c>
      <c r="AJ484">
        <v>0.53222787736935595</v>
      </c>
      <c r="AK484">
        <v>3.4892114607826001</v>
      </c>
      <c r="AL484">
        <v>1.0813020283378201</v>
      </c>
      <c r="AM484">
        <v>0.690107326857893</v>
      </c>
      <c r="AN484">
        <v>1.73407399843087</v>
      </c>
      <c r="AO484">
        <v>3.8706095215883703E-2</v>
      </c>
      <c r="AP484">
        <v>3.8706095215883703E-2</v>
      </c>
      <c r="AQ484">
        <v>0</v>
      </c>
      <c r="AR484">
        <v>2</v>
      </c>
      <c r="AS484">
        <v>0</v>
      </c>
      <c r="AT484">
        <v>0</v>
      </c>
      <c r="AU484">
        <v>0</v>
      </c>
      <c r="AV484">
        <v>10</v>
      </c>
      <c r="AW484">
        <v>0</v>
      </c>
      <c r="AX484">
        <v>0</v>
      </c>
      <c r="AZ484">
        <v>14.5</v>
      </c>
      <c r="BA484">
        <v>27.9</v>
      </c>
      <c r="BB484">
        <v>564</v>
      </c>
      <c r="BC484">
        <v>65.5</v>
      </c>
      <c r="BD484">
        <v>1.3</v>
      </c>
      <c r="BE484">
        <v>189</v>
      </c>
      <c r="BF484">
        <v>8.8000000000000007</v>
      </c>
      <c r="BG484">
        <v>167</v>
      </c>
      <c r="BH484">
        <v>21.9</v>
      </c>
      <c r="BI484">
        <v>16.3</v>
      </c>
      <c r="BJ484">
        <v>38.200000000000003</v>
      </c>
      <c r="BK484">
        <v>1.02</v>
      </c>
      <c r="BL484">
        <v>7.4</v>
      </c>
      <c r="BM484">
        <v>2.1</v>
      </c>
      <c r="BN484">
        <v>7.4</v>
      </c>
      <c r="BO484">
        <v>4.8</v>
      </c>
      <c r="BP484">
        <f t="shared" si="14"/>
        <v>14.070907247830217</v>
      </c>
      <c r="BQ484">
        <f t="shared" si="15"/>
        <v>27.496595033501819</v>
      </c>
    </row>
    <row r="485" spans="1:69" hidden="1" x14ac:dyDescent="0.2">
      <c r="A485" t="s">
        <v>646</v>
      </c>
      <c r="B485" t="s">
        <v>68</v>
      </c>
      <c r="C485" t="s">
        <v>69</v>
      </c>
      <c r="D485" t="s">
        <v>70</v>
      </c>
      <c r="E485" t="s">
        <v>647</v>
      </c>
      <c r="F485">
        <v>2</v>
      </c>
      <c r="G485">
        <v>80</v>
      </c>
      <c r="H485">
        <v>3</v>
      </c>
      <c r="I485">
        <v>2</v>
      </c>
      <c r="J485">
        <v>0</v>
      </c>
      <c r="K485" t="s">
        <v>110</v>
      </c>
      <c r="L485" t="s">
        <v>162</v>
      </c>
      <c r="M485" s="4">
        <v>255000000</v>
      </c>
      <c r="N485">
        <v>0</v>
      </c>
      <c r="O485">
        <v>4.6133657000000001</v>
      </c>
      <c r="P485">
        <v>-74.17886</v>
      </c>
      <c r="Q485" t="s">
        <v>648</v>
      </c>
      <c r="R485">
        <v>3187500</v>
      </c>
      <c r="S485">
        <v>0</v>
      </c>
      <c r="T485" t="s">
        <v>462</v>
      </c>
      <c r="U485" t="s">
        <v>649</v>
      </c>
      <c r="V485" t="s">
        <v>77</v>
      </c>
      <c r="W485" t="s">
        <v>462</v>
      </c>
      <c r="X485" t="s">
        <v>650</v>
      </c>
      <c r="Y485">
        <v>2.33960267832824</v>
      </c>
      <c r="Z485">
        <v>2339.60267832824</v>
      </c>
      <c r="AA485">
        <v>4.6250499999999999</v>
      </c>
      <c r="AB485">
        <v>-74.161333333333303</v>
      </c>
      <c r="AC485">
        <v>2580</v>
      </c>
      <c r="AD485">
        <v>3</v>
      </c>
      <c r="AE485" t="s">
        <v>80</v>
      </c>
      <c r="AF485" t="s">
        <v>107</v>
      </c>
      <c r="AG485" t="s">
        <v>82</v>
      </c>
      <c r="AH485" t="s">
        <v>83</v>
      </c>
      <c r="AI485" t="s">
        <v>221</v>
      </c>
      <c r="AJ485">
        <v>1.8398516154334099</v>
      </c>
      <c r="AK485">
        <v>3.6324562136967198</v>
      </c>
      <c r="AL485">
        <v>4.9932710914957701</v>
      </c>
      <c r="AM485">
        <v>0.11633278345114</v>
      </c>
      <c r="AN485">
        <v>1.70408752463367</v>
      </c>
      <c r="AO485">
        <v>3.9487245835878098E-3</v>
      </c>
      <c r="AP485">
        <v>3.9487245835878098E-3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15</v>
      </c>
      <c r="AW485">
        <v>0</v>
      </c>
      <c r="AX485">
        <v>0</v>
      </c>
      <c r="AZ485">
        <v>14.5</v>
      </c>
      <c r="BA485">
        <v>27.9</v>
      </c>
      <c r="BB485">
        <v>564</v>
      </c>
      <c r="BC485">
        <v>65.5</v>
      </c>
      <c r="BD485">
        <v>1.3</v>
      </c>
      <c r="BE485">
        <v>189</v>
      </c>
      <c r="BF485">
        <v>8.8000000000000007</v>
      </c>
      <c r="BG485">
        <v>167</v>
      </c>
      <c r="BH485">
        <v>21.9</v>
      </c>
      <c r="BI485">
        <v>16.3</v>
      </c>
      <c r="BJ485">
        <v>38.200000000000003</v>
      </c>
      <c r="BK485">
        <v>1.02</v>
      </c>
      <c r="BL485">
        <v>7.4</v>
      </c>
      <c r="BM485">
        <v>2.1</v>
      </c>
      <c r="BN485">
        <v>7.4</v>
      </c>
      <c r="BO485">
        <v>4.8</v>
      </c>
      <c r="BP485">
        <f t="shared" si="14"/>
        <v>12.914339935111579</v>
      </c>
      <c r="BQ485">
        <f t="shared" si="15"/>
        <v>26.376572860709746</v>
      </c>
    </row>
    <row r="486" spans="1:69" hidden="1" x14ac:dyDescent="0.2">
      <c r="A486" t="s">
        <v>2169</v>
      </c>
      <c r="B486" t="s">
        <v>68</v>
      </c>
      <c r="C486" t="s">
        <v>1956</v>
      </c>
      <c r="D486" t="s">
        <v>70</v>
      </c>
      <c r="E486" t="s">
        <v>2170</v>
      </c>
      <c r="F486">
        <v>2</v>
      </c>
      <c r="G486">
        <v>78</v>
      </c>
      <c r="H486">
        <v>5</v>
      </c>
      <c r="I486">
        <v>5</v>
      </c>
      <c r="J486">
        <v>0</v>
      </c>
      <c r="K486" t="s">
        <v>110</v>
      </c>
      <c r="L486" t="s">
        <v>162</v>
      </c>
      <c r="M486" s="4">
        <v>499000000</v>
      </c>
      <c r="N486">
        <v>0</v>
      </c>
      <c r="O486">
        <v>4.6492614750000003</v>
      </c>
      <c r="P486">
        <v>-74.174057009999999</v>
      </c>
      <c r="Q486" t="s">
        <v>2171</v>
      </c>
      <c r="R486">
        <v>6397435.8969999999</v>
      </c>
      <c r="S486">
        <v>0</v>
      </c>
      <c r="T486" t="s">
        <v>462</v>
      </c>
      <c r="U486" t="s">
        <v>649</v>
      </c>
      <c r="V486" t="s">
        <v>77</v>
      </c>
      <c r="W486" t="s">
        <v>462</v>
      </c>
      <c r="X486" t="s">
        <v>650</v>
      </c>
      <c r="Y486">
        <v>3.042566245353</v>
      </c>
      <c r="Z486">
        <v>3042.5662453529999</v>
      </c>
      <c r="AA486">
        <v>4.6250499999999999</v>
      </c>
      <c r="AB486">
        <v>-74.161333333333303</v>
      </c>
      <c r="AC486">
        <v>2580</v>
      </c>
      <c r="AD486">
        <v>3</v>
      </c>
      <c r="AE486" t="s">
        <v>80</v>
      </c>
      <c r="AF486" t="s">
        <v>107</v>
      </c>
      <c r="AG486" t="s">
        <v>82</v>
      </c>
      <c r="AH486" t="s">
        <v>83</v>
      </c>
      <c r="AI486" t="s">
        <v>221</v>
      </c>
      <c r="AJ486">
        <v>2.0574928838727198</v>
      </c>
      <c r="AK486">
        <v>0.48260876349065501</v>
      </c>
      <c r="AL486">
        <v>5.3978663409003902</v>
      </c>
      <c r="AM486">
        <v>0.676081961732792</v>
      </c>
      <c r="AN486">
        <v>3.4695470188079698</v>
      </c>
      <c r="AO486">
        <v>9.9842638214025295E-2</v>
      </c>
      <c r="AP486">
        <v>9.9842638214025295E-2</v>
      </c>
      <c r="AQ486">
        <v>0</v>
      </c>
      <c r="AR486">
        <v>0</v>
      </c>
      <c r="AS486">
        <v>3</v>
      </c>
      <c r="AT486">
        <v>11</v>
      </c>
      <c r="AU486">
        <v>0</v>
      </c>
      <c r="AV486">
        <v>1</v>
      </c>
      <c r="AW486">
        <v>0</v>
      </c>
      <c r="AX486">
        <v>0</v>
      </c>
      <c r="AZ486">
        <v>14.5</v>
      </c>
      <c r="BA486">
        <v>27.9</v>
      </c>
      <c r="BB486">
        <v>564</v>
      </c>
      <c r="BC486">
        <v>65.5</v>
      </c>
      <c r="BD486">
        <v>1.3</v>
      </c>
      <c r="BE486">
        <v>189</v>
      </c>
      <c r="BF486">
        <v>8.8000000000000007</v>
      </c>
      <c r="BG486">
        <v>167</v>
      </c>
      <c r="BH486">
        <v>21.9</v>
      </c>
      <c r="BI486">
        <v>16.3</v>
      </c>
      <c r="BJ486">
        <v>38.200000000000003</v>
      </c>
      <c r="BK486">
        <v>1.02</v>
      </c>
      <c r="BL486">
        <v>7.4</v>
      </c>
      <c r="BM486">
        <v>2.1</v>
      </c>
      <c r="BN486">
        <v>7.4</v>
      </c>
      <c r="BO486">
        <v>4.8</v>
      </c>
      <c r="BP486">
        <f t="shared" si="14"/>
        <v>12.472692072098122</v>
      </c>
      <c r="BQ486">
        <f t="shared" si="15"/>
        <v>25.935303211371224</v>
      </c>
    </row>
    <row r="487" spans="1:69" hidden="1" x14ac:dyDescent="0.2">
      <c r="A487" t="s">
        <v>1913</v>
      </c>
      <c r="B487" t="s">
        <v>68</v>
      </c>
      <c r="C487" t="s">
        <v>69</v>
      </c>
      <c r="D487" t="s">
        <v>70</v>
      </c>
      <c r="E487" t="s">
        <v>1153</v>
      </c>
      <c r="F487">
        <v>3</v>
      </c>
      <c r="G487">
        <v>67</v>
      </c>
      <c r="H487">
        <v>3</v>
      </c>
      <c r="I487">
        <v>2</v>
      </c>
      <c r="J487">
        <v>1</v>
      </c>
      <c r="K487" t="s">
        <v>110</v>
      </c>
      <c r="L487" t="s">
        <v>124</v>
      </c>
      <c r="M487" s="4">
        <v>440000000</v>
      </c>
      <c r="N487">
        <v>0</v>
      </c>
      <c r="O487">
        <v>4.6405620570000004</v>
      </c>
      <c r="P487">
        <v>-74.145530699999995</v>
      </c>
      <c r="Q487" t="s">
        <v>1914</v>
      </c>
      <c r="R487">
        <v>6567164.1789999995</v>
      </c>
      <c r="S487">
        <v>0</v>
      </c>
      <c r="T487" t="s">
        <v>462</v>
      </c>
      <c r="U487" t="s">
        <v>649</v>
      </c>
      <c r="V487" t="s">
        <v>77</v>
      </c>
      <c r="W487" t="s">
        <v>462</v>
      </c>
      <c r="X487" t="s">
        <v>650</v>
      </c>
      <c r="Y487">
        <v>2.4609363423924702</v>
      </c>
      <c r="Z487">
        <v>2460.9363423924701</v>
      </c>
      <c r="AA487">
        <v>4.6250499999999999</v>
      </c>
      <c r="AB487">
        <v>-74.161333333333303</v>
      </c>
      <c r="AC487">
        <v>2580</v>
      </c>
      <c r="AD487">
        <v>3</v>
      </c>
      <c r="AE487" t="s">
        <v>80</v>
      </c>
      <c r="AF487" t="s">
        <v>107</v>
      </c>
      <c r="AG487" t="s">
        <v>82</v>
      </c>
      <c r="AH487" t="s">
        <v>83</v>
      </c>
      <c r="AI487" t="s">
        <v>221</v>
      </c>
      <c r="AJ487">
        <v>1.0102877444744001</v>
      </c>
      <c r="AK487">
        <v>2.5332608015620699</v>
      </c>
      <c r="AL487">
        <v>2.5533747743431698</v>
      </c>
      <c r="AM487">
        <v>0.25075407471969802</v>
      </c>
      <c r="AN487">
        <v>2.7955700556865102</v>
      </c>
      <c r="AO487">
        <v>1.20068688997917E-2</v>
      </c>
      <c r="AP487">
        <v>1.20068688997917E-2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10</v>
      </c>
      <c r="AW487">
        <v>0</v>
      </c>
      <c r="AX487">
        <v>0</v>
      </c>
      <c r="AZ487">
        <v>14.5</v>
      </c>
      <c r="BA487">
        <v>27.9</v>
      </c>
      <c r="BB487">
        <v>564</v>
      </c>
      <c r="BC487">
        <v>65.5</v>
      </c>
      <c r="BD487">
        <v>1.3</v>
      </c>
      <c r="BE487">
        <v>189</v>
      </c>
      <c r="BF487">
        <v>8.8000000000000007</v>
      </c>
      <c r="BG487">
        <v>167</v>
      </c>
      <c r="BH487">
        <v>21.9</v>
      </c>
      <c r="BI487">
        <v>16.3</v>
      </c>
      <c r="BJ487">
        <v>38.200000000000003</v>
      </c>
      <c r="BK487">
        <v>1.02</v>
      </c>
      <c r="BL487">
        <v>7.4</v>
      </c>
      <c r="BM487">
        <v>2.1</v>
      </c>
      <c r="BN487">
        <v>7.4</v>
      </c>
      <c r="BO487">
        <v>4.8</v>
      </c>
      <c r="BP487">
        <f t="shared" si="14"/>
        <v>12.837008656958799</v>
      </c>
      <c r="BQ487">
        <f t="shared" si="15"/>
        <v>26.29987579660186</v>
      </c>
    </row>
    <row r="488" spans="1:69" hidden="1" x14ac:dyDescent="0.2">
      <c r="A488" t="s">
        <v>2988</v>
      </c>
      <c r="B488" t="s">
        <v>68</v>
      </c>
      <c r="C488" t="s">
        <v>1956</v>
      </c>
      <c r="D488" t="s">
        <v>70</v>
      </c>
      <c r="E488" t="s">
        <v>2989</v>
      </c>
      <c r="F488">
        <v>3</v>
      </c>
      <c r="G488">
        <v>66.900000000000006</v>
      </c>
      <c r="H488">
        <v>5</v>
      </c>
      <c r="I488">
        <v>4</v>
      </c>
      <c r="J488">
        <v>0</v>
      </c>
      <c r="K488" t="s">
        <v>110</v>
      </c>
      <c r="L488" t="s">
        <v>115</v>
      </c>
      <c r="M488" s="4">
        <v>400000000</v>
      </c>
      <c r="N488">
        <v>0</v>
      </c>
      <c r="O488">
        <v>4.6033499999999998</v>
      </c>
      <c r="P488">
        <v>-74.176829999999995</v>
      </c>
      <c r="Q488" t="s">
        <v>2990</v>
      </c>
      <c r="R488">
        <v>5979073.2439999999</v>
      </c>
      <c r="S488">
        <v>0</v>
      </c>
      <c r="T488" t="s">
        <v>462</v>
      </c>
      <c r="U488" t="s">
        <v>649</v>
      </c>
      <c r="V488" t="s">
        <v>77</v>
      </c>
      <c r="W488" t="s">
        <v>462</v>
      </c>
      <c r="X488" t="s">
        <v>650</v>
      </c>
      <c r="Y488">
        <v>2.96511861375591</v>
      </c>
      <c r="Z488">
        <v>2965.1186137559098</v>
      </c>
      <c r="AA488">
        <v>4.6250499999999999</v>
      </c>
      <c r="AB488">
        <v>-74.161333333333303</v>
      </c>
      <c r="AC488">
        <v>2580</v>
      </c>
      <c r="AD488">
        <v>3</v>
      </c>
      <c r="AE488" t="s">
        <v>80</v>
      </c>
      <c r="AF488" t="s">
        <v>107</v>
      </c>
      <c r="AG488" t="s">
        <v>82</v>
      </c>
      <c r="AH488" t="s">
        <v>83</v>
      </c>
      <c r="AI488" t="s">
        <v>368</v>
      </c>
      <c r="AJ488">
        <v>0.86462917127385597</v>
      </c>
      <c r="AK488">
        <v>3.4717994806609802</v>
      </c>
      <c r="AL488">
        <v>4.3746910814725801</v>
      </c>
      <c r="AM488">
        <v>0.57305573173958102</v>
      </c>
      <c r="AN488">
        <v>1.1592644683670399</v>
      </c>
      <c r="AO488">
        <v>0.15143418648503901</v>
      </c>
      <c r="AP488">
        <v>0.15143418648503901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14</v>
      </c>
      <c r="AW488">
        <v>0</v>
      </c>
      <c r="AX488">
        <v>0</v>
      </c>
      <c r="AZ488">
        <v>14.5</v>
      </c>
      <c r="BA488">
        <v>27.9</v>
      </c>
      <c r="BB488">
        <v>564</v>
      </c>
      <c r="BC488">
        <v>65.5</v>
      </c>
      <c r="BD488">
        <v>1.3</v>
      </c>
      <c r="BE488">
        <v>189</v>
      </c>
      <c r="BF488">
        <v>8.8000000000000007</v>
      </c>
      <c r="BG488">
        <v>167</v>
      </c>
      <c r="BH488">
        <v>21.9</v>
      </c>
      <c r="BI488">
        <v>16.3</v>
      </c>
      <c r="BJ488">
        <v>38.200000000000003</v>
      </c>
      <c r="BK488">
        <v>1.02</v>
      </c>
      <c r="BL488">
        <v>7.4</v>
      </c>
      <c r="BM488">
        <v>2.1</v>
      </c>
      <c r="BN488">
        <v>7.4</v>
      </c>
      <c r="BO488">
        <v>4.8</v>
      </c>
      <c r="BP488">
        <f t="shared" si="14"/>
        <v>12.520599877288864</v>
      </c>
      <c r="BQ488">
        <f t="shared" si="15"/>
        <v>25.98355510882449</v>
      </c>
    </row>
    <row r="489" spans="1:69" hidden="1" x14ac:dyDescent="0.2">
      <c r="A489" t="s">
        <v>1152</v>
      </c>
      <c r="B489" t="s">
        <v>68</v>
      </c>
      <c r="C489" t="s">
        <v>69</v>
      </c>
      <c r="D489" t="s">
        <v>70</v>
      </c>
      <c r="E489" t="s">
        <v>1153</v>
      </c>
      <c r="F489">
        <v>3</v>
      </c>
      <c r="G489">
        <v>66</v>
      </c>
      <c r="H489">
        <v>3</v>
      </c>
      <c r="I489">
        <v>2</v>
      </c>
      <c r="J489">
        <v>1</v>
      </c>
      <c r="K489" t="s">
        <v>110</v>
      </c>
      <c r="L489" t="s">
        <v>133</v>
      </c>
      <c r="M489" s="4">
        <v>440000000</v>
      </c>
      <c r="N489">
        <v>0</v>
      </c>
      <c r="O489">
        <v>4.6405620570000004</v>
      </c>
      <c r="P489">
        <v>-74.145530699999995</v>
      </c>
      <c r="Q489" t="s">
        <v>1154</v>
      </c>
      <c r="R489">
        <v>6666666.6670000004</v>
      </c>
      <c r="S489">
        <v>0</v>
      </c>
      <c r="T489" t="s">
        <v>462</v>
      </c>
      <c r="U489" t="s">
        <v>649</v>
      </c>
      <c r="V489" t="s">
        <v>77</v>
      </c>
      <c r="W489" t="s">
        <v>462</v>
      </c>
      <c r="X489" t="s">
        <v>650</v>
      </c>
      <c r="Y489">
        <v>2.4609363423924702</v>
      </c>
      <c r="Z489">
        <v>2460.9363423924701</v>
      </c>
      <c r="AA489">
        <v>4.6250499999999999</v>
      </c>
      <c r="AB489">
        <v>-74.161333333333303</v>
      </c>
      <c r="AC489">
        <v>2580</v>
      </c>
      <c r="AD489">
        <v>3</v>
      </c>
      <c r="AE489" t="s">
        <v>80</v>
      </c>
      <c r="AF489" t="s">
        <v>107</v>
      </c>
      <c r="AG489" t="s">
        <v>82</v>
      </c>
      <c r="AH489" t="s">
        <v>83</v>
      </c>
      <c r="AI489" t="s">
        <v>221</v>
      </c>
      <c r="AJ489">
        <v>1.0102877444744001</v>
      </c>
      <c r="AK489">
        <v>2.5332608015620699</v>
      </c>
      <c r="AL489">
        <v>2.5533747743431698</v>
      </c>
      <c r="AM489">
        <v>0.25075407471969802</v>
      </c>
      <c r="AN489">
        <v>2.7955700556865102</v>
      </c>
      <c r="AO489">
        <v>1.20068688997917E-2</v>
      </c>
      <c r="AP489">
        <v>1.20068688997917E-2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10</v>
      </c>
      <c r="AW489">
        <v>0</v>
      </c>
      <c r="AX489">
        <v>0</v>
      </c>
      <c r="AZ489">
        <v>14.5</v>
      </c>
      <c r="BA489">
        <v>27.9</v>
      </c>
      <c r="BB489">
        <v>564</v>
      </c>
      <c r="BC489">
        <v>65.5</v>
      </c>
      <c r="BD489">
        <v>1.3</v>
      </c>
      <c r="BE489">
        <v>189</v>
      </c>
      <c r="BF489">
        <v>8.8000000000000007</v>
      </c>
      <c r="BG489">
        <v>167</v>
      </c>
      <c r="BH489">
        <v>21.9</v>
      </c>
      <c r="BI489">
        <v>16.3</v>
      </c>
      <c r="BJ489">
        <v>38.200000000000003</v>
      </c>
      <c r="BK489">
        <v>1.02</v>
      </c>
      <c r="BL489">
        <v>7.4</v>
      </c>
      <c r="BM489">
        <v>2.1</v>
      </c>
      <c r="BN489">
        <v>7.4</v>
      </c>
      <c r="BO489">
        <v>4.8</v>
      </c>
      <c r="BP489">
        <f t="shared" si="14"/>
        <v>12.837008656958799</v>
      </c>
      <c r="BQ489">
        <f t="shared" si="15"/>
        <v>26.29987579660186</v>
      </c>
    </row>
    <row r="490" spans="1:69" hidden="1" x14ac:dyDescent="0.2">
      <c r="A490" t="s">
        <v>1269</v>
      </c>
      <c r="B490" t="s">
        <v>68</v>
      </c>
      <c r="C490" t="s">
        <v>69</v>
      </c>
      <c r="D490" t="s">
        <v>70</v>
      </c>
      <c r="E490" t="s">
        <v>458</v>
      </c>
      <c r="F490">
        <v>3</v>
      </c>
      <c r="G490">
        <v>65</v>
      </c>
      <c r="H490">
        <v>3</v>
      </c>
      <c r="I490">
        <v>1</v>
      </c>
      <c r="J490">
        <v>1</v>
      </c>
      <c r="K490" t="s">
        <v>110</v>
      </c>
      <c r="L490" t="s">
        <v>162</v>
      </c>
      <c r="M490" s="4">
        <v>269800000</v>
      </c>
      <c r="N490">
        <v>0</v>
      </c>
      <c r="O490">
        <v>4.5955490000000001</v>
      </c>
      <c r="P490">
        <v>-74.157129999999995</v>
      </c>
      <c r="Q490" t="s">
        <v>1270</v>
      </c>
      <c r="R490">
        <v>4150769.2310000001</v>
      </c>
      <c r="S490">
        <v>0</v>
      </c>
      <c r="T490" t="s">
        <v>460</v>
      </c>
      <c r="U490" t="s">
        <v>461</v>
      </c>
      <c r="V490" t="s">
        <v>77</v>
      </c>
      <c r="W490" t="s">
        <v>462</v>
      </c>
      <c r="X490" t="s">
        <v>463</v>
      </c>
      <c r="Y490">
        <v>0.95812146365717199</v>
      </c>
      <c r="Z490">
        <v>958.12146365717194</v>
      </c>
      <c r="AA490">
        <v>4.5958333333333297</v>
      </c>
      <c r="AB490">
        <v>-74.148499999999999</v>
      </c>
      <c r="AC490">
        <v>2563</v>
      </c>
      <c r="AD490">
        <v>3</v>
      </c>
      <c r="AE490" t="s">
        <v>80</v>
      </c>
      <c r="AF490" t="s">
        <v>100</v>
      </c>
      <c r="AG490" t="s">
        <v>82</v>
      </c>
      <c r="AH490" t="s">
        <v>83</v>
      </c>
      <c r="AI490" t="s">
        <v>464</v>
      </c>
      <c r="AJ490">
        <v>8.5472112065983694E-2</v>
      </c>
      <c r="AK490">
        <v>3.2268534187114901</v>
      </c>
      <c r="AL490">
        <v>2.0520318250217802</v>
      </c>
      <c r="AM490">
        <v>3.05193296636126E-2</v>
      </c>
      <c r="AN490">
        <v>2.1646082366621999</v>
      </c>
      <c r="AO490">
        <v>0.104004529862885</v>
      </c>
      <c r="AP490">
        <v>0.104004529862885</v>
      </c>
      <c r="AQ490">
        <v>1</v>
      </c>
      <c r="AR490">
        <v>2</v>
      </c>
      <c r="AS490">
        <v>0</v>
      </c>
      <c r="AT490">
        <v>0</v>
      </c>
      <c r="AU490">
        <v>0</v>
      </c>
      <c r="AV490">
        <v>4</v>
      </c>
      <c r="AW490">
        <v>0</v>
      </c>
      <c r="AX490">
        <v>0</v>
      </c>
      <c r="AZ490">
        <v>14.5</v>
      </c>
      <c r="BA490">
        <v>27.9</v>
      </c>
      <c r="BB490">
        <v>564</v>
      </c>
      <c r="BC490">
        <v>65.5</v>
      </c>
      <c r="BD490">
        <v>1.3</v>
      </c>
      <c r="BE490">
        <v>189</v>
      </c>
      <c r="BF490">
        <v>8.8000000000000007</v>
      </c>
      <c r="BG490">
        <v>167</v>
      </c>
      <c r="BH490">
        <v>21.9</v>
      </c>
      <c r="BI490">
        <v>16.3</v>
      </c>
      <c r="BJ490">
        <v>38.200000000000003</v>
      </c>
      <c r="BK490">
        <v>1.02</v>
      </c>
      <c r="BL490">
        <v>7.4</v>
      </c>
      <c r="BM490">
        <v>2.1</v>
      </c>
      <c r="BN490">
        <v>7.4</v>
      </c>
      <c r="BO490">
        <v>4.8</v>
      </c>
      <c r="BP490">
        <f t="shared" si="14"/>
        <v>13.828361121775426</v>
      </c>
      <c r="BQ490">
        <f t="shared" si="15"/>
        <v>27.265761939837599</v>
      </c>
    </row>
    <row r="491" spans="1:69" hidden="1" x14ac:dyDescent="0.2">
      <c r="A491" t="s">
        <v>457</v>
      </c>
      <c r="B491" t="s">
        <v>68</v>
      </c>
      <c r="C491" t="s">
        <v>69</v>
      </c>
      <c r="D491" t="s">
        <v>70</v>
      </c>
      <c r="E491" t="s">
        <v>458</v>
      </c>
      <c r="F491">
        <v>3</v>
      </c>
      <c r="G491">
        <v>64</v>
      </c>
      <c r="H491">
        <v>3</v>
      </c>
      <c r="I491">
        <v>2</v>
      </c>
      <c r="J491">
        <v>1</v>
      </c>
      <c r="K491" t="s">
        <v>110</v>
      </c>
      <c r="L491" t="s">
        <v>133</v>
      </c>
      <c r="M491" s="4">
        <v>385000000</v>
      </c>
      <c r="N491">
        <v>0</v>
      </c>
      <c r="O491">
        <v>4.5933814000000002</v>
      </c>
      <c r="P491">
        <v>-74.15607</v>
      </c>
      <c r="Q491" t="s">
        <v>459</v>
      </c>
      <c r="R491">
        <v>6015625</v>
      </c>
      <c r="S491">
        <v>0</v>
      </c>
      <c r="T491" t="s">
        <v>460</v>
      </c>
      <c r="U491" t="s">
        <v>461</v>
      </c>
      <c r="V491" t="s">
        <v>77</v>
      </c>
      <c r="W491" t="s">
        <v>462</v>
      </c>
      <c r="X491" t="s">
        <v>463</v>
      </c>
      <c r="Y491">
        <v>0.88321448978875905</v>
      </c>
      <c r="Z491">
        <v>883.21448978875901</v>
      </c>
      <c r="AA491">
        <v>4.5958333333333297</v>
      </c>
      <c r="AB491">
        <v>-74.148499999999999</v>
      </c>
      <c r="AC491">
        <v>2563</v>
      </c>
      <c r="AD491">
        <v>3</v>
      </c>
      <c r="AE491" t="s">
        <v>80</v>
      </c>
      <c r="AF491" t="s">
        <v>100</v>
      </c>
      <c r="AG491" t="s">
        <v>82</v>
      </c>
      <c r="AH491" t="s">
        <v>83</v>
      </c>
      <c r="AI491" t="s">
        <v>464</v>
      </c>
      <c r="AJ491">
        <v>0.33282779167633902</v>
      </c>
      <c r="AK491">
        <v>3.1039567293966601</v>
      </c>
      <c r="AL491">
        <v>1.91075001642386</v>
      </c>
      <c r="AM491">
        <v>0.27811700589799299</v>
      </c>
      <c r="AN491">
        <v>1.99904995616013</v>
      </c>
      <c r="AO491">
        <v>0.19620586444628099</v>
      </c>
      <c r="AP491">
        <v>0.19620586444628099</v>
      </c>
      <c r="AQ491">
        <v>1</v>
      </c>
      <c r="AR491">
        <v>2</v>
      </c>
      <c r="AS491">
        <v>0</v>
      </c>
      <c r="AT491">
        <v>0</v>
      </c>
      <c r="AU491">
        <v>0</v>
      </c>
      <c r="AV491">
        <v>3</v>
      </c>
      <c r="AW491">
        <v>0</v>
      </c>
      <c r="AX491">
        <v>0</v>
      </c>
      <c r="AZ491">
        <v>14.5</v>
      </c>
      <c r="BA491">
        <v>27.9</v>
      </c>
      <c r="BB491">
        <v>564</v>
      </c>
      <c r="BC491">
        <v>65.5</v>
      </c>
      <c r="BD491">
        <v>1.3</v>
      </c>
      <c r="BE491">
        <v>189</v>
      </c>
      <c r="BF491">
        <v>8.8000000000000007</v>
      </c>
      <c r="BG491">
        <v>167</v>
      </c>
      <c r="BH491">
        <v>21.9</v>
      </c>
      <c r="BI491">
        <v>16.3</v>
      </c>
      <c r="BJ491">
        <v>38.200000000000003</v>
      </c>
      <c r="BK491">
        <v>1.02</v>
      </c>
      <c r="BL491">
        <v>7.4</v>
      </c>
      <c r="BM491">
        <v>2.1</v>
      </c>
      <c r="BN491">
        <v>7.4</v>
      </c>
      <c r="BO491">
        <v>4.8</v>
      </c>
      <c r="BP491">
        <f t="shared" si="14"/>
        <v>13.879730412812265</v>
      </c>
      <c r="BQ491">
        <f t="shared" si="15"/>
        <v>27.314823524493004</v>
      </c>
    </row>
    <row r="492" spans="1:69" hidden="1" x14ac:dyDescent="0.2">
      <c r="A492" t="s">
        <v>1173</v>
      </c>
      <c r="B492" t="s">
        <v>68</v>
      </c>
      <c r="C492" t="s">
        <v>69</v>
      </c>
      <c r="D492" t="s">
        <v>70</v>
      </c>
      <c r="E492" t="s">
        <v>1174</v>
      </c>
      <c r="F492">
        <v>3</v>
      </c>
      <c r="G492">
        <v>62</v>
      </c>
      <c r="H492">
        <v>3</v>
      </c>
      <c r="I492">
        <v>2</v>
      </c>
      <c r="J492">
        <v>1</v>
      </c>
      <c r="K492" t="s">
        <v>110</v>
      </c>
      <c r="L492" t="s">
        <v>162</v>
      </c>
      <c r="M492" s="4">
        <v>330000000</v>
      </c>
      <c r="N492">
        <v>0</v>
      </c>
      <c r="O492">
        <v>4.6386709210000001</v>
      </c>
      <c r="P492">
        <v>-74.154647830000002</v>
      </c>
      <c r="Q492" t="s">
        <v>1175</v>
      </c>
      <c r="R492">
        <v>5322580.6449999996</v>
      </c>
      <c r="S492">
        <v>0</v>
      </c>
      <c r="T492" t="s">
        <v>462</v>
      </c>
      <c r="U492" t="s">
        <v>649</v>
      </c>
      <c r="V492" t="s">
        <v>77</v>
      </c>
      <c r="W492" t="s">
        <v>462</v>
      </c>
      <c r="X492" t="s">
        <v>650</v>
      </c>
      <c r="Y492">
        <v>1.6880013408468399</v>
      </c>
      <c r="Z492">
        <v>1688.0013408468401</v>
      </c>
      <c r="AA492">
        <v>4.6250499999999999</v>
      </c>
      <c r="AB492">
        <v>-74.161333333333303</v>
      </c>
      <c r="AC492">
        <v>2580</v>
      </c>
      <c r="AD492">
        <v>3</v>
      </c>
      <c r="AE492" t="s">
        <v>80</v>
      </c>
      <c r="AF492" t="s">
        <v>107</v>
      </c>
      <c r="AG492" t="s">
        <v>82</v>
      </c>
      <c r="AH492" t="s">
        <v>83</v>
      </c>
      <c r="AI492" t="s">
        <v>221</v>
      </c>
      <c r="AJ492">
        <v>0.52847811022324298</v>
      </c>
      <c r="AK492">
        <v>2.1858507639799498</v>
      </c>
      <c r="AL492">
        <v>3.5728104275829899</v>
      </c>
      <c r="AM492">
        <v>0.51076873376831</v>
      </c>
      <c r="AN492">
        <v>2.1822243201049001</v>
      </c>
      <c r="AO492">
        <v>0.127724702319996</v>
      </c>
      <c r="AP492">
        <v>0.127724702319996</v>
      </c>
      <c r="AQ492">
        <v>0</v>
      </c>
      <c r="AR492">
        <v>2</v>
      </c>
      <c r="AS492">
        <v>0</v>
      </c>
      <c r="AT492">
        <v>0</v>
      </c>
      <c r="AU492">
        <v>0</v>
      </c>
      <c r="AV492">
        <v>8</v>
      </c>
      <c r="AW492">
        <v>0</v>
      </c>
      <c r="AX492">
        <v>0</v>
      </c>
      <c r="AZ492">
        <v>14.5</v>
      </c>
      <c r="BA492">
        <v>27.9</v>
      </c>
      <c r="BB492">
        <v>564</v>
      </c>
      <c r="BC492">
        <v>65.5</v>
      </c>
      <c r="BD492">
        <v>1.3</v>
      </c>
      <c r="BE492">
        <v>189</v>
      </c>
      <c r="BF492">
        <v>8.8000000000000007</v>
      </c>
      <c r="BG492">
        <v>167</v>
      </c>
      <c r="BH492">
        <v>21.9</v>
      </c>
      <c r="BI492">
        <v>16.3</v>
      </c>
      <c r="BJ492">
        <v>38.200000000000003</v>
      </c>
      <c r="BK492">
        <v>1.02</v>
      </c>
      <c r="BL492">
        <v>7.4</v>
      </c>
      <c r="BM492">
        <v>2.1</v>
      </c>
      <c r="BN492">
        <v>7.4</v>
      </c>
      <c r="BO492">
        <v>4.8</v>
      </c>
      <c r="BP492">
        <f t="shared" si="14"/>
        <v>13.337672940837834</v>
      </c>
      <c r="BQ492">
        <f t="shared" si="15"/>
        <v>26.792303318104185</v>
      </c>
    </row>
    <row r="493" spans="1:69" hidden="1" x14ac:dyDescent="0.2">
      <c r="A493" t="s">
        <v>1178</v>
      </c>
      <c r="B493" t="s">
        <v>68</v>
      </c>
      <c r="C493" t="s">
        <v>69</v>
      </c>
      <c r="D493" t="s">
        <v>70</v>
      </c>
      <c r="E493" t="s">
        <v>1174</v>
      </c>
      <c r="F493">
        <v>2</v>
      </c>
      <c r="G493">
        <v>62</v>
      </c>
      <c r="H493">
        <v>3</v>
      </c>
      <c r="I493">
        <v>2</v>
      </c>
      <c r="J493">
        <v>1</v>
      </c>
      <c r="K493" t="s">
        <v>110</v>
      </c>
      <c r="L493" t="s">
        <v>124</v>
      </c>
      <c r="M493" s="4">
        <v>329500000</v>
      </c>
      <c r="N493">
        <v>0</v>
      </c>
      <c r="O493">
        <v>4.6388285759999999</v>
      </c>
      <c r="P493">
        <v>-74.154639649999993</v>
      </c>
      <c r="Q493" t="s">
        <v>1179</v>
      </c>
      <c r="R493">
        <v>5314516.1289999997</v>
      </c>
      <c r="S493">
        <v>0</v>
      </c>
      <c r="T493" t="s">
        <v>462</v>
      </c>
      <c r="U493" t="s">
        <v>649</v>
      </c>
      <c r="V493" t="s">
        <v>77</v>
      </c>
      <c r="W493" t="s">
        <v>462</v>
      </c>
      <c r="X493" t="s">
        <v>650</v>
      </c>
      <c r="Y493">
        <v>1.70417875018545</v>
      </c>
      <c r="Z493">
        <v>1704.1787501854501</v>
      </c>
      <c r="AA493">
        <v>4.6250499999999999</v>
      </c>
      <c r="AB493">
        <v>-74.161333333333303</v>
      </c>
      <c r="AC493">
        <v>2580</v>
      </c>
      <c r="AD493">
        <v>3</v>
      </c>
      <c r="AE493" t="s">
        <v>80</v>
      </c>
      <c r="AF493" t="s">
        <v>107</v>
      </c>
      <c r="AG493" t="s">
        <v>82</v>
      </c>
      <c r="AH493" t="s">
        <v>83</v>
      </c>
      <c r="AI493" t="s">
        <v>221</v>
      </c>
      <c r="AJ493">
        <v>0.53242730835956598</v>
      </c>
      <c r="AK493">
        <v>2.1713973973529801</v>
      </c>
      <c r="AL493">
        <v>3.57072807507125</v>
      </c>
      <c r="AM493">
        <v>0.52352516365180701</v>
      </c>
      <c r="AN493">
        <v>2.1993230917619</v>
      </c>
      <c r="AO493">
        <v>0.141300467735548</v>
      </c>
      <c r="AP493">
        <v>0.141300467735548</v>
      </c>
      <c r="AQ493">
        <v>0</v>
      </c>
      <c r="AR493">
        <v>2</v>
      </c>
      <c r="AS493">
        <v>0</v>
      </c>
      <c r="AT493">
        <v>0</v>
      </c>
      <c r="AU493">
        <v>0</v>
      </c>
      <c r="AV493">
        <v>8</v>
      </c>
      <c r="AW493">
        <v>0</v>
      </c>
      <c r="AX493">
        <v>0</v>
      </c>
      <c r="AZ493">
        <v>14.5</v>
      </c>
      <c r="BA493">
        <v>27.9</v>
      </c>
      <c r="BB493">
        <v>564</v>
      </c>
      <c r="BC493">
        <v>65.5</v>
      </c>
      <c r="BD493">
        <v>1.3</v>
      </c>
      <c r="BE493">
        <v>189</v>
      </c>
      <c r="BF493">
        <v>8.8000000000000007</v>
      </c>
      <c r="BG493">
        <v>167</v>
      </c>
      <c r="BH493">
        <v>21.9</v>
      </c>
      <c r="BI493">
        <v>16.3</v>
      </c>
      <c r="BJ493">
        <v>38.200000000000003</v>
      </c>
      <c r="BK493">
        <v>1.02</v>
      </c>
      <c r="BL493">
        <v>7.4</v>
      </c>
      <c r="BM493">
        <v>2.1</v>
      </c>
      <c r="BN493">
        <v>7.4</v>
      </c>
      <c r="BO493">
        <v>4.8</v>
      </c>
      <c r="BP493">
        <f t="shared" si="14"/>
        <v>13.326996650855476</v>
      </c>
      <c r="BQ493">
        <f t="shared" si="15"/>
        <v>26.781903015844566</v>
      </c>
    </row>
    <row r="494" spans="1:69" hidden="1" x14ac:dyDescent="0.2">
      <c r="A494" t="s">
        <v>1131</v>
      </c>
      <c r="B494" t="s">
        <v>68</v>
      </c>
      <c r="C494" t="s">
        <v>69</v>
      </c>
      <c r="D494" t="s">
        <v>70</v>
      </c>
      <c r="E494" t="s">
        <v>1132</v>
      </c>
      <c r="F494">
        <v>3</v>
      </c>
      <c r="G494">
        <v>59</v>
      </c>
      <c r="H494">
        <v>3</v>
      </c>
      <c r="I494">
        <v>1</v>
      </c>
      <c r="J494">
        <v>1</v>
      </c>
      <c r="K494" t="s">
        <v>110</v>
      </c>
      <c r="L494" t="s">
        <v>115</v>
      </c>
      <c r="M494" s="4">
        <v>252000000</v>
      </c>
      <c r="N494">
        <v>0</v>
      </c>
      <c r="O494">
        <v>4.6085100170000004</v>
      </c>
      <c r="P494">
        <v>-74.160400390000007</v>
      </c>
      <c r="Q494" t="s">
        <v>1133</v>
      </c>
      <c r="R494">
        <v>4271186.4409999996</v>
      </c>
      <c r="S494">
        <v>0</v>
      </c>
      <c r="T494" t="s">
        <v>462</v>
      </c>
      <c r="U494" t="s">
        <v>649</v>
      </c>
      <c r="V494" t="s">
        <v>77</v>
      </c>
      <c r="W494" t="s">
        <v>462</v>
      </c>
      <c r="X494" t="s">
        <v>650</v>
      </c>
      <c r="Y494">
        <v>1.8441301949830899</v>
      </c>
      <c r="Z494">
        <v>1844.13019498309</v>
      </c>
      <c r="AA494">
        <v>4.6250499999999999</v>
      </c>
      <c r="AB494">
        <v>-74.161333333333303</v>
      </c>
      <c r="AC494">
        <v>2580</v>
      </c>
      <c r="AD494">
        <v>3</v>
      </c>
      <c r="AE494" t="s">
        <v>80</v>
      </c>
      <c r="AF494" t="s">
        <v>107</v>
      </c>
      <c r="AG494" t="s">
        <v>82</v>
      </c>
      <c r="AH494" t="s">
        <v>83</v>
      </c>
      <c r="AI494" t="s">
        <v>221</v>
      </c>
      <c r="AJ494">
        <v>1.40672742483381</v>
      </c>
      <c r="AK494">
        <v>4.3448153502231301</v>
      </c>
      <c r="AL494">
        <v>2.96456687320656</v>
      </c>
      <c r="AM494">
        <v>0.51942709086725103</v>
      </c>
      <c r="AN494">
        <v>1.2239017167925501</v>
      </c>
      <c r="AO494">
        <v>1.26679402295305E-2</v>
      </c>
      <c r="AP494">
        <v>1.26679402295305E-2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</v>
      </c>
      <c r="AW494">
        <v>0</v>
      </c>
      <c r="AX494">
        <v>0</v>
      </c>
      <c r="AZ494">
        <v>14.5</v>
      </c>
      <c r="BA494">
        <v>27.9</v>
      </c>
      <c r="BB494">
        <v>564</v>
      </c>
      <c r="BC494">
        <v>65.5</v>
      </c>
      <c r="BD494">
        <v>1.3</v>
      </c>
      <c r="BE494">
        <v>189</v>
      </c>
      <c r="BF494">
        <v>8.8000000000000007</v>
      </c>
      <c r="BG494">
        <v>167</v>
      </c>
      <c r="BH494">
        <v>21.9</v>
      </c>
      <c r="BI494">
        <v>16.3</v>
      </c>
      <c r="BJ494">
        <v>38.200000000000003</v>
      </c>
      <c r="BK494">
        <v>1.02</v>
      </c>
      <c r="BL494">
        <v>7.4</v>
      </c>
      <c r="BM494">
        <v>2.1</v>
      </c>
      <c r="BN494">
        <v>7.4</v>
      </c>
      <c r="BO494">
        <v>4.8</v>
      </c>
      <c r="BP494">
        <f t="shared" si="14"/>
        <v>13.234991649985563</v>
      </c>
      <c r="BQ494">
        <f t="shared" si="15"/>
        <v>26.692097935966778</v>
      </c>
    </row>
    <row r="495" spans="1:69" hidden="1" x14ac:dyDescent="0.2">
      <c r="A495" t="s">
        <v>1482</v>
      </c>
      <c r="B495" t="s">
        <v>68</v>
      </c>
      <c r="C495" t="s">
        <v>69</v>
      </c>
      <c r="D495" t="s">
        <v>70</v>
      </c>
      <c r="E495" t="s">
        <v>1483</v>
      </c>
      <c r="F495">
        <v>4</v>
      </c>
      <c r="G495">
        <v>57.8</v>
      </c>
      <c r="H495">
        <v>3</v>
      </c>
      <c r="I495">
        <v>2</v>
      </c>
      <c r="J495">
        <v>0</v>
      </c>
      <c r="K495" t="s">
        <v>110</v>
      </c>
      <c r="L495" t="s">
        <v>124</v>
      </c>
      <c r="M495" s="4">
        <v>300000000</v>
      </c>
      <c r="N495">
        <v>0</v>
      </c>
      <c r="O495">
        <v>4.5875367999999996</v>
      </c>
      <c r="P495">
        <v>-74.157188500000004</v>
      </c>
      <c r="Q495" t="s">
        <v>1484</v>
      </c>
      <c r="R495">
        <v>5190311.4189999998</v>
      </c>
      <c r="S495">
        <v>0</v>
      </c>
      <c r="T495" t="s">
        <v>460</v>
      </c>
      <c r="U495" t="s">
        <v>461</v>
      </c>
      <c r="V495" t="s">
        <v>77</v>
      </c>
      <c r="W495" t="s">
        <v>462</v>
      </c>
      <c r="X495" t="s">
        <v>463</v>
      </c>
      <c r="Y495">
        <v>1.3350855459831501</v>
      </c>
      <c r="Z495">
        <v>1335.08554598315</v>
      </c>
      <c r="AA495">
        <v>4.5958333333333297</v>
      </c>
      <c r="AB495">
        <v>-74.148499999999999</v>
      </c>
      <c r="AC495">
        <v>2563</v>
      </c>
      <c r="AD495">
        <v>3</v>
      </c>
      <c r="AE495" t="s">
        <v>80</v>
      </c>
      <c r="AF495" t="s">
        <v>100</v>
      </c>
      <c r="AG495" t="s">
        <v>82</v>
      </c>
      <c r="AH495" t="s">
        <v>83</v>
      </c>
      <c r="AI495" t="s">
        <v>464</v>
      </c>
      <c r="AJ495">
        <v>0.96696402481113397</v>
      </c>
      <c r="AK495">
        <v>2.5400133528514601</v>
      </c>
      <c r="AL495">
        <v>2.1094157428463398</v>
      </c>
      <c r="AM495">
        <v>0.63225354933574995</v>
      </c>
      <c r="AN495">
        <v>1.3863755288345401</v>
      </c>
      <c r="AO495">
        <v>1.74512150729111E-2</v>
      </c>
      <c r="AP495">
        <v>1.74512150729111E-2</v>
      </c>
      <c r="AQ495">
        <v>0</v>
      </c>
      <c r="AR495">
        <v>1</v>
      </c>
      <c r="AS495">
        <v>0</v>
      </c>
      <c r="AT495">
        <v>0</v>
      </c>
      <c r="AU495">
        <v>0</v>
      </c>
      <c r="AV495">
        <v>14</v>
      </c>
      <c r="AW495">
        <v>0</v>
      </c>
      <c r="AX495">
        <v>0</v>
      </c>
      <c r="AZ495">
        <v>14.5</v>
      </c>
      <c r="BA495">
        <v>27.9</v>
      </c>
      <c r="BB495">
        <v>564</v>
      </c>
      <c r="BC495">
        <v>65.5</v>
      </c>
      <c r="BD495">
        <v>1.3</v>
      </c>
      <c r="BE495">
        <v>189</v>
      </c>
      <c r="BF495">
        <v>8.8000000000000007</v>
      </c>
      <c r="BG495">
        <v>167</v>
      </c>
      <c r="BH495">
        <v>21.9</v>
      </c>
      <c r="BI495">
        <v>16.3</v>
      </c>
      <c r="BJ495">
        <v>38.200000000000003</v>
      </c>
      <c r="BK495">
        <v>1.02</v>
      </c>
      <c r="BL495">
        <v>7.4</v>
      </c>
      <c r="BM495">
        <v>2.1</v>
      </c>
      <c r="BN495">
        <v>7.4</v>
      </c>
      <c r="BO495">
        <v>4.8</v>
      </c>
      <c r="BP495">
        <f t="shared" si="14"/>
        <v>13.572720257713701</v>
      </c>
      <c r="BQ495">
        <f t="shared" si="15"/>
        <v>27.02019733295954</v>
      </c>
    </row>
    <row r="496" spans="1:69" hidden="1" x14ac:dyDescent="0.2">
      <c r="A496" t="s">
        <v>1027</v>
      </c>
      <c r="B496" t="s">
        <v>68</v>
      </c>
      <c r="C496" t="s">
        <v>69</v>
      </c>
      <c r="D496" t="s">
        <v>70</v>
      </c>
      <c r="E496" t="s">
        <v>370</v>
      </c>
      <c r="F496">
        <v>3</v>
      </c>
      <c r="G496">
        <v>54</v>
      </c>
      <c r="H496">
        <v>3</v>
      </c>
      <c r="I496">
        <v>2</v>
      </c>
      <c r="J496">
        <v>0</v>
      </c>
      <c r="K496" t="s">
        <v>110</v>
      </c>
      <c r="L496" t="s">
        <v>124</v>
      </c>
      <c r="M496" s="4">
        <v>266000000</v>
      </c>
      <c r="N496">
        <v>0</v>
      </c>
      <c r="O496">
        <v>4.6429062500000002</v>
      </c>
      <c r="P496">
        <v>-74.150055719999997</v>
      </c>
      <c r="Q496" t="s">
        <v>1028</v>
      </c>
      <c r="R496">
        <v>4925925.926</v>
      </c>
      <c r="S496">
        <v>0</v>
      </c>
      <c r="T496" t="s">
        <v>462</v>
      </c>
      <c r="U496" t="s">
        <v>649</v>
      </c>
      <c r="V496" t="s">
        <v>77</v>
      </c>
      <c r="W496" t="s">
        <v>462</v>
      </c>
      <c r="X496" t="s">
        <v>650</v>
      </c>
      <c r="Y496">
        <v>2.34881510920283</v>
      </c>
      <c r="Z496">
        <v>2348.8151092028302</v>
      </c>
      <c r="AA496">
        <v>4.6250499999999999</v>
      </c>
      <c r="AB496">
        <v>-74.161333333333303</v>
      </c>
      <c r="AC496">
        <v>2580</v>
      </c>
      <c r="AD496">
        <v>3</v>
      </c>
      <c r="AE496" t="s">
        <v>80</v>
      </c>
      <c r="AF496" t="s">
        <v>107</v>
      </c>
      <c r="AG496" t="s">
        <v>82</v>
      </c>
      <c r="AH496" t="s">
        <v>83</v>
      </c>
      <c r="AI496" t="s">
        <v>221</v>
      </c>
      <c r="AJ496">
        <v>0.98828239475253199</v>
      </c>
      <c r="AK496">
        <v>2.0450261227931499</v>
      </c>
      <c r="AL496">
        <v>3.0625966857671401</v>
      </c>
      <c r="AM496">
        <v>0.78299434947311497</v>
      </c>
      <c r="AN496">
        <v>2.7427885288237102</v>
      </c>
      <c r="AO496">
        <v>0.33441648993280199</v>
      </c>
      <c r="AP496">
        <v>0.33441648993280199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6</v>
      </c>
      <c r="AW496">
        <v>0</v>
      </c>
      <c r="AX496">
        <v>0</v>
      </c>
      <c r="AZ496">
        <v>14.5</v>
      </c>
      <c r="BA496">
        <v>27.9</v>
      </c>
      <c r="BB496">
        <v>564</v>
      </c>
      <c r="BC496">
        <v>65.5</v>
      </c>
      <c r="BD496">
        <v>1.3</v>
      </c>
      <c r="BE496">
        <v>189</v>
      </c>
      <c r="BF496">
        <v>8.8000000000000007</v>
      </c>
      <c r="BG496">
        <v>167</v>
      </c>
      <c r="BH496">
        <v>21.9</v>
      </c>
      <c r="BI496">
        <v>16.3</v>
      </c>
      <c r="BJ496">
        <v>38.200000000000003</v>
      </c>
      <c r="BK496">
        <v>1.02</v>
      </c>
      <c r="BL496">
        <v>7.4</v>
      </c>
      <c r="BM496">
        <v>2.1</v>
      </c>
      <c r="BN496">
        <v>7.4</v>
      </c>
      <c r="BO496">
        <v>4.8</v>
      </c>
      <c r="BP496">
        <f t="shared" si="14"/>
        <v>12.90845214071067</v>
      </c>
      <c r="BQ496">
        <f t="shared" si="15"/>
        <v>26.3707416888642</v>
      </c>
    </row>
    <row r="497" spans="1:69" hidden="1" x14ac:dyDescent="0.2">
      <c r="A497" t="s">
        <v>1155</v>
      </c>
      <c r="B497" t="s">
        <v>68</v>
      </c>
      <c r="C497" t="s">
        <v>69</v>
      </c>
      <c r="D497" t="s">
        <v>70</v>
      </c>
      <c r="E497" t="s">
        <v>370</v>
      </c>
      <c r="F497">
        <v>3</v>
      </c>
      <c r="G497">
        <v>54</v>
      </c>
      <c r="H497">
        <v>3</v>
      </c>
      <c r="I497">
        <v>2</v>
      </c>
      <c r="J497">
        <v>0</v>
      </c>
      <c r="K497" t="s">
        <v>110</v>
      </c>
      <c r="L497" t="s">
        <v>124</v>
      </c>
      <c r="M497" s="4">
        <v>260000000</v>
      </c>
      <c r="N497">
        <v>0</v>
      </c>
      <c r="O497">
        <v>4.6429062500000002</v>
      </c>
      <c r="P497">
        <v>-74.150055719999997</v>
      </c>
      <c r="Q497" t="s">
        <v>1156</v>
      </c>
      <c r="R497">
        <v>4814814.8150000004</v>
      </c>
      <c r="S497">
        <v>0</v>
      </c>
      <c r="T497" t="s">
        <v>462</v>
      </c>
      <c r="U497" t="s">
        <v>649</v>
      </c>
      <c r="V497" t="s">
        <v>77</v>
      </c>
      <c r="W497" t="s">
        <v>462</v>
      </c>
      <c r="X497" t="s">
        <v>650</v>
      </c>
      <c r="Y497">
        <v>2.34881510920283</v>
      </c>
      <c r="Z497">
        <v>2348.8151092028302</v>
      </c>
      <c r="AA497">
        <v>4.6250499999999999</v>
      </c>
      <c r="AB497">
        <v>-74.161333333333303</v>
      </c>
      <c r="AC497">
        <v>2580</v>
      </c>
      <c r="AD497">
        <v>3</v>
      </c>
      <c r="AE497" t="s">
        <v>80</v>
      </c>
      <c r="AF497" t="s">
        <v>107</v>
      </c>
      <c r="AG497" t="s">
        <v>82</v>
      </c>
      <c r="AH497" t="s">
        <v>83</v>
      </c>
      <c r="AI497" t="s">
        <v>221</v>
      </c>
      <c r="AJ497">
        <v>0.98828239475253199</v>
      </c>
      <c r="AK497">
        <v>2.0450261227931499</v>
      </c>
      <c r="AL497">
        <v>3.0625966857671401</v>
      </c>
      <c r="AM497">
        <v>0.78299434947311497</v>
      </c>
      <c r="AN497">
        <v>2.7427885288237102</v>
      </c>
      <c r="AO497">
        <v>0.33441648993280199</v>
      </c>
      <c r="AP497">
        <v>0.33441648993280199</v>
      </c>
      <c r="AQ497">
        <v>0</v>
      </c>
      <c r="AR497">
        <v>1</v>
      </c>
      <c r="AS497">
        <v>0</v>
      </c>
      <c r="AT497">
        <v>0</v>
      </c>
      <c r="AU497">
        <v>0</v>
      </c>
      <c r="AV497">
        <v>6</v>
      </c>
      <c r="AW497">
        <v>0</v>
      </c>
      <c r="AX497">
        <v>0</v>
      </c>
      <c r="AZ497">
        <v>14.5</v>
      </c>
      <c r="BA497">
        <v>27.9</v>
      </c>
      <c r="BB497">
        <v>564</v>
      </c>
      <c r="BC497">
        <v>65.5</v>
      </c>
      <c r="BD497">
        <v>1.3</v>
      </c>
      <c r="BE497">
        <v>189</v>
      </c>
      <c r="BF497">
        <v>8.8000000000000007</v>
      </c>
      <c r="BG497">
        <v>167</v>
      </c>
      <c r="BH497">
        <v>21.9</v>
      </c>
      <c r="BI497">
        <v>16.3</v>
      </c>
      <c r="BJ497">
        <v>38.200000000000003</v>
      </c>
      <c r="BK497">
        <v>1.02</v>
      </c>
      <c r="BL497">
        <v>7.4</v>
      </c>
      <c r="BM497">
        <v>2.1</v>
      </c>
      <c r="BN497">
        <v>7.4</v>
      </c>
      <c r="BO497">
        <v>4.8</v>
      </c>
      <c r="BP497">
        <f t="shared" si="14"/>
        <v>12.90845214071067</v>
      </c>
      <c r="BQ497">
        <f t="shared" si="15"/>
        <v>26.3707416888642</v>
      </c>
    </row>
    <row r="498" spans="1:69" hidden="1" x14ac:dyDescent="0.2">
      <c r="A498" t="s">
        <v>1325</v>
      </c>
      <c r="B498" t="s">
        <v>68</v>
      </c>
      <c r="C498" t="s">
        <v>69</v>
      </c>
      <c r="D498" t="s">
        <v>70</v>
      </c>
      <c r="E498" t="s">
        <v>1326</v>
      </c>
      <c r="F498">
        <v>3</v>
      </c>
      <c r="G498">
        <v>48</v>
      </c>
      <c r="H498">
        <v>3</v>
      </c>
      <c r="I498">
        <v>2</v>
      </c>
      <c r="J498">
        <v>0</v>
      </c>
      <c r="K498" t="s">
        <v>110</v>
      </c>
      <c r="L498" t="s">
        <v>124</v>
      </c>
      <c r="M498" s="4">
        <v>189900000</v>
      </c>
      <c r="N498">
        <v>0</v>
      </c>
      <c r="O498">
        <v>4.6216140399999999</v>
      </c>
      <c r="P498">
        <v>-74.181129060000004</v>
      </c>
      <c r="Q498" t="s">
        <v>1327</v>
      </c>
      <c r="R498">
        <v>3956250</v>
      </c>
      <c r="S498">
        <v>0</v>
      </c>
      <c r="T498" t="s">
        <v>462</v>
      </c>
      <c r="U498" t="s">
        <v>649</v>
      </c>
      <c r="V498" t="s">
        <v>77</v>
      </c>
      <c r="W498" t="s">
        <v>462</v>
      </c>
      <c r="X498" t="s">
        <v>650</v>
      </c>
      <c r="Y498">
        <v>2.2295339759850399</v>
      </c>
      <c r="Z498">
        <v>2229.5339759850399</v>
      </c>
      <c r="AA498">
        <v>4.6250499999999999</v>
      </c>
      <c r="AB498">
        <v>-74.161333333333303</v>
      </c>
      <c r="AC498">
        <v>2580</v>
      </c>
      <c r="AD498">
        <v>3</v>
      </c>
      <c r="AE498" t="s">
        <v>80</v>
      </c>
      <c r="AF498" t="s">
        <v>107</v>
      </c>
      <c r="AG498" t="s">
        <v>82</v>
      </c>
      <c r="AH498" t="s">
        <v>83</v>
      </c>
      <c r="AI498" t="s">
        <v>368</v>
      </c>
      <c r="AJ498">
        <v>1.2401042710022601</v>
      </c>
      <c r="AK498">
        <v>2.69072055385399</v>
      </c>
      <c r="AL498">
        <v>5.6778257786342197</v>
      </c>
      <c r="AM498">
        <v>0.31507274313449501</v>
      </c>
      <c r="AN498">
        <v>2.4013859168141498</v>
      </c>
      <c r="AO498">
        <v>0.286007418074464</v>
      </c>
      <c r="AP498">
        <v>0.286007418074464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6</v>
      </c>
      <c r="AW498">
        <v>0</v>
      </c>
      <c r="AX498">
        <v>0</v>
      </c>
      <c r="AZ498">
        <v>14.5</v>
      </c>
      <c r="BA498">
        <v>27.9</v>
      </c>
      <c r="BB498">
        <v>564</v>
      </c>
      <c r="BC498">
        <v>65.5</v>
      </c>
      <c r="BD498">
        <v>1.3</v>
      </c>
      <c r="BE498">
        <v>189</v>
      </c>
      <c r="BF498">
        <v>8.8000000000000007</v>
      </c>
      <c r="BG498">
        <v>167</v>
      </c>
      <c r="BH498">
        <v>21.9</v>
      </c>
      <c r="BI498">
        <v>16.3</v>
      </c>
      <c r="BJ498">
        <v>38.200000000000003</v>
      </c>
      <c r="BK498">
        <v>1.02</v>
      </c>
      <c r="BL498">
        <v>7.4</v>
      </c>
      <c r="BM498">
        <v>2.1</v>
      </c>
      <c r="BN498">
        <v>7.4</v>
      </c>
      <c r="BO498">
        <v>4.8</v>
      </c>
      <c r="BP498">
        <f t="shared" si="14"/>
        <v>12.984894464848608</v>
      </c>
      <c r="BQ498">
        <f t="shared" si="15"/>
        <v>26.446342617264584</v>
      </c>
    </row>
    <row r="499" spans="1:69" hidden="1" x14ac:dyDescent="0.2">
      <c r="A499" t="s">
        <v>1820</v>
      </c>
      <c r="B499" t="s">
        <v>68</v>
      </c>
      <c r="C499" t="s">
        <v>69</v>
      </c>
      <c r="D499" t="s">
        <v>70</v>
      </c>
      <c r="E499" t="s">
        <v>1821</v>
      </c>
      <c r="F499">
        <v>3</v>
      </c>
      <c r="G499">
        <v>48</v>
      </c>
      <c r="H499">
        <v>3</v>
      </c>
      <c r="I499">
        <v>1</v>
      </c>
      <c r="J499">
        <v>0</v>
      </c>
      <c r="K499" t="s">
        <v>110</v>
      </c>
      <c r="L499" t="s">
        <v>162</v>
      </c>
      <c r="M499" s="4">
        <v>187000000</v>
      </c>
      <c r="N499">
        <v>0</v>
      </c>
      <c r="O499">
        <v>4.6156888010000001</v>
      </c>
      <c r="P499">
        <v>-74.169197080000004</v>
      </c>
      <c r="Q499" t="s">
        <v>1822</v>
      </c>
      <c r="R499">
        <v>3895833.3330000001</v>
      </c>
      <c r="S499">
        <v>0</v>
      </c>
      <c r="T499" t="s">
        <v>462</v>
      </c>
      <c r="U499" t="s">
        <v>649</v>
      </c>
      <c r="V499" t="s">
        <v>77</v>
      </c>
      <c r="W499" t="s">
        <v>462</v>
      </c>
      <c r="X499" t="s">
        <v>650</v>
      </c>
      <c r="Y499">
        <v>1.35914350770116</v>
      </c>
      <c r="Z499">
        <v>1359.1435077011599</v>
      </c>
      <c r="AA499">
        <v>4.6250499999999999</v>
      </c>
      <c r="AB499">
        <v>-74.161333333333303</v>
      </c>
      <c r="AC499">
        <v>2580</v>
      </c>
      <c r="AD499">
        <v>3</v>
      </c>
      <c r="AE499" t="s">
        <v>80</v>
      </c>
      <c r="AF499" t="s">
        <v>107</v>
      </c>
      <c r="AG499" t="s">
        <v>82</v>
      </c>
      <c r="AH499" t="s">
        <v>83</v>
      </c>
      <c r="AI499" t="s">
        <v>221</v>
      </c>
      <c r="AJ499">
        <v>1.57266132903945</v>
      </c>
      <c r="AK499">
        <v>3.7398977360136398</v>
      </c>
      <c r="AL499">
        <v>4.2209009381524698</v>
      </c>
      <c r="AM499">
        <v>0.39460852516151002</v>
      </c>
      <c r="AN499">
        <v>1.1496449369330399</v>
      </c>
      <c r="AO499">
        <v>6.7924006972207698E-2</v>
      </c>
      <c r="AP499">
        <v>6.7924006972207698E-2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16</v>
      </c>
      <c r="AW499">
        <v>0</v>
      </c>
      <c r="AX499">
        <v>0</v>
      </c>
      <c r="AZ499">
        <v>14.5</v>
      </c>
      <c r="BA499">
        <v>27.9</v>
      </c>
      <c r="BB499">
        <v>564</v>
      </c>
      <c r="BC499">
        <v>65.5</v>
      </c>
      <c r="BD499">
        <v>1.3</v>
      </c>
      <c r="BE499">
        <v>189</v>
      </c>
      <c r="BF499">
        <v>8.8000000000000007</v>
      </c>
      <c r="BG499">
        <v>167</v>
      </c>
      <c r="BH499">
        <v>21.9</v>
      </c>
      <c r="BI499">
        <v>16.3</v>
      </c>
      <c r="BJ499">
        <v>38.200000000000003</v>
      </c>
      <c r="BK499">
        <v>1.02</v>
      </c>
      <c r="BL499">
        <v>7.4</v>
      </c>
      <c r="BM499">
        <v>2.1</v>
      </c>
      <c r="BN499">
        <v>7.4</v>
      </c>
      <c r="BO499">
        <v>4.8</v>
      </c>
      <c r="BP499">
        <f t="shared" si="14"/>
        <v>13.556566544875253</v>
      </c>
      <c r="BQ499">
        <f t="shared" si="15"/>
        <v>27.004600615142543</v>
      </c>
    </row>
    <row r="500" spans="1:69" hidden="1" x14ac:dyDescent="0.2">
      <c r="A500" t="s">
        <v>1007</v>
      </c>
      <c r="B500" t="s">
        <v>68</v>
      </c>
      <c r="C500" t="s">
        <v>69</v>
      </c>
      <c r="D500" t="s">
        <v>70</v>
      </c>
      <c r="E500" t="s">
        <v>370</v>
      </c>
      <c r="F500">
        <v>3</v>
      </c>
      <c r="G500">
        <v>47</v>
      </c>
      <c r="H500">
        <v>2</v>
      </c>
      <c r="I500">
        <v>1</v>
      </c>
      <c r="J500">
        <v>0</v>
      </c>
      <c r="K500" t="s">
        <v>110</v>
      </c>
      <c r="L500" t="s">
        <v>124</v>
      </c>
      <c r="M500" s="4">
        <v>232000000</v>
      </c>
      <c r="N500">
        <v>0</v>
      </c>
      <c r="O500">
        <v>4.6429062500000002</v>
      </c>
      <c r="P500">
        <v>-74.150055719999997</v>
      </c>
      <c r="Q500" t="s">
        <v>1008</v>
      </c>
      <c r="R500">
        <v>4936170.2130000005</v>
      </c>
      <c r="S500">
        <v>0</v>
      </c>
      <c r="T500" t="s">
        <v>462</v>
      </c>
      <c r="U500" t="s">
        <v>649</v>
      </c>
      <c r="V500" t="s">
        <v>77</v>
      </c>
      <c r="W500" t="s">
        <v>462</v>
      </c>
      <c r="X500" t="s">
        <v>650</v>
      </c>
      <c r="Y500">
        <v>2.34881510920283</v>
      </c>
      <c r="Z500">
        <v>2348.8151092028302</v>
      </c>
      <c r="AA500">
        <v>4.6250499999999999</v>
      </c>
      <c r="AB500">
        <v>-74.161333333333303</v>
      </c>
      <c r="AC500">
        <v>2580</v>
      </c>
      <c r="AD500">
        <v>3</v>
      </c>
      <c r="AE500" t="s">
        <v>80</v>
      </c>
      <c r="AF500" t="s">
        <v>107</v>
      </c>
      <c r="AG500" t="s">
        <v>82</v>
      </c>
      <c r="AH500" t="s">
        <v>83</v>
      </c>
      <c r="AI500" t="s">
        <v>221</v>
      </c>
      <c r="AJ500">
        <v>0.98828239475253199</v>
      </c>
      <c r="AK500">
        <v>2.0450261227931499</v>
      </c>
      <c r="AL500">
        <v>3.0625966857671401</v>
      </c>
      <c r="AM500">
        <v>0.78299434947311497</v>
      </c>
      <c r="AN500">
        <v>2.7427885288237102</v>
      </c>
      <c r="AO500">
        <v>0.33441648993280199</v>
      </c>
      <c r="AP500">
        <v>0.33441648993280199</v>
      </c>
      <c r="AQ500">
        <v>0</v>
      </c>
      <c r="AR500">
        <v>1</v>
      </c>
      <c r="AS500">
        <v>0</v>
      </c>
      <c r="AT500">
        <v>0</v>
      </c>
      <c r="AU500">
        <v>0</v>
      </c>
      <c r="AV500">
        <v>6</v>
      </c>
      <c r="AW500">
        <v>0</v>
      </c>
      <c r="AX500">
        <v>0</v>
      </c>
      <c r="AZ500">
        <v>14.5</v>
      </c>
      <c r="BA500">
        <v>27.9</v>
      </c>
      <c r="BB500">
        <v>564</v>
      </c>
      <c r="BC500">
        <v>65.5</v>
      </c>
      <c r="BD500">
        <v>1.3</v>
      </c>
      <c r="BE500">
        <v>189</v>
      </c>
      <c r="BF500">
        <v>8.8000000000000007</v>
      </c>
      <c r="BG500">
        <v>167</v>
      </c>
      <c r="BH500">
        <v>21.9</v>
      </c>
      <c r="BI500">
        <v>16.3</v>
      </c>
      <c r="BJ500">
        <v>38.200000000000003</v>
      </c>
      <c r="BK500">
        <v>1.02</v>
      </c>
      <c r="BL500">
        <v>7.4</v>
      </c>
      <c r="BM500">
        <v>2.1</v>
      </c>
      <c r="BN500">
        <v>7.4</v>
      </c>
      <c r="BO500">
        <v>4.8</v>
      </c>
      <c r="BP500">
        <f t="shared" si="14"/>
        <v>12.90845214071067</v>
      </c>
      <c r="BQ500">
        <f t="shared" si="15"/>
        <v>26.3707416888642</v>
      </c>
    </row>
    <row r="501" spans="1:69" hidden="1" x14ac:dyDescent="0.2">
      <c r="A501" t="s">
        <v>1571</v>
      </c>
      <c r="B501" t="s">
        <v>68</v>
      </c>
      <c r="C501" t="s">
        <v>69</v>
      </c>
      <c r="D501" t="s">
        <v>70</v>
      </c>
      <c r="E501" t="s">
        <v>1572</v>
      </c>
      <c r="F501">
        <v>3</v>
      </c>
      <c r="G501">
        <v>46</v>
      </c>
      <c r="H501">
        <v>2</v>
      </c>
      <c r="I501">
        <v>1</v>
      </c>
      <c r="J501">
        <v>0</v>
      </c>
      <c r="K501" t="s">
        <v>110</v>
      </c>
      <c r="L501" t="s">
        <v>133</v>
      </c>
      <c r="M501" s="4">
        <v>184900000</v>
      </c>
      <c r="N501">
        <v>0</v>
      </c>
      <c r="O501">
        <v>4.6177248200000003</v>
      </c>
      <c r="P501">
        <v>-74.177944199999999</v>
      </c>
      <c r="Q501" t="s">
        <v>1573</v>
      </c>
      <c r="R501">
        <v>4019565.2170000002</v>
      </c>
      <c r="S501">
        <v>0</v>
      </c>
      <c r="T501" t="s">
        <v>462</v>
      </c>
      <c r="U501" t="s">
        <v>649</v>
      </c>
      <c r="V501" t="s">
        <v>77</v>
      </c>
      <c r="W501" t="s">
        <v>462</v>
      </c>
      <c r="X501" t="s">
        <v>650</v>
      </c>
      <c r="Y501">
        <v>2.0154299624032102</v>
      </c>
      <c r="Z501">
        <v>2015.4299624032101</v>
      </c>
      <c r="AA501">
        <v>4.6250499999999999</v>
      </c>
      <c r="AB501">
        <v>-74.161333333333303</v>
      </c>
      <c r="AC501">
        <v>2580</v>
      </c>
      <c r="AD501">
        <v>3</v>
      </c>
      <c r="AE501" t="s">
        <v>80</v>
      </c>
      <c r="AF501" t="s">
        <v>107</v>
      </c>
      <c r="AG501" t="s">
        <v>82</v>
      </c>
      <c r="AH501" t="s">
        <v>83</v>
      </c>
      <c r="AI501" t="s">
        <v>221</v>
      </c>
      <c r="AJ501">
        <v>1.39752956343478</v>
      </c>
      <c r="AK501">
        <v>3.1844502916477699</v>
      </c>
      <c r="AL501">
        <v>5.1460771943004104</v>
      </c>
      <c r="AM501">
        <v>0.29852732357842299</v>
      </c>
      <c r="AN501">
        <v>2.0473785757643901</v>
      </c>
      <c r="AO501">
        <v>0.11303168329852301</v>
      </c>
      <c r="AP501">
        <v>0.11303168329852301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13</v>
      </c>
      <c r="AW501">
        <v>0</v>
      </c>
      <c r="AX501">
        <v>0</v>
      </c>
      <c r="AZ501">
        <v>14.5</v>
      </c>
      <c r="BA501">
        <v>27.9</v>
      </c>
      <c r="BB501">
        <v>564</v>
      </c>
      <c r="BC501">
        <v>65.5</v>
      </c>
      <c r="BD501">
        <v>1.3</v>
      </c>
      <c r="BE501">
        <v>189</v>
      </c>
      <c r="BF501">
        <v>8.8000000000000007</v>
      </c>
      <c r="BG501">
        <v>167</v>
      </c>
      <c r="BH501">
        <v>21.9</v>
      </c>
      <c r="BI501">
        <v>16.3</v>
      </c>
      <c r="BJ501">
        <v>38.200000000000003</v>
      </c>
      <c r="BK501">
        <v>1.02</v>
      </c>
      <c r="BL501">
        <v>7.4</v>
      </c>
      <c r="BM501">
        <v>2.1</v>
      </c>
      <c r="BN501">
        <v>7.4</v>
      </c>
      <c r="BO501">
        <v>4.8</v>
      </c>
      <c r="BP501">
        <f t="shared" si="14"/>
        <v>13.123242126484048</v>
      </c>
      <c r="BQ501">
        <f t="shared" si="15"/>
        <v>26.582586796962868</v>
      </c>
    </row>
    <row r="502" spans="1:69" hidden="1" x14ac:dyDescent="0.2">
      <c r="A502" t="s">
        <v>1460</v>
      </c>
      <c r="B502" t="s">
        <v>68</v>
      </c>
      <c r="C502" t="s">
        <v>69</v>
      </c>
      <c r="D502" t="s">
        <v>70</v>
      </c>
      <c r="E502" t="s">
        <v>1326</v>
      </c>
      <c r="F502">
        <v>2</v>
      </c>
      <c r="G502">
        <v>45</v>
      </c>
      <c r="H502">
        <v>3</v>
      </c>
      <c r="I502">
        <v>1</v>
      </c>
      <c r="J502">
        <v>0</v>
      </c>
      <c r="K502" t="s">
        <v>110</v>
      </c>
      <c r="L502" t="s">
        <v>124</v>
      </c>
      <c r="M502" s="4">
        <v>183500000</v>
      </c>
      <c r="N502">
        <v>0</v>
      </c>
      <c r="O502">
        <v>4.6191823100000002</v>
      </c>
      <c r="P502">
        <v>-74.181434440000004</v>
      </c>
      <c r="Q502" t="s">
        <v>1461</v>
      </c>
      <c r="R502">
        <v>4077777.7779999999</v>
      </c>
      <c r="S502">
        <v>0</v>
      </c>
      <c r="T502" t="s">
        <v>462</v>
      </c>
      <c r="U502" t="s">
        <v>649</v>
      </c>
      <c r="V502" t="s">
        <v>77</v>
      </c>
      <c r="W502" t="s">
        <v>462</v>
      </c>
      <c r="X502" t="s">
        <v>650</v>
      </c>
      <c r="Y502">
        <v>2.32404720396995</v>
      </c>
      <c r="Z502">
        <v>2324.0472039699498</v>
      </c>
      <c r="AA502">
        <v>4.6250499999999999</v>
      </c>
      <c r="AB502">
        <v>-74.161333333333303</v>
      </c>
      <c r="AC502">
        <v>2580</v>
      </c>
      <c r="AD502">
        <v>3</v>
      </c>
      <c r="AE502" t="s">
        <v>80</v>
      </c>
      <c r="AF502" t="s">
        <v>107</v>
      </c>
      <c r="AG502" t="s">
        <v>82</v>
      </c>
      <c r="AH502" t="s">
        <v>83</v>
      </c>
      <c r="AI502" t="s">
        <v>368</v>
      </c>
      <c r="AJ502">
        <v>1.4605609225059599</v>
      </c>
      <c r="AK502">
        <v>2.95139453833912</v>
      </c>
      <c r="AL502">
        <v>5.55939621508593</v>
      </c>
      <c r="AM502">
        <v>0.55013747983457895</v>
      </c>
      <c r="AN502">
        <v>2.18484103435277</v>
      </c>
      <c r="AO502">
        <v>1.6200191053390201E-2</v>
      </c>
      <c r="AP502">
        <v>1.6200191053390201E-2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9</v>
      </c>
      <c r="AW502">
        <v>0</v>
      </c>
      <c r="AX502">
        <v>0</v>
      </c>
      <c r="AZ502">
        <v>14.5</v>
      </c>
      <c r="BA502">
        <v>27.9</v>
      </c>
      <c r="BB502">
        <v>564</v>
      </c>
      <c r="BC502">
        <v>65.5</v>
      </c>
      <c r="BD502">
        <v>1.3</v>
      </c>
      <c r="BE502">
        <v>189</v>
      </c>
      <c r="BF502">
        <v>8.8000000000000007</v>
      </c>
      <c r="BG502">
        <v>167</v>
      </c>
      <c r="BH502">
        <v>21.9</v>
      </c>
      <c r="BI502">
        <v>16.3</v>
      </c>
      <c r="BJ502">
        <v>38.200000000000003</v>
      </c>
      <c r="BK502">
        <v>1.02</v>
      </c>
      <c r="BL502">
        <v>7.4</v>
      </c>
      <c r="BM502">
        <v>2.1</v>
      </c>
      <c r="BN502">
        <v>7.4</v>
      </c>
      <c r="BO502">
        <v>4.8</v>
      </c>
      <c r="BP502">
        <f t="shared" si="14"/>
        <v>12.924287754354381</v>
      </c>
      <c r="BQ502">
        <f t="shared" si="15"/>
        <v>26.386421901540441</v>
      </c>
    </row>
    <row r="503" spans="1:69" hidden="1" x14ac:dyDescent="0.2">
      <c r="A503" t="s">
        <v>1948</v>
      </c>
      <c r="B503" t="s">
        <v>68</v>
      </c>
      <c r="C503" t="s">
        <v>69</v>
      </c>
      <c r="D503" t="s">
        <v>70</v>
      </c>
      <c r="E503" t="s">
        <v>1949</v>
      </c>
      <c r="F503">
        <v>3</v>
      </c>
      <c r="G503">
        <v>45</v>
      </c>
      <c r="H503">
        <v>2</v>
      </c>
      <c r="I503">
        <v>1</v>
      </c>
      <c r="J503">
        <v>0</v>
      </c>
      <c r="K503" t="s">
        <v>110</v>
      </c>
      <c r="L503" t="s">
        <v>162</v>
      </c>
      <c r="M503" s="4">
        <v>180000000</v>
      </c>
      <c r="N503">
        <v>0</v>
      </c>
      <c r="O503">
        <v>4.6275969999999997</v>
      </c>
      <c r="P503">
        <v>-74.14743</v>
      </c>
      <c r="Q503" t="s">
        <v>1950</v>
      </c>
      <c r="R503">
        <v>4000000</v>
      </c>
      <c r="S503">
        <v>0</v>
      </c>
      <c r="T503" t="s">
        <v>462</v>
      </c>
      <c r="U503" t="s">
        <v>649</v>
      </c>
      <c r="V503" t="s">
        <v>77</v>
      </c>
      <c r="W503" t="s">
        <v>462</v>
      </c>
      <c r="X503" t="s">
        <v>650</v>
      </c>
      <c r="Y503">
        <v>1.5685084151959701</v>
      </c>
      <c r="Z503">
        <v>1568.50841519597</v>
      </c>
      <c r="AA503">
        <v>4.6250499999999999</v>
      </c>
      <c r="AB503">
        <v>-74.161333333333303</v>
      </c>
      <c r="AC503">
        <v>2580</v>
      </c>
      <c r="AD503">
        <v>3</v>
      </c>
      <c r="AE503" t="s">
        <v>80</v>
      </c>
      <c r="AF503" t="s">
        <v>107</v>
      </c>
      <c r="AG503" t="s">
        <v>82</v>
      </c>
      <c r="AH503" t="s">
        <v>83</v>
      </c>
      <c r="AI503" t="s">
        <v>221</v>
      </c>
      <c r="AJ503">
        <v>0.44818416356320701</v>
      </c>
      <c r="AK503">
        <v>3.6471623851843802</v>
      </c>
      <c r="AL503">
        <v>3.1321067157454201</v>
      </c>
      <c r="AM503">
        <v>0.28111350364968601</v>
      </c>
      <c r="AN503">
        <v>1.6134485920300801</v>
      </c>
      <c r="AO503">
        <v>0.200296882579172</v>
      </c>
      <c r="AP503">
        <v>0.200296882579172</v>
      </c>
      <c r="AQ503">
        <v>1</v>
      </c>
      <c r="AR503">
        <v>3</v>
      </c>
      <c r="AS503">
        <v>0</v>
      </c>
      <c r="AT503">
        <v>0</v>
      </c>
      <c r="AU503">
        <v>0</v>
      </c>
      <c r="AV503">
        <v>32</v>
      </c>
      <c r="AW503">
        <v>0</v>
      </c>
      <c r="AX503">
        <v>0</v>
      </c>
      <c r="AZ503">
        <v>14.5</v>
      </c>
      <c r="BA503">
        <v>27.9</v>
      </c>
      <c r="BB503">
        <v>564</v>
      </c>
      <c r="BC503">
        <v>65.5</v>
      </c>
      <c r="BD503">
        <v>1.3</v>
      </c>
      <c r="BE503">
        <v>189</v>
      </c>
      <c r="BF503">
        <v>8.8000000000000007</v>
      </c>
      <c r="BG503">
        <v>167</v>
      </c>
      <c r="BH503">
        <v>21.9</v>
      </c>
      <c r="BI503">
        <v>16.3</v>
      </c>
      <c r="BJ503">
        <v>38.200000000000003</v>
      </c>
      <c r="BK503">
        <v>1.02</v>
      </c>
      <c r="BL503">
        <v>7.4</v>
      </c>
      <c r="BM503">
        <v>2.1</v>
      </c>
      <c r="BN503">
        <v>7.4</v>
      </c>
      <c r="BO503">
        <v>4.8</v>
      </c>
      <c r="BP503">
        <f t="shared" si="14"/>
        <v>13.416797716984723</v>
      </c>
      <c r="BQ503">
        <f t="shared" si="15"/>
        <v>26.869249376484944</v>
      </c>
    </row>
    <row r="504" spans="1:69" hidden="1" x14ac:dyDescent="0.2">
      <c r="A504" t="s">
        <v>2882</v>
      </c>
      <c r="B504" t="s">
        <v>68</v>
      </c>
      <c r="C504" t="s">
        <v>1956</v>
      </c>
      <c r="D504" t="s">
        <v>70</v>
      </c>
      <c r="E504" t="s">
        <v>2883</v>
      </c>
      <c r="F504">
        <v>1</v>
      </c>
      <c r="G504">
        <v>570</v>
      </c>
      <c r="H504">
        <v>5</v>
      </c>
      <c r="I504">
        <v>5</v>
      </c>
      <c r="J504">
        <v>0</v>
      </c>
      <c r="K504" t="s">
        <v>110</v>
      </c>
      <c r="L504" t="s">
        <v>162</v>
      </c>
      <c r="M504" s="4">
        <v>470000000</v>
      </c>
      <c r="N504">
        <v>0</v>
      </c>
      <c r="O504">
        <v>4.5447100000000002</v>
      </c>
      <c r="P504">
        <v>-74.142859999999999</v>
      </c>
      <c r="Q504" t="s">
        <v>2884</v>
      </c>
      <c r="R504">
        <v>824561.40350000001</v>
      </c>
      <c r="S504">
        <v>0</v>
      </c>
      <c r="T504" t="s">
        <v>2105</v>
      </c>
      <c r="U504" t="s">
        <v>2106</v>
      </c>
      <c r="V504" t="s">
        <v>77</v>
      </c>
      <c r="W504" t="s">
        <v>2105</v>
      </c>
      <c r="X504" t="s">
        <v>2107</v>
      </c>
      <c r="Y504">
        <v>3.1829751334748999</v>
      </c>
      <c r="Z504">
        <v>3182.9751334748998</v>
      </c>
      <c r="AA504">
        <v>4.5320555555555604</v>
      </c>
      <c r="AB504">
        <v>-74.117138888888903</v>
      </c>
      <c r="AC504">
        <v>2593</v>
      </c>
      <c r="AD504">
        <v>0</v>
      </c>
      <c r="AE504" t="s">
        <v>80</v>
      </c>
      <c r="AF504" t="s">
        <v>507</v>
      </c>
      <c r="AG504" t="s">
        <v>82</v>
      </c>
      <c r="AH504" t="s">
        <v>83</v>
      </c>
      <c r="AI504" t="s">
        <v>464</v>
      </c>
      <c r="AJ504">
        <v>2.4436243001892102</v>
      </c>
      <c r="AK504">
        <v>3.87284973022245</v>
      </c>
      <c r="AL504">
        <v>4.7272413240385101</v>
      </c>
      <c r="AM504">
        <v>0.351678011852395</v>
      </c>
      <c r="AN504">
        <v>4.3541792439176303</v>
      </c>
      <c r="AO504">
        <v>5.8281449092788097E-3</v>
      </c>
      <c r="AP504">
        <v>5.8281449092788097E-3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5</v>
      </c>
      <c r="AW504">
        <v>0</v>
      </c>
      <c r="AX504">
        <v>0</v>
      </c>
      <c r="AY504">
        <v>15.7</v>
      </c>
      <c r="AZ504">
        <v>6.8</v>
      </c>
      <c r="BA504">
        <v>24.7</v>
      </c>
      <c r="BB504">
        <v>563</v>
      </c>
      <c r="BC504">
        <v>68</v>
      </c>
      <c r="BD504">
        <v>1.5</v>
      </c>
      <c r="BE504">
        <v>135</v>
      </c>
      <c r="BF504">
        <v>24.5</v>
      </c>
      <c r="BG504">
        <v>150</v>
      </c>
      <c r="BH504">
        <v>9.6999999999999993</v>
      </c>
      <c r="BI504">
        <v>9.9</v>
      </c>
      <c r="BJ504">
        <v>19.600000000000001</v>
      </c>
      <c r="BK504">
        <v>0.37</v>
      </c>
      <c r="BL504">
        <v>10.7</v>
      </c>
      <c r="BM504">
        <v>3.8</v>
      </c>
      <c r="BN504">
        <v>7.5</v>
      </c>
      <c r="BO504">
        <v>2.9</v>
      </c>
      <c r="BP504">
        <f t="shared" si="14"/>
        <v>5.8087496611059315</v>
      </c>
      <c r="BQ504">
        <f t="shared" si="15"/>
        <v>22.883401912146812</v>
      </c>
    </row>
    <row r="505" spans="1:69" hidden="1" x14ac:dyDescent="0.2">
      <c r="A505" t="s">
        <v>2102</v>
      </c>
      <c r="B505" t="s">
        <v>68</v>
      </c>
      <c r="C505" t="s">
        <v>1956</v>
      </c>
      <c r="D505" t="s">
        <v>70</v>
      </c>
      <c r="E505" t="s">
        <v>2103</v>
      </c>
      <c r="F505">
        <v>2</v>
      </c>
      <c r="G505">
        <v>525</v>
      </c>
      <c r="H505">
        <v>5</v>
      </c>
      <c r="I505">
        <v>5</v>
      </c>
      <c r="J505">
        <v>0</v>
      </c>
      <c r="K505" t="s">
        <v>110</v>
      </c>
      <c r="L505" t="s">
        <v>162</v>
      </c>
      <c r="M505" s="4">
        <v>480000000</v>
      </c>
      <c r="N505">
        <v>0</v>
      </c>
      <c r="O505">
        <v>4.5446806000000004</v>
      </c>
      <c r="P505">
        <v>-74.142880000000005</v>
      </c>
      <c r="Q505" t="s">
        <v>2104</v>
      </c>
      <c r="R505">
        <v>914285.71429999999</v>
      </c>
      <c r="S505">
        <v>0</v>
      </c>
      <c r="T505" t="s">
        <v>2105</v>
      </c>
      <c r="U505" t="s">
        <v>2106</v>
      </c>
      <c r="V505" t="s">
        <v>77</v>
      </c>
      <c r="W505" t="s">
        <v>2105</v>
      </c>
      <c r="X505" t="s">
        <v>2107</v>
      </c>
      <c r="Y505">
        <v>3.1835193791048999</v>
      </c>
      <c r="Z505">
        <v>3183.5193791049001</v>
      </c>
      <c r="AA505">
        <v>4.5320555555555604</v>
      </c>
      <c r="AB505">
        <v>-74.117138888888903</v>
      </c>
      <c r="AC505">
        <v>2593</v>
      </c>
      <c r="AD505">
        <v>0</v>
      </c>
      <c r="AE505" t="s">
        <v>80</v>
      </c>
      <c r="AF505" t="s">
        <v>507</v>
      </c>
      <c r="AG505" t="s">
        <v>82</v>
      </c>
      <c r="AH505" t="s">
        <v>83</v>
      </c>
      <c r="AI505" t="s">
        <v>464</v>
      </c>
      <c r="AJ505">
        <v>2.4456870960883101</v>
      </c>
      <c r="AK505">
        <v>3.8730068673523501</v>
      </c>
      <c r="AL505">
        <v>4.7309822236676604</v>
      </c>
      <c r="AM505">
        <v>0.34975573786605102</v>
      </c>
      <c r="AN505">
        <v>4.35565162544684</v>
      </c>
      <c r="AO505">
        <v>2.8935057064230401E-3</v>
      </c>
      <c r="AP505">
        <v>2.8935057064230401E-3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5</v>
      </c>
      <c r="AW505">
        <v>0</v>
      </c>
      <c r="AX505">
        <v>0</v>
      </c>
      <c r="AY505">
        <v>15.7</v>
      </c>
      <c r="AZ505">
        <v>6.8</v>
      </c>
      <c r="BA505">
        <v>24.7</v>
      </c>
      <c r="BB505">
        <v>563</v>
      </c>
      <c r="BC505">
        <v>68</v>
      </c>
      <c r="BD505">
        <v>1.5</v>
      </c>
      <c r="BE505">
        <v>135</v>
      </c>
      <c r="BF505">
        <v>24.5</v>
      </c>
      <c r="BG505">
        <v>150</v>
      </c>
      <c r="BH505">
        <v>9.6999999999999993</v>
      </c>
      <c r="BI505">
        <v>9.9</v>
      </c>
      <c r="BJ505">
        <v>19.600000000000001</v>
      </c>
      <c r="BK505">
        <v>0.37</v>
      </c>
      <c r="BL505">
        <v>10.7</v>
      </c>
      <c r="BM505">
        <v>3.8</v>
      </c>
      <c r="BN505">
        <v>7.5</v>
      </c>
      <c r="BO505">
        <v>2.9</v>
      </c>
      <c r="BP505">
        <f t="shared" si="14"/>
        <v>5.8085931745761954</v>
      </c>
      <c r="BQ505">
        <f t="shared" si="15"/>
        <v>22.883103013503142</v>
      </c>
    </row>
    <row r="506" spans="1:69" hidden="1" x14ac:dyDescent="0.2">
      <c r="A506" t="s">
        <v>2804</v>
      </c>
      <c r="B506" t="s">
        <v>68</v>
      </c>
      <c r="C506" t="s">
        <v>1956</v>
      </c>
      <c r="D506" t="s">
        <v>70</v>
      </c>
      <c r="E506" t="s">
        <v>2805</v>
      </c>
      <c r="F506">
        <v>2</v>
      </c>
      <c r="G506">
        <v>175</v>
      </c>
      <c r="H506">
        <v>5</v>
      </c>
      <c r="I506">
        <v>4</v>
      </c>
      <c r="J506">
        <v>0</v>
      </c>
      <c r="K506" t="s">
        <v>110</v>
      </c>
      <c r="L506" t="s">
        <v>124</v>
      </c>
      <c r="M506" s="4">
        <v>550000000</v>
      </c>
      <c r="N506">
        <v>0</v>
      </c>
      <c r="O506">
        <v>4.5427647000000002</v>
      </c>
      <c r="P506">
        <v>-74.111239999999995</v>
      </c>
      <c r="Q506" t="s">
        <v>2806</v>
      </c>
      <c r="R506">
        <v>3142857.1430000002</v>
      </c>
      <c r="S506">
        <v>0</v>
      </c>
      <c r="T506" t="s">
        <v>2105</v>
      </c>
      <c r="U506" t="s">
        <v>2106</v>
      </c>
      <c r="V506" t="s">
        <v>77</v>
      </c>
      <c r="W506" t="s">
        <v>2105</v>
      </c>
      <c r="X506" t="s">
        <v>2107</v>
      </c>
      <c r="Y506">
        <v>1.3600348809032099</v>
      </c>
      <c r="Z506">
        <v>1360.03488090321</v>
      </c>
      <c r="AA506">
        <v>4.5320555555555604</v>
      </c>
      <c r="AB506">
        <v>-74.117138888888903</v>
      </c>
      <c r="AC506">
        <v>2593</v>
      </c>
      <c r="AD506">
        <v>0</v>
      </c>
      <c r="AE506" t="s">
        <v>80</v>
      </c>
      <c r="AF506" t="s">
        <v>507</v>
      </c>
      <c r="AG506" t="s">
        <v>82</v>
      </c>
      <c r="AH506" t="s">
        <v>83</v>
      </c>
      <c r="AI506" t="s">
        <v>1847</v>
      </c>
      <c r="AJ506">
        <v>1.07049096242398</v>
      </c>
      <c r="AK506">
        <v>3.4543536900183498</v>
      </c>
      <c r="AL506">
        <v>4.5895102818467404</v>
      </c>
      <c r="AM506">
        <v>0.27017459593024201</v>
      </c>
      <c r="AN506">
        <v>4.1225027767180302</v>
      </c>
      <c r="AO506">
        <v>3.08706771728013E-2</v>
      </c>
      <c r="AP506">
        <v>3.08706771728013E-2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3</v>
      </c>
      <c r="AW506">
        <v>0</v>
      </c>
      <c r="AX506">
        <v>0</v>
      </c>
      <c r="AY506">
        <v>15.7</v>
      </c>
      <c r="AZ506">
        <v>6.8</v>
      </c>
      <c r="BA506">
        <v>24.7</v>
      </c>
      <c r="BB506">
        <v>563</v>
      </c>
      <c r="BC506">
        <v>68</v>
      </c>
      <c r="BD506">
        <v>1.5</v>
      </c>
      <c r="BE506">
        <v>135</v>
      </c>
      <c r="BF506">
        <v>24.5</v>
      </c>
      <c r="BG506">
        <v>150</v>
      </c>
      <c r="BH506">
        <v>9.6999999999999993</v>
      </c>
      <c r="BI506">
        <v>9.9</v>
      </c>
      <c r="BJ506">
        <v>19.600000000000001</v>
      </c>
      <c r="BK506">
        <v>0.37</v>
      </c>
      <c r="BL506">
        <v>10.7</v>
      </c>
      <c r="BM506">
        <v>3.8</v>
      </c>
      <c r="BN506">
        <v>7.5</v>
      </c>
      <c r="BO506">
        <v>2.9</v>
      </c>
      <c r="BP506">
        <f t="shared" si="14"/>
        <v>6.3572817333727523</v>
      </c>
      <c r="BQ506">
        <f t="shared" si="15"/>
        <v>23.906787310133922</v>
      </c>
    </row>
    <row r="507" spans="1:69" hidden="1" x14ac:dyDescent="0.2">
      <c r="A507" t="s">
        <v>3044</v>
      </c>
      <c r="B507" t="s">
        <v>68</v>
      </c>
      <c r="C507" t="s">
        <v>1956</v>
      </c>
      <c r="D507" t="s">
        <v>70</v>
      </c>
      <c r="E507" t="s">
        <v>3045</v>
      </c>
      <c r="F507">
        <v>1</v>
      </c>
      <c r="G507">
        <v>72</v>
      </c>
      <c r="H507">
        <v>5</v>
      </c>
      <c r="I507">
        <v>4</v>
      </c>
      <c r="J507">
        <v>1</v>
      </c>
      <c r="K507" t="s">
        <v>110</v>
      </c>
      <c r="L507" t="s">
        <v>124</v>
      </c>
      <c r="M507" s="4">
        <v>319380236</v>
      </c>
      <c r="N507">
        <v>0</v>
      </c>
      <c r="O507">
        <v>4.4961380960000001</v>
      </c>
      <c r="P507">
        <v>-74.110046389999994</v>
      </c>
      <c r="Q507" t="s">
        <v>3046</v>
      </c>
      <c r="R507">
        <v>4435836.6109999996</v>
      </c>
      <c r="S507">
        <v>0</v>
      </c>
      <c r="T507" t="s">
        <v>2105</v>
      </c>
      <c r="U507" t="s">
        <v>2106</v>
      </c>
      <c r="V507" t="s">
        <v>77</v>
      </c>
      <c r="W507" t="s">
        <v>2105</v>
      </c>
      <c r="X507" t="s">
        <v>2107</v>
      </c>
      <c r="Y507">
        <v>4.0750473468640998</v>
      </c>
      <c r="Z507">
        <v>4075.0473468640998</v>
      </c>
      <c r="AA507">
        <v>4.5320555555555604</v>
      </c>
      <c r="AB507">
        <v>-74.117138888888903</v>
      </c>
      <c r="AC507">
        <v>2593</v>
      </c>
      <c r="AD507">
        <v>0</v>
      </c>
      <c r="AE507" t="s">
        <v>80</v>
      </c>
      <c r="AF507" t="s">
        <v>507</v>
      </c>
      <c r="AG507" t="s">
        <v>82</v>
      </c>
      <c r="AH507" t="s">
        <v>83</v>
      </c>
      <c r="AI507" t="s">
        <v>2368</v>
      </c>
      <c r="AJ507">
        <v>4.0659902737260598</v>
      </c>
      <c r="AK507">
        <v>2.5418534333722702</v>
      </c>
      <c r="AL507">
        <v>8.9245494807381096</v>
      </c>
      <c r="AM507">
        <v>0.49278684900021602</v>
      </c>
      <c r="AN507">
        <v>1.0093746387803699</v>
      </c>
      <c r="AO507">
        <v>0.184535170278985</v>
      </c>
      <c r="AP507">
        <v>0.184535170278985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2</v>
      </c>
      <c r="AW507">
        <v>0</v>
      </c>
      <c r="AX507">
        <v>0</v>
      </c>
      <c r="AY507">
        <v>15.7</v>
      </c>
      <c r="AZ507">
        <v>6.8</v>
      </c>
      <c r="BA507">
        <v>24.7</v>
      </c>
      <c r="BB507">
        <v>563</v>
      </c>
      <c r="BC507">
        <v>68</v>
      </c>
      <c r="BD507">
        <v>1.5</v>
      </c>
      <c r="BE507">
        <v>135</v>
      </c>
      <c r="BF507">
        <v>24.5</v>
      </c>
      <c r="BG507">
        <v>150</v>
      </c>
      <c r="BH507">
        <v>9.6999999999999993</v>
      </c>
      <c r="BI507">
        <v>9.9</v>
      </c>
      <c r="BJ507">
        <v>19.600000000000001</v>
      </c>
      <c r="BK507">
        <v>0.37</v>
      </c>
      <c r="BL507">
        <v>10.7</v>
      </c>
      <c r="BM507">
        <v>3.8</v>
      </c>
      <c r="BN507">
        <v>7.5</v>
      </c>
      <c r="BO507">
        <v>2.9</v>
      </c>
      <c r="BP507">
        <f t="shared" si="14"/>
        <v>5.5578301345087997</v>
      </c>
      <c r="BQ507">
        <f t="shared" si="15"/>
        <v>22.398681764030151</v>
      </c>
    </row>
    <row r="508" spans="1:69" hidden="1" x14ac:dyDescent="0.2">
      <c r="A508" t="s">
        <v>2268</v>
      </c>
      <c r="B508" t="s">
        <v>68</v>
      </c>
      <c r="C508" t="s">
        <v>1956</v>
      </c>
      <c r="D508" t="s">
        <v>70</v>
      </c>
      <c r="E508" t="s">
        <v>567</v>
      </c>
      <c r="F508">
        <v>6</v>
      </c>
      <c r="G508">
        <v>347.26</v>
      </c>
      <c r="H508">
        <v>4</v>
      </c>
      <c r="I508">
        <v>5</v>
      </c>
      <c r="J508">
        <v>2</v>
      </c>
      <c r="K508" t="s">
        <v>110</v>
      </c>
      <c r="L508" t="s">
        <v>124</v>
      </c>
      <c r="M508" s="4">
        <v>2000000000</v>
      </c>
      <c r="N508">
        <v>0</v>
      </c>
      <c r="O508">
        <v>4.584333</v>
      </c>
      <c r="P508">
        <v>-74.179715999999999</v>
      </c>
      <c r="Q508" t="s">
        <v>2269</v>
      </c>
      <c r="R508">
        <v>5759373.3799999999</v>
      </c>
      <c r="S508">
        <v>0</v>
      </c>
      <c r="T508" t="s">
        <v>978</v>
      </c>
      <c r="U508" t="s">
        <v>979</v>
      </c>
      <c r="V508" t="s">
        <v>77</v>
      </c>
      <c r="W508" t="s">
        <v>978</v>
      </c>
      <c r="X508" t="s">
        <v>980</v>
      </c>
      <c r="Y508">
        <v>1.65877756783756</v>
      </c>
      <c r="Z508">
        <v>1658.7775678375599</v>
      </c>
      <c r="AA508">
        <v>4.5778055555555603</v>
      </c>
      <c r="AB508">
        <v>-74.166277777777793</v>
      </c>
      <c r="AC508">
        <v>2661</v>
      </c>
      <c r="AD508">
        <v>0</v>
      </c>
      <c r="AE508" t="s">
        <v>80</v>
      </c>
      <c r="AF508" t="s">
        <v>507</v>
      </c>
      <c r="AG508" t="s">
        <v>82</v>
      </c>
      <c r="AH508" t="s">
        <v>83</v>
      </c>
      <c r="AI508" t="s">
        <v>464</v>
      </c>
      <c r="AJ508">
        <v>1.3975826172467001</v>
      </c>
      <c r="AK508">
        <v>1.45807919808432</v>
      </c>
      <c r="AL508">
        <v>4.6230817642700801</v>
      </c>
      <c r="AM508">
        <v>0.75116816134348097</v>
      </c>
      <c r="AN508">
        <v>1.83368223828967</v>
      </c>
      <c r="AO508">
        <v>8.1963112879960595E-2</v>
      </c>
      <c r="AP508">
        <v>8.1963112879960595E-2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1</v>
      </c>
      <c r="AW508">
        <v>0</v>
      </c>
      <c r="AX508">
        <v>0</v>
      </c>
      <c r="AY508">
        <v>15.4</v>
      </c>
      <c r="AZ508">
        <v>7</v>
      </c>
      <c r="BA508">
        <v>23.6</v>
      </c>
      <c r="BB508">
        <v>558</v>
      </c>
      <c r="BC508">
        <v>68</v>
      </c>
      <c r="BD508">
        <v>2.7</v>
      </c>
      <c r="BE508">
        <v>182</v>
      </c>
      <c r="BF508">
        <v>22.2</v>
      </c>
      <c r="BG508">
        <v>128</v>
      </c>
      <c r="BH508">
        <v>8.8000000000000007</v>
      </c>
      <c r="BI508">
        <v>8.3000000000000007</v>
      </c>
      <c r="BJ508">
        <v>16.899999999999999</v>
      </c>
      <c r="BK508">
        <v>0.33</v>
      </c>
      <c r="BL508">
        <v>8.1999999999999993</v>
      </c>
      <c r="BM508">
        <v>0.9</v>
      </c>
      <c r="BN508">
        <v>12.2</v>
      </c>
      <c r="BO508">
        <v>1.6</v>
      </c>
      <c r="BP508">
        <f t="shared" si="14"/>
        <v>6.4481976615886047</v>
      </c>
      <c r="BQ508">
        <f t="shared" si="15"/>
        <v>22.678924348124372</v>
      </c>
    </row>
    <row r="509" spans="1:69" hidden="1" x14ac:dyDescent="0.2">
      <c r="A509" t="s">
        <v>1794</v>
      </c>
      <c r="B509" t="s">
        <v>68</v>
      </c>
      <c r="C509" t="s">
        <v>69</v>
      </c>
      <c r="D509" t="s">
        <v>70</v>
      </c>
      <c r="E509" t="s">
        <v>709</v>
      </c>
      <c r="F509">
        <v>6</v>
      </c>
      <c r="G509">
        <v>253.13</v>
      </c>
      <c r="H509">
        <v>3</v>
      </c>
      <c r="I509">
        <v>5</v>
      </c>
      <c r="J509">
        <v>3</v>
      </c>
      <c r="K509" t="s">
        <v>110</v>
      </c>
      <c r="L509" t="s">
        <v>133</v>
      </c>
      <c r="M509" s="4">
        <v>2100000000</v>
      </c>
      <c r="N509">
        <v>0</v>
      </c>
      <c r="O509">
        <v>4.5935040000000003</v>
      </c>
      <c r="P509">
        <v>-74.172925000000006</v>
      </c>
      <c r="Q509" t="s">
        <v>1795</v>
      </c>
      <c r="R509">
        <v>8296132.4220000003</v>
      </c>
      <c r="S509">
        <v>0</v>
      </c>
      <c r="T509" t="s">
        <v>978</v>
      </c>
      <c r="U509" t="s">
        <v>979</v>
      </c>
      <c r="V509" t="s">
        <v>77</v>
      </c>
      <c r="W509" t="s">
        <v>978</v>
      </c>
      <c r="X509" t="s">
        <v>980</v>
      </c>
      <c r="Y509">
        <v>1.89682758477526</v>
      </c>
      <c r="Z509">
        <v>1896.82758477526</v>
      </c>
      <c r="AA509">
        <v>4.5778055555555603</v>
      </c>
      <c r="AB509">
        <v>-74.166277777777793</v>
      </c>
      <c r="AC509">
        <v>2661</v>
      </c>
      <c r="AD509">
        <v>0</v>
      </c>
      <c r="AE509" t="s">
        <v>80</v>
      </c>
      <c r="AF509" t="s">
        <v>507</v>
      </c>
      <c r="AG509" t="s">
        <v>82</v>
      </c>
      <c r="AH509" t="s">
        <v>83</v>
      </c>
      <c r="AI509" t="s">
        <v>464</v>
      </c>
      <c r="AJ509">
        <v>0.55316797947801299</v>
      </c>
      <c r="AK509">
        <v>2.38800241014183</v>
      </c>
      <c r="AL509">
        <v>3.7793700338844798</v>
      </c>
      <c r="AM509">
        <v>0.196619503110049</v>
      </c>
      <c r="AN509">
        <v>1.70406947474591</v>
      </c>
      <c r="AO509">
        <v>0.17663246071983801</v>
      </c>
      <c r="AP509">
        <v>0.17663246071983801</v>
      </c>
      <c r="AQ509">
        <v>0</v>
      </c>
      <c r="AR509">
        <v>3</v>
      </c>
      <c r="AS509">
        <v>0</v>
      </c>
      <c r="AT509">
        <v>0</v>
      </c>
      <c r="AU509">
        <v>0</v>
      </c>
      <c r="AV509">
        <v>12</v>
      </c>
      <c r="AW509">
        <v>0</v>
      </c>
      <c r="AX509">
        <v>0</v>
      </c>
      <c r="AY509">
        <v>15.4</v>
      </c>
      <c r="AZ509">
        <v>7</v>
      </c>
      <c r="BA509">
        <v>23.6</v>
      </c>
      <c r="BB509">
        <v>558</v>
      </c>
      <c r="BC509">
        <v>68</v>
      </c>
      <c r="BD509">
        <v>2.7</v>
      </c>
      <c r="BE509">
        <v>182</v>
      </c>
      <c r="BF509">
        <v>22.2</v>
      </c>
      <c r="BG509">
        <v>128</v>
      </c>
      <c r="BH509">
        <v>8.8000000000000007</v>
      </c>
      <c r="BI509">
        <v>8.3000000000000007</v>
      </c>
      <c r="BJ509">
        <v>16.899999999999999</v>
      </c>
      <c r="BK509">
        <v>0.33</v>
      </c>
      <c r="BL509">
        <v>8.1999999999999993</v>
      </c>
      <c r="BM509">
        <v>0.9</v>
      </c>
      <c r="BN509">
        <v>12.2</v>
      </c>
      <c r="BO509">
        <v>1.6</v>
      </c>
      <c r="BP509">
        <f t="shared" si="14"/>
        <v>6.372661394150529</v>
      </c>
      <c r="BQ509">
        <f t="shared" si="15"/>
        <v>22.549724531971062</v>
      </c>
    </row>
    <row r="510" spans="1:69" hidden="1" x14ac:dyDescent="0.2">
      <c r="A510" t="s">
        <v>975</v>
      </c>
      <c r="B510" t="s">
        <v>68</v>
      </c>
      <c r="C510" t="s">
        <v>69</v>
      </c>
      <c r="D510" t="s">
        <v>70</v>
      </c>
      <c r="E510" t="s">
        <v>976</v>
      </c>
      <c r="F510">
        <v>3</v>
      </c>
      <c r="G510">
        <v>61</v>
      </c>
      <c r="H510">
        <v>3</v>
      </c>
      <c r="I510">
        <v>2</v>
      </c>
      <c r="J510">
        <v>1</v>
      </c>
      <c r="K510" t="s">
        <v>110</v>
      </c>
      <c r="L510" t="s">
        <v>133</v>
      </c>
      <c r="M510" s="4">
        <v>270000000</v>
      </c>
      <c r="N510">
        <v>0</v>
      </c>
      <c r="O510">
        <v>4.5862483980000004</v>
      </c>
      <c r="P510">
        <v>-74.161979680000002</v>
      </c>
      <c r="Q510" t="s">
        <v>977</v>
      </c>
      <c r="R510">
        <v>4426229.5080000004</v>
      </c>
      <c r="S510">
        <v>0</v>
      </c>
      <c r="T510" t="s">
        <v>978</v>
      </c>
      <c r="U510" t="s">
        <v>979</v>
      </c>
      <c r="V510" t="s">
        <v>77</v>
      </c>
      <c r="W510" t="s">
        <v>978</v>
      </c>
      <c r="X510" t="s">
        <v>980</v>
      </c>
      <c r="Y510">
        <v>1.05393951008576</v>
      </c>
      <c r="Z510">
        <v>1053.93951008576</v>
      </c>
      <c r="AA510">
        <v>4.5778055555555603</v>
      </c>
      <c r="AB510">
        <v>-74.166277777777793</v>
      </c>
      <c r="AC510">
        <v>2661</v>
      </c>
      <c r="AD510">
        <v>0</v>
      </c>
      <c r="AE510" t="s">
        <v>80</v>
      </c>
      <c r="AF510" t="s">
        <v>507</v>
      </c>
      <c r="AG510" t="s">
        <v>82</v>
      </c>
      <c r="AH510" t="s">
        <v>83</v>
      </c>
      <c r="AI510" t="s">
        <v>464</v>
      </c>
      <c r="AJ510">
        <v>1.10517031166941</v>
      </c>
      <c r="AK510">
        <v>2.07909995126104</v>
      </c>
      <c r="AL510">
        <v>2.6594873899805198</v>
      </c>
      <c r="AM510">
        <v>0.39962346268355903</v>
      </c>
      <c r="AN510">
        <v>1.01375767288408</v>
      </c>
      <c r="AO510">
        <v>0.181380293977844</v>
      </c>
      <c r="AP510">
        <v>0.181380293977844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15</v>
      </c>
      <c r="AW510">
        <v>0</v>
      </c>
      <c r="AX510">
        <v>0</v>
      </c>
      <c r="AY510">
        <v>15.4</v>
      </c>
      <c r="AZ510">
        <v>7</v>
      </c>
      <c r="BA510">
        <v>23.6</v>
      </c>
      <c r="BB510">
        <v>558</v>
      </c>
      <c r="BC510">
        <v>68</v>
      </c>
      <c r="BD510">
        <v>2.7</v>
      </c>
      <c r="BE510">
        <v>182</v>
      </c>
      <c r="BF510">
        <v>22.2</v>
      </c>
      <c r="BG510">
        <v>128</v>
      </c>
      <c r="BH510">
        <v>8.8000000000000007</v>
      </c>
      <c r="BI510">
        <v>8.3000000000000007</v>
      </c>
      <c r="BJ510">
        <v>16.899999999999999</v>
      </c>
      <c r="BK510">
        <v>0.33</v>
      </c>
      <c r="BL510">
        <v>8.1999999999999993</v>
      </c>
      <c r="BM510">
        <v>0.9</v>
      </c>
      <c r="BN510">
        <v>12.2</v>
      </c>
      <c r="BO510">
        <v>1.6</v>
      </c>
      <c r="BP510">
        <f t="shared" si="14"/>
        <v>6.6441724243688816</v>
      </c>
      <c r="BQ510">
        <f t="shared" si="15"/>
        <v>23.010535212893185</v>
      </c>
    </row>
    <row r="511" spans="1:69" hidden="1" x14ac:dyDescent="0.2">
      <c r="A511" t="s">
        <v>3255</v>
      </c>
      <c r="B511" t="s">
        <v>68</v>
      </c>
      <c r="C511" t="s">
        <v>1956</v>
      </c>
      <c r="D511" t="s">
        <v>70</v>
      </c>
      <c r="E511" t="s">
        <v>3256</v>
      </c>
      <c r="F511">
        <v>2</v>
      </c>
      <c r="G511">
        <v>60</v>
      </c>
      <c r="H511">
        <v>3</v>
      </c>
      <c r="I511">
        <v>3</v>
      </c>
      <c r="J511">
        <v>0</v>
      </c>
      <c r="K511" t="s">
        <v>110</v>
      </c>
      <c r="L511" t="s">
        <v>162</v>
      </c>
      <c r="M511" s="4">
        <v>265000000</v>
      </c>
      <c r="N511">
        <v>0</v>
      </c>
      <c r="O511">
        <v>4.5682023999999997</v>
      </c>
      <c r="P511">
        <v>-74.168298399999998</v>
      </c>
      <c r="Q511" t="s">
        <v>3257</v>
      </c>
      <c r="R511">
        <v>4416666.6670000004</v>
      </c>
      <c r="S511">
        <v>0</v>
      </c>
      <c r="T511" t="s">
        <v>978</v>
      </c>
      <c r="U511" t="s">
        <v>979</v>
      </c>
      <c r="V511" t="s">
        <v>77</v>
      </c>
      <c r="W511" t="s">
        <v>978</v>
      </c>
      <c r="X511" t="s">
        <v>980</v>
      </c>
      <c r="Y511">
        <v>1.09227939535421</v>
      </c>
      <c r="Z511">
        <v>1092.27939535421</v>
      </c>
      <c r="AA511">
        <v>4.5778055555555603</v>
      </c>
      <c r="AB511">
        <v>-74.166277777777793</v>
      </c>
      <c r="AC511">
        <v>2661</v>
      </c>
      <c r="AD511">
        <v>0</v>
      </c>
      <c r="AE511" t="s">
        <v>80</v>
      </c>
      <c r="AF511" t="s">
        <v>507</v>
      </c>
      <c r="AG511" t="s">
        <v>82</v>
      </c>
      <c r="AH511" t="s">
        <v>83</v>
      </c>
      <c r="AI511" t="s">
        <v>464</v>
      </c>
      <c r="AJ511">
        <v>3.0708896410076201</v>
      </c>
      <c r="AK511">
        <v>0.37219787806992599</v>
      </c>
      <c r="AL511">
        <v>4.2364868682809496</v>
      </c>
      <c r="AM511">
        <v>3.5239333886591402E-2</v>
      </c>
      <c r="AN511">
        <v>1.10173077771141</v>
      </c>
      <c r="AO511">
        <v>1.8991803037302201E-2</v>
      </c>
      <c r="AP511">
        <v>1.8991803037302201E-2</v>
      </c>
      <c r="AQ511">
        <v>0</v>
      </c>
      <c r="AR511">
        <v>0</v>
      </c>
      <c r="AS511">
        <v>3</v>
      </c>
      <c r="AT511">
        <v>6</v>
      </c>
      <c r="AU511">
        <v>0</v>
      </c>
      <c r="AV511">
        <v>2</v>
      </c>
      <c r="AW511">
        <v>0</v>
      </c>
      <c r="AX511">
        <v>0</v>
      </c>
      <c r="AY511">
        <v>15.4</v>
      </c>
      <c r="AZ511">
        <v>7</v>
      </c>
      <c r="BA511">
        <v>23.6</v>
      </c>
      <c r="BB511">
        <v>558</v>
      </c>
      <c r="BC511">
        <v>68</v>
      </c>
      <c r="BD511">
        <v>2.7</v>
      </c>
      <c r="BE511">
        <v>182</v>
      </c>
      <c r="BF511">
        <v>22.2</v>
      </c>
      <c r="BG511">
        <v>128</v>
      </c>
      <c r="BH511">
        <v>8.8000000000000007</v>
      </c>
      <c r="BI511">
        <v>8.3000000000000007</v>
      </c>
      <c r="BJ511">
        <v>16.899999999999999</v>
      </c>
      <c r="BK511">
        <v>0.33</v>
      </c>
      <c r="BL511">
        <v>8.1999999999999993</v>
      </c>
      <c r="BM511">
        <v>0.9</v>
      </c>
      <c r="BN511">
        <v>12.2</v>
      </c>
      <c r="BO511">
        <v>1.6</v>
      </c>
      <c r="BP511">
        <f t="shared" si="14"/>
        <v>6.6315749100659938</v>
      </c>
      <c r="BQ511">
        <f t="shared" si="15"/>
        <v>22.989371640572976</v>
      </c>
    </row>
    <row r="512" spans="1:69" hidden="1" x14ac:dyDescent="0.2">
      <c r="A512" t="s">
        <v>1039</v>
      </c>
      <c r="B512" t="s">
        <v>68</v>
      </c>
      <c r="C512" t="s">
        <v>69</v>
      </c>
      <c r="D512" t="s">
        <v>70</v>
      </c>
      <c r="E512" t="s">
        <v>1040</v>
      </c>
      <c r="F512">
        <v>4</v>
      </c>
      <c r="G512">
        <v>59</v>
      </c>
      <c r="H512">
        <v>3</v>
      </c>
      <c r="I512">
        <v>2</v>
      </c>
      <c r="J512">
        <v>1</v>
      </c>
      <c r="K512" t="s">
        <v>110</v>
      </c>
      <c r="L512" t="s">
        <v>162</v>
      </c>
      <c r="M512" s="4">
        <v>265000000</v>
      </c>
      <c r="N512">
        <v>0</v>
      </c>
      <c r="O512">
        <v>4.5878800000000002</v>
      </c>
      <c r="P512">
        <v>-74.162058400000006</v>
      </c>
      <c r="Q512" t="s">
        <v>1041</v>
      </c>
      <c r="R512">
        <v>4491525.4239999996</v>
      </c>
      <c r="S512">
        <v>0</v>
      </c>
      <c r="T512" t="s">
        <v>978</v>
      </c>
      <c r="U512" t="s">
        <v>979</v>
      </c>
      <c r="V512" t="s">
        <v>77</v>
      </c>
      <c r="W512" t="s">
        <v>978</v>
      </c>
      <c r="X512" t="s">
        <v>980</v>
      </c>
      <c r="Y512">
        <v>1.2152903492268701</v>
      </c>
      <c r="Z512">
        <v>1215.2903492268699</v>
      </c>
      <c r="AA512">
        <v>4.5778055555555603</v>
      </c>
      <c r="AB512">
        <v>-74.166277777777793</v>
      </c>
      <c r="AC512">
        <v>2661</v>
      </c>
      <c r="AD512">
        <v>0</v>
      </c>
      <c r="AE512" t="s">
        <v>80</v>
      </c>
      <c r="AF512" t="s">
        <v>507</v>
      </c>
      <c r="AG512" t="s">
        <v>82</v>
      </c>
      <c r="AH512" t="s">
        <v>83</v>
      </c>
      <c r="AI512" t="s">
        <v>464</v>
      </c>
      <c r="AJ512">
        <v>0.93166612641464996</v>
      </c>
      <c r="AK512">
        <v>2.2188659880483099</v>
      </c>
      <c r="AL512">
        <v>2.62601400613321</v>
      </c>
      <c r="AM512">
        <v>0.37330731013264101</v>
      </c>
      <c r="AN512">
        <v>1.18518034994471</v>
      </c>
      <c r="AO512">
        <v>0.141305591528849</v>
      </c>
      <c r="AP512">
        <v>0.141305591528849</v>
      </c>
      <c r="AQ512">
        <v>0</v>
      </c>
      <c r="AR512">
        <v>1</v>
      </c>
      <c r="AS512">
        <v>0</v>
      </c>
      <c r="AT512">
        <v>0</v>
      </c>
      <c r="AU512">
        <v>0</v>
      </c>
      <c r="AV512">
        <v>13</v>
      </c>
      <c r="AW512">
        <v>0</v>
      </c>
      <c r="AX512">
        <v>0</v>
      </c>
      <c r="AY512">
        <v>15.4</v>
      </c>
      <c r="AZ512">
        <v>7</v>
      </c>
      <c r="BA512">
        <v>23.6</v>
      </c>
      <c r="BB512">
        <v>558</v>
      </c>
      <c r="BC512">
        <v>68</v>
      </c>
      <c r="BD512">
        <v>2.7</v>
      </c>
      <c r="BE512">
        <v>182</v>
      </c>
      <c r="BF512">
        <v>22.2</v>
      </c>
      <c r="BG512">
        <v>128</v>
      </c>
      <c r="BH512">
        <v>8.8000000000000007</v>
      </c>
      <c r="BI512">
        <v>8.3000000000000007</v>
      </c>
      <c r="BJ512">
        <v>16.899999999999999</v>
      </c>
      <c r="BK512">
        <v>0.33</v>
      </c>
      <c r="BL512">
        <v>8.1999999999999993</v>
      </c>
      <c r="BM512">
        <v>0.9</v>
      </c>
      <c r="BN512">
        <v>12.2</v>
      </c>
      <c r="BO512">
        <v>1.6</v>
      </c>
      <c r="BP512">
        <f t="shared" si="14"/>
        <v>6.5913176589091966</v>
      </c>
      <c r="BQ512">
        <f t="shared" si="15"/>
        <v>22.92160105925586</v>
      </c>
    </row>
    <row r="513" spans="1:69" hidden="1" x14ac:dyDescent="0.2">
      <c r="A513" t="s">
        <v>1547</v>
      </c>
      <c r="B513" t="s">
        <v>68</v>
      </c>
      <c r="C513" t="s">
        <v>69</v>
      </c>
      <c r="D513" t="s">
        <v>70</v>
      </c>
      <c r="E513" t="s">
        <v>1040</v>
      </c>
      <c r="F513">
        <v>3</v>
      </c>
      <c r="G513">
        <v>59</v>
      </c>
      <c r="H513">
        <v>3</v>
      </c>
      <c r="I513">
        <v>2</v>
      </c>
      <c r="J513">
        <v>0</v>
      </c>
      <c r="K513" t="s">
        <v>110</v>
      </c>
      <c r="L513" t="s">
        <v>124</v>
      </c>
      <c r="M513" s="4">
        <v>231000000</v>
      </c>
      <c r="N513">
        <v>0</v>
      </c>
      <c r="O513">
        <v>4.5880808999999996</v>
      </c>
      <c r="P513">
        <v>-74.162083199999998</v>
      </c>
      <c r="Q513" t="s">
        <v>1548</v>
      </c>
      <c r="R513">
        <v>3915254.2370000002</v>
      </c>
      <c r="S513">
        <v>0</v>
      </c>
      <c r="T513" t="s">
        <v>978</v>
      </c>
      <c r="U513" t="s">
        <v>979</v>
      </c>
      <c r="V513" t="s">
        <v>77</v>
      </c>
      <c r="W513" t="s">
        <v>978</v>
      </c>
      <c r="X513" t="s">
        <v>980</v>
      </c>
      <c r="Y513">
        <v>1.2349183277448901</v>
      </c>
      <c r="Z513">
        <v>1234.9183277448899</v>
      </c>
      <c r="AA513">
        <v>4.5778055555555603</v>
      </c>
      <c r="AB513">
        <v>-74.166277777777793</v>
      </c>
      <c r="AC513">
        <v>2661</v>
      </c>
      <c r="AD513">
        <v>0</v>
      </c>
      <c r="AE513" t="s">
        <v>80</v>
      </c>
      <c r="AF513" t="s">
        <v>507</v>
      </c>
      <c r="AG513" t="s">
        <v>82</v>
      </c>
      <c r="AH513" t="s">
        <v>83</v>
      </c>
      <c r="AI513" t="s">
        <v>464</v>
      </c>
      <c r="AJ513">
        <v>0.90990059553175695</v>
      </c>
      <c r="AK513">
        <v>2.2355270963725502</v>
      </c>
      <c r="AL513">
        <v>2.6243665592835201</v>
      </c>
      <c r="AM513">
        <v>0.37433742277905202</v>
      </c>
      <c r="AN513">
        <v>1.2060735638657001</v>
      </c>
      <c r="AO513">
        <v>0.132046426262039</v>
      </c>
      <c r="AP513">
        <v>0.132046426262039</v>
      </c>
      <c r="AQ513">
        <v>0</v>
      </c>
      <c r="AR513">
        <v>1</v>
      </c>
      <c r="AS513">
        <v>0</v>
      </c>
      <c r="AT513">
        <v>0</v>
      </c>
      <c r="AU513">
        <v>0</v>
      </c>
      <c r="AV513">
        <v>13</v>
      </c>
      <c r="AW513">
        <v>0</v>
      </c>
      <c r="AX513">
        <v>0</v>
      </c>
      <c r="AY513">
        <v>15.4</v>
      </c>
      <c r="AZ513">
        <v>7</v>
      </c>
      <c r="BA513">
        <v>23.6</v>
      </c>
      <c r="BB513">
        <v>558</v>
      </c>
      <c r="BC513">
        <v>68</v>
      </c>
      <c r="BD513">
        <v>2.7</v>
      </c>
      <c r="BE513">
        <v>182</v>
      </c>
      <c r="BF513">
        <v>22.2</v>
      </c>
      <c r="BG513">
        <v>128</v>
      </c>
      <c r="BH513">
        <v>8.8000000000000007</v>
      </c>
      <c r="BI513">
        <v>8.3000000000000007</v>
      </c>
      <c r="BJ513">
        <v>16.899999999999999</v>
      </c>
      <c r="BK513">
        <v>0.33</v>
      </c>
      <c r="BL513">
        <v>8.1999999999999993</v>
      </c>
      <c r="BM513">
        <v>0.9</v>
      </c>
      <c r="BN513">
        <v>12.2</v>
      </c>
      <c r="BO513">
        <v>1.6</v>
      </c>
      <c r="BP513">
        <f t="shared" si="14"/>
        <v>6.584916743978968</v>
      </c>
      <c r="BQ513">
        <f t="shared" si="15"/>
        <v>22.910805889467262</v>
      </c>
    </row>
    <row r="514" spans="1:69" hidden="1" x14ac:dyDescent="0.2">
      <c r="A514" t="s">
        <v>1296</v>
      </c>
      <c r="B514" t="s">
        <v>68</v>
      </c>
      <c r="C514" t="s">
        <v>69</v>
      </c>
      <c r="D514" t="s">
        <v>70</v>
      </c>
      <c r="E514" t="s">
        <v>1297</v>
      </c>
      <c r="F514">
        <v>2</v>
      </c>
      <c r="G514">
        <v>45</v>
      </c>
      <c r="H514">
        <v>2</v>
      </c>
      <c r="I514">
        <v>2</v>
      </c>
      <c r="J514">
        <v>0</v>
      </c>
      <c r="K514" t="s">
        <v>110</v>
      </c>
      <c r="L514" t="s">
        <v>115</v>
      </c>
      <c r="M514" s="4">
        <v>210000000</v>
      </c>
      <c r="N514">
        <v>0</v>
      </c>
      <c r="O514">
        <v>4.588005066</v>
      </c>
      <c r="P514">
        <v>-74.162017820000003</v>
      </c>
      <c r="Q514" t="s">
        <v>1298</v>
      </c>
      <c r="R514">
        <v>4666666.6670000004</v>
      </c>
      <c r="S514">
        <v>0</v>
      </c>
      <c r="T514" t="s">
        <v>978</v>
      </c>
      <c r="U514" t="s">
        <v>979</v>
      </c>
      <c r="V514" t="s">
        <v>77</v>
      </c>
      <c r="W514" t="s">
        <v>978</v>
      </c>
      <c r="X514" t="s">
        <v>980</v>
      </c>
      <c r="Y514">
        <v>1.22987331642359</v>
      </c>
      <c r="Z514">
        <v>1229.87331642359</v>
      </c>
      <c r="AA514">
        <v>4.5778055555555603</v>
      </c>
      <c r="AB514">
        <v>-74.166277777777793</v>
      </c>
      <c r="AC514">
        <v>2661</v>
      </c>
      <c r="AD514">
        <v>0</v>
      </c>
      <c r="AE514" t="s">
        <v>80</v>
      </c>
      <c r="AF514" t="s">
        <v>507</v>
      </c>
      <c r="AG514" t="s">
        <v>82</v>
      </c>
      <c r="AH514" t="s">
        <v>83</v>
      </c>
      <c r="AI514" t="s">
        <v>464</v>
      </c>
      <c r="AJ514">
        <v>0.92030448700993195</v>
      </c>
      <c r="AK514">
        <v>2.23277369554238</v>
      </c>
      <c r="AL514">
        <v>2.6188728275957498</v>
      </c>
      <c r="AM514">
        <v>0.37990894170775302</v>
      </c>
      <c r="AN514">
        <v>1.1996821189312401</v>
      </c>
      <c r="AO514">
        <v>0.14144735990694099</v>
      </c>
      <c r="AP514">
        <v>0.14144735990694099</v>
      </c>
      <c r="AQ514">
        <v>0</v>
      </c>
      <c r="AR514">
        <v>1</v>
      </c>
      <c r="AS514">
        <v>0</v>
      </c>
      <c r="AT514">
        <v>0</v>
      </c>
      <c r="AU514">
        <v>0</v>
      </c>
      <c r="AV514">
        <v>13</v>
      </c>
      <c r="AW514">
        <v>0</v>
      </c>
      <c r="AX514">
        <v>0</v>
      </c>
      <c r="AY514">
        <v>15.4</v>
      </c>
      <c r="AZ514">
        <v>7</v>
      </c>
      <c r="BA514">
        <v>23.6</v>
      </c>
      <c r="BB514">
        <v>558</v>
      </c>
      <c r="BC514">
        <v>68</v>
      </c>
      <c r="BD514">
        <v>2.7</v>
      </c>
      <c r="BE514">
        <v>182</v>
      </c>
      <c r="BF514">
        <v>22.2</v>
      </c>
      <c r="BG514">
        <v>128</v>
      </c>
      <c r="BH514">
        <v>8.8000000000000007</v>
      </c>
      <c r="BI514">
        <v>8.3000000000000007</v>
      </c>
      <c r="BJ514">
        <v>16.899999999999999</v>
      </c>
      <c r="BK514">
        <v>0.33</v>
      </c>
      <c r="BL514">
        <v>8.1999999999999993</v>
      </c>
      <c r="BM514">
        <v>0.9</v>
      </c>
      <c r="BN514">
        <v>12.2</v>
      </c>
      <c r="BO514">
        <v>1.6</v>
      </c>
      <c r="BP514">
        <f t="shared" ref="BP514:BP577" si="16">+AZ514*EXP(-0.0495*Y514)</f>
        <v>6.5865613878136768</v>
      </c>
      <c r="BQ514">
        <f t="shared" ref="BQ514:BQ577" si="17">+BA514*EXP(-0.024*Y514)</f>
        <v>22.91358010401742</v>
      </c>
    </row>
    <row r="515" spans="1:69" hidden="1" x14ac:dyDescent="0.2">
      <c r="A515" t="s">
        <v>4673</v>
      </c>
      <c r="B515" t="s">
        <v>68</v>
      </c>
      <c r="C515" t="s">
        <v>3294</v>
      </c>
      <c r="D515" t="s">
        <v>70</v>
      </c>
      <c r="E515" t="s">
        <v>934</v>
      </c>
      <c r="F515">
        <v>2</v>
      </c>
      <c r="G515">
        <v>31.71</v>
      </c>
      <c r="H515">
        <v>1</v>
      </c>
      <c r="I515">
        <v>1</v>
      </c>
      <c r="J515">
        <v>0</v>
      </c>
      <c r="K515" t="s">
        <v>110</v>
      </c>
      <c r="L515" t="s">
        <v>111</v>
      </c>
      <c r="M515" s="4">
        <v>215000000</v>
      </c>
      <c r="N515">
        <v>0</v>
      </c>
      <c r="O515">
        <v>4.5951605000000004</v>
      </c>
      <c r="P515">
        <v>-74.169979999999995</v>
      </c>
      <c r="Q515" t="s">
        <v>4674</v>
      </c>
      <c r="R515">
        <v>6780195.5219999999</v>
      </c>
      <c r="S515">
        <v>0</v>
      </c>
      <c r="T515" t="s">
        <v>978</v>
      </c>
      <c r="U515" t="s">
        <v>979</v>
      </c>
      <c r="V515" t="s">
        <v>77</v>
      </c>
      <c r="W515" t="s">
        <v>978</v>
      </c>
      <c r="X515" t="s">
        <v>980</v>
      </c>
      <c r="Y515">
        <v>1.9751381336368801</v>
      </c>
      <c r="Z515">
        <v>1975.13813363688</v>
      </c>
      <c r="AA515">
        <v>4.5778055555555603</v>
      </c>
      <c r="AB515">
        <v>-74.166277777777793</v>
      </c>
      <c r="AC515">
        <v>2661</v>
      </c>
      <c r="AD515">
        <v>0</v>
      </c>
      <c r="AE515" t="s">
        <v>80</v>
      </c>
      <c r="AF515" t="s">
        <v>507</v>
      </c>
      <c r="AG515" t="s">
        <v>82</v>
      </c>
      <c r="AH515" t="s">
        <v>83</v>
      </c>
      <c r="AI515" t="s">
        <v>464</v>
      </c>
      <c r="AJ515">
        <v>0.21070596630020799</v>
      </c>
      <c r="AK515">
        <v>2.61915078006813</v>
      </c>
      <c r="AL515">
        <v>3.4628564524207999</v>
      </c>
      <c r="AM515">
        <v>0.17402495314361999</v>
      </c>
      <c r="AN515">
        <v>1.9439599602617701</v>
      </c>
      <c r="AO515">
        <v>3.1595399878037301E-3</v>
      </c>
      <c r="AP515">
        <v>3.1595399878037301E-3</v>
      </c>
      <c r="AQ515">
        <v>1</v>
      </c>
      <c r="AR515">
        <v>2</v>
      </c>
      <c r="AS515">
        <v>0</v>
      </c>
      <c r="AT515">
        <v>0</v>
      </c>
      <c r="AU515">
        <v>0</v>
      </c>
      <c r="AV515">
        <v>11</v>
      </c>
      <c r="AW515">
        <v>0</v>
      </c>
      <c r="AX515">
        <v>0</v>
      </c>
      <c r="AY515">
        <v>15.4</v>
      </c>
      <c r="AZ515">
        <v>7</v>
      </c>
      <c r="BA515">
        <v>23.6</v>
      </c>
      <c r="BB515">
        <v>558</v>
      </c>
      <c r="BC515">
        <v>68</v>
      </c>
      <c r="BD515">
        <v>2.7</v>
      </c>
      <c r="BE515">
        <v>182</v>
      </c>
      <c r="BF515">
        <v>22.2</v>
      </c>
      <c r="BG515">
        <v>128</v>
      </c>
      <c r="BH515">
        <v>8.8000000000000007</v>
      </c>
      <c r="BI515">
        <v>8.3000000000000007</v>
      </c>
      <c r="BJ515">
        <v>16.899999999999999</v>
      </c>
      <c r="BK515">
        <v>0.33</v>
      </c>
      <c r="BL515">
        <v>8.1999999999999993</v>
      </c>
      <c r="BM515">
        <v>0.9</v>
      </c>
      <c r="BN515">
        <v>12.2</v>
      </c>
      <c r="BO515">
        <v>1.6</v>
      </c>
      <c r="BP515">
        <f t="shared" si="16"/>
        <v>6.3480064037140718</v>
      </c>
      <c r="BQ515">
        <f t="shared" si="17"/>
        <v>22.507383182411981</v>
      </c>
    </row>
    <row r="516" spans="1:69" x14ac:dyDescent="0.2">
      <c r="A516" t="s">
        <v>3094</v>
      </c>
      <c r="B516" t="s">
        <v>68</v>
      </c>
      <c r="C516" t="s">
        <v>1956</v>
      </c>
      <c r="D516" t="s">
        <v>70</v>
      </c>
      <c r="E516" t="s">
        <v>3095</v>
      </c>
      <c r="F516">
        <v>3</v>
      </c>
      <c r="G516">
        <v>437</v>
      </c>
      <c r="H516">
        <v>5</v>
      </c>
      <c r="I516">
        <v>5</v>
      </c>
      <c r="J516">
        <v>1</v>
      </c>
      <c r="K516" t="s">
        <v>110</v>
      </c>
      <c r="L516" t="s">
        <v>162</v>
      </c>
      <c r="M516" s="4">
        <v>630000000</v>
      </c>
      <c r="N516">
        <v>0</v>
      </c>
      <c r="O516">
        <v>4.6801620000000002</v>
      </c>
      <c r="P516">
        <v>-74.139269999999996</v>
      </c>
      <c r="Q516" t="s">
        <v>3096</v>
      </c>
      <c r="R516">
        <v>1441647.5970000001</v>
      </c>
      <c r="S516">
        <v>0</v>
      </c>
      <c r="T516" t="s">
        <v>98</v>
      </c>
      <c r="U516" t="s">
        <v>525</v>
      </c>
      <c r="V516" t="s">
        <v>77</v>
      </c>
      <c r="W516" t="s">
        <v>98</v>
      </c>
      <c r="X516" t="s">
        <v>526</v>
      </c>
      <c r="Y516">
        <v>0.54815539724571305</v>
      </c>
      <c r="Z516">
        <v>548.15539724571295</v>
      </c>
      <c r="AA516">
        <v>4.6782416666666702</v>
      </c>
      <c r="AB516">
        <v>-74.143819444444404</v>
      </c>
      <c r="AC516">
        <v>2551</v>
      </c>
      <c r="AD516">
        <v>11</v>
      </c>
      <c r="AE516" t="s">
        <v>80</v>
      </c>
      <c r="AF516" t="s">
        <v>81</v>
      </c>
      <c r="AG516" t="s">
        <v>82</v>
      </c>
      <c r="AH516" t="s">
        <v>83</v>
      </c>
      <c r="AI516" t="s">
        <v>92</v>
      </c>
      <c r="AJ516">
        <v>1.98826594815728</v>
      </c>
      <c r="AK516">
        <v>2.4791232010890498</v>
      </c>
      <c r="AL516">
        <v>0.24899229797297101</v>
      </c>
      <c r="AM516">
        <v>5.7024947187384399E-2</v>
      </c>
      <c r="AN516">
        <v>1.6557476511878</v>
      </c>
      <c r="AO516">
        <v>0.12164951402839801</v>
      </c>
      <c r="AP516">
        <v>0.12164951402839801</v>
      </c>
      <c r="AQ516">
        <v>0</v>
      </c>
      <c r="AR516">
        <v>0</v>
      </c>
      <c r="AS516">
        <v>0</v>
      </c>
      <c r="AT516">
        <v>0</v>
      </c>
      <c r="AU516">
        <v>1</v>
      </c>
      <c r="AV516">
        <v>27</v>
      </c>
      <c r="AW516">
        <v>0</v>
      </c>
      <c r="AX516">
        <v>0</v>
      </c>
      <c r="AY516">
        <v>15.8</v>
      </c>
      <c r="AZ516">
        <v>17.100000000000001</v>
      </c>
      <c r="BA516">
        <v>23</v>
      </c>
      <c r="BB516">
        <v>565</v>
      </c>
      <c r="BC516">
        <v>68</v>
      </c>
      <c r="BD516">
        <v>2.2999999999999998</v>
      </c>
      <c r="BE516">
        <v>68</v>
      </c>
      <c r="BF516">
        <v>17.600000000000001</v>
      </c>
      <c r="BG516">
        <v>162</v>
      </c>
      <c r="BH516">
        <v>19.7</v>
      </c>
      <c r="BI516">
        <v>16.7</v>
      </c>
      <c r="BJ516">
        <v>36.4</v>
      </c>
      <c r="BK516">
        <v>0.66</v>
      </c>
      <c r="BL516">
        <v>5.6</v>
      </c>
      <c r="BM516">
        <v>1.5</v>
      </c>
      <c r="BN516">
        <v>7.5</v>
      </c>
      <c r="BO516">
        <v>2.9</v>
      </c>
      <c r="BP516">
        <f t="shared" si="16"/>
        <v>16.642252142633929</v>
      </c>
      <c r="BQ516">
        <f t="shared" si="17"/>
        <v>22.699399863242498</v>
      </c>
    </row>
    <row r="517" spans="1:69" x14ac:dyDescent="0.2">
      <c r="A517" t="s">
        <v>2931</v>
      </c>
      <c r="B517" t="s">
        <v>68</v>
      </c>
      <c r="C517" t="s">
        <v>1956</v>
      </c>
      <c r="D517" t="s">
        <v>70</v>
      </c>
      <c r="E517" t="s">
        <v>2932</v>
      </c>
      <c r="F517">
        <v>2</v>
      </c>
      <c r="G517">
        <v>428</v>
      </c>
      <c r="H517">
        <v>5</v>
      </c>
      <c r="I517">
        <v>5</v>
      </c>
      <c r="J517">
        <v>2</v>
      </c>
      <c r="K517" t="s">
        <v>110</v>
      </c>
      <c r="L517" t="s">
        <v>162</v>
      </c>
      <c r="M517" s="4">
        <v>1280000000</v>
      </c>
      <c r="N517">
        <v>0</v>
      </c>
      <c r="O517">
        <v>4.7004599999999996</v>
      </c>
      <c r="P517">
        <v>-74.123270000000005</v>
      </c>
      <c r="Q517" t="s">
        <v>2933</v>
      </c>
      <c r="R517">
        <v>2990654.2059999998</v>
      </c>
      <c r="S517">
        <v>0</v>
      </c>
      <c r="T517" t="s">
        <v>98</v>
      </c>
      <c r="U517" t="s">
        <v>525</v>
      </c>
      <c r="V517" t="s">
        <v>77</v>
      </c>
      <c r="W517" t="s">
        <v>98</v>
      </c>
      <c r="X517" t="s">
        <v>526</v>
      </c>
      <c r="Y517">
        <v>3.3638231347551701</v>
      </c>
      <c r="Z517">
        <v>3363.82313475517</v>
      </c>
      <c r="AA517">
        <v>4.6782416666666702</v>
      </c>
      <c r="AB517">
        <v>-74.143819444444404</v>
      </c>
      <c r="AC517">
        <v>2551</v>
      </c>
      <c r="AD517">
        <v>11</v>
      </c>
      <c r="AE517" t="s">
        <v>80</v>
      </c>
      <c r="AF517" t="s">
        <v>81</v>
      </c>
      <c r="AG517" t="s">
        <v>82</v>
      </c>
      <c r="AH517" t="s">
        <v>83</v>
      </c>
      <c r="AI517" t="s">
        <v>412</v>
      </c>
      <c r="AJ517">
        <v>1.7535856698440999</v>
      </c>
      <c r="AK517">
        <v>2.6362482055852601</v>
      </c>
      <c r="AL517">
        <v>1.91658730305886</v>
      </c>
      <c r="AM517">
        <v>0.34294366644449698</v>
      </c>
      <c r="AN517">
        <v>2.1410053165120999</v>
      </c>
      <c r="AO517">
        <v>1.8070956051385902E-2</v>
      </c>
      <c r="AP517">
        <v>1.8070956051385902E-2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16</v>
      </c>
      <c r="AW517">
        <v>0</v>
      </c>
      <c r="AX517">
        <v>0</v>
      </c>
      <c r="AY517">
        <v>15.8</v>
      </c>
      <c r="AZ517">
        <v>17.100000000000001</v>
      </c>
      <c r="BA517">
        <v>23</v>
      </c>
      <c r="BB517">
        <v>565</v>
      </c>
      <c r="BC517">
        <v>68</v>
      </c>
      <c r="BD517">
        <v>2.2999999999999998</v>
      </c>
      <c r="BE517">
        <v>68</v>
      </c>
      <c r="BF517">
        <v>17.600000000000001</v>
      </c>
      <c r="BG517">
        <v>162</v>
      </c>
      <c r="BH517">
        <v>19.7</v>
      </c>
      <c r="BI517">
        <v>16.7</v>
      </c>
      <c r="BJ517">
        <v>36.4</v>
      </c>
      <c r="BK517">
        <v>0.66</v>
      </c>
      <c r="BL517">
        <v>5.6</v>
      </c>
      <c r="BM517">
        <v>1.5</v>
      </c>
      <c r="BN517">
        <v>7.5</v>
      </c>
      <c r="BO517">
        <v>2.9</v>
      </c>
      <c r="BP517">
        <f t="shared" si="16"/>
        <v>14.477116325570261</v>
      </c>
      <c r="BQ517">
        <f t="shared" si="17"/>
        <v>21.216145259905701</v>
      </c>
    </row>
    <row r="518" spans="1:69" x14ac:dyDescent="0.2">
      <c r="A518" t="s">
        <v>3226</v>
      </c>
      <c r="B518" t="s">
        <v>68</v>
      </c>
      <c r="C518" t="s">
        <v>1956</v>
      </c>
      <c r="D518" t="s">
        <v>70</v>
      </c>
      <c r="E518" t="s">
        <v>3227</v>
      </c>
      <c r="F518">
        <v>3</v>
      </c>
      <c r="G518">
        <v>357</v>
      </c>
      <c r="H518">
        <v>5</v>
      </c>
      <c r="I518">
        <v>5</v>
      </c>
      <c r="J518">
        <v>1</v>
      </c>
      <c r="K518" t="s">
        <v>110</v>
      </c>
      <c r="L518" t="s">
        <v>111</v>
      </c>
      <c r="M518" s="4">
        <v>690000000</v>
      </c>
      <c r="N518">
        <v>0</v>
      </c>
      <c r="O518">
        <v>4.6692309380000001</v>
      </c>
      <c r="P518">
        <v>-74.144699099999997</v>
      </c>
      <c r="Q518" t="s">
        <v>3228</v>
      </c>
      <c r="R518">
        <v>1932773.1089999999</v>
      </c>
      <c r="S518">
        <v>0</v>
      </c>
      <c r="T518" t="s">
        <v>96</v>
      </c>
      <c r="U518" t="s">
        <v>97</v>
      </c>
      <c r="V518" t="s">
        <v>77</v>
      </c>
      <c r="W518" t="s">
        <v>98</v>
      </c>
      <c r="X518" t="s">
        <v>99</v>
      </c>
      <c r="Y518">
        <v>0.443414226381871</v>
      </c>
      <c r="Z518">
        <v>443.414226381871</v>
      </c>
      <c r="AA518">
        <v>4.6680000000000001</v>
      </c>
      <c r="AB518">
        <v>-74.148499999999999</v>
      </c>
      <c r="AC518">
        <v>2547</v>
      </c>
      <c r="AD518">
        <v>0</v>
      </c>
      <c r="AE518" t="s">
        <v>80</v>
      </c>
      <c r="AF518" t="s">
        <v>100</v>
      </c>
      <c r="AG518" t="s">
        <v>82</v>
      </c>
      <c r="AH518" t="s">
        <v>83</v>
      </c>
      <c r="AI518" t="s">
        <v>92</v>
      </c>
      <c r="AJ518">
        <v>2.92419276326773</v>
      </c>
      <c r="AK518">
        <v>1.46977138603262</v>
      </c>
      <c r="AL518">
        <v>1.5934472279242</v>
      </c>
      <c r="AM518">
        <v>0.10004530080424801</v>
      </c>
      <c r="AN518">
        <v>0.477868573224281</v>
      </c>
      <c r="AO518">
        <v>0.14576193514633501</v>
      </c>
      <c r="AP518">
        <v>0.14576193514633501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27</v>
      </c>
      <c r="AW518">
        <v>1</v>
      </c>
      <c r="AX518">
        <v>0</v>
      </c>
      <c r="AY518">
        <v>15.8</v>
      </c>
      <c r="AZ518">
        <v>17.100000000000001</v>
      </c>
      <c r="BA518">
        <v>23</v>
      </c>
      <c r="BB518">
        <v>565</v>
      </c>
      <c r="BC518">
        <v>68</v>
      </c>
      <c r="BD518">
        <v>2.2999999999999998</v>
      </c>
      <c r="BE518">
        <v>68</v>
      </c>
      <c r="BF518">
        <v>17.600000000000001</v>
      </c>
      <c r="BG518">
        <v>162</v>
      </c>
      <c r="BH518">
        <v>19.7</v>
      </c>
      <c r="BI518">
        <v>16.7</v>
      </c>
      <c r="BJ518">
        <v>36.4</v>
      </c>
      <c r="BK518">
        <v>0.66</v>
      </c>
      <c r="BL518">
        <v>5.6</v>
      </c>
      <c r="BM518">
        <v>1.5</v>
      </c>
      <c r="BN518">
        <v>7.5</v>
      </c>
      <c r="BO518">
        <v>2.9</v>
      </c>
      <c r="BP518">
        <f t="shared" si="16"/>
        <v>16.728761094080156</v>
      </c>
      <c r="BQ518">
        <f t="shared" si="17"/>
        <v>22.756533124883074</v>
      </c>
    </row>
    <row r="519" spans="1:69" x14ac:dyDescent="0.2">
      <c r="A519" t="s">
        <v>2638</v>
      </c>
      <c r="B519" t="s">
        <v>68</v>
      </c>
      <c r="C519" t="s">
        <v>1956</v>
      </c>
      <c r="D519" t="s">
        <v>70</v>
      </c>
      <c r="E519" t="s">
        <v>171</v>
      </c>
      <c r="F519">
        <v>4</v>
      </c>
      <c r="G519">
        <v>305</v>
      </c>
      <c r="H519">
        <v>5</v>
      </c>
      <c r="I519">
        <v>5</v>
      </c>
      <c r="J519">
        <v>3</v>
      </c>
      <c r="K519" t="s">
        <v>110</v>
      </c>
      <c r="L519" t="s">
        <v>162</v>
      </c>
      <c r="M519" s="4">
        <v>1299000000</v>
      </c>
      <c r="N519">
        <v>0</v>
      </c>
      <c r="O519">
        <v>4.6707109999999998</v>
      </c>
      <c r="P519">
        <v>-74.117776399999997</v>
      </c>
      <c r="Q519" t="s">
        <v>2639</v>
      </c>
      <c r="R519">
        <v>4259016.3930000002</v>
      </c>
      <c r="S519">
        <v>0</v>
      </c>
      <c r="T519" t="s">
        <v>98</v>
      </c>
      <c r="U519" t="s">
        <v>525</v>
      </c>
      <c r="V519" t="s">
        <v>77</v>
      </c>
      <c r="W519" t="s">
        <v>98</v>
      </c>
      <c r="X519" t="s">
        <v>526</v>
      </c>
      <c r="Y519">
        <v>3.0086070383389001</v>
      </c>
      <c r="Z519">
        <v>3008.6070383389001</v>
      </c>
      <c r="AA519">
        <v>4.6782416666666702</v>
      </c>
      <c r="AB519">
        <v>-74.143819444444404</v>
      </c>
      <c r="AC519">
        <v>2551</v>
      </c>
      <c r="AD519">
        <v>11</v>
      </c>
      <c r="AE519" t="s">
        <v>80</v>
      </c>
      <c r="AF519" t="s">
        <v>81</v>
      </c>
      <c r="AG519" t="s">
        <v>82</v>
      </c>
      <c r="AH519" t="s">
        <v>83</v>
      </c>
      <c r="AI519" t="s">
        <v>92</v>
      </c>
      <c r="AJ519">
        <v>0.48180040807630797</v>
      </c>
      <c r="AK519">
        <v>4.4553613753153698</v>
      </c>
      <c r="AL519">
        <v>1.87304164564644</v>
      </c>
      <c r="AM519">
        <v>0.28532167921382701</v>
      </c>
      <c r="AN519">
        <v>2.19345785048939</v>
      </c>
      <c r="AO519">
        <v>0.22908225412501601</v>
      </c>
      <c r="AP519">
        <v>0.22908225412501601</v>
      </c>
      <c r="AQ519">
        <v>1</v>
      </c>
      <c r="AR519">
        <v>2</v>
      </c>
      <c r="AS519">
        <v>0</v>
      </c>
      <c r="AT519">
        <v>0</v>
      </c>
      <c r="AU519">
        <v>0</v>
      </c>
      <c r="AV519">
        <v>30</v>
      </c>
      <c r="AW519">
        <v>0</v>
      </c>
      <c r="AX519">
        <v>0</v>
      </c>
      <c r="AY519">
        <v>15.8</v>
      </c>
      <c r="AZ519">
        <v>17.100000000000001</v>
      </c>
      <c r="BA519">
        <v>23</v>
      </c>
      <c r="BB519">
        <v>565</v>
      </c>
      <c r="BC519">
        <v>68</v>
      </c>
      <c r="BD519">
        <v>2.2999999999999998</v>
      </c>
      <c r="BE519">
        <v>68</v>
      </c>
      <c r="BF519">
        <v>17.600000000000001</v>
      </c>
      <c r="BG519">
        <v>162</v>
      </c>
      <c r="BH519">
        <v>19.7</v>
      </c>
      <c r="BI519">
        <v>16.7</v>
      </c>
      <c r="BJ519">
        <v>36.4</v>
      </c>
      <c r="BK519">
        <v>0.66</v>
      </c>
      <c r="BL519">
        <v>5.6</v>
      </c>
      <c r="BM519">
        <v>1.5</v>
      </c>
      <c r="BN519">
        <v>7.5</v>
      </c>
      <c r="BO519">
        <v>2.9</v>
      </c>
      <c r="BP519">
        <f t="shared" si="16"/>
        <v>14.73392142158063</v>
      </c>
      <c r="BQ519">
        <f t="shared" si="17"/>
        <v>21.397790028717278</v>
      </c>
    </row>
    <row r="520" spans="1:69" x14ac:dyDescent="0.2">
      <c r="A520" t="s">
        <v>2662</v>
      </c>
      <c r="B520" t="s">
        <v>68</v>
      </c>
      <c r="C520" t="s">
        <v>1956</v>
      </c>
      <c r="D520" t="s">
        <v>70</v>
      </c>
      <c r="E520" t="s">
        <v>2663</v>
      </c>
      <c r="F520">
        <v>3</v>
      </c>
      <c r="G520">
        <v>300</v>
      </c>
      <c r="H520">
        <v>5</v>
      </c>
      <c r="I520">
        <v>5</v>
      </c>
      <c r="J520">
        <v>0</v>
      </c>
      <c r="K520" t="s">
        <v>110</v>
      </c>
      <c r="L520" t="s">
        <v>162</v>
      </c>
      <c r="M520" s="4">
        <v>690000000</v>
      </c>
      <c r="N520">
        <v>0</v>
      </c>
      <c r="O520">
        <v>4.6943356999999999</v>
      </c>
      <c r="P520">
        <v>-74.109344199999995</v>
      </c>
      <c r="Q520" t="s">
        <v>2664</v>
      </c>
      <c r="R520">
        <v>2300000</v>
      </c>
      <c r="S520">
        <v>0</v>
      </c>
      <c r="T520" t="s">
        <v>98</v>
      </c>
      <c r="U520" t="s">
        <v>525</v>
      </c>
      <c r="V520" t="s">
        <v>77</v>
      </c>
      <c r="W520" t="s">
        <v>98</v>
      </c>
      <c r="X520" t="s">
        <v>526</v>
      </c>
      <c r="Y520">
        <v>4.2237305127908202</v>
      </c>
      <c r="Z520">
        <v>4223.7305127908203</v>
      </c>
      <c r="AA520">
        <v>4.6782416666666702</v>
      </c>
      <c r="AB520">
        <v>-74.143819444444404</v>
      </c>
      <c r="AC520">
        <v>2551</v>
      </c>
      <c r="AD520">
        <v>11</v>
      </c>
      <c r="AE520" t="s">
        <v>80</v>
      </c>
      <c r="AF520" t="s">
        <v>81</v>
      </c>
      <c r="AG520" t="s">
        <v>82</v>
      </c>
      <c r="AH520" t="s">
        <v>83</v>
      </c>
      <c r="AI520" t="s">
        <v>412</v>
      </c>
      <c r="AJ520">
        <v>1.25843336788802</v>
      </c>
      <c r="AK520">
        <v>3.8498295426474298</v>
      </c>
      <c r="AL520">
        <v>0.25842400207664301</v>
      </c>
      <c r="AM520">
        <v>0.18530012736858301</v>
      </c>
      <c r="AN520">
        <v>0.88039859883028004</v>
      </c>
      <c r="AO520">
        <v>6.0527192218848801E-2</v>
      </c>
      <c r="AP520">
        <v>6.0527192218848801E-2</v>
      </c>
      <c r="AQ520">
        <v>0</v>
      </c>
      <c r="AR520">
        <v>0</v>
      </c>
      <c r="AS520">
        <v>0</v>
      </c>
      <c r="AT520">
        <v>0</v>
      </c>
      <c r="AU520">
        <v>1</v>
      </c>
      <c r="AV520">
        <v>11</v>
      </c>
      <c r="AW520">
        <v>1</v>
      </c>
      <c r="AX520">
        <v>0</v>
      </c>
      <c r="AY520">
        <v>15.8</v>
      </c>
      <c r="AZ520">
        <v>17.100000000000001</v>
      </c>
      <c r="BA520">
        <v>23</v>
      </c>
      <c r="BB520">
        <v>565</v>
      </c>
      <c r="BC520">
        <v>68</v>
      </c>
      <c r="BD520">
        <v>2.2999999999999998</v>
      </c>
      <c r="BE520">
        <v>68</v>
      </c>
      <c r="BF520">
        <v>17.600000000000001</v>
      </c>
      <c r="BG520">
        <v>162</v>
      </c>
      <c r="BH520">
        <v>19.7</v>
      </c>
      <c r="BI520">
        <v>16.7</v>
      </c>
      <c r="BJ520">
        <v>36.4</v>
      </c>
      <c r="BK520">
        <v>0.66</v>
      </c>
      <c r="BL520">
        <v>5.6</v>
      </c>
      <c r="BM520">
        <v>1.5</v>
      </c>
      <c r="BN520">
        <v>7.5</v>
      </c>
      <c r="BO520">
        <v>2.9</v>
      </c>
      <c r="BP520">
        <f t="shared" si="16"/>
        <v>13.873822665917899</v>
      </c>
      <c r="BQ520">
        <f t="shared" si="17"/>
        <v>20.782778429154625</v>
      </c>
    </row>
    <row r="521" spans="1:69" x14ac:dyDescent="0.2">
      <c r="A521" t="s">
        <v>2479</v>
      </c>
      <c r="B521" t="s">
        <v>68</v>
      </c>
      <c r="C521" t="s">
        <v>1956</v>
      </c>
      <c r="D521" t="s">
        <v>70</v>
      </c>
      <c r="E521" t="s">
        <v>73</v>
      </c>
      <c r="F521">
        <v>3</v>
      </c>
      <c r="G521">
        <v>300</v>
      </c>
      <c r="H521">
        <v>5</v>
      </c>
      <c r="I521">
        <v>5</v>
      </c>
      <c r="J521">
        <v>0</v>
      </c>
      <c r="K521" t="s">
        <v>110</v>
      </c>
      <c r="L521" t="s">
        <v>162</v>
      </c>
      <c r="M521" s="4">
        <v>690000000</v>
      </c>
      <c r="N521">
        <v>0</v>
      </c>
      <c r="O521">
        <v>4.694335938</v>
      </c>
      <c r="P521">
        <v>-74.109344480000004</v>
      </c>
      <c r="Q521" t="s">
        <v>2480</v>
      </c>
      <c r="R521">
        <v>2300000</v>
      </c>
      <c r="S521">
        <v>0</v>
      </c>
      <c r="T521" t="s">
        <v>98</v>
      </c>
      <c r="U521" t="s">
        <v>525</v>
      </c>
      <c r="V521" t="s">
        <v>77</v>
      </c>
      <c r="W521" t="s">
        <v>98</v>
      </c>
      <c r="X521" t="s">
        <v>526</v>
      </c>
      <c r="Y521">
        <v>4.2237136181819404</v>
      </c>
      <c r="Z521">
        <v>4223.7136181819396</v>
      </c>
      <c r="AA521">
        <v>4.6782416666666702</v>
      </c>
      <c r="AB521">
        <v>-74.143819444444404</v>
      </c>
      <c r="AC521">
        <v>2551</v>
      </c>
      <c r="AD521">
        <v>11</v>
      </c>
      <c r="AE521" t="s">
        <v>80</v>
      </c>
      <c r="AF521" t="s">
        <v>81</v>
      </c>
      <c r="AG521" t="s">
        <v>82</v>
      </c>
      <c r="AH521" t="s">
        <v>83</v>
      </c>
      <c r="AI521" t="s">
        <v>412</v>
      </c>
      <c r="AJ521">
        <v>1.2584225651469401</v>
      </c>
      <c r="AK521">
        <v>3.84979113757027</v>
      </c>
      <c r="AL521">
        <v>0.25846378631531702</v>
      </c>
      <c r="AM521">
        <v>0.185269963206382</v>
      </c>
      <c r="AN521">
        <v>0.88043895096346603</v>
      </c>
      <c r="AO521">
        <v>6.0520799989612399E-2</v>
      </c>
      <c r="AP521">
        <v>6.0520799989612399E-2</v>
      </c>
      <c r="AQ521">
        <v>0</v>
      </c>
      <c r="AR521">
        <v>0</v>
      </c>
      <c r="AS521">
        <v>0</v>
      </c>
      <c r="AT521">
        <v>0</v>
      </c>
      <c r="AU521">
        <v>1</v>
      </c>
      <c r="AV521">
        <v>11</v>
      </c>
      <c r="AW521">
        <v>1</v>
      </c>
      <c r="AX521">
        <v>0</v>
      </c>
      <c r="AY521">
        <v>15.8</v>
      </c>
      <c r="AZ521">
        <v>17.100000000000001</v>
      </c>
      <c r="BA521">
        <v>23</v>
      </c>
      <c r="BB521">
        <v>565</v>
      </c>
      <c r="BC521">
        <v>68</v>
      </c>
      <c r="BD521">
        <v>2.2999999999999998</v>
      </c>
      <c r="BE521">
        <v>68</v>
      </c>
      <c r="BF521">
        <v>17.600000000000001</v>
      </c>
      <c r="BG521">
        <v>162</v>
      </c>
      <c r="BH521">
        <v>19.7</v>
      </c>
      <c r="BI521">
        <v>16.7</v>
      </c>
      <c r="BJ521">
        <v>36.4</v>
      </c>
      <c r="BK521">
        <v>0.66</v>
      </c>
      <c r="BL521">
        <v>5.6</v>
      </c>
      <c r="BM521">
        <v>1.5</v>
      </c>
      <c r="BN521">
        <v>7.5</v>
      </c>
      <c r="BO521">
        <v>2.9</v>
      </c>
      <c r="BP521">
        <f t="shared" si="16"/>
        <v>13.873834268366728</v>
      </c>
      <c r="BQ521">
        <f t="shared" si="17"/>
        <v>20.782786855962247</v>
      </c>
    </row>
    <row r="522" spans="1:69" x14ac:dyDescent="0.2">
      <c r="A522" t="s">
        <v>2549</v>
      </c>
      <c r="B522" t="s">
        <v>68</v>
      </c>
      <c r="C522" t="s">
        <v>1956</v>
      </c>
      <c r="D522" t="s">
        <v>70</v>
      </c>
      <c r="E522" t="s">
        <v>2550</v>
      </c>
      <c r="F522">
        <v>3</v>
      </c>
      <c r="G522">
        <v>270</v>
      </c>
      <c r="H522">
        <v>5</v>
      </c>
      <c r="I522">
        <v>4</v>
      </c>
      <c r="J522">
        <v>2</v>
      </c>
      <c r="K522" t="s">
        <v>110</v>
      </c>
      <c r="L522" t="s">
        <v>162</v>
      </c>
      <c r="M522" s="4">
        <v>750000000</v>
      </c>
      <c r="N522">
        <v>0</v>
      </c>
      <c r="O522">
        <v>4.6816683430000001</v>
      </c>
      <c r="P522">
        <v>-74.109606740000004</v>
      </c>
      <c r="Q522" t="s">
        <v>2551</v>
      </c>
      <c r="R522">
        <v>2777777.7779999999</v>
      </c>
      <c r="S522">
        <v>0</v>
      </c>
      <c r="T522" t="s">
        <v>98</v>
      </c>
      <c r="U522" t="s">
        <v>525</v>
      </c>
      <c r="V522" t="s">
        <v>77</v>
      </c>
      <c r="W522" t="s">
        <v>98</v>
      </c>
      <c r="X522" t="s">
        <v>526</v>
      </c>
      <c r="Y522">
        <v>3.8149618154946201</v>
      </c>
      <c r="Z522">
        <v>3814.9618154946202</v>
      </c>
      <c r="AA522">
        <v>4.6782416666666702</v>
      </c>
      <c r="AB522">
        <v>-74.143819444444404</v>
      </c>
      <c r="AC522">
        <v>2551</v>
      </c>
      <c r="AD522">
        <v>11</v>
      </c>
      <c r="AE522" t="s">
        <v>80</v>
      </c>
      <c r="AF522" t="s">
        <v>81</v>
      </c>
      <c r="AG522" t="s">
        <v>82</v>
      </c>
      <c r="AH522" t="s">
        <v>83</v>
      </c>
      <c r="AI522" t="s">
        <v>412</v>
      </c>
      <c r="AJ522">
        <v>1.1127185204499801</v>
      </c>
      <c r="AK522">
        <v>5.0844437684896597</v>
      </c>
      <c r="AL522">
        <v>1.2097271765092801</v>
      </c>
      <c r="AM522">
        <v>0.21668948660232201</v>
      </c>
      <c r="AN522">
        <v>1.2002609554155299</v>
      </c>
      <c r="AO522">
        <v>0.214730035871953</v>
      </c>
      <c r="AP522">
        <v>0.214730035871953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15</v>
      </c>
      <c r="AW522">
        <v>0</v>
      </c>
      <c r="AX522">
        <v>0</v>
      </c>
      <c r="AY522">
        <v>15.8</v>
      </c>
      <c r="AZ522">
        <v>17.100000000000001</v>
      </c>
      <c r="BA522">
        <v>23</v>
      </c>
      <c r="BB522">
        <v>565</v>
      </c>
      <c r="BC522">
        <v>68</v>
      </c>
      <c r="BD522">
        <v>2.2999999999999998</v>
      </c>
      <c r="BE522">
        <v>68</v>
      </c>
      <c r="BF522">
        <v>17.600000000000001</v>
      </c>
      <c r="BG522">
        <v>162</v>
      </c>
      <c r="BH522">
        <v>19.7</v>
      </c>
      <c r="BI522">
        <v>16.7</v>
      </c>
      <c r="BJ522">
        <v>36.4</v>
      </c>
      <c r="BK522">
        <v>0.66</v>
      </c>
      <c r="BL522">
        <v>5.6</v>
      </c>
      <c r="BM522">
        <v>1.5</v>
      </c>
      <c r="BN522">
        <v>7.5</v>
      </c>
      <c r="BO522">
        <v>2.9</v>
      </c>
      <c r="BP522">
        <f t="shared" si="16"/>
        <v>14.157405635420933</v>
      </c>
      <c r="BQ522">
        <f t="shared" si="17"/>
        <v>20.987670208341783</v>
      </c>
    </row>
    <row r="523" spans="1:69" x14ac:dyDescent="0.2">
      <c r="A523" t="s">
        <v>2319</v>
      </c>
      <c r="B523" t="s">
        <v>68</v>
      </c>
      <c r="C523" t="s">
        <v>1956</v>
      </c>
      <c r="D523" t="s">
        <v>70</v>
      </c>
      <c r="E523" t="s">
        <v>2320</v>
      </c>
      <c r="F523">
        <v>4</v>
      </c>
      <c r="G523">
        <v>251.9</v>
      </c>
      <c r="H523">
        <v>5</v>
      </c>
      <c r="I523">
        <v>3</v>
      </c>
      <c r="J523">
        <v>2</v>
      </c>
      <c r="K523" t="s">
        <v>110</v>
      </c>
      <c r="L523" t="s">
        <v>162</v>
      </c>
      <c r="M523" s="4">
        <v>975000000</v>
      </c>
      <c r="N523">
        <v>0</v>
      </c>
      <c r="O523">
        <v>4.6659135999999997</v>
      </c>
      <c r="P523">
        <v>-74.123000000000005</v>
      </c>
      <c r="Q523" t="s">
        <v>2321</v>
      </c>
      <c r="R523">
        <v>3870583.5649999999</v>
      </c>
      <c r="S523">
        <v>0</v>
      </c>
      <c r="T523" t="s">
        <v>98</v>
      </c>
      <c r="U523" t="s">
        <v>525</v>
      </c>
      <c r="V523" t="s">
        <v>77</v>
      </c>
      <c r="W523" t="s">
        <v>98</v>
      </c>
      <c r="X523" t="s">
        <v>526</v>
      </c>
      <c r="Y523">
        <v>2.68682626044499</v>
      </c>
      <c r="Z523">
        <v>2686.8262604449901</v>
      </c>
      <c r="AA523">
        <v>4.6782416666666702</v>
      </c>
      <c r="AB523">
        <v>-74.143819444444404</v>
      </c>
      <c r="AC523">
        <v>2551</v>
      </c>
      <c r="AD523">
        <v>11</v>
      </c>
      <c r="AE523" t="s">
        <v>80</v>
      </c>
      <c r="AF523" t="s">
        <v>81</v>
      </c>
      <c r="AG523" t="s">
        <v>82</v>
      </c>
      <c r="AH523" t="s">
        <v>83</v>
      </c>
      <c r="AI523" t="s">
        <v>92</v>
      </c>
      <c r="AJ523">
        <v>1.13077486135129</v>
      </c>
      <c r="AK523">
        <v>3.8446715249949199</v>
      </c>
      <c r="AL523">
        <v>2.0069434210405501</v>
      </c>
      <c r="AM523">
        <v>0.24090825573283001</v>
      </c>
      <c r="AN523">
        <v>1.8838881571581501</v>
      </c>
      <c r="AO523">
        <v>0.21791688120348601</v>
      </c>
      <c r="AP523">
        <v>0.21791688120348601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29</v>
      </c>
      <c r="AW523">
        <v>0</v>
      </c>
      <c r="AX523">
        <v>0</v>
      </c>
      <c r="AY523">
        <v>15.8</v>
      </c>
      <c r="AZ523">
        <v>17.100000000000001</v>
      </c>
      <c r="BA523">
        <v>23</v>
      </c>
      <c r="BB523">
        <v>565</v>
      </c>
      <c r="BC523">
        <v>68</v>
      </c>
      <c r="BD523">
        <v>2.2999999999999998</v>
      </c>
      <c r="BE523">
        <v>68</v>
      </c>
      <c r="BF523">
        <v>17.600000000000001</v>
      </c>
      <c r="BG523">
        <v>162</v>
      </c>
      <c r="BH523">
        <v>19.7</v>
      </c>
      <c r="BI523">
        <v>16.7</v>
      </c>
      <c r="BJ523">
        <v>36.4</v>
      </c>
      <c r="BK523">
        <v>0.66</v>
      </c>
      <c r="BL523">
        <v>5.6</v>
      </c>
      <c r="BM523">
        <v>1.5</v>
      </c>
      <c r="BN523">
        <v>7.5</v>
      </c>
      <c r="BO523">
        <v>2.9</v>
      </c>
      <c r="BP523">
        <f t="shared" si="16"/>
        <v>14.970484514660862</v>
      </c>
      <c r="BQ523">
        <f t="shared" si="17"/>
        <v>21.563679304496908</v>
      </c>
    </row>
    <row r="524" spans="1:69" x14ac:dyDescent="0.2">
      <c r="A524" t="s">
        <v>3090</v>
      </c>
      <c r="B524" t="s">
        <v>68</v>
      </c>
      <c r="C524" t="s">
        <v>1956</v>
      </c>
      <c r="D524" t="s">
        <v>70</v>
      </c>
      <c r="E524" t="s">
        <v>2724</v>
      </c>
      <c r="F524">
        <v>4</v>
      </c>
      <c r="G524">
        <v>250</v>
      </c>
      <c r="H524">
        <v>4</v>
      </c>
      <c r="I524">
        <v>5</v>
      </c>
      <c r="J524">
        <v>2</v>
      </c>
      <c r="K524" t="s">
        <v>110</v>
      </c>
      <c r="L524" t="s">
        <v>111</v>
      </c>
      <c r="M524" s="4">
        <v>1580000000</v>
      </c>
      <c r="N524">
        <v>0</v>
      </c>
      <c r="O524">
        <v>4.6639929999999996</v>
      </c>
      <c r="P524">
        <v>-74.127719999999997</v>
      </c>
      <c r="Q524" t="s">
        <v>3091</v>
      </c>
      <c r="R524">
        <v>6320000</v>
      </c>
      <c r="S524">
        <v>0</v>
      </c>
      <c r="T524" t="s">
        <v>96</v>
      </c>
      <c r="U524" t="s">
        <v>97</v>
      </c>
      <c r="V524" t="s">
        <v>77</v>
      </c>
      <c r="W524" t="s">
        <v>98</v>
      </c>
      <c r="X524" t="s">
        <v>99</v>
      </c>
      <c r="Y524">
        <v>2.3483057717577598</v>
      </c>
      <c r="Z524">
        <v>2348.3057717577599</v>
      </c>
      <c r="AA524">
        <v>4.6680000000000001</v>
      </c>
      <c r="AB524">
        <v>-74.148499999999999</v>
      </c>
      <c r="AC524">
        <v>2547</v>
      </c>
      <c r="AD524">
        <v>0</v>
      </c>
      <c r="AE524" t="s">
        <v>80</v>
      </c>
      <c r="AF524" t="s">
        <v>100</v>
      </c>
      <c r="AG524" t="s">
        <v>82</v>
      </c>
      <c r="AH524" t="s">
        <v>83</v>
      </c>
      <c r="AI524" t="s">
        <v>92</v>
      </c>
      <c r="AJ524">
        <v>1.6913924336327399</v>
      </c>
      <c r="AK524">
        <v>3.3114081232669799</v>
      </c>
      <c r="AL524">
        <v>2.2757497451890498</v>
      </c>
      <c r="AM524">
        <v>0.28880218829566301</v>
      </c>
      <c r="AN524">
        <v>2.03873478280947</v>
      </c>
      <c r="AO524">
        <v>6.1982828366065598E-2</v>
      </c>
      <c r="AP524">
        <v>6.1982828366065598E-2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20</v>
      </c>
      <c r="AW524">
        <v>0</v>
      </c>
      <c r="AX524">
        <v>0</v>
      </c>
      <c r="AY524">
        <v>15.8</v>
      </c>
      <c r="AZ524">
        <v>17.100000000000001</v>
      </c>
      <c r="BA524">
        <v>23</v>
      </c>
      <c r="BB524">
        <v>565</v>
      </c>
      <c r="BC524">
        <v>68</v>
      </c>
      <c r="BD524">
        <v>2.2999999999999998</v>
      </c>
      <c r="BE524">
        <v>68</v>
      </c>
      <c r="BF524">
        <v>17.600000000000001</v>
      </c>
      <c r="BG524">
        <v>162</v>
      </c>
      <c r="BH524">
        <v>19.7</v>
      </c>
      <c r="BI524">
        <v>16.7</v>
      </c>
      <c r="BJ524">
        <v>36.4</v>
      </c>
      <c r="BK524">
        <v>0.66</v>
      </c>
      <c r="BL524">
        <v>5.6</v>
      </c>
      <c r="BM524">
        <v>1.5</v>
      </c>
      <c r="BN524">
        <v>7.5</v>
      </c>
      <c r="BO524">
        <v>2.9</v>
      </c>
      <c r="BP524">
        <f t="shared" si="16"/>
        <v>15.223454957258328</v>
      </c>
      <c r="BQ524">
        <f t="shared" si="17"/>
        <v>21.739586850746004</v>
      </c>
    </row>
    <row r="525" spans="1:69" x14ac:dyDescent="0.2">
      <c r="A525" t="s">
        <v>2235</v>
      </c>
      <c r="B525" t="s">
        <v>68</v>
      </c>
      <c r="C525" t="s">
        <v>1956</v>
      </c>
      <c r="D525" t="s">
        <v>70</v>
      </c>
      <c r="E525" t="s">
        <v>2236</v>
      </c>
      <c r="F525">
        <v>4</v>
      </c>
      <c r="G525">
        <v>250</v>
      </c>
      <c r="H525">
        <v>4</v>
      </c>
      <c r="I525">
        <v>4</v>
      </c>
      <c r="J525">
        <v>2</v>
      </c>
      <c r="K525" t="s">
        <v>110</v>
      </c>
      <c r="L525" t="s">
        <v>162</v>
      </c>
      <c r="M525" s="4">
        <v>1397000000</v>
      </c>
      <c r="N525">
        <v>0</v>
      </c>
      <c r="O525">
        <v>4.6946525570000004</v>
      </c>
      <c r="P525">
        <v>-74.124359130000002</v>
      </c>
      <c r="Q525" t="s">
        <v>2237</v>
      </c>
      <c r="R525">
        <v>5588000</v>
      </c>
      <c r="S525">
        <v>0</v>
      </c>
      <c r="T525" t="s">
        <v>98</v>
      </c>
      <c r="U525" t="s">
        <v>525</v>
      </c>
      <c r="V525" t="s">
        <v>77</v>
      </c>
      <c r="W525" t="s">
        <v>98</v>
      </c>
      <c r="X525" t="s">
        <v>526</v>
      </c>
      <c r="Y525">
        <v>2.8282450786611002</v>
      </c>
      <c r="Z525">
        <v>2828.2450786610998</v>
      </c>
      <c r="AA525">
        <v>4.6782416666666702</v>
      </c>
      <c r="AB525">
        <v>-74.143819444444404</v>
      </c>
      <c r="AC525">
        <v>2551</v>
      </c>
      <c r="AD525">
        <v>11</v>
      </c>
      <c r="AE525" t="s">
        <v>80</v>
      </c>
      <c r="AF525" t="s">
        <v>81</v>
      </c>
      <c r="AG525" t="s">
        <v>82</v>
      </c>
      <c r="AH525" t="s">
        <v>83</v>
      </c>
      <c r="AI525" t="s">
        <v>92</v>
      </c>
      <c r="AJ525">
        <v>1.477017589253</v>
      </c>
      <c r="AK525">
        <v>3.2464484889171499</v>
      </c>
      <c r="AL525">
        <v>1.8382949017263499</v>
      </c>
      <c r="AM525">
        <v>0.42329788250661299</v>
      </c>
      <c r="AN525">
        <v>1.9314693608814999</v>
      </c>
      <c r="AO525">
        <v>0.283699423134321</v>
      </c>
      <c r="AP525">
        <v>0.283699423134321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4</v>
      </c>
      <c r="AW525">
        <v>0</v>
      </c>
      <c r="AX525">
        <v>0</v>
      </c>
      <c r="AY525">
        <v>15.8</v>
      </c>
      <c r="AZ525">
        <v>17.100000000000001</v>
      </c>
      <c r="BA525">
        <v>23</v>
      </c>
      <c r="BB525">
        <v>565</v>
      </c>
      <c r="BC525">
        <v>68</v>
      </c>
      <c r="BD525">
        <v>2.2999999999999998</v>
      </c>
      <c r="BE525">
        <v>68</v>
      </c>
      <c r="BF525">
        <v>17.600000000000001</v>
      </c>
      <c r="BG525">
        <v>162</v>
      </c>
      <c r="BH525">
        <v>19.7</v>
      </c>
      <c r="BI525">
        <v>16.7</v>
      </c>
      <c r="BJ525">
        <v>36.4</v>
      </c>
      <c r="BK525">
        <v>0.66</v>
      </c>
      <c r="BL525">
        <v>5.6</v>
      </c>
      <c r="BM525">
        <v>1.5</v>
      </c>
      <c r="BN525">
        <v>7.5</v>
      </c>
      <c r="BO525">
        <v>2.9</v>
      </c>
      <c r="BP525">
        <f t="shared" si="16"/>
        <v>14.866053604094683</v>
      </c>
      <c r="BQ525">
        <f t="shared" si="17"/>
        <v>21.490615125387155</v>
      </c>
    </row>
    <row r="526" spans="1:69" x14ac:dyDescent="0.2">
      <c r="A526" t="s">
        <v>2723</v>
      </c>
      <c r="B526" t="s">
        <v>68</v>
      </c>
      <c r="C526" t="s">
        <v>1956</v>
      </c>
      <c r="D526" t="s">
        <v>70</v>
      </c>
      <c r="E526" t="s">
        <v>2724</v>
      </c>
      <c r="F526">
        <v>4</v>
      </c>
      <c r="G526">
        <v>200</v>
      </c>
      <c r="H526">
        <v>5</v>
      </c>
      <c r="I526">
        <v>3</v>
      </c>
      <c r="J526">
        <v>3</v>
      </c>
      <c r="K526" t="s">
        <v>110</v>
      </c>
      <c r="L526" t="s">
        <v>162</v>
      </c>
      <c r="M526" s="4">
        <v>890000000</v>
      </c>
      <c r="N526">
        <v>0</v>
      </c>
      <c r="O526">
        <v>4.6633535999999998</v>
      </c>
      <c r="P526">
        <v>-74.127148800000001</v>
      </c>
      <c r="Q526" t="s">
        <v>2725</v>
      </c>
      <c r="R526">
        <v>4450000</v>
      </c>
      <c r="S526">
        <v>0</v>
      </c>
      <c r="T526" t="s">
        <v>96</v>
      </c>
      <c r="U526" t="s">
        <v>97</v>
      </c>
      <c r="V526" t="s">
        <v>77</v>
      </c>
      <c r="W526" t="s">
        <v>98</v>
      </c>
      <c r="X526" t="s">
        <v>99</v>
      </c>
      <c r="Y526">
        <v>2.4247381309621998</v>
      </c>
      <c r="Z526">
        <v>2424.7381309622001</v>
      </c>
      <c r="AA526">
        <v>4.6680000000000001</v>
      </c>
      <c r="AB526">
        <v>-74.148499999999999</v>
      </c>
      <c r="AC526">
        <v>2547</v>
      </c>
      <c r="AD526">
        <v>0</v>
      </c>
      <c r="AE526" t="s">
        <v>80</v>
      </c>
      <c r="AF526" t="s">
        <v>100</v>
      </c>
      <c r="AG526" t="s">
        <v>82</v>
      </c>
      <c r="AH526" t="s">
        <v>83</v>
      </c>
      <c r="AI526" t="s">
        <v>92</v>
      </c>
      <c r="AJ526">
        <v>1.6599847292983401</v>
      </c>
      <c r="AK526">
        <v>3.3739052492994701</v>
      </c>
      <c r="AL526">
        <v>2.33848322549265</v>
      </c>
      <c r="AM526">
        <v>0.35241925267041702</v>
      </c>
      <c r="AN526">
        <v>1.9440735170199801</v>
      </c>
      <c r="AO526">
        <v>0.15687291479628901</v>
      </c>
      <c r="AP526">
        <v>0.15687291479628901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20</v>
      </c>
      <c r="AW526">
        <v>0</v>
      </c>
      <c r="AX526">
        <v>0</v>
      </c>
      <c r="AY526">
        <v>15.8</v>
      </c>
      <c r="AZ526">
        <v>17.100000000000001</v>
      </c>
      <c r="BA526">
        <v>23</v>
      </c>
      <c r="BB526">
        <v>565</v>
      </c>
      <c r="BC526">
        <v>68</v>
      </c>
      <c r="BD526">
        <v>2.2999999999999998</v>
      </c>
      <c r="BE526">
        <v>68</v>
      </c>
      <c r="BF526">
        <v>17.600000000000001</v>
      </c>
      <c r="BG526">
        <v>162</v>
      </c>
      <c r="BH526">
        <v>19.7</v>
      </c>
      <c r="BI526">
        <v>16.7</v>
      </c>
      <c r="BJ526">
        <v>36.4</v>
      </c>
      <c r="BK526">
        <v>0.66</v>
      </c>
      <c r="BL526">
        <v>5.6</v>
      </c>
      <c r="BM526">
        <v>1.5</v>
      </c>
      <c r="BN526">
        <v>7.5</v>
      </c>
      <c r="BO526">
        <v>2.9</v>
      </c>
      <c r="BP526">
        <f t="shared" si="16"/>
        <v>15.165967328637857</v>
      </c>
      <c r="BQ526">
        <f t="shared" si="17"/>
        <v>21.699744814700715</v>
      </c>
    </row>
    <row r="527" spans="1:69" x14ac:dyDescent="0.2">
      <c r="A527" t="s">
        <v>3040</v>
      </c>
      <c r="B527" t="s">
        <v>68</v>
      </c>
      <c r="C527" t="s">
        <v>1956</v>
      </c>
      <c r="D527" t="s">
        <v>70</v>
      </c>
      <c r="E527" t="s">
        <v>171</v>
      </c>
      <c r="F527">
        <v>5</v>
      </c>
      <c r="G527">
        <v>200</v>
      </c>
      <c r="H527">
        <v>4</v>
      </c>
      <c r="I527">
        <v>3</v>
      </c>
      <c r="J527">
        <v>2</v>
      </c>
      <c r="K527" t="s">
        <v>110</v>
      </c>
      <c r="L527" t="s">
        <v>162</v>
      </c>
      <c r="M527" s="4">
        <v>820000000</v>
      </c>
      <c r="N527">
        <v>0</v>
      </c>
      <c r="O527">
        <v>4.6714000000000002</v>
      </c>
      <c r="P527">
        <v>-74.118189999999998</v>
      </c>
      <c r="Q527" t="s">
        <v>3041</v>
      </c>
      <c r="R527">
        <v>4100000</v>
      </c>
      <c r="S527">
        <v>0</v>
      </c>
      <c r="T527" t="s">
        <v>98</v>
      </c>
      <c r="U527" t="s">
        <v>525</v>
      </c>
      <c r="V527" t="s">
        <v>77</v>
      </c>
      <c r="W527" t="s">
        <v>98</v>
      </c>
      <c r="X527" t="s">
        <v>526</v>
      </c>
      <c r="Y527">
        <v>2.9437927034342701</v>
      </c>
      <c r="Z527">
        <v>2943.7927034342702</v>
      </c>
      <c r="AA527">
        <v>4.6782416666666702</v>
      </c>
      <c r="AB527">
        <v>-74.143819444444404</v>
      </c>
      <c r="AC527">
        <v>2551</v>
      </c>
      <c r="AD527">
        <v>11</v>
      </c>
      <c r="AE527" t="s">
        <v>80</v>
      </c>
      <c r="AF527" t="s">
        <v>81</v>
      </c>
      <c r="AG527" t="s">
        <v>82</v>
      </c>
      <c r="AH527" t="s">
        <v>83</v>
      </c>
      <c r="AI527" t="s">
        <v>92</v>
      </c>
      <c r="AJ527">
        <v>0.41693430957668798</v>
      </c>
      <c r="AK527">
        <v>4.4168663750516703</v>
      </c>
      <c r="AL527">
        <v>1.96076222510931</v>
      </c>
      <c r="AM527">
        <v>0.29190279887174603</v>
      </c>
      <c r="AN527">
        <v>2.27631537721915</v>
      </c>
      <c r="AO527">
        <v>0.15639431205704901</v>
      </c>
      <c r="AP527">
        <v>0.15639431205704901</v>
      </c>
      <c r="AQ527">
        <v>1</v>
      </c>
      <c r="AR527">
        <v>2</v>
      </c>
      <c r="AS527">
        <v>0</v>
      </c>
      <c r="AT527">
        <v>0</v>
      </c>
      <c r="AU527">
        <v>0</v>
      </c>
      <c r="AV527">
        <v>27</v>
      </c>
      <c r="AW527">
        <v>0</v>
      </c>
      <c r="AX527">
        <v>0</v>
      </c>
      <c r="AY527">
        <v>15.8</v>
      </c>
      <c r="AZ527">
        <v>17.100000000000001</v>
      </c>
      <c r="BA527">
        <v>23</v>
      </c>
      <c r="BB527">
        <v>565</v>
      </c>
      <c r="BC527">
        <v>68</v>
      </c>
      <c r="BD527">
        <v>2.2999999999999998</v>
      </c>
      <c r="BE527">
        <v>68</v>
      </c>
      <c r="BF527">
        <v>17.600000000000001</v>
      </c>
      <c r="BG527">
        <v>162</v>
      </c>
      <c r="BH527">
        <v>19.7</v>
      </c>
      <c r="BI527">
        <v>16.7</v>
      </c>
      <c r="BJ527">
        <v>36.4</v>
      </c>
      <c r="BK527">
        <v>0.66</v>
      </c>
      <c r="BL527">
        <v>5.6</v>
      </c>
      <c r="BM527">
        <v>1.5</v>
      </c>
      <c r="BN527">
        <v>7.5</v>
      </c>
      <c r="BO527">
        <v>2.9</v>
      </c>
      <c r="BP527">
        <f t="shared" si="16"/>
        <v>14.781268313927052</v>
      </c>
      <c r="BQ527">
        <f t="shared" si="17"/>
        <v>21.431101135146186</v>
      </c>
    </row>
    <row r="528" spans="1:69" x14ac:dyDescent="0.2">
      <c r="A528" t="s">
        <v>2247</v>
      </c>
      <c r="B528" t="s">
        <v>68</v>
      </c>
      <c r="C528" t="s">
        <v>1956</v>
      </c>
      <c r="D528" t="s">
        <v>70</v>
      </c>
      <c r="E528" t="s">
        <v>2248</v>
      </c>
      <c r="F528">
        <v>3</v>
      </c>
      <c r="G528">
        <v>180</v>
      </c>
      <c r="H528">
        <v>5</v>
      </c>
      <c r="I528">
        <v>3</v>
      </c>
      <c r="J528">
        <v>1</v>
      </c>
      <c r="K528" t="s">
        <v>110</v>
      </c>
      <c r="L528" t="s">
        <v>162</v>
      </c>
      <c r="M528" s="4">
        <v>490000000</v>
      </c>
      <c r="N528">
        <v>0</v>
      </c>
      <c r="O528">
        <v>4.6978931429999999</v>
      </c>
      <c r="P528">
        <v>-74.120048519999997</v>
      </c>
      <c r="Q528" t="s">
        <v>2249</v>
      </c>
      <c r="R528">
        <v>2722222.2220000001</v>
      </c>
      <c r="S528">
        <v>0</v>
      </c>
      <c r="T528" t="s">
        <v>98</v>
      </c>
      <c r="U528" t="s">
        <v>525</v>
      </c>
      <c r="V528" t="s">
        <v>77</v>
      </c>
      <c r="W528" t="s">
        <v>98</v>
      </c>
      <c r="X528" t="s">
        <v>526</v>
      </c>
      <c r="Y528">
        <v>3.4265123251021001</v>
      </c>
      <c r="Z528">
        <v>3426.5123251021</v>
      </c>
      <c r="AA528">
        <v>4.6782416666666702</v>
      </c>
      <c r="AB528">
        <v>-74.143819444444404</v>
      </c>
      <c r="AC528">
        <v>2551</v>
      </c>
      <c r="AD528">
        <v>11</v>
      </c>
      <c r="AE528" t="s">
        <v>80</v>
      </c>
      <c r="AF528" t="s">
        <v>81</v>
      </c>
      <c r="AG528" t="s">
        <v>82</v>
      </c>
      <c r="AH528" t="s">
        <v>83</v>
      </c>
      <c r="AI528" t="s">
        <v>412</v>
      </c>
      <c r="AJ528">
        <v>1.58906530990648</v>
      </c>
      <c r="AK528">
        <v>2.9995104024796801</v>
      </c>
      <c r="AL528">
        <v>1.47154916301021</v>
      </c>
      <c r="AM528">
        <v>0.26947243753189298</v>
      </c>
      <c r="AN528">
        <v>2.1140808955693302</v>
      </c>
      <c r="AO528">
        <v>0.14554393770333099</v>
      </c>
      <c r="AP528">
        <v>0.14554393770333099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14</v>
      </c>
      <c r="AW528">
        <v>0</v>
      </c>
      <c r="AX528">
        <v>0</v>
      </c>
      <c r="AY528">
        <v>15.8</v>
      </c>
      <c r="AZ528">
        <v>17.100000000000001</v>
      </c>
      <c r="BA528">
        <v>23</v>
      </c>
      <c r="BB528">
        <v>565</v>
      </c>
      <c r="BC528">
        <v>68</v>
      </c>
      <c r="BD528">
        <v>2.2999999999999998</v>
      </c>
      <c r="BE528">
        <v>68</v>
      </c>
      <c r="BF528">
        <v>17.600000000000001</v>
      </c>
      <c r="BG528">
        <v>162</v>
      </c>
      <c r="BH528">
        <v>19.7</v>
      </c>
      <c r="BI528">
        <v>16.7</v>
      </c>
      <c r="BJ528">
        <v>36.4</v>
      </c>
      <c r="BK528">
        <v>0.66</v>
      </c>
      <c r="BL528">
        <v>5.6</v>
      </c>
      <c r="BM528">
        <v>1.5</v>
      </c>
      <c r="BN528">
        <v>7.5</v>
      </c>
      <c r="BO528">
        <v>2.9</v>
      </c>
      <c r="BP528">
        <f t="shared" si="16"/>
        <v>14.432261800237011</v>
      </c>
      <c r="BQ528">
        <f t="shared" si="17"/>
        <v>21.184248709502569</v>
      </c>
    </row>
    <row r="529" spans="1:69" x14ac:dyDescent="0.2">
      <c r="A529" t="s">
        <v>2775</v>
      </c>
      <c r="B529" t="s">
        <v>68</v>
      </c>
      <c r="C529" t="s">
        <v>1956</v>
      </c>
      <c r="D529" t="s">
        <v>70</v>
      </c>
      <c r="E529" t="s">
        <v>1357</v>
      </c>
      <c r="F529">
        <v>2</v>
      </c>
      <c r="G529">
        <v>170</v>
      </c>
      <c r="H529">
        <v>3</v>
      </c>
      <c r="I529">
        <v>3</v>
      </c>
      <c r="J529">
        <v>1</v>
      </c>
      <c r="K529" t="s">
        <v>110</v>
      </c>
      <c r="L529" t="s">
        <v>111</v>
      </c>
      <c r="M529" s="4">
        <v>420000000</v>
      </c>
      <c r="N529">
        <v>0</v>
      </c>
      <c r="O529">
        <v>4.6499509809999999</v>
      </c>
      <c r="P529">
        <v>-74.14043427</v>
      </c>
      <c r="Q529" t="s">
        <v>2776</v>
      </c>
      <c r="R529">
        <v>2470588.2349999999</v>
      </c>
      <c r="S529">
        <v>0</v>
      </c>
      <c r="T529" t="s">
        <v>96</v>
      </c>
      <c r="U529" t="s">
        <v>97</v>
      </c>
      <c r="V529" t="s">
        <v>77</v>
      </c>
      <c r="W529" t="s">
        <v>98</v>
      </c>
      <c r="X529" t="s">
        <v>99</v>
      </c>
      <c r="Y529">
        <v>2.19949364775391</v>
      </c>
      <c r="Z529">
        <v>2199.49364775391</v>
      </c>
      <c r="AA529">
        <v>4.6680000000000001</v>
      </c>
      <c r="AB529">
        <v>-74.148499999999999</v>
      </c>
      <c r="AC529">
        <v>2547</v>
      </c>
      <c r="AD529">
        <v>0</v>
      </c>
      <c r="AE529" t="s">
        <v>80</v>
      </c>
      <c r="AF529" t="s">
        <v>100</v>
      </c>
      <c r="AG529" t="s">
        <v>82</v>
      </c>
      <c r="AH529" t="s">
        <v>83</v>
      </c>
      <c r="AI529" t="s">
        <v>221</v>
      </c>
      <c r="AJ529">
        <v>2.11160952099234</v>
      </c>
      <c r="AK529">
        <v>2.2235053059765799</v>
      </c>
      <c r="AL529">
        <v>2.2237273982233101</v>
      </c>
      <c r="AM529">
        <v>0.59256680459234901</v>
      </c>
      <c r="AN529">
        <v>2.1651419064533401</v>
      </c>
      <c r="AO529">
        <v>0.16357664492709401</v>
      </c>
      <c r="AP529">
        <v>0.16357664492709401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2</v>
      </c>
      <c r="AW529">
        <v>0</v>
      </c>
      <c r="AX529">
        <v>0</v>
      </c>
      <c r="AY529">
        <v>15.8</v>
      </c>
      <c r="AZ529">
        <v>17.100000000000001</v>
      </c>
      <c r="BA529">
        <v>23</v>
      </c>
      <c r="BB529">
        <v>565</v>
      </c>
      <c r="BC529">
        <v>68</v>
      </c>
      <c r="BD529">
        <v>2.2999999999999998</v>
      </c>
      <c r="BE529">
        <v>68</v>
      </c>
      <c r="BF529">
        <v>17.600000000000001</v>
      </c>
      <c r="BG529">
        <v>162</v>
      </c>
      <c r="BH529">
        <v>19.7</v>
      </c>
      <c r="BI529">
        <v>16.7</v>
      </c>
      <c r="BJ529">
        <v>36.4</v>
      </c>
      <c r="BK529">
        <v>0.66</v>
      </c>
      <c r="BL529">
        <v>5.6</v>
      </c>
      <c r="BM529">
        <v>1.5</v>
      </c>
      <c r="BN529">
        <v>7.5</v>
      </c>
      <c r="BO529">
        <v>2.9</v>
      </c>
      <c r="BP529">
        <f t="shared" si="16"/>
        <v>15.336008008483564</v>
      </c>
      <c r="BQ529">
        <f t="shared" si="17"/>
        <v>21.817368404387047</v>
      </c>
    </row>
    <row r="530" spans="1:69" x14ac:dyDescent="0.2">
      <c r="A530" t="s">
        <v>2475</v>
      </c>
      <c r="B530" t="s">
        <v>68</v>
      </c>
      <c r="C530" t="s">
        <v>1956</v>
      </c>
      <c r="D530" t="s">
        <v>70</v>
      </c>
      <c r="E530" t="s">
        <v>171</v>
      </c>
      <c r="F530">
        <v>4</v>
      </c>
      <c r="G530">
        <v>160</v>
      </c>
      <c r="H530">
        <v>4</v>
      </c>
      <c r="I530">
        <v>3</v>
      </c>
      <c r="J530">
        <v>2</v>
      </c>
      <c r="K530" t="s">
        <v>110</v>
      </c>
      <c r="L530" t="s">
        <v>124</v>
      </c>
      <c r="M530" s="4">
        <v>1000000000</v>
      </c>
      <c r="N530">
        <v>0</v>
      </c>
      <c r="O530">
        <v>4.6648716930000003</v>
      </c>
      <c r="P530">
        <v>-74.116088869999999</v>
      </c>
      <c r="Q530" t="s">
        <v>2476</v>
      </c>
      <c r="R530">
        <v>6250000</v>
      </c>
      <c r="S530">
        <v>0</v>
      </c>
      <c r="T530" t="s">
        <v>98</v>
      </c>
      <c r="U530" t="s">
        <v>525</v>
      </c>
      <c r="V530" t="s">
        <v>77</v>
      </c>
      <c r="W530" t="s">
        <v>98</v>
      </c>
      <c r="X530" t="s">
        <v>526</v>
      </c>
      <c r="Y530">
        <v>3.4177806938029298</v>
      </c>
      <c r="Z530">
        <v>3417.7806938029298</v>
      </c>
      <c r="AA530">
        <v>4.6782416666666702</v>
      </c>
      <c r="AB530">
        <v>-74.143819444444404</v>
      </c>
      <c r="AC530">
        <v>2551</v>
      </c>
      <c r="AD530">
        <v>11</v>
      </c>
      <c r="AE530" t="s">
        <v>80</v>
      </c>
      <c r="AF530" t="s">
        <v>81</v>
      </c>
      <c r="AG530" t="s">
        <v>82</v>
      </c>
      <c r="AH530" t="s">
        <v>83</v>
      </c>
      <c r="AI530" t="s">
        <v>92</v>
      </c>
      <c r="AJ530">
        <v>0.55320343135838301</v>
      </c>
      <c r="AK530">
        <v>4.6034994482287903</v>
      </c>
      <c r="AL530">
        <v>1.2913844940769801</v>
      </c>
      <c r="AM530">
        <v>5.86339351141658E-2</v>
      </c>
      <c r="AN530">
        <v>1.5282580269594199</v>
      </c>
      <c r="AO530">
        <v>0.37671231297514202</v>
      </c>
      <c r="AP530">
        <v>0.37671231297514202</v>
      </c>
      <c r="AQ530">
        <v>0</v>
      </c>
      <c r="AR530">
        <v>2</v>
      </c>
      <c r="AS530">
        <v>0</v>
      </c>
      <c r="AT530">
        <v>0</v>
      </c>
      <c r="AU530">
        <v>0</v>
      </c>
      <c r="AV530">
        <v>30</v>
      </c>
      <c r="AW530">
        <v>0</v>
      </c>
      <c r="AX530">
        <v>0</v>
      </c>
      <c r="AY530">
        <v>15.8</v>
      </c>
      <c r="AZ530">
        <v>17.100000000000001</v>
      </c>
      <c r="BA530">
        <v>23</v>
      </c>
      <c r="BB530">
        <v>565</v>
      </c>
      <c r="BC530">
        <v>68</v>
      </c>
      <c r="BD530">
        <v>2.2999999999999998</v>
      </c>
      <c r="BE530">
        <v>68</v>
      </c>
      <c r="BF530">
        <v>17.600000000000001</v>
      </c>
      <c r="BG530">
        <v>162</v>
      </c>
      <c r="BH530">
        <v>19.7</v>
      </c>
      <c r="BI530">
        <v>16.7</v>
      </c>
      <c r="BJ530">
        <v>36.4</v>
      </c>
      <c r="BK530">
        <v>0.66</v>
      </c>
      <c r="BL530">
        <v>5.6</v>
      </c>
      <c r="BM530">
        <v>1.5</v>
      </c>
      <c r="BN530">
        <v>7.5</v>
      </c>
      <c r="BO530">
        <v>2.9</v>
      </c>
      <c r="BP530">
        <f t="shared" si="16"/>
        <v>14.438500999328149</v>
      </c>
      <c r="BQ530">
        <f t="shared" si="17"/>
        <v>21.188688527866553</v>
      </c>
    </row>
    <row r="531" spans="1:69" x14ac:dyDescent="0.2">
      <c r="A531" t="s">
        <v>3246</v>
      </c>
      <c r="B531" t="s">
        <v>68</v>
      </c>
      <c r="C531" t="s">
        <v>1956</v>
      </c>
      <c r="D531" t="s">
        <v>70</v>
      </c>
      <c r="E531" t="s">
        <v>3247</v>
      </c>
      <c r="F531">
        <v>3</v>
      </c>
      <c r="G531">
        <v>140</v>
      </c>
      <c r="H531">
        <v>4</v>
      </c>
      <c r="I531">
        <v>2</v>
      </c>
      <c r="J531">
        <v>2</v>
      </c>
      <c r="K531" t="s">
        <v>110</v>
      </c>
      <c r="L531" t="s">
        <v>124</v>
      </c>
      <c r="M531" s="4">
        <v>590000000</v>
      </c>
      <c r="N531">
        <v>0</v>
      </c>
      <c r="O531">
        <v>4.6812558170000003</v>
      </c>
      <c r="P531">
        <v>-74.115737920000001</v>
      </c>
      <c r="Q531" t="s">
        <v>3248</v>
      </c>
      <c r="R531">
        <v>4214285.7139999997</v>
      </c>
      <c r="S531">
        <v>0</v>
      </c>
      <c r="T531" t="s">
        <v>98</v>
      </c>
      <c r="U531" t="s">
        <v>525</v>
      </c>
      <c r="V531" t="s">
        <v>77</v>
      </c>
      <c r="W531" t="s">
        <v>98</v>
      </c>
      <c r="X531" t="s">
        <v>526</v>
      </c>
      <c r="Y531">
        <v>3.1336152595909499</v>
      </c>
      <c r="Z531">
        <v>3133.6152595909498</v>
      </c>
      <c r="AA531">
        <v>4.6782416666666702</v>
      </c>
      <c r="AB531">
        <v>-74.143819444444404</v>
      </c>
      <c r="AC531">
        <v>2551</v>
      </c>
      <c r="AD531">
        <v>11</v>
      </c>
      <c r="AE531" t="s">
        <v>80</v>
      </c>
      <c r="AF531" t="s">
        <v>81</v>
      </c>
      <c r="AG531" t="s">
        <v>82</v>
      </c>
      <c r="AH531" t="s">
        <v>83</v>
      </c>
      <c r="AI531" t="s">
        <v>412</v>
      </c>
      <c r="AJ531">
        <v>0.628911863919839</v>
      </c>
      <c r="AK531">
        <v>4.8984784812609501</v>
      </c>
      <c r="AL531">
        <v>1.5135121304509001</v>
      </c>
      <c r="AM531">
        <v>0.79308469363054201</v>
      </c>
      <c r="AN531">
        <v>1.7417962138724601</v>
      </c>
      <c r="AO531">
        <v>0.14971141089172599</v>
      </c>
      <c r="AP531">
        <v>0.14971141089172599</v>
      </c>
      <c r="AQ531">
        <v>0</v>
      </c>
      <c r="AR531">
        <v>2</v>
      </c>
      <c r="AS531">
        <v>0</v>
      </c>
      <c r="AT531">
        <v>0</v>
      </c>
      <c r="AU531">
        <v>0</v>
      </c>
      <c r="AV531">
        <v>10</v>
      </c>
      <c r="AW531">
        <v>0</v>
      </c>
      <c r="AX531">
        <v>0</v>
      </c>
      <c r="AY531">
        <v>15.8</v>
      </c>
      <c r="AZ531">
        <v>17.100000000000001</v>
      </c>
      <c r="BA531">
        <v>23</v>
      </c>
      <c r="BB531">
        <v>565</v>
      </c>
      <c r="BC531">
        <v>68</v>
      </c>
      <c r="BD531">
        <v>2.2999999999999998</v>
      </c>
      <c r="BE531">
        <v>68</v>
      </c>
      <c r="BF531">
        <v>17.600000000000001</v>
      </c>
      <c r="BG531">
        <v>162</v>
      </c>
      <c r="BH531">
        <v>19.7</v>
      </c>
      <c r="BI531">
        <v>16.7</v>
      </c>
      <c r="BJ531">
        <v>36.4</v>
      </c>
      <c r="BK531">
        <v>0.66</v>
      </c>
      <c r="BL531">
        <v>5.6</v>
      </c>
      <c r="BM531">
        <v>1.5</v>
      </c>
      <c r="BN531">
        <v>7.5</v>
      </c>
      <c r="BO531">
        <v>2.9</v>
      </c>
      <c r="BP531">
        <f t="shared" si="16"/>
        <v>14.643030788195388</v>
      </c>
      <c r="BQ531">
        <f t="shared" si="17"/>
        <v>21.333688643116801</v>
      </c>
    </row>
    <row r="532" spans="1:69" x14ac:dyDescent="0.2">
      <c r="A532" t="s">
        <v>2674</v>
      </c>
      <c r="B532" t="s">
        <v>68</v>
      </c>
      <c r="C532" t="s">
        <v>1956</v>
      </c>
      <c r="D532" t="s">
        <v>70</v>
      </c>
      <c r="E532" t="s">
        <v>2675</v>
      </c>
      <c r="F532">
        <v>4</v>
      </c>
      <c r="G532">
        <v>138</v>
      </c>
      <c r="H532">
        <v>4</v>
      </c>
      <c r="I532">
        <v>3</v>
      </c>
      <c r="J532">
        <v>2</v>
      </c>
      <c r="K532" t="s">
        <v>110</v>
      </c>
      <c r="L532" t="s">
        <v>162</v>
      </c>
      <c r="M532" s="4">
        <v>700000000</v>
      </c>
      <c r="N532">
        <v>0</v>
      </c>
      <c r="O532">
        <v>4.6686357999999997</v>
      </c>
      <c r="P532">
        <v>-74.130108699999994</v>
      </c>
      <c r="Q532" t="s">
        <v>2676</v>
      </c>
      <c r="R532">
        <v>5072463.7680000002</v>
      </c>
      <c r="S532">
        <v>0</v>
      </c>
      <c r="T532" t="s">
        <v>98</v>
      </c>
      <c r="U532" t="s">
        <v>525</v>
      </c>
      <c r="V532" t="s">
        <v>77</v>
      </c>
      <c r="W532" t="s">
        <v>98</v>
      </c>
      <c r="X532" t="s">
        <v>526</v>
      </c>
      <c r="Y532">
        <v>1.8594329634112301</v>
      </c>
      <c r="Z532">
        <v>1859.43296341123</v>
      </c>
      <c r="AA532">
        <v>4.6782416666666702</v>
      </c>
      <c r="AB532">
        <v>-74.143819444444404</v>
      </c>
      <c r="AC532">
        <v>2551</v>
      </c>
      <c r="AD532">
        <v>11</v>
      </c>
      <c r="AE532" t="s">
        <v>80</v>
      </c>
      <c r="AF532" t="s">
        <v>81</v>
      </c>
      <c r="AG532" t="s">
        <v>82</v>
      </c>
      <c r="AH532" t="s">
        <v>83</v>
      </c>
      <c r="AI532" t="s">
        <v>92</v>
      </c>
      <c r="AJ532">
        <v>1.6013083388804299</v>
      </c>
      <c r="AK532">
        <v>3.0749938620921502</v>
      </c>
      <c r="AL532">
        <v>1.6989205514526</v>
      </c>
      <c r="AM532">
        <v>0.54586158603437096</v>
      </c>
      <c r="AN532">
        <v>2.0669511872762798</v>
      </c>
      <c r="AO532">
        <v>0.496714281020328</v>
      </c>
      <c r="AP532">
        <v>0.496714281020328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17</v>
      </c>
      <c r="AW532">
        <v>0</v>
      </c>
      <c r="AX532">
        <v>0</v>
      </c>
      <c r="AY532">
        <v>15.8</v>
      </c>
      <c r="AZ532">
        <v>17.100000000000001</v>
      </c>
      <c r="BA532">
        <v>23</v>
      </c>
      <c r="BB532">
        <v>565</v>
      </c>
      <c r="BC532">
        <v>68</v>
      </c>
      <c r="BD532">
        <v>2.2999999999999998</v>
      </c>
      <c r="BE532">
        <v>68</v>
      </c>
      <c r="BF532">
        <v>17.600000000000001</v>
      </c>
      <c r="BG532">
        <v>162</v>
      </c>
      <c r="BH532">
        <v>19.7</v>
      </c>
      <c r="BI532">
        <v>16.7</v>
      </c>
      <c r="BJ532">
        <v>36.4</v>
      </c>
      <c r="BK532">
        <v>0.66</v>
      </c>
      <c r="BL532">
        <v>5.6</v>
      </c>
      <c r="BM532">
        <v>1.5</v>
      </c>
      <c r="BN532">
        <v>7.5</v>
      </c>
      <c r="BO532">
        <v>2.9</v>
      </c>
      <c r="BP532">
        <f t="shared" si="16"/>
        <v>15.596344062463075</v>
      </c>
      <c r="BQ532">
        <f t="shared" si="17"/>
        <v>21.996158507304127</v>
      </c>
    </row>
    <row r="533" spans="1:69" x14ac:dyDescent="0.2">
      <c r="A533" t="s">
        <v>2655</v>
      </c>
      <c r="B533" t="s">
        <v>68</v>
      </c>
      <c r="C533" t="s">
        <v>1956</v>
      </c>
      <c r="D533" t="s">
        <v>70</v>
      </c>
      <c r="E533" t="s">
        <v>2656</v>
      </c>
      <c r="F533">
        <v>2</v>
      </c>
      <c r="G533">
        <v>135</v>
      </c>
      <c r="H533">
        <v>5</v>
      </c>
      <c r="I533">
        <v>3</v>
      </c>
      <c r="J533">
        <v>1</v>
      </c>
      <c r="K533" t="s">
        <v>110</v>
      </c>
      <c r="L533" t="s">
        <v>111</v>
      </c>
      <c r="M533" s="4">
        <v>370000000</v>
      </c>
      <c r="N533">
        <v>0</v>
      </c>
      <c r="O533">
        <v>4.6932577000000002</v>
      </c>
      <c r="P533">
        <v>-74.170095200000006</v>
      </c>
      <c r="Q533" t="s">
        <v>2657</v>
      </c>
      <c r="R533">
        <v>2740740.7409999999</v>
      </c>
      <c r="S533">
        <v>0</v>
      </c>
      <c r="T533" t="s">
        <v>98</v>
      </c>
      <c r="U533" t="s">
        <v>525</v>
      </c>
      <c r="V533" t="s">
        <v>77</v>
      </c>
      <c r="W533" t="s">
        <v>98</v>
      </c>
      <c r="X533" t="s">
        <v>526</v>
      </c>
      <c r="Y533">
        <v>3.3604645729473299</v>
      </c>
      <c r="Z533">
        <v>3360.46457294733</v>
      </c>
      <c r="AA533">
        <v>4.6782416666666702</v>
      </c>
      <c r="AB533">
        <v>-74.143819444444404</v>
      </c>
      <c r="AC533">
        <v>2551</v>
      </c>
      <c r="AD533">
        <v>11</v>
      </c>
      <c r="AE533" t="s">
        <v>80</v>
      </c>
      <c r="AF533" t="s">
        <v>81</v>
      </c>
      <c r="AG533" t="s">
        <v>82</v>
      </c>
      <c r="AH533" t="s">
        <v>83</v>
      </c>
      <c r="AI533" t="s">
        <v>92</v>
      </c>
      <c r="AJ533">
        <v>5.5506998345702696</v>
      </c>
      <c r="AK533">
        <v>6.86927213503849E-2</v>
      </c>
      <c r="AL533">
        <v>3.78962071593795</v>
      </c>
      <c r="AM533">
        <v>0.95283916654385203</v>
      </c>
      <c r="AN533">
        <v>3.1455290343641802</v>
      </c>
      <c r="AO533">
        <v>0.26708452563705998</v>
      </c>
      <c r="AP533">
        <v>0.26708452563705998</v>
      </c>
      <c r="AQ533">
        <v>0</v>
      </c>
      <c r="AR533">
        <v>0</v>
      </c>
      <c r="AS533">
        <v>2</v>
      </c>
      <c r="AT533">
        <v>4</v>
      </c>
      <c r="AU533">
        <v>0</v>
      </c>
      <c r="AV533">
        <v>1</v>
      </c>
      <c r="AW533">
        <v>0</v>
      </c>
      <c r="AX533">
        <v>0</v>
      </c>
      <c r="AY533">
        <v>15.8</v>
      </c>
      <c r="AZ533">
        <v>17.100000000000001</v>
      </c>
      <c r="BA533">
        <v>23</v>
      </c>
      <c r="BB533">
        <v>565</v>
      </c>
      <c r="BC533">
        <v>68</v>
      </c>
      <c r="BD533">
        <v>2.2999999999999998</v>
      </c>
      <c r="BE533">
        <v>68</v>
      </c>
      <c r="BF533">
        <v>17.600000000000001</v>
      </c>
      <c r="BG533">
        <v>162</v>
      </c>
      <c r="BH533">
        <v>19.7</v>
      </c>
      <c r="BI533">
        <v>16.7</v>
      </c>
      <c r="BJ533">
        <v>36.4</v>
      </c>
      <c r="BK533">
        <v>0.66</v>
      </c>
      <c r="BL533">
        <v>5.6</v>
      </c>
      <c r="BM533">
        <v>1.5</v>
      </c>
      <c r="BN533">
        <v>7.5</v>
      </c>
      <c r="BO533">
        <v>2.9</v>
      </c>
      <c r="BP533">
        <f t="shared" si="16"/>
        <v>14.47952332899939</v>
      </c>
      <c r="BQ533">
        <f t="shared" si="17"/>
        <v>21.217855466475093</v>
      </c>
    </row>
    <row r="534" spans="1:69" x14ac:dyDescent="0.2">
      <c r="A534" t="s">
        <v>2596</v>
      </c>
      <c r="B534" t="s">
        <v>68</v>
      </c>
      <c r="C534" t="s">
        <v>1956</v>
      </c>
      <c r="D534" t="s">
        <v>70</v>
      </c>
      <c r="E534" t="s">
        <v>2597</v>
      </c>
      <c r="F534">
        <v>3</v>
      </c>
      <c r="G534">
        <v>110</v>
      </c>
      <c r="H534">
        <v>3</v>
      </c>
      <c r="I534">
        <v>1</v>
      </c>
      <c r="J534">
        <v>1</v>
      </c>
      <c r="K534" t="s">
        <v>110</v>
      </c>
      <c r="L534" t="s">
        <v>162</v>
      </c>
      <c r="M534" s="4">
        <v>380000000</v>
      </c>
      <c r="N534">
        <v>0</v>
      </c>
      <c r="O534">
        <v>4.6967678069999996</v>
      </c>
      <c r="P534">
        <v>-74.104644780000001</v>
      </c>
      <c r="Q534" t="s">
        <v>2598</v>
      </c>
      <c r="R534">
        <v>3454545.4550000001</v>
      </c>
      <c r="S534">
        <v>0</v>
      </c>
      <c r="T534" t="s">
        <v>98</v>
      </c>
      <c r="U534" t="s">
        <v>525</v>
      </c>
      <c r="V534" t="s">
        <v>77</v>
      </c>
      <c r="W534" t="s">
        <v>98</v>
      </c>
      <c r="X534" t="s">
        <v>526</v>
      </c>
      <c r="Y534">
        <v>4.8107838678486203</v>
      </c>
      <c r="Z534">
        <v>4810.7838678486196</v>
      </c>
      <c r="AA534">
        <v>4.6782416666666702</v>
      </c>
      <c r="AB534">
        <v>-74.143819444444404</v>
      </c>
      <c r="AC534">
        <v>2551</v>
      </c>
      <c r="AD534">
        <v>11</v>
      </c>
      <c r="AE534" t="s">
        <v>80</v>
      </c>
      <c r="AF534" t="s">
        <v>81</v>
      </c>
      <c r="AG534" t="s">
        <v>82</v>
      </c>
      <c r="AH534" t="s">
        <v>83</v>
      </c>
      <c r="AI534" t="s">
        <v>412</v>
      </c>
      <c r="AJ534">
        <v>0.79504371453580802</v>
      </c>
      <c r="AK534">
        <v>3.9231290626925701</v>
      </c>
      <c r="AL534">
        <v>0.59683576023654505</v>
      </c>
      <c r="AM534">
        <v>0.16446442401070799</v>
      </c>
      <c r="AN534">
        <v>0.77797521632237898</v>
      </c>
      <c r="AO534">
        <v>0.267473478855626</v>
      </c>
      <c r="AP534">
        <v>0.267473478855626</v>
      </c>
      <c r="AQ534">
        <v>0</v>
      </c>
      <c r="AR534">
        <v>3</v>
      </c>
      <c r="AS534">
        <v>0</v>
      </c>
      <c r="AT534">
        <v>0</v>
      </c>
      <c r="AU534">
        <v>1</v>
      </c>
      <c r="AV534">
        <v>30</v>
      </c>
      <c r="AW534">
        <v>1</v>
      </c>
      <c r="AX534">
        <v>0</v>
      </c>
      <c r="AY534">
        <v>15.8</v>
      </c>
      <c r="AZ534">
        <v>17.100000000000001</v>
      </c>
      <c r="BA534">
        <v>23</v>
      </c>
      <c r="BB534">
        <v>565</v>
      </c>
      <c r="BC534">
        <v>68</v>
      </c>
      <c r="BD534">
        <v>2.2999999999999998</v>
      </c>
      <c r="BE534">
        <v>68</v>
      </c>
      <c r="BF534">
        <v>17.600000000000001</v>
      </c>
      <c r="BG534">
        <v>162</v>
      </c>
      <c r="BH534">
        <v>19.7</v>
      </c>
      <c r="BI534">
        <v>16.7</v>
      </c>
      <c r="BJ534">
        <v>36.4</v>
      </c>
      <c r="BK534">
        <v>0.66</v>
      </c>
      <c r="BL534">
        <v>5.6</v>
      </c>
      <c r="BM534">
        <v>1.5</v>
      </c>
      <c r="BN534">
        <v>7.5</v>
      </c>
      <c r="BO534">
        <v>2.9</v>
      </c>
      <c r="BP534">
        <f t="shared" si="16"/>
        <v>13.476462726696338</v>
      </c>
      <c r="BQ534">
        <f t="shared" si="17"/>
        <v>20.492017152299439</v>
      </c>
    </row>
    <row r="535" spans="1:69" x14ac:dyDescent="0.2">
      <c r="A535" t="s">
        <v>3047</v>
      </c>
      <c r="B535" t="s">
        <v>68</v>
      </c>
      <c r="C535" t="s">
        <v>1956</v>
      </c>
      <c r="D535" t="s">
        <v>70</v>
      </c>
      <c r="E535" t="s">
        <v>3048</v>
      </c>
      <c r="F535">
        <v>3</v>
      </c>
      <c r="G535">
        <v>109.8</v>
      </c>
      <c r="H535">
        <v>3</v>
      </c>
      <c r="I535">
        <v>3</v>
      </c>
      <c r="J535">
        <v>1</v>
      </c>
      <c r="K535" t="s">
        <v>110</v>
      </c>
      <c r="L535" t="s">
        <v>162</v>
      </c>
      <c r="M535" s="4">
        <v>410000000</v>
      </c>
      <c r="N535">
        <v>0</v>
      </c>
      <c r="O535">
        <v>4.6782188419999997</v>
      </c>
      <c r="P535">
        <v>-74.143638609999996</v>
      </c>
      <c r="Q535" t="s">
        <v>3049</v>
      </c>
      <c r="R535">
        <v>3734061.9309999999</v>
      </c>
      <c r="S535">
        <v>0</v>
      </c>
      <c r="T535" t="s">
        <v>98</v>
      </c>
      <c r="U535" t="s">
        <v>525</v>
      </c>
      <c r="V535" t="s">
        <v>77</v>
      </c>
      <c r="W535" t="s">
        <v>98</v>
      </c>
      <c r="X535" t="s">
        <v>526</v>
      </c>
      <c r="Y535">
        <v>2.02235788497294E-2</v>
      </c>
      <c r="Z535">
        <v>20.2235788497294</v>
      </c>
      <c r="AA535">
        <v>4.6782416666666702</v>
      </c>
      <c r="AB535">
        <v>-74.143819444444404</v>
      </c>
      <c r="AC535">
        <v>2551</v>
      </c>
      <c r="AD535">
        <v>11</v>
      </c>
      <c r="AE535" t="s">
        <v>80</v>
      </c>
      <c r="AF535" t="s">
        <v>81</v>
      </c>
      <c r="AG535" t="s">
        <v>82</v>
      </c>
      <c r="AH535" t="s">
        <v>83</v>
      </c>
      <c r="AI535" t="s">
        <v>92</v>
      </c>
      <c r="AJ535">
        <v>2.49463431516069</v>
      </c>
      <c r="AK535">
        <v>1.95740879351187</v>
      </c>
      <c r="AL535">
        <v>0.76053502368320303</v>
      </c>
      <c r="AM535">
        <v>3.2721931808737101E-2</v>
      </c>
      <c r="AN535">
        <v>1.2932402494845301</v>
      </c>
      <c r="AO535">
        <v>0.30778130936017201</v>
      </c>
      <c r="AP535">
        <v>0.30778130936017201</v>
      </c>
      <c r="AQ535">
        <v>0</v>
      </c>
      <c r="AR535">
        <v>0</v>
      </c>
      <c r="AS535">
        <v>0</v>
      </c>
      <c r="AT535">
        <v>0</v>
      </c>
      <c r="AU535">
        <v>1</v>
      </c>
      <c r="AV535">
        <v>33</v>
      </c>
      <c r="AW535">
        <v>0</v>
      </c>
      <c r="AX535">
        <v>0</v>
      </c>
      <c r="AY535">
        <v>15.8</v>
      </c>
      <c r="AZ535">
        <v>17.100000000000001</v>
      </c>
      <c r="BA535">
        <v>23</v>
      </c>
      <c r="BB535">
        <v>565</v>
      </c>
      <c r="BC535">
        <v>68</v>
      </c>
      <c r="BD535">
        <v>2.2999999999999998</v>
      </c>
      <c r="BE535">
        <v>68</v>
      </c>
      <c r="BF535">
        <v>17.600000000000001</v>
      </c>
      <c r="BG535">
        <v>162</v>
      </c>
      <c r="BH535">
        <v>19.7</v>
      </c>
      <c r="BI535">
        <v>16.7</v>
      </c>
      <c r="BJ535">
        <v>36.4</v>
      </c>
      <c r="BK535">
        <v>0.66</v>
      </c>
      <c r="BL535">
        <v>5.6</v>
      </c>
      <c r="BM535">
        <v>1.5</v>
      </c>
      <c r="BN535">
        <v>7.5</v>
      </c>
      <c r="BO535">
        <v>2.9</v>
      </c>
      <c r="BP535">
        <f t="shared" si="16"/>
        <v>17.082890317082285</v>
      </c>
      <c r="BQ535">
        <f t="shared" si="17"/>
        <v>22.98883929320726</v>
      </c>
    </row>
    <row r="536" spans="1:69" x14ac:dyDescent="0.2">
      <c r="A536" t="s">
        <v>2087</v>
      </c>
      <c r="B536" t="s">
        <v>68</v>
      </c>
      <c r="C536" t="s">
        <v>1956</v>
      </c>
      <c r="D536" t="s">
        <v>70</v>
      </c>
      <c r="E536" t="s">
        <v>2088</v>
      </c>
      <c r="F536">
        <v>4</v>
      </c>
      <c r="G536">
        <v>106</v>
      </c>
      <c r="H536">
        <v>3</v>
      </c>
      <c r="I536">
        <v>2</v>
      </c>
      <c r="J536">
        <v>2</v>
      </c>
      <c r="K536" t="s">
        <v>110</v>
      </c>
      <c r="L536" t="s">
        <v>124</v>
      </c>
      <c r="M536" s="4">
        <v>560000000</v>
      </c>
      <c r="N536">
        <v>0</v>
      </c>
      <c r="O536">
        <v>4.6720933999999996</v>
      </c>
      <c r="P536">
        <v>-74.130210000000005</v>
      </c>
      <c r="Q536" t="s">
        <v>2089</v>
      </c>
      <c r="R536">
        <v>5283018.8679999998</v>
      </c>
      <c r="S536">
        <v>0</v>
      </c>
      <c r="T536" t="s">
        <v>98</v>
      </c>
      <c r="U536" t="s">
        <v>525</v>
      </c>
      <c r="V536" t="s">
        <v>77</v>
      </c>
      <c r="W536" t="s">
        <v>98</v>
      </c>
      <c r="X536" t="s">
        <v>526</v>
      </c>
      <c r="Y536">
        <v>1.6578298125391999</v>
      </c>
      <c r="Z536">
        <v>1657.8298125392</v>
      </c>
      <c r="AA536">
        <v>4.6782416666666702</v>
      </c>
      <c r="AB536">
        <v>-74.143819444444404</v>
      </c>
      <c r="AC536">
        <v>2551</v>
      </c>
      <c r="AD536">
        <v>11</v>
      </c>
      <c r="AE536" t="s">
        <v>80</v>
      </c>
      <c r="AF536" t="s">
        <v>81</v>
      </c>
      <c r="AG536" t="s">
        <v>82</v>
      </c>
      <c r="AH536" t="s">
        <v>83</v>
      </c>
      <c r="AI536" t="s">
        <v>92</v>
      </c>
      <c r="AJ536">
        <v>1.43654357021495</v>
      </c>
      <c r="AK536">
        <v>3.10617672851108</v>
      </c>
      <c r="AL536">
        <v>1.37570059396282</v>
      </c>
      <c r="AM536">
        <v>0.57075762897945403</v>
      </c>
      <c r="AN536">
        <v>2.1099859540862398</v>
      </c>
      <c r="AO536">
        <v>0.72552339315860503</v>
      </c>
      <c r="AP536">
        <v>0.72552339315860503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17</v>
      </c>
      <c r="AW536">
        <v>0</v>
      </c>
      <c r="AX536">
        <v>0</v>
      </c>
      <c r="AY536">
        <v>15.8</v>
      </c>
      <c r="AZ536">
        <v>17.100000000000001</v>
      </c>
      <c r="BA536">
        <v>23</v>
      </c>
      <c r="BB536">
        <v>565</v>
      </c>
      <c r="BC536">
        <v>68</v>
      </c>
      <c r="BD536">
        <v>2.2999999999999998</v>
      </c>
      <c r="BE536">
        <v>68</v>
      </c>
      <c r="BF536">
        <v>17.600000000000001</v>
      </c>
      <c r="BG536">
        <v>162</v>
      </c>
      <c r="BH536">
        <v>19.7</v>
      </c>
      <c r="BI536">
        <v>16.7</v>
      </c>
      <c r="BJ536">
        <v>36.4</v>
      </c>
      <c r="BK536">
        <v>0.66</v>
      </c>
      <c r="BL536">
        <v>5.6</v>
      </c>
      <c r="BM536">
        <v>1.5</v>
      </c>
      <c r="BN536">
        <v>7.5</v>
      </c>
      <c r="BO536">
        <v>2.9</v>
      </c>
      <c r="BP536">
        <f t="shared" si="16"/>
        <v>15.752764722259844</v>
      </c>
      <c r="BQ536">
        <f t="shared" si="17"/>
        <v>22.102844274103088</v>
      </c>
    </row>
    <row r="537" spans="1:69" x14ac:dyDescent="0.2">
      <c r="A537" t="s">
        <v>2862</v>
      </c>
      <c r="B537" t="s">
        <v>68</v>
      </c>
      <c r="C537" t="s">
        <v>1956</v>
      </c>
      <c r="D537" t="s">
        <v>70</v>
      </c>
      <c r="E537" t="s">
        <v>580</v>
      </c>
      <c r="F537">
        <v>3</v>
      </c>
      <c r="G537">
        <v>102.58</v>
      </c>
      <c r="H537">
        <v>4</v>
      </c>
      <c r="I537">
        <v>2</v>
      </c>
      <c r="J537">
        <v>2</v>
      </c>
      <c r="K537" t="s">
        <v>110</v>
      </c>
      <c r="L537" t="s">
        <v>162</v>
      </c>
      <c r="M537" s="4">
        <v>780000000</v>
      </c>
      <c r="N537">
        <v>0</v>
      </c>
      <c r="O537">
        <v>4.6718945500000002</v>
      </c>
      <c r="P537">
        <v>-74.119651790000006</v>
      </c>
      <c r="Q537" t="s">
        <v>2863</v>
      </c>
      <c r="R537">
        <v>7603821.4079999998</v>
      </c>
      <c r="S537">
        <v>0</v>
      </c>
      <c r="T537" t="s">
        <v>98</v>
      </c>
      <c r="U537" t="s">
        <v>525</v>
      </c>
      <c r="V537" t="s">
        <v>77</v>
      </c>
      <c r="W537" t="s">
        <v>98</v>
      </c>
      <c r="X537" t="s">
        <v>526</v>
      </c>
      <c r="Y537">
        <v>2.7729088022003499</v>
      </c>
      <c r="Z537">
        <v>2772.9088022003498</v>
      </c>
      <c r="AA537">
        <v>4.6782416666666702</v>
      </c>
      <c r="AB537">
        <v>-74.143819444444404</v>
      </c>
      <c r="AC537">
        <v>2551</v>
      </c>
      <c r="AD537">
        <v>11</v>
      </c>
      <c r="AE537" t="s">
        <v>80</v>
      </c>
      <c r="AF537" t="s">
        <v>81</v>
      </c>
      <c r="AG537" t="s">
        <v>82</v>
      </c>
      <c r="AH537" t="s">
        <v>83</v>
      </c>
      <c r="AI537" t="s">
        <v>92</v>
      </c>
      <c r="AJ537">
        <v>0.44361690435800799</v>
      </c>
      <c r="AK537">
        <v>4.2618667925977096</v>
      </c>
      <c r="AL537">
        <v>2.1089146903686098</v>
      </c>
      <c r="AM537">
        <v>0.193201885174939</v>
      </c>
      <c r="AN537">
        <v>2.3636690834820202</v>
      </c>
      <c r="AO537">
        <v>7.6407823448298101E-3</v>
      </c>
      <c r="AP537">
        <v>7.6407823448298101E-3</v>
      </c>
      <c r="AQ537">
        <v>1</v>
      </c>
      <c r="AR537">
        <v>2</v>
      </c>
      <c r="AS537">
        <v>0</v>
      </c>
      <c r="AT537">
        <v>0</v>
      </c>
      <c r="AU537">
        <v>0</v>
      </c>
      <c r="AV537">
        <v>23</v>
      </c>
      <c r="AW537">
        <v>0</v>
      </c>
      <c r="AX537">
        <v>0</v>
      </c>
      <c r="AY537">
        <v>15.8</v>
      </c>
      <c r="AZ537">
        <v>17.100000000000001</v>
      </c>
      <c r="BA537">
        <v>23</v>
      </c>
      <c r="BB537">
        <v>565</v>
      </c>
      <c r="BC537">
        <v>68</v>
      </c>
      <c r="BD537">
        <v>2.2999999999999998</v>
      </c>
      <c r="BE537">
        <v>68</v>
      </c>
      <c r="BF537">
        <v>17.600000000000001</v>
      </c>
      <c r="BG537">
        <v>162</v>
      </c>
      <c r="BH537">
        <v>19.7</v>
      </c>
      <c r="BI537">
        <v>16.7</v>
      </c>
      <c r="BJ537">
        <v>36.4</v>
      </c>
      <c r="BK537">
        <v>0.66</v>
      </c>
      <c r="BL537">
        <v>5.6</v>
      </c>
      <c r="BM537">
        <v>1.5</v>
      </c>
      <c r="BN537">
        <v>7.5</v>
      </c>
      <c r="BO537">
        <v>2.9</v>
      </c>
      <c r="BP537">
        <f t="shared" si="16"/>
        <v>14.906829711028143</v>
      </c>
      <c r="BQ537">
        <f t="shared" si="17"/>
        <v>21.519175140925725</v>
      </c>
    </row>
    <row r="538" spans="1:69" x14ac:dyDescent="0.2">
      <c r="A538" t="s">
        <v>298</v>
      </c>
      <c r="B538" t="s">
        <v>68</v>
      </c>
      <c r="C538" t="s">
        <v>69</v>
      </c>
      <c r="D538" t="s">
        <v>70</v>
      </c>
      <c r="E538" t="s">
        <v>94</v>
      </c>
      <c r="F538">
        <v>4</v>
      </c>
      <c r="G538">
        <v>83</v>
      </c>
      <c r="H538">
        <v>3</v>
      </c>
      <c r="I538">
        <v>2</v>
      </c>
      <c r="J538">
        <v>1</v>
      </c>
      <c r="K538" t="s">
        <v>72</v>
      </c>
      <c r="L538" t="s">
        <v>73</v>
      </c>
      <c r="M538" s="4">
        <v>950000000</v>
      </c>
      <c r="N538">
        <v>0</v>
      </c>
      <c r="O538">
        <v>4.6550174000000002</v>
      </c>
      <c r="P538">
        <v>-74.12885</v>
      </c>
      <c r="Q538" t="s">
        <v>299</v>
      </c>
      <c r="R538">
        <v>11445783.130000001</v>
      </c>
      <c r="S538">
        <v>0</v>
      </c>
      <c r="T538" t="s">
        <v>96</v>
      </c>
      <c r="U538" t="s">
        <v>97</v>
      </c>
      <c r="V538" t="s">
        <v>77</v>
      </c>
      <c r="W538" t="s">
        <v>98</v>
      </c>
      <c r="X538" t="s">
        <v>99</v>
      </c>
      <c r="Y538">
        <v>2.6157005846235499</v>
      </c>
      <c r="Z538">
        <v>2615.7005846235502</v>
      </c>
      <c r="AA538">
        <v>4.6680000000000001</v>
      </c>
      <c r="AB538">
        <v>-74.148499999999999</v>
      </c>
      <c r="AC538">
        <v>2547</v>
      </c>
      <c r="AD538">
        <v>0</v>
      </c>
      <c r="AE538" t="s">
        <v>80</v>
      </c>
      <c r="AF538" t="s">
        <v>100</v>
      </c>
      <c r="AG538" t="s">
        <v>82</v>
      </c>
      <c r="AH538" t="s">
        <v>83</v>
      </c>
      <c r="AI538" t="s">
        <v>92</v>
      </c>
      <c r="AJ538">
        <v>2.31767707106675</v>
      </c>
      <c r="AK538">
        <v>3.2650120229677202</v>
      </c>
      <c r="AL538">
        <v>1.7080571710976</v>
      </c>
      <c r="AM538">
        <v>0.23079639949212499</v>
      </c>
      <c r="AN538">
        <v>1.64387796355027</v>
      </c>
      <c r="AO538">
        <v>0.19120396449708599</v>
      </c>
      <c r="AP538">
        <v>0.19120396449708599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18</v>
      </c>
      <c r="AW538">
        <v>0</v>
      </c>
      <c r="AX538">
        <v>0</v>
      </c>
      <c r="AY538">
        <v>15.8</v>
      </c>
      <c r="AZ538">
        <v>17.100000000000001</v>
      </c>
      <c r="BA538">
        <v>23</v>
      </c>
      <c r="BB538">
        <v>565</v>
      </c>
      <c r="BC538">
        <v>68</v>
      </c>
      <c r="BD538">
        <v>2.2999999999999998</v>
      </c>
      <c r="BE538">
        <v>68</v>
      </c>
      <c r="BF538">
        <v>17.600000000000001</v>
      </c>
      <c r="BG538">
        <v>162</v>
      </c>
      <c r="BH538">
        <v>19.7</v>
      </c>
      <c r="BI538">
        <v>16.7</v>
      </c>
      <c r="BJ538">
        <v>36.4</v>
      </c>
      <c r="BK538">
        <v>0.66</v>
      </c>
      <c r="BL538">
        <v>5.6</v>
      </c>
      <c r="BM538">
        <v>1.5</v>
      </c>
      <c r="BN538">
        <v>7.5</v>
      </c>
      <c r="BO538">
        <v>2.9</v>
      </c>
      <c r="BP538">
        <f t="shared" si="16"/>
        <v>15.023284305295343</v>
      </c>
      <c r="BQ538">
        <f t="shared" si="17"/>
        <v>21.60052028996035</v>
      </c>
    </row>
    <row r="539" spans="1:69" x14ac:dyDescent="0.2">
      <c r="A539" t="s">
        <v>218</v>
      </c>
      <c r="B539" t="s">
        <v>68</v>
      </c>
      <c r="C539" t="s">
        <v>69</v>
      </c>
      <c r="D539" t="s">
        <v>70</v>
      </c>
      <c r="E539" t="s">
        <v>219</v>
      </c>
      <c r="F539">
        <v>3</v>
      </c>
      <c r="G539">
        <v>81.150000000000006</v>
      </c>
      <c r="H539">
        <v>3</v>
      </c>
      <c r="I539">
        <v>2</v>
      </c>
      <c r="J539">
        <v>1</v>
      </c>
      <c r="K539" t="s">
        <v>110</v>
      </c>
      <c r="L539" t="s">
        <v>133</v>
      </c>
      <c r="M539" s="4">
        <v>479900000</v>
      </c>
      <c r="N539">
        <v>0</v>
      </c>
      <c r="O539">
        <v>4.6489329340000003</v>
      </c>
      <c r="P539">
        <v>-74.150238040000005</v>
      </c>
      <c r="Q539" t="s">
        <v>220</v>
      </c>
      <c r="R539">
        <v>5913739.9879999999</v>
      </c>
      <c r="S539">
        <v>0</v>
      </c>
      <c r="T539" t="s">
        <v>96</v>
      </c>
      <c r="U539" t="s">
        <v>97</v>
      </c>
      <c r="V539" t="s">
        <v>77</v>
      </c>
      <c r="W539" t="s">
        <v>98</v>
      </c>
      <c r="X539" t="s">
        <v>99</v>
      </c>
      <c r="Y539">
        <v>2.13127804838724</v>
      </c>
      <c r="Z539">
        <v>2131.2780483872398</v>
      </c>
      <c r="AA539">
        <v>4.6680000000000001</v>
      </c>
      <c r="AB539">
        <v>-74.148499999999999</v>
      </c>
      <c r="AC539">
        <v>2547</v>
      </c>
      <c r="AD539">
        <v>0</v>
      </c>
      <c r="AE539" t="s">
        <v>80</v>
      </c>
      <c r="AF539" t="s">
        <v>100</v>
      </c>
      <c r="AG539" t="s">
        <v>82</v>
      </c>
      <c r="AH539" t="s">
        <v>83</v>
      </c>
      <c r="AI539" t="s">
        <v>221</v>
      </c>
      <c r="AJ539">
        <v>1.58308052116895</v>
      </c>
      <c r="AK539">
        <v>1.47416307247789</v>
      </c>
      <c r="AL539">
        <v>3.1996024337237801</v>
      </c>
      <c r="AM539">
        <v>0.34406525069849803</v>
      </c>
      <c r="AN539">
        <v>2.07955413832648</v>
      </c>
      <c r="AO539">
        <v>6.0955763350634497E-2</v>
      </c>
      <c r="AP539">
        <v>6.0955763350634497E-2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1</v>
      </c>
      <c r="AW539">
        <v>0</v>
      </c>
      <c r="AX539">
        <v>0</v>
      </c>
      <c r="AY539">
        <v>15.8</v>
      </c>
      <c r="AZ539">
        <v>17.100000000000001</v>
      </c>
      <c r="BA539">
        <v>23</v>
      </c>
      <c r="BB539">
        <v>565</v>
      </c>
      <c r="BC539">
        <v>68</v>
      </c>
      <c r="BD539">
        <v>2.2999999999999998</v>
      </c>
      <c r="BE539">
        <v>68</v>
      </c>
      <c r="BF539">
        <v>17.600000000000001</v>
      </c>
      <c r="BG539">
        <v>162</v>
      </c>
      <c r="BH539">
        <v>19.7</v>
      </c>
      <c r="BI539">
        <v>16.7</v>
      </c>
      <c r="BJ539">
        <v>36.4</v>
      </c>
      <c r="BK539">
        <v>0.66</v>
      </c>
      <c r="BL539">
        <v>5.6</v>
      </c>
      <c r="BM539">
        <v>1.5</v>
      </c>
      <c r="BN539">
        <v>7.5</v>
      </c>
      <c r="BO539">
        <v>2.9</v>
      </c>
      <c r="BP539">
        <f t="shared" si="16"/>
        <v>15.387880208323912</v>
      </c>
      <c r="BQ539">
        <f t="shared" si="17"/>
        <v>21.85311649602767</v>
      </c>
    </row>
    <row r="540" spans="1:69" x14ac:dyDescent="0.2">
      <c r="A540" t="s">
        <v>1356</v>
      </c>
      <c r="B540" t="s">
        <v>68</v>
      </c>
      <c r="C540" t="s">
        <v>69</v>
      </c>
      <c r="D540" t="s">
        <v>70</v>
      </c>
      <c r="E540" t="s">
        <v>1357</v>
      </c>
      <c r="F540">
        <v>3</v>
      </c>
      <c r="G540">
        <v>73</v>
      </c>
      <c r="H540">
        <v>3</v>
      </c>
      <c r="I540">
        <v>2</v>
      </c>
      <c r="J540">
        <v>1</v>
      </c>
      <c r="K540" t="s">
        <v>110</v>
      </c>
      <c r="L540" t="s">
        <v>133</v>
      </c>
      <c r="M540" s="4">
        <v>435000000</v>
      </c>
      <c r="N540">
        <v>0</v>
      </c>
      <c r="O540">
        <v>4.6485030959999998</v>
      </c>
      <c r="P540">
        <v>-74.144797330000003</v>
      </c>
      <c r="Q540" t="s">
        <v>1358</v>
      </c>
      <c r="R540">
        <v>5958904.1100000003</v>
      </c>
      <c r="S540">
        <v>0</v>
      </c>
      <c r="T540" t="s">
        <v>96</v>
      </c>
      <c r="U540" t="s">
        <v>97</v>
      </c>
      <c r="V540" t="s">
        <v>77</v>
      </c>
      <c r="W540" t="s">
        <v>98</v>
      </c>
      <c r="X540" t="s">
        <v>99</v>
      </c>
      <c r="Y540">
        <v>2.2089237627755902</v>
      </c>
      <c r="Z540">
        <v>2208.9237627755901</v>
      </c>
      <c r="AA540">
        <v>4.6680000000000001</v>
      </c>
      <c r="AB540">
        <v>-74.148499999999999</v>
      </c>
      <c r="AC540">
        <v>2547</v>
      </c>
      <c r="AD540">
        <v>0</v>
      </c>
      <c r="AE540" t="s">
        <v>80</v>
      </c>
      <c r="AF540" t="s">
        <v>100</v>
      </c>
      <c r="AG540" t="s">
        <v>82</v>
      </c>
      <c r="AH540" t="s">
        <v>83</v>
      </c>
      <c r="AI540" t="s">
        <v>221</v>
      </c>
      <c r="AJ540">
        <v>1.7749704958241801</v>
      </c>
      <c r="AK540">
        <v>1.91809471222672</v>
      </c>
      <c r="AL540">
        <v>2.6094570116436899</v>
      </c>
      <c r="AM540">
        <v>0.557413833512308</v>
      </c>
      <c r="AN540">
        <v>2.16454999508333</v>
      </c>
      <c r="AO540">
        <v>0.126629473869114</v>
      </c>
      <c r="AP540">
        <v>0.126629473869114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3</v>
      </c>
      <c r="AW540">
        <v>0</v>
      </c>
      <c r="AX540">
        <v>0</v>
      </c>
      <c r="AY540">
        <v>15.8</v>
      </c>
      <c r="AZ540">
        <v>17.100000000000001</v>
      </c>
      <c r="BA540">
        <v>23</v>
      </c>
      <c r="BB540">
        <v>565</v>
      </c>
      <c r="BC540">
        <v>68</v>
      </c>
      <c r="BD540">
        <v>2.2999999999999998</v>
      </c>
      <c r="BE540">
        <v>68</v>
      </c>
      <c r="BF540">
        <v>17.600000000000001</v>
      </c>
      <c r="BG540">
        <v>162</v>
      </c>
      <c r="BH540">
        <v>19.7</v>
      </c>
      <c r="BI540">
        <v>16.7</v>
      </c>
      <c r="BJ540">
        <v>36.4</v>
      </c>
      <c r="BK540">
        <v>0.66</v>
      </c>
      <c r="BL540">
        <v>5.6</v>
      </c>
      <c r="BM540">
        <v>1.5</v>
      </c>
      <c r="BN540">
        <v>7.5</v>
      </c>
      <c r="BO540">
        <v>2.9</v>
      </c>
      <c r="BP540">
        <f t="shared" si="16"/>
        <v>15.328850973217323</v>
      </c>
      <c r="BQ540">
        <f t="shared" si="17"/>
        <v>21.812431196064857</v>
      </c>
    </row>
    <row r="541" spans="1:69" x14ac:dyDescent="0.2">
      <c r="A541" t="s">
        <v>93</v>
      </c>
      <c r="B541" t="s">
        <v>68</v>
      </c>
      <c r="C541" t="s">
        <v>69</v>
      </c>
      <c r="D541" t="s">
        <v>70</v>
      </c>
      <c r="E541" t="s">
        <v>94</v>
      </c>
      <c r="F541">
        <v>4</v>
      </c>
      <c r="G541">
        <v>72</v>
      </c>
      <c r="H541">
        <v>2</v>
      </c>
      <c r="I541">
        <v>2</v>
      </c>
      <c r="J541">
        <v>1</v>
      </c>
      <c r="K541" t="s">
        <v>72</v>
      </c>
      <c r="L541" t="s">
        <v>73</v>
      </c>
      <c r="M541" s="4">
        <v>820000000</v>
      </c>
      <c r="N541">
        <v>0</v>
      </c>
      <c r="O541">
        <v>4.6550174000000002</v>
      </c>
      <c r="P541">
        <v>-74.12885</v>
      </c>
      <c r="Q541" t="s">
        <v>95</v>
      </c>
      <c r="R541">
        <v>11388888.890000001</v>
      </c>
      <c r="S541">
        <v>0</v>
      </c>
      <c r="T541" t="s">
        <v>96</v>
      </c>
      <c r="U541" t="s">
        <v>97</v>
      </c>
      <c r="V541" t="s">
        <v>77</v>
      </c>
      <c r="W541" t="s">
        <v>98</v>
      </c>
      <c r="X541" t="s">
        <v>99</v>
      </c>
      <c r="Y541">
        <v>2.6157005846235499</v>
      </c>
      <c r="Z541">
        <v>2615.7005846235502</v>
      </c>
      <c r="AA541">
        <v>4.6680000000000001</v>
      </c>
      <c r="AB541">
        <v>-74.148499999999999</v>
      </c>
      <c r="AC541">
        <v>2547</v>
      </c>
      <c r="AD541">
        <v>0</v>
      </c>
      <c r="AE541" t="s">
        <v>80</v>
      </c>
      <c r="AF541" t="s">
        <v>100</v>
      </c>
      <c r="AG541" t="s">
        <v>82</v>
      </c>
      <c r="AH541" t="s">
        <v>83</v>
      </c>
      <c r="AI541" t="s">
        <v>92</v>
      </c>
      <c r="AJ541">
        <v>2.31767707106675</v>
      </c>
      <c r="AK541">
        <v>3.2650120229677202</v>
      </c>
      <c r="AL541">
        <v>1.7080571710976</v>
      </c>
      <c r="AM541">
        <v>0.23079639949212499</v>
      </c>
      <c r="AN541">
        <v>1.64387796355027</v>
      </c>
      <c r="AO541">
        <v>0.19120396449708599</v>
      </c>
      <c r="AP541">
        <v>0.19120396449708599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18</v>
      </c>
      <c r="AW541">
        <v>0</v>
      </c>
      <c r="AX541">
        <v>0</v>
      </c>
      <c r="AY541">
        <v>15.8</v>
      </c>
      <c r="AZ541">
        <v>17.100000000000001</v>
      </c>
      <c r="BA541">
        <v>23</v>
      </c>
      <c r="BB541">
        <v>565</v>
      </c>
      <c r="BC541">
        <v>68</v>
      </c>
      <c r="BD541">
        <v>2.2999999999999998</v>
      </c>
      <c r="BE541">
        <v>68</v>
      </c>
      <c r="BF541">
        <v>17.600000000000001</v>
      </c>
      <c r="BG541">
        <v>162</v>
      </c>
      <c r="BH541">
        <v>19.7</v>
      </c>
      <c r="BI541">
        <v>16.7</v>
      </c>
      <c r="BJ541">
        <v>36.4</v>
      </c>
      <c r="BK541">
        <v>0.66</v>
      </c>
      <c r="BL541">
        <v>5.6</v>
      </c>
      <c r="BM541">
        <v>1.5</v>
      </c>
      <c r="BN541">
        <v>7.5</v>
      </c>
      <c r="BO541">
        <v>2.9</v>
      </c>
      <c r="BP541">
        <f t="shared" si="16"/>
        <v>15.023284305295343</v>
      </c>
      <c r="BQ541">
        <f t="shared" si="17"/>
        <v>21.60052028996035</v>
      </c>
    </row>
    <row r="542" spans="1:69" x14ac:dyDescent="0.2">
      <c r="A542" t="s">
        <v>2994</v>
      </c>
      <c r="B542" t="s">
        <v>68</v>
      </c>
      <c r="C542" t="s">
        <v>1956</v>
      </c>
      <c r="D542" t="s">
        <v>70</v>
      </c>
      <c r="E542" t="s">
        <v>143</v>
      </c>
      <c r="F542">
        <v>4</v>
      </c>
      <c r="G542">
        <v>72</v>
      </c>
      <c r="H542">
        <v>3</v>
      </c>
      <c r="I542">
        <v>2</v>
      </c>
      <c r="J542">
        <v>1</v>
      </c>
      <c r="K542" t="s">
        <v>110</v>
      </c>
      <c r="L542" t="s">
        <v>124</v>
      </c>
      <c r="M542" s="4">
        <v>459000000</v>
      </c>
      <c r="N542">
        <v>0</v>
      </c>
      <c r="O542">
        <v>4.6615896000000001</v>
      </c>
      <c r="P542">
        <v>-74.129005000000006</v>
      </c>
      <c r="Q542" t="s">
        <v>2995</v>
      </c>
      <c r="R542">
        <v>6375000</v>
      </c>
      <c r="S542">
        <v>0</v>
      </c>
      <c r="T542" t="s">
        <v>96</v>
      </c>
      <c r="U542" t="s">
        <v>97</v>
      </c>
      <c r="V542" t="s">
        <v>77</v>
      </c>
      <c r="W542" t="s">
        <v>98</v>
      </c>
      <c r="X542" t="s">
        <v>99</v>
      </c>
      <c r="Y542">
        <v>2.27765933104267</v>
      </c>
      <c r="Z542">
        <v>2277.6593310426701</v>
      </c>
      <c r="AA542">
        <v>4.6680000000000001</v>
      </c>
      <c r="AB542">
        <v>-74.148499999999999</v>
      </c>
      <c r="AC542">
        <v>2547</v>
      </c>
      <c r="AD542">
        <v>0</v>
      </c>
      <c r="AE542" t="s">
        <v>80</v>
      </c>
      <c r="AF542" t="s">
        <v>100</v>
      </c>
      <c r="AG542" t="s">
        <v>82</v>
      </c>
      <c r="AH542" t="s">
        <v>83</v>
      </c>
      <c r="AI542" t="s">
        <v>92</v>
      </c>
      <c r="AJ542">
        <v>1.9268249029163</v>
      </c>
      <c r="AK542">
        <v>3.17382039942167</v>
      </c>
      <c r="AL542">
        <v>2.3938608967991399</v>
      </c>
      <c r="AM542">
        <v>0.27442081801699503</v>
      </c>
      <c r="AN542">
        <v>1.97703550206567</v>
      </c>
      <c r="AO542">
        <v>0.156472348299243</v>
      </c>
      <c r="AP542">
        <v>0.156472348299243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15</v>
      </c>
      <c r="AW542">
        <v>0</v>
      </c>
      <c r="AX542">
        <v>0</v>
      </c>
      <c r="AY542">
        <v>15.8</v>
      </c>
      <c r="AZ542">
        <v>17.100000000000001</v>
      </c>
      <c r="BA542">
        <v>23</v>
      </c>
      <c r="BB542">
        <v>565</v>
      </c>
      <c r="BC542">
        <v>68</v>
      </c>
      <c r="BD542">
        <v>2.2999999999999998</v>
      </c>
      <c r="BE542">
        <v>68</v>
      </c>
      <c r="BF542">
        <v>17.600000000000001</v>
      </c>
      <c r="BG542">
        <v>162</v>
      </c>
      <c r="BH542">
        <v>19.7</v>
      </c>
      <c r="BI542">
        <v>16.7</v>
      </c>
      <c r="BJ542">
        <v>36.4</v>
      </c>
      <c r="BK542">
        <v>0.66</v>
      </c>
      <c r="BL542">
        <v>5.6</v>
      </c>
      <c r="BM542">
        <v>1.5</v>
      </c>
      <c r="BN542">
        <v>7.5</v>
      </c>
      <c r="BO542">
        <v>2.9</v>
      </c>
      <c r="BP542">
        <f t="shared" si="16"/>
        <v>15.276784553630483</v>
      </c>
      <c r="BQ542">
        <f t="shared" si="17"/>
        <v>21.776477902973561</v>
      </c>
    </row>
    <row r="543" spans="1:69" x14ac:dyDescent="0.2">
      <c r="A543" t="s">
        <v>656</v>
      </c>
      <c r="B543" t="s">
        <v>68</v>
      </c>
      <c r="C543" t="s">
        <v>69</v>
      </c>
      <c r="D543" t="s">
        <v>70</v>
      </c>
      <c r="E543" t="s">
        <v>143</v>
      </c>
      <c r="F543">
        <v>4</v>
      </c>
      <c r="G543">
        <v>71</v>
      </c>
      <c r="H543">
        <v>3</v>
      </c>
      <c r="I543">
        <v>2</v>
      </c>
      <c r="J543">
        <v>1</v>
      </c>
      <c r="K543" t="s">
        <v>110</v>
      </c>
      <c r="L543" t="s">
        <v>133</v>
      </c>
      <c r="M543" s="4">
        <v>540000000</v>
      </c>
      <c r="N543">
        <v>0</v>
      </c>
      <c r="O543">
        <v>4.6581070000000002</v>
      </c>
      <c r="P543">
        <v>-74.130790000000005</v>
      </c>
      <c r="Q543" t="s">
        <v>657</v>
      </c>
      <c r="R543">
        <v>7605633.8030000003</v>
      </c>
      <c r="S543">
        <v>0</v>
      </c>
      <c r="T543" t="s">
        <v>96</v>
      </c>
      <c r="U543" t="s">
        <v>97</v>
      </c>
      <c r="V543" t="s">
        <v>77</v>
      </c>
      <c r="W543" t="s">
        <v>98</v>
      </c>
      <c r="X543" t="s">
        <v>99</v>
      </c>
      <c r="Y543">
        <v>2.2525153640490099</v>
      </c>
      <c r="Z543">
        <v>2252.5153640490098</v>
      </c>
      <c r="AA543">
        <v>4.6680000000000001</v>
      </c>
      <c r="AB543">
        <v>-74.148499999999999</v>
      </c>
      <c r="AC543">
        <v>2547</v>
      </c>
      <c r="AD543">
        <v>0</v>
      </c>
      <c r="AE543" t="s">
        <v>80</v>
      </c>
      <c r="AF543" t="s">
        <v>100</v>
      </c>
      <c r="AG543" t="s">
        <v>82</v>
      </c>
      <c r="AH543" t="s">
        <v>83</v>
      </c>
      <c r="AI543" t="s">
        <v>92</v>
      </c>
      <c r="AJ543">
        <v>2.2850314385386401</v>
      </c>
      <c r="AK543">
        <v>3.01226059155979</v>
      </c>
      <c r="AL543">
        <v>2.1085222664652798</v>
      </c>
      <c r="AM543">
        <v>0.35716805008795499</v>
      </c>
      <c r="AN543">
        <v>1.9599010571956199</v>
      </c>
      <c r="AO543">
        <v>0.12404246251522399</v>
      </c>
      <c r="AP543">
        <v>0.12404246251522399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17</v>
      </c>
      <c r="AW543">
        <v>0</v>
      </c>
      <c r="AX543">
        <v>0</v>
      </c>
      <c r="AY543">
        <v>15.8</v>
      </c>
      <c r="AZ543">
        <v>17.100000000000001</v>
      </c>
      <c r="BA543">
        <v>23</v>
      </c>
      <c r="BB543">
        <v>565</v>
      </c>
      <c r="BC543">
        <v>68</v>
      </c>
      <c r="BD543">
        <v>2.2999999999999998</v>
      </c>
      <c r="BE543">
        <v>68</v>
      </c>
      <c r="BF543">
        <v>17.600000000000001</v>
      </c>
      <c r="BG543">
        <v>162</v>
      </c>
      <c r="BH543">
        <v>19.7</v>
      </c>
      <c r="BI543">
        <v>16.7</v>
      </c>
      <c r="BJ543">
        <v>36.4</v>
      </c>
      <c r="BK543">
        <v>0.66</v>
      </c>
      <c r="BL543">
        <v>5.6</v>
      </c>
      <c r="BM543">
        <v>1.5</v>
      </c>
      <c r="BN543">
        <v>7.5</v>
      </c>
      <c r="BO543">
        <v>2.9</v>
      </c>
      <c r="BP543">
        <f t="shared" si="16"/>
        <v>15.295810279980749</v>
      </c>
      <c r="BQ543">
        <f t="shared" si="17"/>
        <v>21.789622997811755</v>
      </c>
    </row>
    <row r="544" spans="1:69" x14ac:dyDescent="0.2">
      <c r="A544" t="s">
        <v>2095</v>
      </c>
      <c r="B544" t="s">
        <v>68</v>
      </c>
      <c r="C544" t="s">
        <v>1956</v>
      </c>
      <c r="D544" t="s">
        <v>70</v>
      </c>
      <c r="E544" t="s">
        <v>2096</v>
      </c>
      <c r="F544">
        <v>3</v>
      </c>
      <c r="G544">
        <v>69</v>
      </c>
      <c r="H544">
        <v>2</v>
      </c>
      <c r="I544">
        <v>2</v>
      </c>
      <c r="J544">
        <v>0</v>
      </c>
      <c r="K544" t="s">
        <v>110</v>
      </c>
      <c r="L544" t="s">
        <v>162</v>
      </c>
      <c r="M544" s="4">
        <v>250000000</v>
      </c>
      <c r="N544">
        <v>0</v>
      </c>
      <c r="O544">
        <v>4.6690040000000002</v>
      </c>
      <c r="P544">
        <v>-74.149253999999999</v>
      </c>
      <c r="Q544" t="s">
        <v>2097</v>
      </c>
      <c r="R544">
        <v>3623188.406</v>
      </c>
      <c r="S544">
        <v>0</v>
      </c>
      <c r="T544" t="s">
        <v>96</v>
      </c>
      <c r="U544" t="s">
        <v>97</v>
      </c>
      <c r="V544" t="s">
        <v>77</v>
      </c>
      <c r="W544" t="s">
        <v>98</v>
      </c>
      <c r="X544" t="s">
        <v>99</v>
      </c>
      <c r="Y544">
        <v>0.139605733261989</v>
      </c>
      <c r="Z544">
        <v>139.605733261989</v>
      </c>
      <c r="AA544">
        <v>4.6680000000000001</v>
      </c>
      <c r="AB544">
        <v>-74.148499999999999</v>
      </c>
      <c r="AC544">
        <v>2547</v>
      </c>
      <c r="AD544">
        <v>0</v>
      </c>
      <c r="AE544" t="s">
        <v>80</v>
      </c>
      <c r="AF544" t="s">
        <v>100</v>
      </c>
      <c r="AG544" t="s">
        <v>82</v>
      </c>
      <c r="AH544" t="s">
        <v>83</v>
      </c>
      <c r="AI544" t="s">
        <v>92</v>
      </c>
      <c r="AJ544">
        <v>3.3889895908961098</v>
      </c>
      <c r="AK544">
        <v>0.96711833423230797</v>
      </c>
      <c r="AL544">
        <v>1.90594844967544</v>
      </c>
      <c r="AM544">
        <v>0.37066723017313602</v>
      </c>
      <c r="AN544">
        <v>0.15676767538848399</v>
      </c>
      <c r="AO544">
        <v>8.6850850598136894E-2</v>
      </c>
      <c r="AP544">
        <v>8.6850850598136894E-2</v>
      </c>
      <c r="AQ544">
        <v>0</v>
      </c>
      <c r="AR544">
        <v>0</v>
      </c>
      <c r="AS544">
        <v>0</v>
      </c>
      <c r="AT544">
        <v>1</v>
      </c>
      <c r="AU544">
        <v>0</v>
      </c>
      <c r="AV544">
        <v>24</v>
      </c>
      <c r="AW544">
        <v>1</v>
      </c>
      <c r="AX544">
        <v>0</v>
      </c>
      <c r="AY544">
        <v>15.8</v>
      </c>
      <c r="AZ544">
        <v>17.100000000000001</v>
      </c>
      <c r="BA544">
        <v>23</v>
      </c>
      <c r="BB544">
        <v>565</v>
      </c>
      <c r="BC544">
        <v>68</v>
      </c>
      <c r="BD544">
        <v>2.2999999999999998</v>
      </c>
      <c r="BE544">
        <v>68</v>
      </c>
      <c r="BF544">
        <v>17.600000000000001</v>
      </c>
      <c r="BG544">
        <v>162</v>
      </c>
      <c r="BH544">
        <v>19.7</v>
      </c>
      <c r="BI544">
        <v>16.7</v>
      </c>
      <c r="BJ544">
        <v>36.4</v>
      </c>
      <c r="BK544">
        <v>0.66</v>
      </c>
      <c r="BL544">
        <v>5.6</v>
      </c>
      <c r="BM544">
        <v>1.5</v>
      </c>
      <c r="BN544">
        <v>7.5</v>
      </c>
      <c r="BO544">
        <v>2.9</v>
      </c>
      <c r="BP544">
        <f t="shared" si="16"/>
        <v>16.982238091601165</v>
      </c>
      <c r="BQ544">
        <f t="shared" si="17"/>
        <v>22.923066591350352</v>
      </c>
    </row>
    <row r="545" spans="1:69" x14ac:dyDescent="0.2">
      <c r="A545" t="s">
        <v>2518</v>
      </c>
      <c r="B545" t="s">
        <v>68</v>
      </c>
      <c r="C545" t="s">
        <v>1956</v>
      </c>
      <c r="D545" t="s">
        <v>70</v>
      </c>
      <c r="E545" t="s">
        <v>1135</v>
      </c>
      <c r="F545">
        <v>3</v>
      </c>
      <c r="G545">
        <v>67</v>
      </c>
      <c r="H545">
        <v>4</v>
      </c>
      <c r="I545">
        <v>2</v>
      </c>
      <c r="J545">
        <v>1</v>
      </c>
      <c r="K545" t="s">
        <v>110</v>
      </c>
      <c r="L545" t="s">
        <v>162</v>
      </c>
      <c r="M545" s="4">
        <v>238000000</v>
      </c>
      <c r="N545">
        <v>0</v>
      </c>
      <c r="O545">
        <v>4.6516156000000004</v>
      </c>
      <c r="P545">
        <v>-74.151275999999996</v>
      </c>
      <c r="Q545" t="s">
        <v>2519</v>
      </c>
      <c r="R545">
        <v>3552238.8059999999</v>
      </c>
      <c r="S545">
        <v>0</v>
      </c>
      <c r="T545" t="s">
        <v>96</v>
      </c>
      <c r="U545" t="s">
        <v>97</v>
      </c>
      <c r="V545" t="s">
        <v>77</v>
      </c>
      <c r="W545" t="s">
        <v>98</v>
      </c>
      <c r="X545" t="s">
        <v>99</v>
      </c>
      <c r="Y545">
        <v>1.84972627548743</v>
      </c>
      <c r="Z545">
        <v>1849.72627548743</v>
      </c>
      <c r="AA545">
        <v>4.6680000000000001</v>
      </c>
      <c r="AB545">
        <v>-74.148499999999999</v>
      </c>
      <c r="AC545">
        <v>2547</v>
      </c>
      <c r="AD545">
        <v>0</v>
      </c>
      <c r="AE545" t="s">
        <v>80</v>
      </c>
      <c r="AF545" t="s">
        <v>100</v>
      </c>
      <c r="AG545" t="s">
        <v>82</v>
      </c>
      <c r="AH545" t="s">
        <v>83</v>
      </c>
      <c r="AI545" t="s">
        <v>221</v>
      </c>
      <c r="AJ545">
        <v>1.7598602944939801</v>
      </c>
      <c r="AK545">
        <v>1.168076498242</v>
      </c>
      <c r="AL545">
        <v>3.40156828463935</v>
      </c>
      <c r="AM545">
        <v>0.282909811287819</v>
      </c>
      <c r="AN545">
        <v>1.79868116259766</v>
      </c>
      <c r="AO545">
        <v>8.3521733240493001E-2</v>
      </c>
      <c r="AP545">
        <v>8.3521733240493001E-2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1</v>
      </c>
      <c r="AW545">
        <v>0</v>
      </c>
      <c r="AX545">
        <v>0</v>
      </c>
      <c r="AY545">
        <v>15.8</v>
      </c>
      <c r="AZ545">
        <v>17.100000000000001</v>
      </c>
      <c r="BA545">
        <v>23</v>
      </c>
      <c r="BB545">
        <v>565</v>
      </c>
      <c r="BC545">
        <v>68</v>
      </c>
      <c r="BD545">
        <v>2.2999999999999998</v>
      </c>
      <c r="BE545">
        <v>68</v>
      </c>
      <c r="BF545">
        <v>17.600000000000001</v>
      </c>
      <c r="BG545">
        <v>162</v>
      </c>
      <c r="BH545">
        <v>19.7</v>
      </c>
      <c r="BI545">
        <v>16.7</v>
      </c>
      <c r="BJ545">
        <v>36.4</v>
      </c>
      <c r="BK545">
        <v>0.66</v>
      </c>
      <c r="BL545">
        <v>5.6</v>
      </c>
      <c r="BM545">
        <v>1.5</v>
      </c>
      <c r="BN545">
        <v>7.5</v>
      </c>
      <c r="BO545">
        <v>2.9</v>
      </c>
      <c r="BP545">
        <f t="shared" si="16"/>
        <v>15.603839610859405</v>
      </c>
      <c r="BQ545">
        <f t="shared" si="17"/>
        <v>22.001283340530499</v>
      </c>
    </row>
    <row r="546" spans="1:69" x14ac:dyDescent="0.2">
      <c r="A546" t="s">
        <v>893</v>
      </c>
      <c r="B546" t="s">
        <v>68</v>
      </c>
      <c r="C546" t="s">
        <v>69</v>
      </c>
      <c r="D546" t="s">
        <v>70</v>
      </c>
      <c r="E546" t="s">
        <v>642</v>
      </c>
      <c r="F546">
        <v>4</v>
      </c>
      <c r="G546">
        <v>66</v>
      </c>
      <c r="H546">
        <v>3</v>
      </c>
      <c r="I546">
        <v>2</v>
      </c>
      <c r="J546">
        <v>1</v>
      </c>
      <c r="K546" t="s">
        <v>110</v>
      </c>
      <c r="L546" t="s">
        <v>124</v>
      </c>
      <c r="M546" s="4">
        <v>410000000</v>
      </c>
      <c r="N546">
        <v>0</v>
      </c>
      <c r="O546">
        <v>4.6609927000000004</v>
      </c>
      <c r="P546">
        <v>-74.130124100000003</v>
      </c>
      <c r="Q546" t="s">
        <v>894</v>
      </c>
      <c r="R546">
        <v>6212121.2120000003</v>
      </c>
      <c r="S546">
        <v>0</v>
      </c>
      <c r="T546" t="s">
        <v>96</v>
      </c>
      <c r="U546" t="s">
        <v>97</v>
      </c>
      <c r="V546" t="s">
        <v>77</v>
      </c>
      <c r="W546" t="s">
        <v>98</v>
      </c>
      <c r="X546" t="s">
        <v>99</v>
      </c>
      <c r="Y546">
        <v>2.1829490628480599</v>
      </c>
      <c r="Z546">
        <v>2182.9490628480598</v>
      </c>
      <c r="AA546">
        <v>4.6680000000000001</v>
      </c>
      <c r="AB546">
        <v>-74.148499999999999</v>
      </c>
      <c r="AC546">
        <v>2547</v>
      </c>
      <c r="AD546">
        <v>0</v>
      </c>
      <c r="AE546" t="s">
        <v>80</v>
      </c>
      <c r="AF546" t="s">
        <v>100</v>
      </c>
      <c r="AG546" t="s">
        <v>82</v>
      </c>
      <c r="AH546" t="s">
        <v>83</v>
      </c>
      <c r="AI546" t="s">
        <v>92</v>
      </c>
      <c r="AJ546">
        <v>2.0672043879903699</v>
      </c>
      <c r="AK546">
        <v>3.0547987361889</v>
      </c>
      <c r="AL546">
        <v>2.3723324811210902</v>
      </c>
      <c r="AM546">
        <v>0.236599677913652</v>
      </c>
      <c r="AN546">
        <v>2.0430388585055002</v>
      </c>
      <c r="AO546">
        <v>0.117983463940457</v>
      </c>
      <c r="AP546">
        <v>0.117983463940457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15</v>
      </c>
      <c r="AW546">
        <v>0</v>
      </c>
      <c r="AX546">
        <v>0</v>
      </c>
      <c r="AY546">
        <v>15.8</v>
      </c>
      <c r="AZ546">
        <v>17.100000000000001</v>
      </c>
      <c r="BA546">
        <v>23</v>
      </c>
      <c r="BB546">
        <v>565</v>
      </c>
      <c r="BC546">
        <v>68</v>
      </c>
      <c r="BD546">
        <v>2.2999999999999998</v>
      </c>
      <c r="BE546">
        <v>68</v>
      </c>
      <c r="BF546">
        <v>17.600000000000001</v>
      </c>
      <c r="BG546">
        <v>162</v>
      </c>
      <c r="BH546">
        <v>19.7</v>
      </c>
      <c r="BI546">
        <v>16.7</v>
      </c>
      <c r="BJ546">
        <v>36.4</v>
      </c>
      <c r="BK546">
        <v>0.66</v>
      </c>
      <c r="BL546">
        <v>5.6</v>
      </c>
      <c r="BM546">
        <v>1.5</v>
      </c>
      <c r="BN546">
        <v>7.5</v>
      </c>
      <c r="BO546">
        <v>2.9</v>
      </c>
      <c r="BP546">
        <f t="shared" si="16"/>
        <v>15.348572683132497</v>
      </c>
      <c r="BQ546">
        <f t="shared" si="17"/>
        <v>21.826033147823928</v>
      </c>
    </row>
    <row r="547" spans="1:69" x14ac:dyDescent="0.2">
      <c r="A547" t="s">
        <v>142</v>
      </c>
      <c r="B547" t="s">
        <v>68</v>
      </c>
      <c r="C547" t="s">
        <v>69</v>
      </c>
      <c r="D547" t="s">
        <v>70</v>
      </c>
      <c r="E547" t="s">
        <v>143</v>
      </c>
      <c r="F547">
        <v>4</v>
      </c>
      <c r="G547">
        <v>65</v>
      </c>
      <c r="H547">
        <v>3</v>
      </c>
      <c r="I547">
        <v>2</v>
      </c>
      <c r="J547">
        <v>2</v>
      </c>
      <c r="K547" t="s">
        <v>110</v>
      </c>
      <c r="L547" t="s">
        <v>124</v>
      </c>
      <c r="M547" s="4">
        <v>480000000</v>
      </c>
      <c r="N547">
        <v>0</v>
      </c>
      <c r="O547">
        <v>4.6608289999999997</v>
      </c>
      <c r="P547">
        <v>-74.129570000000001</v>
      </c>
      <c r="Q547" t="s">
        <v>144</v>
      </c>
      <c r="R547">
        <v>7384615.3849999998</v>
      </c>
      <c r="S547">
        <v>0</v>
      </c>
      <c r="T547" t="s">
        <v>96</v>
      </c>
      <c r="U547" t="s">
        <v>97</v>
      </c>
      <c r="V547" t="s">
        <v>77</v>
      </c>
      <c r="W547" t="s">
        <v>98</v>
      </c>
      <c r="X547" t="s">
        <v>99</v>
      </c>
      <c r="Y547">
        <v>2.24688528614469</v>
      </c>
      <c r="Z547">
        <v>2246.8852861446899</v>
      </c>
      <c r="AA547">
        <v>4.6680000000000001</v>
      </c>
      <c r="AB547">
        <v>-74.148499999999999</v>
      </c>
      <c r="AC547">
        <v>2547</v>
      </c>
      <c r="AD547">
        <v>0</v>
      </c>
      <c r="AE547" t="s">
        <v>80</v>
      </c>
      <c r="AF547" t="s">
        <v>100</v>
      </c>
      <c r="AG547" t="s">
        <v>82</v>
      </c>
      <c r="AH547" t="s">
        <v>83</v>
      </c>
      <c r="AI547" t="s">
        <v>92</v>
      </c>
      <c r="AJ547">
        <v>2.0198940681111699</v>
      </c>
      <c r="AK547">
        <v>3.1175640559997602</v>
      </c>
      <c r="AL547">
        <v>2.3341082719081099</v>
      </c>
      <c r="AM547">
        <v>0.29682931327228401</v>
      </c>
      <c r="AN547">
        <v>1.9814955221482899</v>
      </c>
      <c r="AO547">
        <v>0.17384014810023601</v>
      </c>
      <c r="AP547">
        <v>0.17384014810023601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15</v>
      </c>
      <c r="AW547">
        <v>0</v>
      </c>
      <c r="AX547">
        <v>0</v>
      </c>
      <c r="AY547">
        <v>15.8</v>
      </c>
      <c r="AZ547">
        <v>17.100000000000001</v>
      </c>
      <c r="BA547">
        <v>23</v>
      </c>
      <c r="BB547">
        <v>565</v>
      </c>
      <c r="BC547">
        <v>68</v>
      </c>
      <c r="BD547">
        <v>2.2999999999999998</v>
      </c>
      <c r="BE547">
        <v>68</v>
      </c>
      <c r="BF547">
        <v>17.600000000000001</v>
      </c>
      <c r="BG547">
        <v>162</v>
      </c>
      <c r="BH547">
        <v>19.7</v>
      </c>
      <c r="BI547">
        <v>16.7</v>
      </c>
      <c r="BJ547">
        <v>36.4</v>
      </c>
      <c r="BK547">
        <v>0.66</v>
      </c>
      <c r="BL547">
        <v>5.6</v>
      </c>
      <c r="BM547">
        <v>1.5</v>
      </c>
      <c r="BN547">
        <v>7.5</v>
      </c>
      <c r="BO547">
        <v>2.9</v>
      </c>
      <c r="BP547">
        <f t="shared" si="16"/>
        <v>15.300073645901998</v>
      </c>
      <c r="BQ547">
        <f t="shared" si="17"/>
        <v>21.792567451336911</v>
      </c>
    </row>
    <row r="548" spans="1:69" x14ac:dyDescent="0.2">
      <c r="A548" t="s">
        <v>641</v>
      </c>
      <c r="B548" t="s">
        <v>68</v>
      </c>
      <c r="C548" t="s">
        <v>69</v>
      </c>
      <c r="D548" t="s">
        <v>70</v>
      </c>
      <c r="E548" t="s">
        <v>642</v>
      </c>
      <c r="F548">
        <v>4</v>
      </c>
      <c r="G548">
        <v>64.959999999999994</v>
      </c>
      <c r="H548">
        <v>3</v>
      </c>
      <c r="I548">
        <v>2</v>
      </c>
      <c r="J548">
        <v>1</v>
      </c>
      <c r="K548" t="s">
        <v>72</v>
      </c>
      <c r="L548" t="s">
        <v>73</v>
      </c>
      <c r="M548" s="4">
        <v>596370000</v>
      </c>
      <c r="N548">
        <v>0</v>
      </c>
      <c r="O548">
        <v>4.6582165</v>
      </c>
      <c r="P548">
        <v>-74.133414999999999</v>
      </c>
      <c r="Q548" t="s">
        <v>643</v>
      </c>
      <c r="R548">
        <v>9180572.6600000001</v>
      </c>
      <c r="S548">
        <v>0</v>
      </c>
      <c r="T548" t="s">
        <v>96</v>
      </c>
      <c r="U548" t="s">
        <v>97</v>
      </c>
      <c r="V548" t="s">
        <v>77</v>
      </c>
      <c r="W548" t="s">
        <v>98</v>
      </c>
      <c r="X548" t="s">
        <v>99</v>
      </c>
      <c r="Y548">
        <v>1.9968437177741001</v>
      </c>
      <c r="Z548">
        <v>1996.8437177741</v>
      </c>
      <c r="AA548">
        <v>4.6680000000000001</v>
      </c>
      <c r="AB548">
        <v>-74.148499999999999</v>
      </c>
      <c r="AC548">
        <v>2547</v>
      </c>
      <c r="AD548">
        <v>0</v>
      </c>
      <c r="AE548" t="s">
        <v>80</v>
      </c>
      <c r="AF548" t="s">
        <v>100</v>
      </c>
      <c r="AG548" t="s">
        <v>82</v>
      </c>
      <c r="AH548" t="s">
        <v>83</v>
      </c>
      <c r="AI548" t="s">
        <v>92</v>
      </c>
      <c r="AJ548">
        <v>2.53128333907389</v>
      </c>
      <c r="AK548">
        <v>2.72100738321737</v>
      </c>
      <c r="AL548">
        <v>2.26083219664313</v>
      </c>
      <c r="AM548">
        <v>0.46071011628966502</v>
      </c>
      <c r="AN548">
        <v>1.9944756207396499</v>
      </c>
      <c r="AO548">
        <v>0.32445228469366799</v>
      </c>
      <c r="AP548">
        <v>0.32445228469366799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14</v>
      </c>
      <c r="AW548">
        <v>0</v>
      </c>
      <c r="AX548">
        <v>0</v>
      </c>
      <c r="AY548">
        <v>15.8</v>
      </c>
      <c r="AZ548">
        <v>17.100000000000001</v>
      </c>
      <c r="BA548">
        <v>23</v>
      </c>
      <c r="BB548">
        <v>565</v>
      </c>
      <c r="BC548">
        <v>68</v>
      </c>
      <c r="BD548">
        <v>2.2999999999999998</v>
      </c>
      <c r="BE548">
        <v>68</v>
      </c>
      <c r="BF548">
        <v>17.600000000000001</v>
      </c>
      <c r="BG548">
        <v>162</v>
      </c>
      <c r="BH548">
        <v>19.7</v>
      </c>
      <c r="BI548">
        <v>16.7</v>
      </c>
      <c r="BJ548">
        <v>36.4</v>
      </c>
      <c r="BK548">
        <v>0.66</v>
      </c>
      <c r="BL548">
        <v>5.6</v>
      </c>
      <c r="BM548">
        <v>1.5</v>
      </c>
      <c r="BN548">
        <v>7.5</v>
      </c>
      <c r="BO548">
        <v>2.9</v>
      </c>
      <c r="BP548">
        <f t="shared" si="16"/>
        <v>15.490620310244887</v>
      </c>
      <c r="BQ548">
        <f t="shared" si="17"/>
        <v>21.92373777997615</v>
      </c>
    </row>
    <row r="549" spans="1:69" x14ac:dyDescent="0.2">
      <c r="A549" t="s">
        <v>322</v>
      </c>
      <c r="B549" t="s">
        <v>68</v>
      </c>
      <c r="C549" t="s">
        <v>69</v>
      </c>
      <c r="D549" t="s">
        <v>70</v>
      </c>
      <c r="E549" t="s">
        <v>323</v>
      </c>
      <c r="F549">
        <v>4</v>
      </c>
      <c r="G549">
        <v>64</v>
      </c>
      <c r="H549">
        <v>3</v>
      </c>
      <c r="I549">
        <v>3</v>
      </c>
      <c r="J549">
        <v>1</v>
      </c>
      <c r="K549" t="s">
        <v>110</v>
      </c>
      <c r="L549" t="s">
        <v>124</v>
      </c>
      <c r="M549" s="4">
        <v>328000000</v>
      </c>
      <c r="N549">
        <v>0</v>
      </c>
      <c r="O549">
        <v>4.666699886</v>
      </c>
      <c r="P549">
        <v>-74.136291499999999</v>
      </c>
      <c r="Q549" t="s">
        <v>324</v>
      </c>
      <c r="R549">
        <v>5125000</v>
      </c>
      <c r="S549">
        <v>0</v>
      </c>
      <c r="T549" t="s">
        <v>96</v>
      </c>
      <c r="U549" t="s">
        <v>97</v>
      </c>
      <c r="V549" t="s">
        <v>77</v>
      </c>
      <c r="W549" t="s">
        <v>98</v>
      </c>
      <c r="X549" t="s">
        <v>99</v>
      </c>
      <c r="Y549">
        <v>1.3622472255877001</v>
      </c>
      <c r="Z549">
        <v>1362.2472255877001</v>
      </c>
      <c r="AA549">
        <v>4.6680000000000001</v>
      </c>
      <c r="AB549">
        <v>-74.148499999999999</v>
      </c>
      <c r="AC549">
        <v>2547</v>
      </c>
      <c r="AD549">
        <v>0</v>
      </c>
      <c r="AE549" t="s">
        <v>80</v>
      </c>
      <c r="AF549" t="s">
        <v>100</v>
      </c>
      <c r="AG549" t="s">
        <v>82</v>
      </c>
      <c r="AH549" t="s">
        <v>83</v>
      </c>
      <c r="AI549" t="s">
        <v>92</v>
      </c>
      <c r="AJ549">
        <v>2.31361260169753</v>
      </c>
      <c r="AK549">
        <v>2.3841486566616399</v>
      </c>
      <c r="AL549">
        <v>1.6891301696622101</v>
      </c>
      <c r="AM549">
        <v>0.19786088320654599</v>
      </c>
      <c r="AN549">
        <v>1.38303854475137</v>
      </c>
      <c r="AO549">
        <v>3.5668064354588497E-2</v>
      </c>
      <c r="AP549">
        <v>3.5668064354588497E-2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16</v>
      </c>
      <c r="AW549">
        <v>0</v>
      </c>
      <c r="AX549">
        <v>0</v>
      </c>
      <c r="AY549">
        <v>15.8</v>
      </c>
      <c r="AZ549">
        <v>17.100000000000001</v>
      </c>
      <c r="BA549">
        <v>23</v>
      </c>
      <c r="BB549">
        <v>565</v>
      </c>
      <c r="BC549">
        <v>68</v>
      </c>
      <c r="BD549">
        <v>2.2999999999999998</v>
      </c>
      <c r="BE549">
        <v>68</v>
      </c>
      <c r="BF549">
        <v>17.600000000000001</v>
      </c>
      <c r="BG549">
        <v>162</v>
      </c>
      <c r="BH549">
        <v>19.7</v>
      </c>
      <c r="BI549">
        <v>16.7</v>
      </c>
      <c r="BJ549">
        <v>36.4</v>
      </c>
      <c r="BK549">
        <v>0.66</v>
      </c>
      <c r="BL549">
        <v>5.6</v>
      </c>
      <c r="BM549">
        <v>1.5</v>
      </c>
      <c r="BN549">
        <v>7.5</v>
      </c>
      <c r="BO549">
        <v>2.9</v>
      </c>
      <c r="BP549">
        <f t="shared" si="16"/>
        <v>15.984943146734645</v>
      </c>
      <c r="BQ549">
        <f t="shared" si="17"/>
        <v>22.260198931110693</v>
      </c>
    </row>
    <row r="550" spans="1:69" x14ac:dyDescent="0.2">
      <c r="A550" t="s">
        <v>1534</v>
      </c>
      <c r="B550" t="s">
        <v>68</v>
      </c>
      <c r="C550" t="s">
        <v>69</v>
      </c>
      <c r="D550" t="s">
        <v>70</v>
      </c>
      <c r="E550" t="s">
        <v>642</v>
      </c>
      <c r="F550">
        <v>4</v>
      </c>
      <c r="G550">
        <v>62.62</v>
      </c>
      <c r="H550">
        <v>3</v>
      </c>
      <c r="I550">
        <v>2</v>
      </c>
      <c r="J550">
        <v>1</v>
      </c>
      <c r="K550" t="s">
        <v>72</v>
      </c>
      <c r="L550" t="s">
        <v>73</v>
      </c>
      <c r="M550" s="4">
        <v>511995000</v>
      </c>
      <c r="N550">
        <v>0</v>
      </c>
      <c r="O550">
        <v>4.6582165</v>
      </c>
      <c r="P550">
        <v>-74.133414999999999</v>
      </c>
      <c r="Q550" t="s">
        <v>1535</v>
      </c>
      <c r="R550">
        <v>8176221.6540000001</v>
      </c>
      <c r="S550">
        <v>0</v>
      </c>
      <c r="T550" t="s">
        <v>96</v>
      </c>
      <c r="U550" t="s">
        <v>97</v>
      </c>
      <c r="V550" t="s">
        <v>77</v>
      </c>
      <c r="W550" t="s">
        <v>98</v>
      </c>
      <c r="X550" t="s">
        <v>99</v>
      </c>
      <c r="Y550">
        <v>1.9968437177741001</v>
      </c>
      <c r="Z550">
        <v>1996.8437177741</v>
      </c>
      <c r="AA550">
        <v>4.6680000000000001</v>
      </c>
      <c r="AB550">
        <v>-74.148499999999999</v>
      </c>
      <c r="AC550">
        <v>2547</v>
      </c>
      <c r="AD550">
        <v>0</v>
      </c>
      <c r="AE550" t="s">
        <v>80</v>
      </c>
      <c r="AF550" t="s">
        <v>100</v>
      </c>
      <c r="AG550" t="s">
        <v>82</v>
      </c>
      <c r="AH550" t="s">
        <v>83</v>
      </c>
      <c r="AI550" t="s">
        <v>92</v>
      </c>
      <c r="AJ550">
        <v>2.53128333907389</v>
      </c>
      <c r="AK550">
        <v>2.72100738321737</v>
      </c>
      <c r="AL550">
        <v>2.26083219664313</v>
      </c>
      <c r="AM550">
        <v>0.46071011628966502</v>
      </c>
      <c r="AN550">
        <v>1.9944756207396499</v>
      </c>
      <c r="AO550">
        <v>0.32445228469366799</v>
      </c>
      <c r="AP550">
        <v>0.32445228469366799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14</v>
      </c>
      <c r="AW550">
        <v>0</v>
      </c>
      <c r="AX550">
        <v>0</v>
      </c>
      <c r="AY550">
        <v>15.8</v>
      </c>
      <c r="AZ550">
        <v>17.100000000000001</v>
      </c>
      <c r="BA550">
        <v>23</v>
      </c>
      <c r="BB550">
        <v>565</v>
      </c>
      <c r="BC550">
        <v>68</v>
      </c>
      <c r="BD550">
        <v>2.2999999999999998</v>
      </c>
      <c r="BE550">
        <v>68</v>
      </c>
      <c r="BF550">
        <v>17.600000000000001</v>
      </c>
      <c r="BG550">
        <v>162</v>
      </c>
      <c r="BH550">
        <v>19.7</v>
      </c>
      <c r="BI550">
        <v>16.7</v>
      </c>
      <c r="BJ550">
        <v>36.4</v>
      </c>
      <c r="BK550">
        <v>0.66</v>
      </c>
      <c r="BL550">
        <v>5.6</v>
      </c>
      <c r="BM550">
        <v>1.5</v>
      </c>
      <c r="BN550">
        <v>7.5</v>
      </c>
      <c r="BO550">
        <v>2.9</v>
      </c>
      <c r="BP550">
        <f t="shared" si="16"/>
        <v>15.490620310244887</v>
      </c>
      <c r="BQ550">
        <f t="shared" si="17"/>
        <v>21.92373777997615</v>
      </c>
    </row>
    <row r="551" spans="1:69" x14ac:dyDescent="0.2">
      <c r="A551" t="s">
        <v>1492</v>
      </c>
      <c r="B551" t="s">
        <v>68</v>
      </c>
      <c r="C551" t="s">
        <v>69</v>
      </c>
      <c r="D551" t="s">
        <v>70</v>
      </c>
      <c r="E551" t="s">
        <v>1135</v>
      </c>
      <c r="F551">
        <v>3</v>
      </c>
      <c r="G551">
        <v>61</v>
      </c>
      <c r="H551">
        <v>3</v>
      </c>
      <c r="I551">
        <v>2</v>
      </c>
      <c r="J551">
        <v>1</v>
      </c>
      <c r="K551" t="s">
        <v>110</v>
      </c>
      <c r="L551" t="s">
        <v>133</v>
      </c>
      <c r="M551" s="4">
        <v>349000000</v>
      </c>
      <c r="N551">
        <v>0</v>
      </c>
      <c r="O551">
        <v>4.6554484370000004</v>
      </c>
      <c r="P551">
        <v>-74.154464719999993</v>
      </c>
      <c r="Q551" t="s">
        <v>1493</v>
      </c>
      <c r="R551">
        <v>5721311.4749999996</v>
      </c>
      <c r="S551">
        <v>0</v>
      </c>
      <c r="T551" t="s">
        <v>96</v>
      </c>
      <c r="U551" t="s">
        <v>97</v>
      </c>
      <c r="V551" t="s">
        <v>77</v>
      </c>
      <c r="W551" t="s">
        <v>98</v>
      </c>
      <c r="X551" t="s">
        <v>99</v>
      </c>
      <c r="Y551">
        <v>1.54603744403634</v>
      </c>
      <c r="Z551">
        <v>1546.03744403634</v>
      </c>
      <c r="AA551">
        <v>4.6680000000000001</v>
      </c>
      <c r="AB551">
        <v>-74.148499999999999</v>
      </c>
      <c r="AC551">
        <v>2547</v>
      </c>
      <c r="AD551">
        <v>0</v>
      </c>
      <c r="AE551" t="s">
        <v>80</v>
      </c>
      <c r="AF551" t="s">
        <v>100</v>
      </c>
      <c r="AG551" t="s">
        <v>82</v>
      </c>
      <c r="AH551" t="s">
        <v>83</v>
      </c>
      <c r="AI551" t="s">
        <v>221</v>
      </c>
      <c r="AJ551">
        <v>2.01286222119619</v>
      </c>
      <c r="AK551">
        <v>0.61642758825353505</v>
      </c>
      <c r="AL551">
        <v>3.4560375435519002</v>
      </c>
      <c r="AM551">
        <v>0.76238652785065197</v>
      </c>
      <c r="AN551">
        <v>1.49495872142611</v>
      </c>
      <c r="AO551">
        <v>3.77829052393511E-2</v>
      </c>
      <c r="AP551">
        <v>3.77829052393511E-2</v>
      </c>
      <c r="AQ551">
        <v>0</v>
      </c>
      <c r="AR551">
        <v>0</v>
      </c>
      <c r="AS551">
        <v>0</v>
      </c>
      <c r="AT551">
        <v>6</v>
      </c>
      <c r="AU551">
        <v>0</v>
      </c>
      <c r="AV551">
        <v>1</v>
      </c>
      <c r="AW551">
        <v>0</v>
      </c>
      <c r="AX551">
        <v>0</v>
      </c>
      <c r="AY551">
        <v>15.8</v>
      </c>
      <c r="AZ551">
        <v>17.100000000000001</v>
      </c>
      <c r="BA551">
        <v>23</v>
      </c>
      <c r="BB551">
        <v>565</v>
      </c>
      <c r="BC551">
        <v>68</v>
      </c>
      <c r="BD551">
        <v>2.2999999999999998</v>
      </c>
      <c r="BE551">
        <v>68</v>
      </c>
      <c r="BF551">
        <v>17.600000000000001</v>
      </c>
      <c r="BG551">
        <v>162</v>
      </c>
      <c r="BH551">
        <v>19.7</v>
      </c>
      <c r="BI551">
        <v>16.7</v>
      </c>
      <c r="BJ551">
        <v>36.4</v>
      </c>
      <c r="BK551">
        <v>0.66</v>
      </c>
      <c r="BL551">
        <v>5.6</v>
      </c>
      <c r="BM551">
        <v>1.5</v>
      </c>
      <c r="BN551">
        <v>7.5</v>
      </c>
      <c r="BO551">
        <v>2.9</v>
      </c>
      <c r="BP551">
        <f t="shared" si="16"/>
        <v>15.840177783495452</v>
      </c>
      <c r="BQ551">
        <f t="shared" si="17"/>
        <v>22.162226203328384</v>
      </c>
    </row>
    <row r="552" spans="1:69" x14ac:dyDescent="0.2">
      <c r="A552" t="s">
        <v>686</v>
      </c>
      <c r="B552" t="s">
        <v>68</v>
      </c>
      <c r="C552" t="s">
        <v>69</v>
      </c>
      <c r="D552" t="s">
        <v>70</v>
      </c>
      <c r="E552" t="s">
        <v>143</v>
      </c>
      <c r="F552">
        <v>4</v>
      </c>
      <c r="G552">
        <v>60.29</v>
      </c>
      <c r="H552">
        <v>3</v>
      </c>
      <c r="I552">
        <v>2</v>
      </c>
      <c r="J552">
        <v>1</v>
      </c>
      <c r="K552" t="s">
        <v>110</v>
      </c>
      <c r="L552" t="s">
        <v>124</v>
      </c>
      <c r="M552" s="4">
        <v>450000000</v>
      </c>
      <c r="N552">
        <v>0</v>
      </c>
      <c r="O552">
        <v>4.661721</v>
      </c>
      <c r="P552">
        <v>-74.132940000000005</v>
      </c>
      <c r="Q552" t="s">
        <v>687</v>
      </c>
      <c r="R552">
        <v>7463924.3660000004</v>
      </c>
      <c r="S552">
        <v>0</v>
      </c>
      <c r="T552" t="s">
        <v>96</v>
      </c>
      <c r="U552" t="s">
        <v>97</v>
      </c>
      <c r="V552" t="s">
        <v>77</v>
      </c>
      <c r="W552" t="s">
        <v>98</v>
      </c>
      <c r="X552" t="s">
        <v>99</v>
      </c>
      <c r="Y552">
        <v>1.8625253586691699</v>
      </c>
      <c r="Z552">
        <v>1862.5253586691699</v>
      </c>
      <c r="AA552">
        <v>4.6680000000000001</v>
      </c>
      <c r="AB552">
        <v>-74.148499999999999</v>
      </c>
      <c r="AC552">
        <v>2547</v>
      </c>
      <c r="AD552">
        <v>0</v>
      </c>
      <c r="AE552" t="s">
        <v>80</v>
      </c>
      <c r="AF552" t="s">
        <v>100</v>
      </c>
      <c r="AG552" t="s">
        <v>82</v>
      </c>
      <c r="AH552" t="s">
        <v>83</v>
      </c>
      <c r="AI552" t="s">
        <v>92</v>
      </c>
      <c r="AJ552">
        <v>2.2865533359268801</v>
      </c>
      <c r="AK552">
        <v>2.73742347956117</v>
      </c>
      <c r="AL552">
        <v>2.29593506034692</v>
      </c>
      <c r="AM552">
        <v>0.144650787147099</v>
      </c>
      <c r="AN552">
        <v>1.8704766688527199</v>
      </c>
      <c r="AO552">
        <v>2.6414868766456798E-2</v>
      </c>
      <c r="AP552">
        <v>2.6414868766456798E-2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13</v>
      </c>
      <c r="AW552">
        <v>0</v>
      </c>
      <c r="AX552">
        <v>0</v>
      </c>
      <c r="AY552">
        <v>15.8</v>
      </c>
      <c r="AZ552">
        <v>17.100000000000001</v>
      </c>
      <c r="BA552">
        <v>23</v>
      </c>
      <c r="BB552">
        <v>565</v>
      </c>
      <c r="BC552">
        <v>68</v>
      </c>
      <c r="BD552">
        <v>2.2999999999999998</v>
      </c>
      <c r="BE552">
        <v>68</v>
      </c>
      <c r="BF552">
        <v>17.600000000000001</v>
      </c>
      <c r="BG552">
        <v>162</v>
      </c>
      <c r="BH552">
        <v>19.7</v>
      </c>
      <c r="BI552">
        <v>16.7</v>
      </c>
      <c r="BJ552">
        <v>36.4</v>
      </c>
      <c r="BK552">
        <v>0.66</v>
      </c>
      <c r="BL552">
        <v>5.6</v>
      </c>
      <c r="BM552">
        <v>1.5</v>
      </c>
      <c r="BN552">
        <v>7.5</v>
      </c>
      <c r="BO552">
        <v>2.9</v>
      </c>
      <c r="BP552">
        <f t="shared" si="16"/>
        <v>15.593956857185958</v>
      </c>
      <c r="BQ552">
        <f t="shared" si="17"/>
        <v>21.994526068292377</v>
      </c>
    </row>
    <row r="553" spans="1:69" x14ac:dyDescent="0.2">
      <c r="A553" t="s">
        <v>2067</v>
      </c>
      <c r="B553" t="s">
        <v>68</v>
      </c>
      <c r="C553" t="s">
        <v>1956</v>
      </c>
      <c r="D553" t="s">
        <v>70</v>
      </c>
      <c r="E553" t="s">
        <v>2068</v>
      </c>
      <c r="F553">
        <v>2</v>
      </c>
      <c r="G553">
        <v>58</v>
      </c>
      <c r="H553">
        <v>3</v>
      </c>
      <c r="I553">
        <v>1</v>
      </c>
      <c r="J553">
        <v>0</v>
      </c>
      <c r="K553" t="s">
        <v>110</v>
      </c>
      <c r="L553" t="s">
        <v>133</v>
      </c>
      <c r="M553" s="4">
        <v>225000000</v>
      </c>
      <c r="N553">
        <v>0</v>
      </c>
      <c r="O553">
        <v>4.6572532649999996</v>
      </c>
      <c r="P553">
        <v>-74.157806399999998</v>
      </c>
      <c r="Q553" t="s">
        <v>2069</v>
      </c>
      <c r="R553">
        <v>3879310.3450000002</v>
      </c>
      <c r="S553">
        <v>0</v>
      </c>
      <c r="T553" t="s">
        <v>96</v>
      </c>
      <c r="U553" t="s">
        <v>97</v>
      </c>
      <c r="V553" t="s">
        <v>77</v>
      </c>
      <c r="W553" t="s">
        <v>98</v>
      </c>
      <c r="X553" t="s">
        <v>99</v>
      </c>
      <c r="Y553">
        <v>1.5803020071933001</v>
      </c>
      <c r="Z553">
        <v>1580.3020071932999</v>
      </c>
      <c r="AA553">
        <v>4.6680000000000001</v>
      </c>
      <c r="AB553">
        <v>-74.148499999999999</v>
      </c>
      <c r="AC553">
        <v>2547</v>
      </c>
      <c r="AD553">
        <v>0</v>
      </c>
      <c r="AE553" t="s">
        <v>80</v>
      </c>
      <c r="AF553" t="s">
        <v>100</v>
      </c>
      <c r="AG553" t="s">
        <v>82</v>
      </c>
      <c r="AH553" t="s">
        <v>83</v>
      </c>
      <c r="AI553" t="s">
        <v>221</v>
      </c>
      <c r="AJ553">
        <v>2.14484260152024</v>
      </c>
      <c r="AK553">
        <v>0.246180248479277</v>
      </c>
      <c r="AL553">
        <v>3.51006846651826</v>
      </c>
      <c r="AM553">
        <v>1.18213585091739</v>
      </c>
      <c r="AN553">
        <v>1.5310249629691799</v>
      </c>
      <c r="AO553">
        <v>0.243694528934737</v>
      </c>
      <c r="AP553">
        <v>0.243694528934737</v>
      </c>
      <c r="AQ553">
        <v>0</v>
      </c>
      <c r="AR553">
        <v>0</v>
      </c>
      <c r="AS553">
        <v>1</v>
      </c>
      <c r="AT553">
        <v>11</v>
      </c>
      <c r="AU553">
        <v>0</v>
      </c>
      <c r="AV553">
        <v>0</v>
      </c>
      <c r="AW553">
        <v>0</v>
      </c>
      <c r="AX553">
        <v>0</v>
      </c>
      <c r="AY553">
        <v>15.8</v>
      </c>
      <c r="AZ553">
        <v>17.100000000000001</v>
      </c>
      <c r="BA553">
        <v>23</v>
      </c>
      <c r="BB553">
        <v>565</v>
      </c>
      <c r="BC553">
        <v>68</v>
      </c>
      <c r="BD553">
        <v>2.2999999999999998</v>
      </c>
      <c r="BE553">
        <v>68</v>
      </c>
      <c r="BF553">
        <v>17.600000000000001</v>
      </c>
      <c r="BG553">
        <v>162</v>
      </c>
      <c r="BH553">
        <v>19.7</v>
      </c>
      <c r="BI553">
        <v>16.7</v>
      </c>
      <c r="BJ553">
        <v>36.4</v>
      </c>
      <c r="BK553">
        <v>0.66</v>
      </c>
      <c r="BL553">
        <v>5.6</v>
      </c>
      <c r="BM553">
        <v>1.5</v>
      </c>
      <c r="BN553">
        <v>7.5</v>
      </c>
      <c r="BO553">
        <v>2.9</v>
      </c>
      <c r="BP553">
        <f t="shared" si="16"/>
        <v>15.813334094447834</v>
      </c>
      <c r="BQ553">
        <f t="shared" si="17"/>
        <v>22.144008598987462</v>
      </c>
    </row>
    <row r="554" spans="1:69" x14ac:dyDescent="0.2">
      <c r="A554" t="s">
        <v>1634</v>
      </c>
      <c r="B554" t="s">
        <v>68</v>
      </c>
      <c r="C554" t="s">
        <v>69</v>
      </c>
      <c r="D554" t="s">
        <v>70</v>
      </c>
      <c r="E554" t="s">
        <v>1635</v>
      </c>
      <c r="F554">
        <v>4</v>
      </c>
      <c r="G554">
        <v>57</v>
      </c>
      <c r="H554">
        <v>3</v>
      </c>
      <c r="I554">
        <v>2</v>
      </c>
      <c r="J554">
        <v>1</v>
      </c>
      <c r="K554" t="s">
        <v>110</v>
      </c>
      <c r="L554" t="s">
        <v>124</v>
      </c>
      <c r="M554" s="4">
        <v>360000000</v>
      </c>
      <c r="N554">
        <v>0</v>
      </c>
      <c r="O554">
        <v>4.6637187000000004</v>
      </c>
      <c r="P554">
        <v>-74.137630000000001</v>
      </c>
      <c r="Q554" t="s">
        <v>1636</v>
      </c>
      <c r="R554">
        <v>6315789.4740000004</v>
      </c>
      <c r="S554">
        <v>0</v>
      </c>
      <c r="T554" t="s">
        <v>96</v>
      </c>
      <c r="U554" t="s">
        <v>97</v>
      </c>
      <c r="V554" t="s">
        <v>77</v>
      </c>
      <c r="W554" t="s">
        <v>98</v>
      </c>
      <c r="X554" t="s">
        <v>99</v>
      </c>
      <c r="Y554">
        <v>1.29678650395194</v>
      </c>
      <c r="Z554">
        <v>1296.7865039519399</v>
      </c>
      <c r="AA554">
        <v>4.6680000000000001</v>
      </c>
      <c r="AB554">
        <v>-74.148499999999999</v>
      </c>
      <c r="AC554">
        <v>2547</v>
      </c>
      <c r="AD554">
        <v>0</v>
      </c>
      <c r="AE554" t="s">
        <v>80</v>
      </c>
      <c r="AF554" t="s">
        <v>100</v>
      </c>
      <c r="AG554" t="s">
        <v>82</v>
      </c>
      <c r="AH554" t="s">
        <v>83</v>
      </c>
      <c r="AI554" t="s">
        <v>92</v>
      </c>
      <c r="AJ554">
        <v>2.5922500896491898</v>
      </c>
      <c r="AK554">
        <v>2.2121278230105998</v>
      </c>
      <c r="AL554">
        <v>2.0099185513914399</v>
      </c>
      <c r="AM554">
        <v>0.18081688298949899</v>
      </c>
      <c r="AN554">
        <v>1.30618135943285</v>
      </c>
      <c r="AO554">
        <v>0.27945497358733001</v>
      </c>
      <c r="AP554">
        <v>0.27945497358733001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14</v>
      </c>
      <c r="AW554">
        <v>0</v>
      </c>
      <c r="AX554">
        <v>0</v>
      </c>
      <c r="AY554">
        <v>15.8</v>
      </c>
      <c r="AZ554">
        <v>17.100000000000001</v>
      </c>
      <c r="BA554">
        <v>23</v>
      </c>
      <c r="BB554">
        <v>565</v>
      </c>
      <c r="BC554">
        <v>68</v>
      </c>
      <c r="BD554">
        <v>2.2999999999999998</v>
      </c>
      <c r="BE554">
        <v>68</v>
      </c>
      <c r="BF554">
        <v>17.600000000000001</v>
      </c>
      <c r="BG554">
        <v>162</v>
      </c>
      <c r="BH554">
        <v>19.7</v>
      </c>
      <c r="BI554">
        <v>16.7</v>
      </c>
      <c r="BJ554">
        <v>36.4</v>
      </c>
      <c r="BK554">
        <v>0.66</v>
      </c>
      <c r="BL554">
        <v>5.6</v>
      </c>
      <c r="BM554">
        <v>1.5</v>
      </c>
      <c r="BN554">
        <v>7.5</v>
      </c>
      <c r="BO554">
        <v>2.9</v>
      </c>
      <c r="BP554">
        <f t="shared" si="16"/>
        <v>16.036823257779421</v>
      </c>
      <c r="BQ554">
        <f t="shared" si="17"/>
        <v>22.295198465508019</v>
      </c>
    </row>
    <row r="555" spans="1:69" x14ac:dyDescent="0.2">
      <c r="A555" t="s">
        <v>895</v>
      </c>
      <c r="B555" t="s">
        <v>68</v>
      </c>
      <c r="C555" t="s">
        <v>69</v>
      </c>
      <c r="D555" t="s">
        <v>70</v>
      </c>
      <c r="E555" t="s">
        <v>642</v>
      </c>
      <c r="F555">
        <v>4</v>
      </c>
      <c r="G555">
        <v>56</v>
      </c>
      <c r="H555">
        <v>3</v>
      </c>
      <c r="I555">
        <v>2</v>
      </c>
      <c r="J555">
        <v>1</v>
      </c>
      <c r="K555" t="s">
        <v>110</v>
      </c>
      <c r="L555" t="s">
        <v>124</v>
      </c>
      <c r="M555" s="4">
        <v>387000001</v>
      </c>
      <c r="N555">
        <v>0</v>
      </c>
      <c r="O555">
        <v>4.6639184</v>
      </c>
      <c r="P555">
        <v>-74.137392199999994</v>
      </c>
      <c r="Q555" t="s">
        <v>896</v>
      </c>
      <c r="R555">
        <v>6910714.3039999995</v>
      </c>
      <c r="S555">
        <v>0</v>
      </c>
      <c r="T555" t="s">
        <v>96</v>
      </c>
      <c r="U555" t="s">
        <v>97</v>
      </c>
      <c r="V555" t="s">
        <v>77</v>
      </c>
      <c r="W555" t="s">
        <v>98</v>
      </c>
      <c r="X555" t="s">
        <v>99</v>
      </c>
      <c r="Y555">
        <v>1.3135050093561</v>
      </c>
      <c r="Z555">
        <v>1313.5050093560999</v>
      </c>
      <c r="AA555">
        <v>4.6680000000000001</v>
      </c>
      <c r="AB555">
        <v>-74.148499999999999</v>
      </c>
      <c r="AC555">
        <v>2547</v>
      </c>
      <c r="AD555">
        <v>0</v>
      </c>
      <c r="AE555" t="s">
        <v>80</v>
      </c>
      <c r="AF555" t="s">
        <v>100</v>
      </c>
      <c r="AG555" t="s">
        <v>82</v>
      </c>
      <c r="AH555" t="s">
        <v>83</v>
      </c>
      <c r="AI555" t="s">
        <v>92</v>
      </c>
      <c r="AJ555">
        <v>2.5585173230090201</v>
      </c>
      <c r="AK555">
        <v>2.2390384413871098</v>
      </c>
      <c r="AL555">
        <v>1.98834310510723</v>
      </c>
      <c r="AM555">
        <v>0.157920779806448</v>
      </c>
      <c r="AN555">
        <v>1.3239371012826899</v>
      </c>
      <c r="AO555">
        <v>0.245080756210485</v>
      </c>
      <c r="AP555">
        <v>0.245080756210485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14</v>
      </c>
      <c r="AW555">
        <v>0</v>
      </c>
      <c r="AX555">
        <v>0</v>
      </c>
      <c r="AY555">
        <v>15.8</v>
      </c>
      <c r="AZ555">
        <v>17.100000000000001</v>
      </c>
      <c r="BA555">
        <v>23</v>
      </c>
      <c r="BB555">
        <v>565</v>
      </c>
      <c r="BC555">
        <v>68</v>
      </c>
      <c r="BD555">
        <v>2.2999999999999998</v>
      </c>
      <c r="BE555">
        <v>68</v>
      </c>
      <c r="BF555">
        <v>17.600000000000001</v>
      </c>
      <c r="BG555">
        <v>162</v>
      </c>
      <c r="BH555">
        <v>19.7</v>
      </c>
      <c r="BI555">
        <v>16.7</v>
      </c>
      <c r="BJ555">
        <v>36.4</v>
      </c>
      <c r="BK555">
        <v>0.66</v>
      </c>
      <c r="BL555">
        <v>5.6</v>
      </c>
      <c r="BM555">
        <v>1.5</v>
      </c>
      <c r="BN555">
        <v>7.5</v>
      </c>
      <c r="BO555">
        <v>2.9</v>
      </c>
      <c r="BP555">
        <f t="shared" si="16"/>
        <v>16.023557217841578</v>
      </c>
      <c r="BQ555">
        <f t="shared" si="17"/>
        <v>22.2862544424916</v>
      </c>
    </row>
    <row r="556" spans="1:69" x14ac:dyDescent="0.2">
      <c r="A556" t="s">
        <v>666</v>
      </c>
      <c r="B556" t="s">
        <v>68</v>
      </c>
      <c r="C556" t="s">
        <v>69</v>
      </c>
      <c r="D556" t="s">
        <v>70</v>
      </c>
      <c r="E556" t="s">
        <v>667</v>
      </c>
      <c r="F556">
        <v>3</v>
      </c>
      <c r="G556">
        <v>54</v>
      </c>
      <c r="H556">
        <v>3</v>
      </c>
      <c r="I556">
        <v>2</v>
      </c>
      <c r="J556">
        <v>1</v>
      </c>
      <c r="K556" t="s">
        <v>110</v>
      </c>
      <c r="L556" t="s">
        <v>124</v>
      </c>
      <c r="M556" s="4">
        <v>320000000</v>
      </c>
      <c r="N556">
        <v>0</v>
      </c>
      <c r="O556">
        <v>4.6598119740000001</v>
      </c>
      <c r="P556">
        <v>-74.15359497</v>
      </c>
      <c r="Q556" t="s">
        <v>668</v>
      </c>
      <c r="R556">
        <v>5925925.926</v>
      </c>
      <c r="S556">
        <v>0</v>
      </c>
      <c r="T556" t="s">
        <v>96</v>
      </c>
      <c r="U556" t="s">
        <v>97</v>
      </c>
      <c r="V556" t="s">
        <v>77</v>
      </c>
      <c r="W556" t="s">
        <v>98</v>
      </c>
      <c r="X556" t="s">
        <v>99</v>
      </c>
      <c r="Y556">
        <v>1.0725496602983899</v>
      </c>
      <c r="Z556">
        <v>1072.5496602983901</v>
      </c>
      <c r="AA556">
        <v>4.6680000000000001</v>
      </c>
      <c r="AB556">
        <v>-74.148499999999999</v>
      </c>
      <c r="AC556">
        <v>2547</v>
      </c>
      <c r="AD556">
        <v>0</v>
      </c>
      <c r="AE556" t="s">
        <v>80</v>
      </c>
      <c r="AF556" t="s">
        <v>100</v>
      </c>
      <c r="AG556" t="s">
        <v>82</v>
      </c>
      <c r="AH556" t="s">
        <v>83</v>
      </c>
      <c r="AI556" t="s">
        <v>221</v>
      </c>
      <c r="AJ556">
        <v>2.5035319779227398</v>
      </c>
      <c r="AK556">
        <v>0.47743449929361298</v>
      </c>
      <c r="AL556">
        <v>3.0017797563824899</v>
      </c>
      <c r="AM556">
        <v>0.75347656402439001</v>
      </c>
      <c r="AN556">
        <v>1.02436820079682</v>
      </c>
      <c r="AO556">
        <v>0.259330880628586</v>
      </c>
      <c r="AP556">
        <v>0.259330880628586</v>
      </c>
      <c r="AQ556">
        <v>0</v>
      </c>
      <c r="AR556">
        <v>0</v>
      </c>
      <c r="AS556">
        <v>1</v>
      </c>
      <c r="AT556">
        <v>10</v>
      </c>
      <c r="AU556">
        <v>0</v>
      </c>
      <c r="AV556">
        <v>1</v>
      </c>
      <c r="AW556">
        <v>0</v>
      </c>
      <c r="AX556">
        <v>0</v>
      </c>
      <c r="AY556">
        <v>15.8</v>
      </c>
      <c r="AZ556">
        <v>17.100000000000001</v>
      </c>
      <c r="BA556">
        <v>23</v>
      </c>
      <c r="BB556">
        <v>565</v>
      </c>
      <c r="BC556">
        <v>68</v>
      </c>
      <c r="BD556">
        <v>2.2999999999999998</v>
      </c>
      <c r="BE556">
        <v>68</v>
      </c>
      <c r="BF556">
        <v>17.600000000000001</v>
      </c>
      <c r="BG556">
        <v>162</v>
      </c>
      <c r="BH556">
        <v>19.7</v>
      </c>
      <c r="BI556">
        <v>16.7</v>
      </c>
      <c r="BJ556">
        <v>36.4</v>
      </c>
      <c r="BK556">
        <v>0.66</v>
      </c>
      <c r="BL556">
        <v>5.6</v>
      </c>
      <c r="BM556">
        <v>1.5</v>
      </c>
      <c r="BN556">
        <v>7.5</v>
      </c>
      <c r="BO556">
        <v>2.9</v>
      </c>
      <c r="BP556">
        <f t="shared" si="16"/>
        <v>16.215819130568629</v>
      </c>
      <c r="BQ556">
        <f t="shared" si="17"/>
        <v>22.415507626475787</v>
      </c>
    </row>
    <row r="557" spans="1:69" x14ac:dyDescent="0.2">
      <c r="A557" t="s">
        <v>1240</v>
      </c>
      <c r="B557" t="s">
        <v>68</v>
      </c>
      <c r="C557" t="s">
        <v>69</v>
      </c>
      <c r="D557" t="s">
        <v>70</v>
      </c>
      <c r="E557" t="s">
        <v>1241</v>
      </c>
      <c r="F557">
        <v>3</v>
      </c>
      <c r="G557">
        <v>53.57</v>
      </c>
      <c r="H557">
        <v>2</v>
      </c>
      <c r="I557">
        <v>1</v>
      </c>
      <c r="J557">
        <v>1</v>
      </c>
      <c r="K557" t="s">
        <v>110</v>
      </c>
      <c r="L557" t="s">
        <v>162</v>
      </c>
      <c r="M557" s="4">
        <v>295000000</v>
      </c>
      <c r="N557">
        <v>0</v>
      </c>
      <c r="O557">
        <v>4.7007117000000003</v>
      </c>
      <c r="P557">
        <v>-74.116104000000007</v>
      </c>
      <c r="Q557" t="s">
        <v>1242</v>
      </c>
      <c r="R557">
        <v>5506813.5149999997</v>
      </c>
      <c r="S557">
        <v>0</v>
      </c>
      <c r="T557" t="s">
        <v>98</v>
      </c>
      <c r="U557" t="s">
        <v>525</v>
      </c>
      <c r="V557" t="s">
        <v>77</v>
      </c>
      <c r="W557" t="s">
        <v>98</v>
      </c>
      <c r="X557" t="s">
        <v>526</v>
      </c>
      <c r="Y557">
        <v>3.96383993757967</v>
      </c>
      <c r="Z557">
        <v>3963.8399375796698</v>
      </c>
      <c r="AA557">
        <v>4.6782416666666702</v>
      </c>
      <c r="AB557">
        <v>-74.143819444444404</v>
      </c>
      <c r="AC557">
        <v>2551</v>
      </c>
      <c r="AD557">
        <v>11</v>
      </c>
      <c r="AE557" t="s">
        <v>80</v>
      </c>
      <c r="AF557" t="s">
        <v>81</v>
      </c>
      <c r="AG557" t="s">
        <v>82</v>
      </c>
      <c r="AH557" t="s">
        <v>83</v>
      </c>
      <c r="AI557" t="s">
        <v>412</v>
      </c>
      <c r="AJ557">
        <v>1.0528471532133199</v>
      </c>
      <c r="AK557">
        <v>2.8722059791107002</v>
      </c>
      <c r="AL557">
        <v>1.2845315028761199</v>
      </c>
      <c r="AM557">
        <v>7.3914209807117104E-2</v>
      </c>
      <c r="AN557">
        <v>1.9013988979410299</v>
      </c>
      <c r="AO557">
        <v>0.20221264735864</v>
      </c>
      <c r="AP557">
        <v>0.20221264735864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14</v>
      </c>
      <c r="AW557">
        <v>0</v>
      </c>
      <c r="AX557">
        <v>0</v>
      </c>
      <c r="AY557">
        <v>15.8</v>
      </c>
      <c r="AZ557">
        <v>17.100000000000001</v>
      </c>
      <c r="BA557">
        <v>23</v>
      </c>
      <c r="BB557">
        <v>565</v>
      </c>
      <c r="BC557">
        <v>68</v>
      </c>
      <c r="BD557">
        <v>2.2999999999999998</v>
      </c>
      <c r="BE557">
        <v>68</v>
      </c>
      <c r="BF557">
        <v>17.600000000000001</v>
      </c>
      <c r="BG557">
        <v>162</v>
      </c>
      <c r="BH557">
        <v>19.7</v>
      </c>
      <c r="BI557">
        <v>16.7</v>
      </c>
      <c r="BJ557">
        <v>36.4</v>
      </c>
      <c r="BK557">
        <v>0.66</v>
      </c>
      <c r="BL557">
        <v>5.6</v>
      </c>
      <c r="BM557">
        <v>1.5</v>
      </c>
      <c r="BN557">
        <v>7.5</v>
      </c>
      <c r="BO557">
        <v>2.9</v>
      </c>
      <c r="BP557">
        <f t="shared" si="16"/>
        <v>14.05345659613028</v>
      </c>
      <c r="BQ557">
        <f t="shared" si="17"/>
        <v>20.912813504027582</v>
      </c>
    </row>
    <row r="558" spans="1:69" x14ac:dyDescent="0.2">
      <c r="A558" t="s">
        <v>2142</v>
      </c>
      <c r="B558" t="s">
        <v>68</v>
      </c>
      <c r="C558" t="s">
        <v>1956</v>
      </c>
      <c r="D558" t="s">
        <v>70</v>
      </c>
      <c r="E558" t="s">
        <v>2143</v>
      </c>
      <c r="F558">
        <v>2</v>
      </c>
      <c r="G558">
        <v>53</v>
      </c>
      <c r="H558">
        <v>3</v>
      </c>
      <c r="I558">
        <v>2</v>
      </c>
      <c r="J558">
        <v>0</v>
      </c>
      <c r="K558" t="s">
        <v>110</v>
      </c>
      <c r="L558" t="s">
        <v>124</v>
      </c>
      <c r="M558" s="4">
        <v>240000000</v>
      </c>
      <c r="N558">
        <v>0</v>
      </c>
      <c r="O558">
        <v>4.653060913</v>
      </c>
      <c r="P558">
        <v>-74.162765500000006</v>
      </c>
      <c r="Q558" t="s">
        <v>2144</v>
      </c>
      <c r="R558">
        <v>4528301.8870000001</v>
      </c>
      <c r="S558">
        <v>0</v>
      </c>
      <c r="T558" t="s">
        <v>96</v>
      </c>
      <c r="U558" t="s">
        <v>97</v>
      </c>
      <c r="V558" t="s">
        <v>77</v>
      </c>
      <c r="W558" t="s">
        <v>98</v>
      </c>
      <c r="X558" t="s">
        <v>99</v>
      </c>
      <c r="Y558">
        <v>2.2958205818549202</v>
      </c>
      <c r="Z558">
        <v>2295.82058185492</v>
      </c>
      <c r="AA558">
        <v>4.6680000000000001</v>
      </c>
      <c r="AB558">
        <v>-74.148499999999999</v>
      </c>
      <c r="AC558">
        <v>2547</v>
      </c>
      <c r="AD558">
        <v>0</v>
      </c>
      <c r="AE558" t="s">
        <v>80</v>
      </c>
      <c r="AF558" t="s">
        <v>100</v>
      </c>
      <c r="AG558" t="s">
        <v>82</v>
      </c>
      <c r="AH558" t="s">
        <v>83</v>
      </c>
      <c r="AI558" t="s">
        <v>221</v>
      </c>
      <c r="AJ558">
        <v>1.7168943266785801</v>
      </c>
      <c r="AK558">
        <v>0.35913204590724301</v>
      </c>
      <c r="AL558">
        <v>4.2185686553393502</v>
      </c>
      <c r="AM558">
        <v>0.75083378698478698</v>
      </c>
      <c r="AN558">
        <v>2.2443853944745298</v>
      </c>
      <c r="AO558">
        <v>0.21249559296550299</v>
      </c>
      <c r="AP558">
        <v>0.21249559296550299</v>
      </c>
      <c r="AQ558">
        <v>0</v>
      </c>
      <c r="AR558">
        <v>0</v>
      </c>
      <c r="AS558">
        <v>1</v>
      </c>
      <c r="AT558">
        <v>8</v>
      </c>
      <c r="AU558">
        <v>0</v>
      </c>
      <c r="AV558">
        <v>1</v>
      </c>
      <c r="AW558">
        <v>0</v>
      </c>
      <c r="AX558">
        <v>0</v>
      </c>
      <c r="AY558">
        <v>15.8</v>
      </c>
      <c r="AZ558">
        <v>17.100000000000001</v>
      </c>
      <c r="BA558">
        <v>23</v>
      </c>
      <c r="BB558">
        <v>565</v>
      </c>
      <c r="BC558">
        <v>68</v>
      </c>
      <c r="BD558">
        <v>2.2999999999999998</v>
      </c>
      <c r="BE558">
        <v>68</v>
      </c>
      <c r="BF558">
        <v>17.600000000000001</v>
      </c>
      <c r="BG558">
        <v>162</v>
      </c>
      <c r="BH558">
        <v>19.7</v>
      </c>
      <c r="BI558">
        <v>16.7</v>
      </c>
      <c r="BJ558">
        <v>36.4</v>
      </c>
      <c r="BK558">
        <v>0.66</v>
      </c>
      <c r="BL558">
        <v>5.6</v>
      </c>
      <c r="BM558">
        <v>1.5</v>
      </c>
      <c r="BN558">
        <v>7.5</v>
      </c>
      <c r="BO558">
        <v>2.9</v>
      </c>
      <c r="BP558">
        <f t="shared" si="16"/>
        <v>15.263057171852749</v>
      </c>
      <c r="BQ558">
        <f t="shared" si="17"/>
        <v>21.766988257401721</v>
      </c>
    </row>
    <row r="559" spans="1:69" x14ac:dyDescent="0.2">
      <c r="A559" t="s">
        <v>1441</v>
      </c>
      <c r="B559" t="s">
        <v>68</v>
      </c>
      <c r="C559" t="s">
        <v>69</v>
      </c>
      <c r="D559" t="s">
        <v>70</v>
      </c>
      <c r="E559" t="s">
        <v>1442</v>
      </c>
      <c r="F559">
        <v>3</v>
      </c>
      <c r="G559">
        <v>53</v>
      </c>
      <c r="H559">
        <v>3</v>
      </c>
      <c r="I559">
        <v>1</v>
      </c>
      <c r="J559">
        <v>0</v>
      </c>
      <c r="K559" t="s">
        <v>110</v>
      </c>
      <c r="L559" t="s">
        <v>133</v>
      </c>
      <c r="M559" s="4">
        <v>230500000</v>
      </c>
      <c r="N559">
        <v>0</v>
      </c>
      <c r="O559">
        <v>4.6906603799999997</v>
      </c>
      <c r="P559">
        <v>-74.159280219999999</v>
      </c>
      <c r="Q559" t="s">
        <v>1443</v>
      </c>
      <c r="R559">
        <v>4349056.6040000003</v>
      </c>
      <c r="S559">
        <v>0</v>
      </c>
      <c r="T559" t="s">
        <v>98</v>
      </c>
      <c r="U559" t="s">
        <v>525</v>
      </c>
      <c r="V559" t="s">
        <v>77</v>
      </c>
      <c r="W559" t="s">
        <v>98</v>
      </c>
      <c r="X559" t="s">
        <v>526</v>
      </c>
      <c r="Y559">
        <v>2.20307356415343</v>
      </c>
      <c r="Z559">
        <v>2203.0735641534302</v>
      </c>
      <c r="AA559">
        <v>4.6782416666666702</v>
      </c>
      <c r="AB559">
        <v>-74.143819444444404</v>
      </c>
      <c r="AC559">
        <v>2551</v>
      </c>
      <c r="AD559">
        <v>11</v>
      </c>
      <c r="AE559" t="s">
        <v>80</v>
      </c>
      <c r="AF559" t="s">
        <v>81</v>
      </c>
      <c r="AG559" t="s">
        <v>82</v>
      </c>
      <c r="AH559" t="s">
        <v>83</v>
      </c>
      <c r="AI559" t="s">
        <v>92</v>
      </c>
      <c r="AJ559">
        <v>4.3176268582664497</v>
      </c>
      <c r="AK559">
        <v>0.82164688079355397</v>
      </c>
      <c r="AL559">
        <v>2.56612303561031</v>
      </c>
      <c r="AM559">
        <v>0.35474225408070298</v>
      </c>
      <c r="AN559">
        <v>1.9974693536636501</v>
      </c>
      <c r="AO559">
        <v>1.07268241901297E-2</v>
      </c>
      <c r="AP559">
        <v>1.07268241901297E-2</v>
      </c>
      <c r="AQ559">
        <v>0</v>
      </c>
      <c r="AR559">
        <v>0</v>
      </c>
      <c r="AS559">
        <v>0</v>
      </c>
      <c r="AT559">
        <v>1</v>
      </c>
      <c r="AU559">
        <v>0</v>
      </c>
      <c r="AV559">
        <v>3</v>
      </c>
      <c r="AW559">
        <v>0</v>
      </c>
      <c r="AX559">
        <v>0</v>
      </c>
      <c r="AY559">
        <v>15.8</v>
      </c>
      <c r="AZ559">
        <v>17.100000000000001</v>
      </c>
      <c r="BA559">
        <v>23</v>
      </c>
      <c r="BB559">
        <v>565</v>
      </c>
      <c r="BC559">
        <v>68</v>
      </c>
      <c r="BD559">
        <v>2.2999999999999998</v>
      </c>
      <c r="BE559">
        <v>68</v>
      </c>
      <c r="BF559">
        <v>17.600000000000001</v>
      </c>
      <c r="BG559">
        <v>162</v>
      </c>
      <c r="BH559">
        <v>19.7</v>
      </c>
      <c r="BI559">
        <v>16.7</v>
      </c>
      <c r="BJ559">
        <v>36.4</v>
      </c>
      <c r="BK559">
        <v>0.66</v>
      </c>
      <c r="BL559">
        <v>5.6</v>
      </c>
      <c r="BM559">
        <v>1.5</v>
      </c>
      <c r="BN559">
        <v>7.5</v>
      </c>
      <c r="BO559">
        <v>2.9</v>
      </c>
      <c r="BP559">
        <f t="shared" si="16"/>
        <v>15.333290618744019</v>
      </c>
      <c r="BQ559">
        <f t="shared" si="17"/>
        <v>21.815493980392887</v>
      </c>
    </row>
    <row r="560" spans="1:69" x14ac:dyDescent="0.2">
      <c r="A560" t="s">
        <v>2429</v>
      </c>
      <c r="B560" t="s">
        <v>68</v>
      </c>
      <c r="C560" t="s">
        <v>1956</v>
      </c>
      <c r="D560" t="s">
        <v>70</v>
      </c>
      <c r="E560" t="s">
        <v>1135</v>
      </c>
      <c r="F560">
        <v>2</v>
      </c>
      <c r="G560">
        <v>51</v>
      </c>
      <c r="H560">
        <v>3</v>
      </c>
      <c r="I560">
        <v>1</v>
      </c>
      <c r="J560">
        <v>0</v>
      </c>
      <c r="K560" t="s">
        <v>110</v>
      </c>
      <c r="L560" t="s">
        <v>162</v>
      </c>
      <c r="M560" s="4">
        <v>233000000</v>
      </c>
      <c r="N560">
        <v>0</v>
      </c>
      <c r="O560">
        <v>4.6555761919999998</v>
      </c>
      <c r="P560">
        <v>-74.156816849999998</v>
      </c>
      <c r="Q560" t="s">
        <v>2430</v>
      </c>
      <c r="R560">
        <v>4568627.4510000004</v>
      </c>
      <c r="S560">
        <v>0</v>
      </c>
      <c r="T560" t="s">
        <v>96</v>
      </c>
      <c r="U560" t="s">
        <v>97</v>
      </c>
      <c r="V560" t="s">
        <v>77</v>
      </c>
      <c r="W560" t="s">
        <v>98</v>
      </c>
      <c r="X560" t="s">
        <v>99</v>
      </c>
      <c r="Y560">
        <v>1.66259340108682</v>
      </c>
      <c r="Z560">
        <v>1662.59340108682</v>
      </c>
      <c r="AA560">
        <v>4.6680000000000001</v>
      </c>
      <c r="AB560">
        <v>-74.148499999999999</v>
      </c>
      <c r="AC560">
        <v>2547</v>
      </c>
      <c r="AD560">
        <v>0</v>
      </c>
      <c r="AE560" t="s">
        <v>80</v>
      </c>
      <c r="AF560" t="s">
        <v>100</v>
      </c>
      <c r="AG560" t="s">
        <v>82</v>
      </c>
      <c r="AH560" t="s">
        <v>83</v>
      </c>
      <c r="AI560" t="s">
        <v>221</v>
      </c>
      <c r="AJ560">
        <v>1.97277683330077</v>
      </c>
      <c r="AK560">
        <v>0.46150719011986602</v>
      </c>
      <c r="AL560">
        <v>3.5904205893655599</v>
      </c>
      <c r="AM560">
        <v>0.996659377598482</v>
      </c>
      <c r="AN560">
        <v>1.61149987906189</v>
      </c>
      <c r="AO560">
        <v>0.12934801301194199</v>
      </c>
      <c r="AP560">
        <v>0.12934801301194199</v>
      </c>
      <c r="AQ560">
        <v>0</v>
      </c>
      <c r="AR560">
        <v>0</v>
      </c>
      <c r="AS560">
        <v>1</v>
      </c>
      <c r="AT560">
        <v>7</v>
      </c>
      <c r="AU560">
        <v>0</v>
      </c>
      <c r="AV560">
        <v>1</v>
      </c>
      <c r="AW560">
        <v>0</v>
      </c>
      <c r="AX560">
        <v>0</v>
      </c>
      <c r="AY560">
        <v>15.8</v>
      </c>
      <c r="AZ560">
        <v>17.100000000000001</v>
      </c>
      <c r="BA560">
        <v>23</v>
      </c>
      <c r="BB560">
        <v>565</v>
      </c>
      <c r="BC560">
        <v>68</v>
      </c>
      <c r="BD560">
        <v>2.2999999999999998</v>
      </c>
      <c r="BE560">
        <v>68</v>
      </c>
      <c r="BF560">
        <v>17.600000000000001</v>
      </c>
      <c r="BG560">
        <v>162</v>
      </c>
      <c r="BH560">
        <v>19.7</v>
      </c>
      <c r="BI560">
        <v>16.7</v>
      </c>
      <c r="BJ560">
        <v>36.4</v>
      </c>
      <c r="BK560">
        <v>0.66</v>
      </c>
      <c r="BL560">
        <v>5.6</v>
      </c>
      <c r="BM560">
        <v>1.5</v>
      </c>
      <c r="BN560">
        <v>7.5</v>
      </c>
      <c r="BO560">
        <v>2.9</v>
      </c>
      <c r="BP560">
        <f t="shared" si="16"/>
        <v>15.749050695520006</v>
      </c>
      <c r="BQ560">
        <f t="shared" si="17"/>
        <v>22.100317486004293</v>
      </c>
    </row>
    <row r="561" spans="1:69" x14ac:dyDescent="0.2">
      <c r="A561" t="s">
        <v>1134</v>
      </c>
      <c r="B561" t="s">
        <v>68</v>
      </c>
      <c r="C561" t="s">
        <v>69</v>
      </c>
      <c r="D561" t="s">
        <v>70</v>
      </c>
      <c r="E561" t="s">
        <v>1135</v>
      </c>
      <c r="F561">
        <v>3</v>
      </c>
      <c r="G561">
        <v>51</v>
      </c>
      <c r="H561">
        <v>3</v>
      </c>
      <c r="I561">
        <v>2</v>
      </c>
      <c r="J561">
        <v>0</v>
      </c>
      <c r="K561" t="s">
        <v>110</v>
      </c>
      <c r="L561" t="s">
        <v>124</v>
      </c>
      <c r="M561" s="4">
        <v>215000000</v>
      </c>
      <c r="N561">
        <v>0</v>
      </c>
      <c r="O561">
        <v>4.6541914999999996</v>
      </c>
      <c r="P561">
        <v>-74.156350000000003</v>
      </c>
      <c r="Q561" t="s">
        <v>1136</v>
      </c>
      <c r="R561">
        <v>4215686.2750000004</v>
      </c>
      <c r="S561">
        <v>0</v>
      </c>
      <c r="T561" t="s">
        <v>96</v>
      </c>
      <c r="U561" t="s">
        <v>97</v>
      </c>
      <c r="V561" t="s">
        <v>77</v>
      </c>
      <c r="W561" t="s">
        <v>98</v>
      </c>
      <c r="X561" t="s">
        <v>99</v>
      </c>
      <c r="Y561">
        <v>1.76675727881623</v>
      </c>
      <c r="Z561">
        <v>1766.7572788162299</v>
      </c>
      <c r="AA561">
        <v>4.6680000000000001</v>
      </c>
      <c r="AB561">
        <v>-74.148499999999999</v>
      </c>
      <c r="AC561">
        <v>2547</v>
      </c>
      <c r="AD561">
        <v>0</v>
      </c>
      <c r="AE561" t="s">
        <v>80</v>
      </c>
      <c r="AF561" t="s">
        <v>100</v>
      </c>
      <c r="AG561" t="s">
        <v>82</v>
      </c>
      <c r="AH561" t="s">
        <v>83</v>
      </c>
      <c r="AI561" t="s">
        <v>221</v>
      </c>
      <c r="AJ561">
        <v>1.83014593903602</v>
      </c>
      <c r="AK561">
        <v>0.61871990759384299</v>
      </c>
      <c r="AL561">
        <v>3.68645603738431</v>
      </c>
      <c r="AM561">
        <v>0.89093029688855796</v>
      </c>
      <c r="AN561">
        <v>1.7145908662610001</v>
      </c>
      <c r="AO561">
        <v>4.9056596374538199E-4</v>
      </c>
      <c r="AP561">
        <v>4.9056596374538199E-4</v>
      </c>
      <c r="AQ561">
        <v>0</v>
      </c>
      <c r="AR561">
        <v>0</v>
      </c>
      <c r="AS561">
        <v>0</v>
      </c>
      <c r="AT561">
        <v>6</v>
      </c>
      <c r="AU561">
        <v>0</v>
      </c>
      <c r="AV561">
        <v>1</v>
      </c>
      <c r="AW561">
        <v>0</v>
      </c>
      <c r="AX561">
        <v>0</v>
      </c>
      <c r="AY561">
        <v>15.8</v>
      </c>
      <c r="AZ561">
        <v>17.100000000000001</v>
      </c>
      <c r="BA561">
        <v>23</v>
      </c>
      <c r="BB561">
        <v>565</v>
      </c>
      <c r="BC561">
        <v>68</v>
      </c>
      <c r="BD561">
        <v>2.2999999999999998</v>
      </c>
      <c r="BE561">
        <v>68</v>
      </c>
      <c r="BF561">
        <v>17.600000000000001</v>
      </c>
      <c r="BG561">
        <v>162</v>
      </c>
      <c r="BH561">
        <v>19.7</v>
      </c>
      <c r="BI561">
        <v>16.7</v>
      </c>
      <c r="BJ561">
        <v>36.4</v>
      </c>
      <c r="BK561">
        <v>0.66</v>
      </c>
      <c r="BL561">
        <v>5.6</v>
      </c>
      <c r="BM561">
        <v>1.5</v>
      </c>
      <c r="BN561">
        <v>7.5</v>
      </c>
      <c r="BO561">
        <v>2.9</v>
      </c>
      <c r="BP561">
        <f t="shared" si="16"/>
        <v>15.668055815839431</v>
      </c>
      <c r="BQ561">
        <f t="shared" si="17"/>
        <v>22.045137173844523</v>
      </c>
    </row>
    <row r="562" spans="1:69" x14ac:dyDescent="0.2">
      <c r="A562" t="s">
        <v>1709</v>
      </c>
      <c r="B562" t="s">
        <v>68</v>
      </c>
      <c r="C562" t="s">
        <v>69</v>
      </c>
      <c r="D562" t="s">
        <v>70</v>
      </c>
      <c r="E562" t="s">
        <v>1710</v>
      </c>
      <c r="F562">
        <v>4</v>
      </c>
      <c r="G562">
        <v>50.51</v>
      </c>
      <c r="H562">
        <v>2</v>
      </c>
      <c r="I562">
        <v>2</v>
      </c>
      <c r="J562">
        <v>1</v>
      </c>
      <c r="K562" t="s">
        <v>110</v>
      </c>
      <c r="L562" t="s">
        <v>111</v>
      </c>
      <c r="M562" s="4">
        <v>550000000</v>
      </c>
      <c r="N562">
        <v>0</v>
      </c>
      <c r="O562">
        <v>4.6763199999999996</v>
      </c>
      <c r="P562">
        <v>-74.12594</v>
      </c>
      <c r="Q562" t="s">
        <v>1711</v>
      </c>
      <c r="R562">
        <v>10888932.880000001</v>
      </c>
      <c r="S562">
        <v>0</v>
      </c>
      <c r="T562" t="s">
        <v>98</v>
      </c>
      <c r="U562" t="s">
        <v>525</v>
      </c>
      <c r="V562" t="s">
        <v>77</v>
      </c>
      <c r="W562" t="s">
        <v>98</v>
      </c>
      <c r="X562" t="s">
        <v>526</v>
      </c>
      <c r="Y562">
        <v>1.99520343066376</v>
      </c>
      <c r="Z562">
        <v>1995.2034306637599</v>
      </c>
      <c r="AA562">
        <v>4.6782416666666702</v>
      </c>
      <c r="AB562">
        <v>-74.143819444444404</v>
      </c>
      <c r="AC562">
        <v>2551</v>
      </c>
      <c r="AD562">
        <v>11</v>
      </c>
      <c r="AE562" t="s">
        <v>80</v>
      </c>
      <c r="AF562" t="s">
        <v>81</v>
      </c>
      <c r="AG562" t="s">
        <v>82</v>
      </c>
      <c r="AH562" t="s">
        <v>83</v>
      </c>
      <c r="AI562" t="s">
        <v>92</v>
      </c>
      <c r="AJ562">
        <v>0.77264655943489002</v>
      </c>
      <c r="AK562">
        <v>3.6698938668426</v>
      </c>
      <c r="AL562">
        <v>1.4573320277645501</v>
      </c>
      <c r="AM562">
        <v>0.37965798317886701</v>
      </c>
      <c r="AN562">
        <v>2.7006136041935398</v>
      </c>
      <c r="AO562">
        <v>0.57637484163340202</v>
      </c>
      <c r="AP562">
        <v>0.57637484163340202</v>
      </c>
      <c r="AQ562">
        <v>0</v>
      </c>
      <c r="AR562">
        <v>2</v>
      </c>
      <c r="AS562">
        <v>0</v>
      </c>
      <c r="AT562">
        <v>0</v>
      </c>
      <c r="AU562">
        <v>0</v>
      </c>
      <c r="AV562">
        <v>13</v>
      </c>
      <c r="AW562">
        <v>0</v>
      </c>
      <c r="AX562">
        <v>0</v>
      </c>
      <c r="AY562">
        <v>15.8</v>
      </c>
      <c r="AZ562">
        <v>17.100000000000001</v>
      </c>
      <c r="BA562">
        <v>23</v>
      </c>
      <c r="BB562">
        <v>565</v>
      </c>
      <c r="BC562">
        <v>68</v>
      </c>
      <c r="BD562">
        <v>2.2999999999999998</v>
      </c>
      <c r="BE562">
        <v>68</v>
      </c>
      <c r="BF562">
        <v>17.600000000000001</v>
      </c>
      <c r="BG562">
        <v>162</v>
      </c>
      <c r="BH562">
        <v>19.7</v>
      </c>
      <c r="BI562">
        <v>16.7</v>
      </c>
      <c r="BJ562">
        <v>36.4</v>
      </c>
      <c r="BK562">
        <v>0.66</v>
      </c>
      <c r="BL562">
        <v>5.6</v>
      </c>
      <c r="BM562">
        <v>1.5</v>
      </c>
      <c r="BN562">
        <v>7.5</v>
      </c>
      <c r="BO562">
        <v>2.9</v>
      </c>
      <c r="BP562">
        <f t="shared" si="16"/>
        <v>15.491878110016119</v>
      </c>
      <c r="BQ562">
        <f t="shared" si="17"/>
        <v>21.924600866352336</v>
      </c>
    </row>
    <row r="563" spans="1:69" x14ac:dyDescent="0.2">
      <c r="A563" t="s">
        <v>1660</v>
      </c>
      <c r="B563" t="s">
        <v>68</v>
      </c>
      <c r="C563" t="s">
        <v>69</v>
      </c>
      <c r="D563" t="s">
        <v>70</v>
      </c>
      <c r="E563" t="s">
        <v>1661</v>
      </c>
      <c r="F563">
        <v>3</v>
      </c>
      <c r="G563">
        <v>50</v>
      </c>
      <c r="H563">
        <v>3</v>
      </c>
      <c r="I563">
        <v>2</v>
      </c>
      <c r="J563">
        <v>0</v>
      </c>
      <c r="K563" t="s">
        <v>110</v>
      </c>
      <c r="L563" t="s">
        <v>124</v>
      </c>
      <c r="M563" s="4">
        <v>284000000</v>
      </c>
      <c r="N563">
        <v>0</v>
      </c>
      <c r="O563">
        <v>4.6469329659999996</v>
      </c>
      <c r="P563">
        <v>-74.139750559999996</v>
      </c>
      <c r="Q563" t="s">
        <v>1662</v>
      </c>
      <c r="R563">
        <v>5680000</v>
      </c>
      <c r="S563">
        <v>0</v>
      </c>
      <c r="T563" t="s">
        <v>96</v>
      </c>
      <c r="U563" t="s">
        <v>97</v>
      </c>
      <c r="V563" t="s">
        <v>77</v>
      </c>
      <c r="W563" t="s">
        <v>98</v>
      </c>
      <c r="X563" t="s">
        <v>99</v>
      </c>
      <c r="Y563">
        <v>2.53815248047778</v>
      </c>
      <c r="Z563">
        <v>2538.15248047778</v>
      </c>
      <c r="AA563">
        <v>4.6680000000000001</v>
      </c>
      <c r="AB563">
        <v>-74.148499999999999</v>
      </c>
      <c r="AC563">
        <v>2547</v>
      </c>
      <c r="AD563">
        <v>0</v>
      </c>
      <c r="AE563" t="s">
        <v>80</v>
      </c>
      <c r="AF563" t="s">
        <v>100</v>
      </c>
      <c r="AG563" t="s">
        <v>82</v>
      </c>
      <c r="AH563" t="s">
        <v>83</v>
      </c>
      <c r="AI563" t="s">
        <v>221</v>
      </c>
      <c r="AJ563">
        <v>1.7841719871312101</v>
      </c>
      <c r="AK563">
        <v>2.4664160961080102</v>
      </c>
      <c r="AL563">
        <v>2.02378974470246</v>
      </c>
      <c r="AM563">
        <v>0.65278360913875999</v>
      </c>
      <c r="AN563">
        <v>2.5003751551300102</v>
      </c>
      <c r="AO563">
        <v>9.7198182274510995E-3</v>
      </c>
      <c r="AP563">
        <v>9.7198182274510995E-3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9</v>
      </c>
      <c r="AW563">
        <v>0</v>
      </c>
      <c r="AX563">
        <v>0</v>
      </c>
      <c r="AY563">
        <v>15.8</v>
      </c>
      <c r="AZ563">
        <v>17.100000000000001</v>
      </c>
      <c r="BA563">
        <v>23</v>
      </c>
      <c r="BB563">
        <v>565</v>
      </c>
      <c r="BC563">
        <v>68</v>
      </c>
      <c r="BD563">
        <v>2.2999999999999998</v>
      </c>
      <c r="BE563">
        <v>68</v>
      </c>
      <c r="BF563">
        <v>17.600000000000001</v>
      </c>
      <c r="BG563">
        <v>162</v>
      </c>
      <c r="BH563">
        <v>19.7</v>
      </c>
      <c r="BI563">
        <v>16.7</v>
      </c>
      <c r="BJ563">
        <v>36.4</v>
      </c>
      <c r="BK563">
        <v>0.66</v>
      </c>
      <c r="BL563">
        <v>5.6</v>
      </c>
      <c r="BM563">
        <v>1.5</v>
      </c>
      <c r="BN563">
        <v>7.5</v>
      </c>
      <c r="BO563">
        <v>2.9</v>
      </c>
      <c r="BP563">
        <f t="shared" si="16"/>
        <v>15.081063978962014</v>
      </c>
      <c r="BQ563">
        <f t="shared" si="17"/>
        <v>21.640759629688208</v>
      </c>
    </row>
    <row r="564" spans="1:69" x14ac:dyDescent="0.2">
      <c r="A564" t="s">
        <v>1392</v>
      </c>
      <c r="B564" t="s">
        <v>68</v>
      </c>
      <c r="C564" t="s">
        <v>69</v>
      </c>
      <c r="D564" t="s">
        <v>70</v>
      </c>
      <c r="E564" t="s">
        <v>1393</v>
      </c>
      <c r="F564">
        <v>2</v>
      </c>
      <c r="G564">
        <v>49.63</v>
      </c>
      <c r="H564">
        <v>2</v>
      </c>
      <c r="I564">
        <v>1</v>
      </c>
      <c r="J564">
        <v>1</v>
      </c>
      <c r="K564" t="s">
        <v>110</v>
      </c>
      <c r="L564" t="s">
        <v>124</v>
      </c>
      <c r="M564" s="4">
        <v>173000000</v>
      </c>
      <c r="N564">
        <v>0</v>
      </c>
      <c r="O564">
        <v>4.6512073999999997</v>
      </c>
      <c r="P564">
        <v>-74.168959999999998</v>
      </c>
      <c r="Q564" t="s">
        <v>1394</v>
      </c>
      <c r="R564">
        <v>3485794.8820000002</v>
      </c>
      <c r="S564">
        <v>0</v>
      </c>
      <c r="T564" t="s">
        <v>96</v>
      </c>
      <c r="U564" t="s">
        <v>97</v>
      </c>
      <c r="V564" t="s">
        <v>77</v>
      </c>
      <c r="W564" t="s">
        <v>98</v>
      </c>
      <c r="X564" t="s">
        <v>99</v>
      </c>
      <c r="Y564">
        <v>2.9406903209090798</v>
      </c>
      <c r="Z564">
        <v>2940.6903209090801</v>
      </c>
      <c r="AA564">
        <v>4.6680000000000001</v>
      </c>
      <c r="AB564">
        <v>-74.148499999999999</v>
      </c>
      <c r="AC564">
        <v>2547</v>
      </c>
      <c r="AD564">
        <v>0</v>
      </c>
      <c r="AE564" t="s">
        <v>80</v>
      </c>
      <c r="AF564" t="s">
        <v>100</v>
      </c>
      <c r="AG564" t="s">
        <v>82</v>
      </c>
      <c r="AH564" t="s">
        <v>83</v>
      </c>
      <c r="AI564" t="s">
        <v>221</v>
      </c>
      <c r="AJ564">
        <v>1.81532575548857</v>
      </c>
      <c r="AK564">
        <v>0.383717421286359</v>
      </c>
      <c r="AL564">
        <v>4.8386062396225</v>
      </c>
      <c r="AM564">
        <v>0.29435177498174298</v>
      </c>
      <c r="AN564">
        <v>2.8900211612298401</v>
      </c>
      <c r="AO564">
        <v>0.14618691510259599</v>
      </c>
      <c r="AP564">
        <v>0.14618691510259599</v>
      </c>
      <c r="AQ564">
        <v>0</v>
      </c>
      <c r="AR564">
        <v>0</v>
      </c>
      <c r="AS564">
        <v>6</v>
      </c>
      <c r="AT564">
        <v>11</v>
      </c>
      <c r="AU564">
        <v>0</v>
      </c>
      <c r="AV564">
        <v>1</v>
      </c>
      <c r="AW564">
        <v>0</v>
      </c>
      <c r="AX564">
        <v>0</v>
      </c>
      <c r="AY564">
        <v>15.8</v>
      </c>
      <c r="AZ564">
        <v>17.100000000000001</v>
      </c>
      <c r="BA564">
        <v>23</v>
      </c>
      <c r="BB564">
        <v>565</v>
      </c>
      <c r="BC564">
        <v>68</v>
      </c>
      <c r="BD564">
        <v>2.2999999999999998</v>
      </c>
      <c r="BE564">
        <v>68</v>
      </c>
      <c r="BF564">
        <v>17.600000000000001</v>
      </c>
      <c r="BG564">
        <v>162</v>
      </c>
      <c r="BH564">
        <v>19.7</v>
      </c>
      <c r="BI564">
        <v>16.7</v>
      </c>
      <c r="BJ564">
        <v>36.4</v>
      </c>
      <c r="BK564">
        <v>0.66</v>
      </c>
      <c r="BL564">
        <v>5.6</v>
      </c>
      <c r="BM564">
        <v>1.5</v>
      </c>
      <c r="BN564">
        <v>7.5</v>
      </c>
      <c r="BO564">
        <v>2.9</v>
      </c>
      <c r="BP564">
        <f t="shared" si="16"/>
        <v>14.783538417081724</v>
      </c>
      <c r="BQ564">
        <f t="shared" si="17"/>
        <v>21.432696893921072</v>
      </c>
    </row>
    <row r="565" spans="1:69" x14ac:dyDescent="0.2">
      <c r="A565" t="s">
        <v>477</v>
      </c>
      <c r="B565" t="s">
        <v>68</v>
      </c>
      <c r="C565" t="s">
        <v>69</v>
      </c>
      <c r="D565" t="s">
        <v>70</v>
      </c>
      <c r="E565" t="s">
        <v>478</v>
      </c>
      <c r="F565">
        <v>3</v>
      </c>
      <c r="G565">
        <v>45</v>
      </c>
      <c r="H565">
        <v>3</v>
      </c>
      <c r="I565">
        <v>1</v>
      </c>
      <c r="J565">
        <v>0</v>
      </c>
      <c r="K565" t="s">
        <v>72</v>
      </c>
      <c r="L565" t="s">
        <v>73</v>
      </c>
      <c r="M565" s="4">
        <v>282000000</v>
      </c>
      <c r="N565">
        <v>0</v>
      </c>
      <c r="O565">
        <v>4.6518053999999998</v>
      </c>
      <c r="P565">
        <v>-74.153109999999998</v>
      </c>
      <c r="Q565" t="s">
        <v>479</v>
      </c>
      <c r="R565">
        <v>6266666.6670000004</v>
      </c>
      <c r="S565">
        <v>0</v>
      </c>
      <c r="T565" t="s">
        <v>96</v>
      </c>
      <c r="U565" t="s">
        <v>97</v>
      </c>
      <c r="V565" t="s">
        <v>77</v>
      </c>
      <c r="W565" t="s">
        <v>98</v>
      </c>
      <c r="X565" t="s">
        <v>99</v>
      </c>
      <c r="Y565">
        <v>1.8739303104424501</v>
      </c>
      <c r="Z565">
        <v>1873.93031044245</v>
      </c>
      <c r="AA565">
        <v>4.6680000000000001</v>
      </c>
      <c r="AB565">
        <v>-74.148499999999999</v>
      </c>
      <c r="AC565">
        <v>2547</v>
      </c>
      <c r="AD565">
        <v>0</v>
      </c>
      <c r="AE565" t="s">
        <v>80</v>
      </c>
      <c r="AF565" t="s">
        <v>100</v>
      </c>
      <c r="AG565" t="s">
        <v>82</v>
      </c>
      <c r="AH565" t="s">
        <v>83</v>
      </c>
      <c r="AI565" t="s">
        <v>221</v>
      </c>
      <c r="AJ565">
        <v>1.68469055499353</v>
      </c>
      <c r="AK565">
        <v>1.03351492778607</v>
      </c>
      <c r="AL565">
        <v>3.5999379737038799</v>
      </c>
      <c r="AM565">
        <v>0.48655260633810499</v>
      </c>
      <c r="AN565">
        <v>1.8214239187933099</v>
      </c>
      <c r="AO565">
        <v>0.213251667907493</v>
      </c>
      <c r="AP565">
        <v>0.213251667907493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1</v>
      </c>
      <c r="AW565">
        <v>0</v>
      </c>
      <c r="AX565">
        <v>0</v>
      </c>
      <c r="AY565">
        <v>15.8</v>
      </c>
      <c r="AZ565">
        <v>17.100000000000001</v>
      </c>
      <c r="BA565">
        <v>23</v>
      </c>
      <c r="BB565">
        <v>565</v>
      </c>
      <c r="BC565">
        <v>68</v>
      </c>
      <c r="BD565">
        <v>2.2999999999999998</v>
      </c>
      <c r="BE565">
        <v>68</v>
      </c>
      <c r="BF565">
        <v>17.600000000000001</v>
      </c>
      <c r="BG565">
        <v>162</v>
      </c>
      <c r="BH565">
        <v>19.7</v>
      </c>
      <c r="BI565">
        <v>16.7</v>
      </c>
      <c r="BJ565">
        <v>36.4</v>
      </c>
      <c r="BK565">
        <v>0.66</v>
      </c>
      <c r="BL565">
        <v>5.6</v>
      </c>
      <c r="BM565">
        <v>1.5</v>
      </c>
      <c r="BN565">
        <v>7.5</v>
      </c>
      <c r="BO565">
        <v>2.9</v>
      </c>
      <c r="BP565">
        <f t="shared" si="16"/>
        <v>15.58515584957004</v>
      </c>
      <c r="BQ565">
        <f t="shared" si="17"/>
        <v>21.98850657593616</v>
      </c>
    </row>
    <row r="566" spans="1:69" x14ac:dyDescent="0.2">
      <c r="A566" t="s">
        <v>1643</v>
      </c>
      <c r="B566" t="s">
        <v>68</v>
      </c>
      <c r="C566" t="s">
        <v>69</v>
      </c>
      <c r="D566" t="s">
        <v>70</v>
      </c>
      <c r="E566" t="s">
        <v>1400</v>
      </c>
      <c r="F566">
        <v>3</v>
      </c>
      <c r="G566">
        <v>44.55</v>
      </c>
      <c r="H566">
        <v>3</v>
      </c>
      <c r="I566">
        <v>1</v>
      </c>
      <c r="J566">
        <v>0</v>
      </c>
      <c r="K566" t="s">
        <v>72</v>
      </c>
      <c r="L566" t="s">
        <v>73</v>
      </c>
      <c r="M566" s="4">
        <v>217110000</v>
      </c>
      <c r="N566">
        <v>0</v>
      </c>
      <c r="O566">
        <v>4.6970150000000004</v>
      </c>
      <c r="P566">
        <v>-74.162284999999997</v>
      </c>
      <c r="Q566" t="s">
        <v>1644</v>
      </c>
      <c r="R566">
        <v>4873400.6730000004</v>
      </c>
      <c r="S566">
        <v>0</v>
      </c>
      <c r="T566" t="s">
        <v>98</v>
      </c>
      <c r="U566" t="s">
        <v>525</v>
      </c>
      <c r="V566" t="s">
        <v>77</v>
      </c>
      <c r="W566" t="s">
        <v>98</v>
      </c>
      <c r="X566" t="s">
        <v>526</v>
      </c>
      <c r="Y566">
        <v>2.9265331013148801</v>
      </c>
      <c r="Z566">
        <v>2926.5331013148798</v>
      </c>
      <c r="AA566">
        <v>4.6782416666666702</v>
      </c>
      <c r="AB566">
        <v>-74.143819444444404</v>
      </c>
      <c r="AC566">
        <v>2551</v>
      </c>
      <c r="AD566">
        <v>11</v>
      </c>
      <c r="AE566" t="s">
        <v>80</v>
      </c>
      <c r="AF566" t="s">
        <v>81</v>
      </c>
      <c r="AG566" t="s">
        <v>82</v>
      </c>
      <c r="AH566" t="s">
        <v>83</v>
      </c>
      <c r="AI566" t="s">
        <v>92</v>
      </c>
      <c r="AJ566">
        <v>4.8423098954149797</v>
      </c>
      <c r="AK566">
        <v>0.66428139805175002</v>
      </c>
      <c r="AL566">
        <v>3.1830872530870602</v>
      </c>
      <c r="AM566">
        <v>0.99478315765783198</v>
      </c>
      <c r="AN566">
        <v>2.28568853195164</v>
      </c>
      <c r="AO566">
        <v>0.119626150454304</v>
      </c>
      <c r="AP566">
        <v>0.119626150454304</v>
      </c>
      <c r="AQ566">
        <v>0</v>
      </c>
      <c r="AR566">
        <v>0</v>
      </c>
      <c r="AS566">
        <v>0</v>
      </c>
      <c r="AT566">
        <v>4</v>
      </c>
      <c r="AU566">
        <v>0</v>
      </c>
      <c r="AV566">
        <v>1</v>
      </c>
      <c r="AW566">
        <v>0</v>
      </c>
      <c r="AX566">
        <v>0</v>
      </c>
      <c r="AY566">
        <v>15.8</v>
      </c>
      <c r="AZ566">
        <v>17.100000000000001</v>
      </c>
      <c r="BA566">
        <v>23</v>
      </c>
      <c r="BB566">
        <v>565</v>
      </c>
      <c r="BC566">
        <v>68</v>
      </c>
      <c r="BD566">
        <v>2.2999999999999998</v>
      </c>
      <c r="BE566">
        <v>68</v>
      </c>
      <c r="BF566">
        <v>17.600000000000001</v>
      </c>
      <c r="BG566">
        <v>162</v>
      </c>
      <c r="BH566">
        <v>19.7</v>
      </c>
      <c r="BI566">
        <v>16.7</v>
      </c>
      <c r="BJ566">
        <v>36.4</v>
      </c>
      <c r="BK566">
        <v>0.66</v>
      </c>
      <c r="BL566">
        <v>5.6</v>
      </c>
      <c r="BM566">
        <v>1.5</v>
      </c>
      <c r="BN566">
        <v>7.5</v>
      </c>
      <c r="BO566">
        <v>2.9</v>
      </c>
      <c r="BP566">
        <f t="shared" si="16"/>
        <v>14.793902091085229</v>
      </c>
      <c r="BQ566">
        <f t="shared" si="17"/>
        <v>21.439980388733584</v>
      </c>
    </row>
    <row r="567" spans="1:69" x14ac:dyDescent="0.2">
      <c r="A567" t="s">
        <v>145</v>
      </c>
      <c r="B567" t="s">
        <v>68</v>
      </c>
      <c r="C567" t="s">
        <v>69</v>
      </c>
      <c r="D567" t="s">
        <v>70</v>
      </c>
      <c r="E567" t="s">
        <v>146</v>
      </c>
      <c r="F567">
        <v>3</v>
      </c>
      <c r="G567">
        <v>43</v>
      </c>
      <c r="H567">
        <v>2</v>
      </c>
      <c r="I567">
        <v>1</v>
      </c>
      <c r="J567">
        <v>0</v>
      </c>
      <c r="K567" t="s">
        <v>110</v>
      </c>
      <c r="L567" t="s">
        <v>111</v>
      </c>
      <c r="M567" s="4">
        <v>220000000</v>
      </c>
      <c r="N567">
        <v>0</v>
      </c>
      <c r="O567">
        <v>4.6709193999999998</v>
      </c>
      <c r="P567">
        <v>-74.148526899999993</v>
      </c>
      <c r="Q567" t="s">
        <v>147</v>
      </c>
      <c r="R567">
        <v>5116279.07</v>
      </c>
      <c r="S567">
        <v>0</v>
      </c>
      <c r="T567" t="s">
        <v>96</v>
      </c>
      <c r="U567" t="s">
        <v>97</v>
      </c>
      <c r="V567" t="s">
        <v>77</v>
      </c>
      <c r="W567" t="s">
        <v>98</v>
      </c>
      <c r="X567" t="s">
        <v>99</v>
      </c>
      <c r="Y567">
        <v>0.32499982567282898</v>
      </c>
      <c r="Z567">
        <v>324.99982567282899</v>
      </c>
      <c r="AA567">
        <v>4.6680000000000001</v>
      </c>
      <c r="AB567">
        <v>-74.148499999999999</v>
      </c>
      <c r="AC567">
        <v>2547</v>
      </c>
      <c r="AD567">
        <v>0</v>
      </c>
      <c r="AE567" t="s">
        <v>80</v>
      </c>
      <c r="AF567" t="s">
        <v>100</v>
      </c>
      <c r="AG567" t="s">
        <v>82</v>
      </c>
      <c r="AH567" t="s">
        <v>83</v>
      </c>
      <c r="AI567" t="s">
        <v>92</v>
      </c>
      <c r="AJ567">
        <v>3.23235221450149</v>
      </c>
      <c r="AK567">
        <v>1.1006010146863601</v>
      </c>
      <c r="AL567">
        <v>1.6959944614316</v>
      </c>
      <c r="AM567">
        <v>0.27530202413228899</v>
      </c>
      <c r="AN567">
        <v>0.35774235411664002</v>
      </c>
      <c r="AO567">
        <v>1.1622553337690401E-2</v>
      </c>
      <c r="AP567">
        <v>1.1622553337690401E-2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30</v>
      </c>
      <c r="AW567">
        <v>1</v>
      </c>
      <c r="AX567">
        <v>0</v>
      </c>
      <c r="AY567">
        <v>15.8</v>
      </c>
      <c r="AZ567">
        <v>17.100000000000001</v>
      </c>
      <c r="BA567">
        <v>23</v>
      </c>
      <c r="BB567">
        <v>565</v>
      </c>
      <c r="BC567">
        <v>68</v>
      </c>
      <c r="BD567">
        <v>2.2999999999999998</v>
      </c>
      <c r="BE567">
        <v>68</v>
      </c>
      <c r="BF567">
        <v>17.600000000000001</v>
      </c>
      <c r="BG567">
        <v>162</v>
      </c>
      <c r="BH567">
        <v>19.7</v>
      </c>
      <c r="BI567">
        <v>16.7</v>
      </c>
      <c r="BJ567">
        <v>36.4</v>
      </c>
      <c r="BK567">
        <v>0.66</v>
      </c>
      <c r="BL567">
        <v>5.6</v>
      </c>
      <c r="BM567">
        <v>1.5</v>
      </c>
      <c r="BN567">
        <v>7.5</v>
      </c>
      <c r="BO567">
        <v>2.9</v>
      </c>
      <c r="BP567">
        <f t="shared" si="16"/>
        <v>16.827104882067129</v>
      </c>
      <c r="BQ567">
        <f t="shared" si="17"/>
        <v>22.821297939906685</v>
      </c>
    </row>
    <row r="568" spans="1:69" x14ac:dyDescent="0.2">
      <c r="A568" t="s">
        <v>1399</v>
      </c>
      <c r="B568" t="s">
        <v>68</v>
      </c>
      <c r="C568" t="s">
        <v>69</v>
      </c>
      <c r="D568" t="s">
        <v>70</v>
      </c>
      <c r="E568" t="s">
        <v>1400</v>
      </c>
      <c r="F568">
        <v>3</v>
      </c>
      <c r="G568">
        <v>40.67</v>
      </c>
      <c r="H568">
        <v>2</v>
      </c>
      <c r="I568">
        <v>1</v>
      </c>
      <c r="J568">
        <v>0</v>
      </c>
      <c r="K568" t="s">
        <v>72</v>
      </c>
      <c r="L568" t="s">
        <v>73</v>
      </c>
      <c r="M568" s="4">
        <v>204420000</v>
      </c>
      <c r="N568">
        <v>0</v>
      </c>
      <c r="O568">
        <v>4.6973609999999999</v>
      </c>
      <c r="P568">
        <v>-74.162750000000003</v>
      </c>
      <c r="Q568" t="s">
        <v>1401</v>
      </c>
      <c r="R568">
        <v>5026309.3190000001</v>
      </c>
      <c r="S568">
        <v>0</v>
      </c>
      <c r="T568" t="s">
        <v>98</v>
      </c>
      <c r="U568" t="s">
        <v>525</v>
      </c>
      <c r="V568" t="s">
        <v>77</v>
      </c>
      <c r="W568" t="s">
        <v>98</v>
      </c>
      <c r="X568" t="s">
        <v>526</v>
      </c>
      <c r="Y568">
        <v>2.9901692575456802</v>
      </c>
      <c r="Z568">
        <v>2990.16925754568</v>
      </c>
      <c r="AA568">
        <v>4.6782416666666702</v>
      </c>
      <c r="AB568">
        <v>-74.143819444444404</v>
      </c>
      <c r="AC568">
        <v>2551</v>
      </c>
      <c r="AD568">
        <v>11</v>
      </c>
      <c r="AE568" t="s">
        <v>80</v>
      </c>
      <c r="AF568" t="s">
        <v>81</v>
      </c>
      <c r="AG568" t="s">
        <v>82</v>
      </c>
      <c r="AH568" t="s">
        <v>83</v>
      </c>
      <c r="AI568" t="s">
        <v>92</v>
      </c>
      <c r="AJ568">
        <v>4.9040485476309197</v>
      </c>
      <c r="AK568">
        <v>0.60380484964673198</v>
      </c>
      <c r="AL568">
        <v>3.2470477176471002</v>
      </c>
      <c r="AM568">
        <v>1.0288303034660899</v>
      </c>
      <c r="AN568">
        <v>2.34106844706985</v>
      </c>
      <c r="AO568">
        <v>0.13031375265860701</v>
      </c>
      <c r="AP568">
        <v>0.13031375265860701</v>
      </c>
      <c r="AQ568">
        <v>0</v>
      </c>
      <c r="AR568">
        <v>0</v>
      </c>
      <c r="AS568">
        <v>0</v>
      </c>
      <c r="AT568">
        <v>4</v>
      </c>
      <c r="AU568">
        <v>0</v>
      </c>
      <c r="AV568">
        <v>0</v>
      </c>
      <c r="AW568">
        <v>0</v>
      </c>
      <c r="AX568">
        <v>0</v>
      </c>
      <c r="AY568">
        <v>15.8</v>
      </c>
      <c r="AZ568">
        <v>17.100000000000001</v>
      </c>
      <c r="BA568">
        <v>23</v>
      </c>
      <c r="BB568">
        <v>565</v>
      </c>
      <c r="BC568">
        <v>68</v>
      </c>
      <c r="BD568">
        <v>2.2999999999999998</v>
      </c>
      <c r="BE568">
        <v>68</v>
      </c>
      <c r="BF568">
        <v>17.600000000000001</v>
      </c>
      <c r="BG568">
        <v>162</v>
      </c>
      <c r="BH568">
        <v>19.7</v>
      </c>
      <c r="BI568">
        <v>16.7</v>
      </c>
      <c r="BJ568">
        <v>36.4</v>
      </c>
      <c r="BK568">
        <v>0.66</v>
      </c>
      <c r="BL568">
        <v>5.6</v>
      </c>
      <c r="BM568">
        <v>1.5</v>
      </c>
      <c r="BN568">
        <v>7.5</v>
      </c>
      <c r="BO568">
        <v>2.9</v>
      </c>
      <c r="BP568">
        <f t="shared" si="16"/>
        <v>14.747374770144686</v>
      </c>
      <c r="BQ568">
        <f t="shared" si="17"/>
        <v>21.407260790288859</v>
      </c>
    </row>
    <row r="569" spans="1:69" x14ac:dyDescent="0.2">
      <c r="A569" t="s">
        <v>1204</v>
      </c>
      <c r="B569" t="s">
        <v>68</v>
      </c>
      <c r="C569" t="s">
        <v>69</v>
      </c>
      <c r="D569" t="s">
        <v>70</v>
      </c>
      <c r="E569" t="s">
        <v>1205</v>
      </c>
      <c r="F569">
        <v>3</v>
      </c>
      <c r="G569">
        <v>40</v>
      </c>
      <c r="H569">
        <v>2</v>
      </c>
      <c r="I569">
        <v>1</v>
      </c>
      <c r="J569">
        <v>0</v>
      </c>
      <c r="K569" t="s">
        <v>110</v>
      </c>
      <c r="L569" t="s">
        <v>124</v>
      </c>
      <c r="M569" s="4">
        <v>224000000</v>
      </c>
      <c r="N569">
        <v>0</v>
      </c>
      <c r="O569">
        <v>4.6450316999999997</v>
      </c>
      <c r="P569">
        <v>-74.1401501</v>
      </c>
      <c r="Q569" t="s">
        <v>1206</v>
      </c>
      <c r="R569">
        <v>5600000</v>
      </c>
      <c r="S569">
        <v>0</v>
      </c>
      <c r="T569" t="s">
        <v>96</v>
      </c>
      <c r="U569" t="s">
        <v>97</v>
      </c>
      <c r="V569" t="s">
        <v>77</v>
      </c>
      <c r="W569" t="s">
        <v>98</v>
      </c>
      <c r="X569" t="s">
        <v>99</v>
      </c>
      <c r="Y569">
        <v>2.7194878535503899</v>
      </c>
      <c r="Z569">
        <v>2719.4878535503899</v>
      </c>
      <c r="AA569">
        <v>4.6680000000000001</v>
      </c>
      <c r="AB569">
        <v>-74.148499999999999</v>
      </c>
      <c r="AC569">
        <v>2547</v>
      </c>
      <c r="AD569">
        <v>0</v>
      </c>
      <c r="AE569" t="s">
        <v>80</v>
      </c>
      <c r="AF569" t="s">
        <v>100</v>
      </c>
      <c r="AG569" t="s">
        <v>82</v>
      </c>
      <c r="AH569" t="s">
        <v>83</v>
      </c>
      <c r="AI569" t="s">
        <v>221</v>
      </c>
      <c r="AJ569">
        <v>1.5709480200586801</v>
      </c>
      <c r="AK569">
        <v>2.5593209636741601</v>
      </c>
      <c r="AL569">
        <v>2.0081388237925801</v>
      </c>
      <c r="AM569">
        <v>0.50528285345214197</v>
      </c>
      <c r="AN569">
        <v>2.6783860691182202</v>
      </c>
      <c r="AO569">
        <v>1.8299437842310601E-2</v>
      </c>
      <c r="AP569">
        <v>1.8299437842310601E-2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11</v>
      </c>
      <c r="AW569">
        <v>0</v>
      </c>
      <c r="AX569">
        <v>0</v>
      </c>
      <c r="AY569">
        <v>15.8</v>
      </c>
      <c r="AZ569">
        <v>17.100000000000001</v>
      </c>
      <c r="BA569">
        <v>23</v>
      </c>
      <c r="BB569">
        <v>565</v>
      </c>
      <c r="BC569">
        <v>68</v>
      </c>
      <c r="BD569">
        <v>2.2999999999999998</v>
      </c>
      <c r="BE569">
        <v>68</v>
      </c>
      <c r="BF569">
        <v>17.600000000000001</v>
      </c>
      <c r="BG569">
        <v>162</v>
      </c>
      <c r="BH569">
        <v>19.7</v>
      </c>
      <c r="BI569">
        <v>16.7</v>
      </c>
      <c r="BJ569">
        <v>36.4</v>
      </c>
      <c r="BK569">
        <v>0.66</v>
      </c>
      <c r="BL569">
        <v>5.6</v>
      </c>
      <c r="BM569">
        <v>1.5</v>
      </c>
      <c r="BN569">
        <v>7.5</v>
      </c>
      <c r="BO569">
        <v>2.9</v>
      </c>
      <c r="BP569">
        <f t="shared" si="16"/>
        <v>14.946300555869053</v>
      </c>
      <c r="BQ569">
        <f t="shared" si="17"/>
        <v>21.546782628967026</v>
      </c>
    </row>
    <row r="570" spans="1:69" x14ac:dyDescent="0.2">
      <c r="A570" t="s">
        <v>522</v>
      </c>
      <c r="B570" t="s">
        <v>68</v>
      </c>
      <c r="C570" t="s">
        <v>69</v>
      </c>
      <c r="D570" t="s">
        <v>70</v>
      </c>
      <c r="E570" t="s">
        <v>523</v>
      </c>
      <c r="F570">
        <v>3</v>
      </c>
      <c r="G570">
        <v>39</v>
      </c>
      <c r="H570">
        <v>2</v>
      </c>
      <c r="I570">
        <v>2</v>
      </c>
      <c r="J570">
        <v>0</v>
      </c>
      <c r="K570" t="s">
        <v>110</v>
      </c>
      <c r="L570" t="s">
        <v>111</v>
      </c>
      <c r="M570" s="4">
        <v>230000000</v>
      </c>
      <c r="N570">
        <v>0</v>
      </c>
      <c r="O570">
        <v>4.6874897000000004</v>
      </c>
      <c r="P570">
        <v>-74.154052100000001</v>
      </c>
      <c r="Q570" t="s">
        <v>524</v>
      </c>
      <c r="R570">
        <v>5897435.8969999999</v>
      </c>
      <c r="S570">
        <v>0</v>
      </c>
      <c r="T570" t="s">
        <v>98</v>
      </c>
      <c r="U570" t="s">
        <v>525</v>
      </c>
      <c r="V570" t="s">
        <v>77</v>
      </c>
      <c r="W570" t="s">
        <v>98</v>
      </c>
      <c r="X570" t="s">
        <v>526</v>
      </c>
      <c r="Y570">
        <v>1.5325563723265201</v>
      </c>
      <c r="Z570">
        <v>1532.55637232652</v>
      </c>
      <c r="AA570">
        <v>4.6782416666666702</v>
      </c>
      <c r="AB570">
        <v>-74.143819444444404</v>
      </c>
      <c r="AC570">
        <v>2551</v>
      </c>
      <c r="AD570">
        <v>11</v>
      </c>
      <c r="AE570" t="s">
        <v>80</v>
      </c>
      <c r="AF570" t="s">
        <v>81</v>
      </c>
      <c r="AG570" t="s">
        <v>82</v>
      </c>
      <c r="AH570" t="s">
        <v>83</v>
      </c>
      <c r="AI570" t="s">
        <v>92</v>
      </c>
      <c r="AJ570">
        <v>3.6783993932203201</v>
      </c>
      <c r="AK570">
        <v>1.36393878226527</v>
      </c>
      <c r="AL570">
        <v>1.9000281037933899</v>
      </c>
      <c r="AM570">
        <v>0.27809285504889097</v>
      </c>
      <c r="AN570">
        <v>1.59036055381265</v>
      </c>
      <c r="AO570">
        <v>0.10576564092219901</v>
      </c>
      <c r="AP570">
        <v>0.10576564092219901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5</v>
      </c>
      <c r="AW570">
        <v>0</v>
      </c>
      <c r="AX570">
        <v>0</v>
      </c>
      <c r="AY570">
        <v>15.8</v>
      </c>
      <c r="AZ570">
        <v>17.100000000000001</v>
      </c>
      <c r="BA570">
        <v>23</v>
      </c>
      <c r="BB570">
        <v>565</v>
      </c>
      <c r="BC570">
        <v>68</v>
      </c>
      <c r="BD570">
        <v>2.2999999999999998</v>
      </c>
      <c r="BE570">
        <v>68</v>
      </c>
      <c r="BF570">
        <v>17.600000000000001</v>
      </c>
      <c r="BG570">
        <v>162</v>
      </c>
      <c r="BH570">
        <v>19.7</v>
      </c>
      <c r="BI570">
        <v>16.7</v>
      </c>
      <c r="BJ570">
        <v>36.4</v>
      </c>
      <c r="BK570">
        <v>0.66</v>
      </c>
      <c r="BL570">
        <v>5.6</v>
      </c>
      <c r="BM570">
        <v>1.5</v>
      </c>
      <c r="BN570">
        <v>7.5</v>
      </c>
      <c r="BO570">
        <v>2.9</v>
      </c>
      <c r="BP570">
        <f t="shared" si="16"/>
        <v>15.85075166849227</v>
      </c>
      <c r="BQ570">
        <f t="shared" si="17"/>
        <v>22.169397856901448</v>
      </c>
    </row>
    <row r="571" spans="1:69" x14ac:dyDescent="0.2">
      <c r="A571" t="s">
        <v>972</v>
      </c>
      <c r="B571" t="s">
        <v>68</v>
      </c>
      <c r="C571" t="s">
        <v>69</v>
      </c>
      <c r="D571" t="s">
        <v>70</v>
      </c>
      <c r="E571" t="s">
        <v>973</v>
      </c>
      <c r="F571">
        <v>3</v>
      </c>
      <c r="G571">
        <v>38</v>
      </c>
      <c r="H571">
        <v>2</v>
      </c>
      <c r="I571">
        <v>2</v>
      </c>
      <c r="J571">
        <v>0</v>
      </c>
      <c r="K571" t="s">
        <v>110</v>
      </c>
      <c r="L571" t="s">
        <v>111</v>
      </c>
      <c r="M571" s="4">
        <v>260000000</v>
      </c>
      <c r="N571">
        <v>0</v>
      </c>
      <c r="O571">
        <v>4.6856350000000004</v>
      </c>
      <c r="P571">
        <v>-74.152339999999995</v>
      </c>
      <c r="Q571" t="s">
        <v>974</v>
      </c>
      <c r="R571">
        <v>6842105.2630000003</v>
      </c>
      <c r="S571">
        <v>0</v>
      </c>
      <c r="T571" t="s">
        <v>98</v>
      </c>
      <c r="U571" t="s">
        <v>525</v>
      </c>
      <c r="V571" t="s">
        <v>77</v>
      </c>
      <c r="W571" t="s">
        <v>98</v>
      </c>
      <c r="X571" t="s">
        <v>526</v>
      </c>
      <c r="Y571">
        <v>1.25340776593609</v>
      </c>
      <c r="Z571">
        <v>1253.4077659360901</v>
      </c>
      <c r="AA571">
        <v>4.6782416666666702</v>
      </c>
      <c r="AB571">
        <v>-74.143819444444404</v>
      </c>
      <c r="AC571">
        <v>2551</v>
      </c>
      <c r="AD571">
        <v>11</v>
      </c>
      <c r="AE571" t="s">
        <v>80</v>
      </c>
      <c r="AF571" t="s">
        <v>81</v>
      </c>
      <c r="AG571" t="s">
        <v>82</v>
      </c>
      <c r="AH571" t="s">
        <v>83</v>
      </c>
      <c r="AI571" t="s">
        <v>92</v>
      </c>
      <c r="AJ571">
        <v>3.4594943658000701</v>
      </c>
      <c r="AK571">
        <v>1.5734894353009199</v>
      </c>
      <c r="AL571">
        <v>1.6591661427008899</v>
      </c>
      <c r="AM571">
        <v>6.07768158931596E-2</v>
      </c>
      <c r="AN571">
        <v>1.5580878777090701</v>
      </c>
      <c r="AO571">
        <v>0.174040307773907</v>
      </c>
      <c r="AP571">
        <v>0.174040307773907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6</v>
      </c>
      <c r="AW571">
        <v>0</v>
      </c>
      <c r="AX571">
        <v>0</v>
      </c>
      <c r="AY571">
        <v>15.8</v>
      </c>
      <c r="AZ571">
        <v>17.100000000000001</v>
      </c>
      <c r="BA571">
        <v>23</v>
      </c>
      <c r="BB571">
        <v>565</v>
      </c>
      <c r="BC571">
        <v>68</v>
      </c>
      <c r="BD571">
        <v>2.2999999999999998</v>
      </c>
      <c r="BE571">
        <v>68</v>
      </c>
      <c r="BF571">
        <v>17.600000000000001</v>
      </c>
      <c r="BG571">
        <v>162</v>
      </c>
      <c r="BH571">
        <v>19.7</v>
      </c>
      <c r="BI571">
        <v>16.7</v>
      </c>
      <c r="BJ571">
        <v>36.4</v>
      </c>
      <c r="BK571">
        <v>0.66</v>
      </c>
      <c r="BL571">
        <v>5.6</v>
      </c>
      <c r="BM571">
        <v>1.5</v>
      </c>
      <c r="BN571">
        <v>7.5</v>
      </c>
      <c r="BO571">
        <v>2.9</v>
      </c>
      <c r="BP571">
        <f t="shared" si="16"/>
        <v>16.071295283678687</v>
      </c>
      <c r="BQ571">
        <f t="shared" si="17"/>
        <v>22.318421853983764</v>
      </c>
    </row>
    <row r="572" spans="1:69" x14ac:dyDescent="0.2">
      <c r="A572" t="s">
        <v>1466</v>
      </c>
      <c r="B572" t="s">
        <v>68</v>
      </c>
      <c r="C572" t="s">
        <v>69</v>
      </c>
      <c r="D572" t="s">
        <v>70</v>
      </c>
      <c r="E572" t="s">
        <v>667</v>
      </c>
      <c r="F572">
        <v>2</v>
      </c>
      <c r="G572">
        <v>38</v>
      </c>
      <c r="H572">
        <v>2</v>
      </c>
      <c r="I572">
        <v>1</v>
      </c>
      <c r="J572">
        <v>0</v>
      </c>
      <c r="K572" t="s">
        <v>110</v>
      </c>
      <c r="L572" t="s">
        <v>111</v>
      </c>
      <c r="M572" s="4">
        <v>253000000</v>
      </c>
      <c r="N572">
        <v>0</v>
      </c>
      <c r="O572">
        <v>4.6564688900000002</v>
      </c>
      <c r="P572">
        <v>-74.134372720000002</v>
      </c>
      <c r="Q572" t="s">
        <v>1467</v>
      </c>
      <c r="R572">
        <v>6657894.7369999997</v>
      </c>
      <c r="S572">
        <v>0</v>
      </c>
      <c r="T572" t="s">
        <v>96</v>
      </c>
      <c r="U572" t="s">
        <v>97</v>
      </c>
      <c r="V572" t="s">
        <v>77</v>
      </c>
      <c r="W572" t="s">
        <v>98</v>
      </c>
      <c r="X572" t="s">
        <v>99</v>
      </c>
      <c r="Y572">
        <v>2.02597795089912</v>
      </c>
      <c r="Z572">
        <v>2025.9779508991201</v>
      </c>
      <c r="AA572">
        <v>4.6680000000000001</v>
      </c>
      <c r="AB572">
        <v>-74.148499999999999</v>
      </c>
      <c r="AC572">
        <v>2547</v>
      </c>
      <c r="AD572">
        <v>0</v>
      </c>
      <c r="AE572" t="s">
        <v>80</v>
      </c>
      <c r="AF572" t="s">
        <v>100</v>
      </c>
      <c r="AG572" t="s">
        <v>82</v>
      </c>
      <c r="AH572" t="s">
        <v>83</v>
      </c>
      <c r="AI572" t="s">
        <v>92</v>
      </c>
      <c r="AJ572">
        <v>2.7186220905371599</v>
      </c>
      <c r="AK572">
        <v>2.6353008457633398</v>
      </c>
      <c r="AL572">
        <v>2.1631079835831</v>
      </c>
      <c r="AM572">
        <v>0.420623749448781</v>
      </c>
      <c r="AN572">
        <v>2.0174953238900901</v>
      </c>
      <c r="AO572">
        <v>0.33396800448733499</v>
      </c>
      <c r="AP572">
        <v>0.33396800448733499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13</v>
      </c>
      <c r="AW572">
        <v>0</v>
      </c>
      <c r="AX572">
        <v>0</v>
      </c>
      <c r="AY572">
        <v>15.8</v>
      </c>
      <c r="AZ572">
        <v>17.100000000000001</v>
      </c>
      <c r="BA572">
        <v>23</v>
      </c>
      <c r="BB572">
        <v>565</v>
      </c>
      <c r="BC572">
        <v>68</v>
      </c>
      <c r="BD572">
        <v>2.2999999999999998</v>
      </c>
      <c r="BE572">
        <v>68</v>
      </c>
      <c r="BF572">
        <v>17.600000000000001</v>
      </c>
      <c r="BG572">
        <v>162</v>
      </c>
      <c r="BH572">
        <v>19.7</v>
      </c>
      <c r="BI572">
        <v>16.7</v>
      </c>
      <c r="BJ572">
        <v>36.4</v>
      </c>
      <c r="BK572">
        <v>0.66</v>
      </c>
      <c r="BL572">
        <v>5.6</v>
      </c>
      <c r="BM572">
        <v>1.5</v>
      </c>
      <c r="BN572">
        <v>7.5</v>
      </c>
      <c r="BO572">
        <v>2.9</v>
      </c>
      <c r="BP572">
        <f t="shared" si="16"/>
        <v>15.468296697555173</v>
      </c>
      <c r="BQ572">
        <f t="shared" si="17"/>
        <v>21.908413587204866</v>
      </c>
    </row>
    <row r="573" spans="1:69" x14ac:dyDescent="0.2">
      <c r="A573" t="s">
        <v>933</v>
      </c>
      <c r="B573" t="s">
        <v>68</v>
      </c>
      <c r="C573" t="s">
        <v>69</v>
      </c>
      <c r="D573" t="s">
        <v>70</v>
      </c>
      <c r="E573" t="s">
        <v>934</v>
      </c>
      <c r="F573">
        <v>3</v>
      </c>
      <c r="G573">
        <v>37.96</v>
      </c>
      <c r="H573">
        <v>1</v>
      </c>
      <c r="I573">
        <v>1</v>
      </c>
      <c r="J573">
        <v>0</v>
      </c>
      <c r="K573" t="s">
        <v>72</v>
      </c>
      <c r="L573" t="s">
        <v>73</v>
      </c>
      <c r="M573" s="4">
        <v>216087300</v>
      </c>
      <c r="N573">
        <v>0</v>
      </c>
      <c r="O573">
        <v>4.6890153999999997</v>
      </c>
      <c r="P573">
        <v>-74.163529999999994</v>
      </c>
      <c r="Q573" t="s">
        <v>935</v>
      </c>
      <c r="R573">
        <v>5692500</v>
      </c>
      <c r="S573">
        <v>0</v>
      </c>
      <c r="T573" t="s">
        <v>98</v>
      </c>
      <c r="U573" t="s">
        <v>525</v>
      </c>
      <c r="V573" t="s">
        <v>77</v>
      </c>
      <c r="W573" t="s">
        <v>98</v>
      </c>
      <c r="X573" t="s">
        <v>526</v>
      </c>
      <c r="Y573">
        <v>2.4941256266604501</v>
      </c>
      <c r="Z573">
        <v>2494.1256266604501</v>
      </c>
      <c r="AA573">
        <v>4.6782416666666702</v>
      </c>
      <c r="AB573">
        <v>-74.143819444444404</v>
      </c>
      <c r="AC573">
        <v>2551</v>
      </c>
      <c r="AD573">
        <v>11</v>
      </c>
      <c r="AE573" t="s">
        <v>80</v>
      </c>
      <c r="AF573" t="s">
        <v>81</v>
      </c>
      <c r="AG573" t="s">
        <v>82</v>
      </c>
      <c r="AH573" t="s">
        <v>83</v>
      </c>
      <c r="AI573" t="s">
        <v>92</v>
      </c>
      <c r="AJ573">
        <v>4.7426465940418199</v>
      </c>
      <c r="AK573">
        <v>0.32056654139808199</v>
      </c>
      <c r="AL573">
        <v>2.95435289999994</v>
      </c>
      <c r="AM573">
        <v>0.110041892967467</v>
      </c>
      <c r="AN573">
        <v>2.4991670456550401</v>
      </c>
      <c r="AO573">
        <v>0.167554895125858</v>
      </c>
      <c r="AP573">
        <v>0.167554895125858</v>
      </c>
      <c r="AQ573">
        <v>0</v>
      </c>
      <c r="AR573">
        <v>0</v>
      </c>
      <c r="AS573">
        <v>1</v>
      </c>
      <c r="AT573">
        <v>2</v>
      </c>
      <c r="AU573">
        <v>0</v>
      </c>
      <c r="AV573">
        <v>2</v>
      </c>
      <c r="AW573">
        <v>0</v>
      </c>
      <c r="AX573">
        <v>0</v>
      </c>
      <c r="AY573">
        <v>15.8</v>
      </c>
      <c r="AZ573">
        <v>17.100000000000001</v>
      </c>
      <c r="BA573">
        <v>23</v>
      </c>
      <c r="BB573">
        <v>565</v>
      </c>
      <c r="BC573">
        <v>68</v>
      </c>
      <c r="BD573">
        <v>2.2999999999999998</v>
      </c>
      <c r="BE573">
        <v>68</v>
      </c>
      <c r="BF573">
        <v>17.600000000000001</v>
      </c>
      <c r="BG573">
        <v>162</v>
      </c>
      <c r="BH573">
        <v>19.7</v>
      </c>
      <c r="BI573">
        <v>16.7</v>
      </c>
      <c r="BJ573">
        <v>36.4</v>
      </c>
      <c r="BK573">
        <v>0.66</v>
      </c>
      <c r="BL573">
        <v>5.6</v>
      </c>
      <c r="BM573">
        <v>1.5</v>
      </c>
      <c r="BN573">
        <v>7.5</v>
      </c>
      <c r="BO573">
        <v>2.9</v>
      </c>
      <c r="BP573">
        <f t="shared" si="16"/>
        <v>15.11396642262971</v>
      </c>
      <c r="BQ573">
        <f t="shared" si="17"/>
        <v>21.663638304329403</v>
      </c>
    </row>
    <row r="574" spans="1:69" x14ac:dyDescent="0.2">
      <c r="A574" t="s">
        <v>4326</v>
      </c>
      <c r="B574" t="s">
        <v>68</v>
      </c>
      <c r="C574" t="s">
        <v>3294</v>
      </c>
      <c r="D574" t="s">
        <v>70</v>
      </c>
      <c r="E574" t="s">
        <v>667</v>
      </c>
      <c r="F574">
        <v>3</v>
      </c>
      <c r="G574">
        <v>36.9</v>
      </c>
      <c r="H574">
        <v>1</v>
      </c>
      <c r="I574">
        <v>1</v>
      </c>
      <c r="J574">
        <v>1</v>
      </c>
      <c r="K574" t="s">
        <v>110</v>
      </c>
      <c r="L574" t="s">
        <v>111</v>
      </c>
      <c r="M574" s="4">
        <v>235000000</v>
      </c>
      <c r="N574">
        <v>0</v>
      </c>
      <c r="O574">
        <v>4.6559901239999997</v>
      </c>
      <c r="P574">
        <v>-74.134445189999994</v>
      </c>
      <c r="Q574" t="s">
        <v>4327</v>
      </c>
      <c r="R574">
        <v>6368563.6859999998</v>
      </c>
      <c r="S574">
        <v>0</v>
      </c>
      <c r="T574" t="s">
        <v>96</v>
      </c>
      <c r="U574" t="s">
        <v>97</v>
      </c>
      <c r="V574" t="s">
        <v>77</v>
      </c>
      <c r="W574" t="s">
        <v>98</v>
      </c>
      <c r="X574" t="s">
        <v>99</v>
      </c>
      <c r="Y574">
        <v>2.0540478287683599</v>
      </c>
      <c r="Z574">
        <v>2054.04782876836</v>
      </c>
      <c r="AA574">
        <v>4.6680000000000001</v>
      </c>
      <c r="AB574">
        <v>-74.148499999999999</v>
      </c>
      <c r="AC574">
        <v>2547</v>
      </c>
      <c r="AD574">
        <v>0</v>
      </c>
      <c r="AE574" t="s">
        <v>80</v>
      </c>
      <c r="AF574" t="s">
        <v>100</v>
      </c>
      <c r="AG574" t="s">
        <v>82</v>
      </c>
      <c r="AH574" t="s">
        <v>83</v>
      </c>
      <c r="AI574" t="s">
        <v>92</v>
      </c>
      <c r="AJ574">
        <v>2.75281928600119</v>
      </c>
      <c r="AK574">
        <v>2.6353548089794399</v>
      </c>
      <c r="AL574">
        <v>2.1263486013816602</v>
      </c>
      <c r="AM574">
        <v>0.40905429835483798</v>
      </c>
      <c r="AN574">
        <v>2.0442081202464899</v>
      </c>
      <c r="AO574">
        <v>0.29264758189829898</v>
      </c>
      <c r="AP574">
        <v>0.29264758189829898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13</v>
      </c>
      <c r="AW574">
        <v>0</v>
      </c>
      <c r="AX574">
        <v>0</v>
      </c>
      <c r="AY574">
        <v>15.8</v>
      </c>
      <c r="AZ574">
        <v>17.100000000000001</v>
      </c>
      <c r="BA574">
        <v>23</v>
      </c>
      <c r="BB574">
        <v>565</v>
      </c>
      <c r="BC574">
        <v>68</v>
      </c>
      <c r="BD574">
        <v>2.2999999999999998</v>
      </c>
      <c r="BE574">
        <v>68</v>
      </c>
      <c r="BF574">
        <v>17.600000000000001</v>
      </c>
      <c r="BG574">
        <v>162</v>
      </c>
      <c r="BH574">
        <v>19.7</v>
      </c>
      <c r="BI574">
        <v>16.7</v>
      </c>
      <c r="BJ574">
        <v>36.4</v>
      </c>
      <c r="BK574">
        <v>0.66</v>
      </c>
      <c r="BL574">
        <v>5.6</v>
      </c>
      <c r="BM574">
        <v>1.5</v>
      </c>
      <c r="BN574">
        <v>7.5</v>
      </c>
      <c r="BO574">
        <v>2.9</v>
      </c>
      <c r="BP574">
        <f t="shared" si="16"/>
        <v>15.446819058801601</v>
      </c>
      <c r="BQ574">
        <f t="shared" si="17"/>
        <v>21.893659361705726</v>
      </c>
    </row>
    <row r="575" spans="1:69" x14ac:dyDescent="0.2">
      <c r="A575" t="s">
        <v>4613</v>
      </c>
      <c r="B575" t="s">
        <v>68</v>
      </c>
      <c r="C575" t="s">
        <v>3294</v>
      </c>
      <c r="D575" t="s">
        <v>70</v>
      </c>
      <c r="E575" t="s">
        <v>4614</v>
      </c>
      <c r="F575">
        <v>3</v>
      </c>
      <c r="G575">
        <v>36.200000000000003</v>
      </c>
      <c r="H575">
        <v>1</v>
      </c>
      <c r="I575">
        <v>2</v>
      </c>
      <c r="J575">
        <v>0</v>
      </c>
      <c r="K575" t="s">
        <v>110</v>
      </c>
      <c r="L575" t="s">
        <v>111</v>
      </c>
      <c r="M575" s="4">
        <v>245000000</v>
      </c>
      <c r="N575">
        <v>0</v>
      </c>
      <c r="O575">
        <v>4.6666400000000001</v>
      </c>
      <c r="P575">
        <v>-74.144990000000007</v>
      </c>
      <c r="Q575" t="s">
        <v>4615</v>
      </c>
      <c r="R575">
        <v>6767955.801</v>
      </c>
      <c r="S575">
        <v>0</v>
      </c>
      <c r="T575" t="s">
        <v>96</v>
      </c>
      <c r="U575" t="s">
        <v>97</v>
      </c>
      <c r="V575" t="s">
        <v>77</v>
      </c>
      <c r="W575" t="s">
        <v>98</v>
      </c>
      <c r="X575" t="s">
        <v>99</v>
      </c>
      <c r="Y575">
        <v>0.41782829737251598</v>
      </c>
      <c r="Z575">
        <v>417.82829737251598</v>
      </c>
      <c r="AA575">
        <v>4.6680000000000001</v>
      </c>
      <c r="AB575">
        <v>-74.148499999999999</v>
      </c>
      <c r="AC575">
        <v>2547</v>
      </c>
      <c r="AD575">
        <v>0</v>
      </c>
      <c r="AE575" t="s">
        <v>80</v>
      </c>
      <c r="AF575" t="s">
        <v>100</v>
      </c>
      <c r="AG575" t="s">
        <v>82</v>
      </c>
      <c r="AH575" t="s">
        <v>83</v>
      </c>
      <c r="AI575" t="s">
        <v>92</v>
      </c>
      <c r="AJ575">
        <v>3.09594260651324</v>
      </c>
      <c r="AK575">
        <v>1.41964256706022</v>
      </c>
      <c r="AL575">
        <v>1.8636559060478599</v>
      </c>
      <c r="AM575">
        <v>0.32788929129016298</v>
      </c>
      <c r="AN575">
        <v>0.43007773060749699</v>
      </c>
      <c r="AO575">
        <v>4.02558368532328E-2</v>
      </c>
      <c r="AP575">
        <v>4.02558368532328E-2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21</v>
      </c>
      <c r="AW575">
        <v>1</v>
      </c>
      <c r="AX575">
        <v>0</v>
      </c>
      <c r="AY575">
        <v>15.8</v>
      </c>
      <c r="AZ575">
        <v>17.100000000000001</v>
      </c>
      <c r="BA575">
        <v>23</v>
      </c>
      <c r="BB575">
        <v>565</v>
      </c>
      <c r="BC575">
        <v>68</v>
      </c>
      <c r="BD575">
        <v>2.2999999999999998</v>
      </c>
      <c r="BE575">
        <v>68</v>
      </c>
      <c r="BF575">
        <v>17.600000000000001</v>
      </c>
      <c r="BG575">
        <v>162</v>
      </c>
      <c r="BH575">
        <v>19.7</v>
      </c>
      <c r="BI575">
        <v>16.7</v>
      </c>
      <c r="BJ575">
        <v>36.4</v>
      </c>
      <c r="BK575">
        <v>0.66</v>
      </c>
      <c r="BL575">
        <v>5.6</v>
      </c>
      <c r="BM575">
        <v>1.5</v>
      </c>
      <c r="BN575">
        <v>7.5</v>
      </c>
      <c r="BO575">
        <v>2.9</v>
      </c>
      <c r="BP575">
        <f t="shared" si="16"/>
        <v>16.749961550713916</v>
      </c>
      <c r="BQ575">
        <f t="shared" si="17"/>
        <v>22.770511345177642</v>
      </c>
    </row>
    <row r="576" spans="1:69" x14ac:dyDescent="0.2">
      <c r="A576" t="s">
        <v>2792</v>
      </c>
      <c r="B576" t="s">
        <v>68</v>
      </c>
      <c r="C576" t="s">
        <v>1956</v>
      </c>
      <c r="D576" t="s">
        <v>70</v>
      </c>
      <c r="E576" t="s">
        <v>2236</v>
      </c>
      <c r="F576">
        <v>2</v>
      </c>
      <c r="G576">
        <v>36</v>
      </c>
      <c r="H576">
        <v>4</v>
      </c>
      <c r="I576">
        <v>3</v>
      </c>
      <c r="J576">
        <v>1</v>
      </c>
      <c r="K576" t="s">
        <v>110</v>
      </c>
      <c r="L576" t="s">
        <v>124</v>
      </c>
      <c r="M576" s="4">
        <v>290000000</v>
      </c>
      <c r="N576">
        <v>0</v>
      </c>
      <c r="O576">
        <v>4.6959271429999996</v>
      </c>
      <c r="P576">
        <v>-74.124885559999996</v>
      </c>
      <c r="Q576" t="s">
        <v>2793</v>
      </c>
      <c r="R576">
        <v>8055555.5559999999</v>
      </c>
      <c r="S576">
        <v>0</v>
      </c>
      <c r="T576" t="s">
        <v>98</v>
      </c>
      <c r="U576" t="s">
        <v>525</v>
      </c>
      <c r="V576" t="s">
        <v>77</v>
      </c>
      <c r="W576" t="s">
        <v>98</v>
      </c>
      <c r="X576" t="s">
        <v>526</v>
      </c>
      <c r="Y576">
        <v>2.8790120351097799</v>
      </c>
      <c r="Z576">
        <v>2879.0120351097798</v>
      </c>
      <c r="AA576">
        <v>4.6782416666666702</v>
      </c>
      <c r="AB576">
        <v>-74.143819444444404</v>
      </c>
      <c r="AC576">
        <v>2551</v>
      </c>
      <c r="AD576">
        <v>11</v>
      </c>
      <c r="AE576" t="s">
        <v>80</v>
      </c>
      <c r="AF576" t="s">
        <v>81</v>
      </c>
      <c r="AG576" t="s">
        <v>82</v>
      </c>
      <c r="AH576" t="s">
        <v>83</v>
      </c>
      <c r="AI576" t="s">
        <v>412</v>
      </c>
      <c r="AJ576">
        <v>1.6275305152771999</v>
      </c>
      <c r="AK576">
        <v>3.0990301724071099</v>
      </c>
      <c r="AL576">
        <v>1.9190831841007401</v>
      </c>
      <c r="AM576">
        <v>0.47249767775058499</v>
      </c>
      <c r="AN576">
        <v>1.8760794080040499</v>
      </c>
      <c r="AO576">
        <v>0.14243436204142901</v>
      </c>
      <c r="AP576">
        <v>0.14243436204142901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5</v>
      </c>
      <c r="AW576">
        <v>0</v>
      </c>
      <c r="AX576">
        <v>0</v>
      </c>
      <c r="AY576">
        <v>15.8</v>
      </c>
      <c r="AZ576">
        <v>17.100000000000001</v>
      </c>
      <c r="BA576">
        <v>23</v>
      </c>
      <c r="BB576">
        <v>565</v>
      </c>
      <c r="BC576">
        <v>68</v>
      </c>
      <c r="BD576">
        <v>2.2999999999999998</v>
      </c>
      <c r="BE576">
        <v>68</v>
      </c>
      <c r="BF576">
        <v>17.600000000000001</v>
      </c>
      <c r="BG576">
        <v>162</v>
      </c>
      <c r="BH576">
        <v>19.7</v>
      </c>
      <c r="BI576">
        <v>16.7</v>
      </c>
      <c r="BJ576">
        <v>36.4</v>
      </c>
      <c r="BK576">
        <v>0.66</v>
      </c>
      <c r="BL576">
        <v>5.6</v>
      </c>
      <c r="BM576">
        <v>1.5</v>
      </c>
      <c r="BN576">
        <v>7.5</v>
      </c>
      <c r="BO576">
        <v>2.9</v>
      </c>
      <c r="BP576">
        <f t="shared" si="16"/>
        <v>14.82874264164249</v>
      </c>
      <c r="BQ576">
        <f t="shared" si="17"/>
        <v>21.464446755555315</v>
      </c>
    </row>
    <row r="577" spans="1:69" x14ac:dyDescent="0.2">
      <c r="A577" t="s">
        <v>930</v>
      </c>
      <c r="B577" t="s">
        <v>68</v>
      </c>
      <c r="C577" t="s">
        <v>69</v>
      </c>
      <c r="D577" t="s">
        <v>70</v>
      </c>
      <c r="E577" t="s">
        <v>931</v>
      </c>
      <c r="F577">
        <v>3</v>
      </c>
      <c r="G577">
        <v>35.39</v>
      </c>
      <c r="H577">
        <v>2</v>
      </c>
      <c r="I577">
        <v>1</v>
      </c>
      <c r="J577">
        <v>1</v>
      </c>
      <c r="K577" t="s">
        <v>110</v>
      </c>
      <c r="L577" t="s">
        <v>162</v>
      </c>
      <c r="M577" s="4">
        <v>170000000</v>
      </c>
      <c r="N577">
        <v>0</v>
      </c>
      <c r="O577">
        <v>4.6998499999999996</v>
      </c>
      <c r="P577">
        <v>-74.112755000000007</v>
      </c>
      <c r="Q577" t="s">
        <v>932</v>
      </c>
      <c r="R577">
        <v>4803616.841</v>
      </c>
      <c r="S577">
        <v>0</v>
      </c>
      <c r="T577" t="s">
        <v>98</v>
      </c>
      <c r="U577" t="s">
        <v>525</v>
      </c>
      <c r="V577" t="s">
        <v>77</v>
      </c>
      <c r="W577" t="s">
        <v>98</v>
      </c>
      <c r="X577" t="s">
        <v>526</v>
      </c>
      <c r="Y577">
        <v>4.2029129421448603</v>
      </c>
      <c r="Z577">
        <v>4202.9129421448597</v>
      </c>
      <c r="AA577">
        <v>4.6782416666666702</v>
      </c>
      <c r="AB577">
        <v>-74.143819444444404</v>
      </c>
      <c r="AC577">
        <v>2551</v>
      </c>
      <c r="AD577">
        <v>11</v>
      </c>
      <c r="AE577" t="s">
        <v>80</v>
      </c>
      <c r="AF577" t="s">
        <v>81</v>
      </c>
      <c r="AG577" t="s">
        <v>82</v>
      </c>
      <c r="AH577" t="s">
        <v>83</v>
      </c>
      <c r="AI577" t="s">
        <v>412</v>
      </c>
      <c r="AJ577">
        <v>0.88066170351808204</v>
      </c>
      <c r="AK577">
        <v>3.1328673163373999</v>
      </c>
      <c r="AL577">
        <v>0.97467449588586597</v>
      </c>
      <c r="AM577">
        <v>0.21263976178871999</v>
      </c>
      <c r="AN577">
        <v>1.5592532621747699</v>
      </c>
      <c r="AO577">
        <v>0.26719838360912002</v>
      </c>
      <c r="AP577">
        <v>0.26719838360912002</v>
      </c>
      <c r="AQ577">
        <v>0</v>
      </c>
      <c r="AR577">
        <v>1</v>
      </c>
      <c r="AS577">
        <v>0</v>
      </c>
      <c r="AT577">
        <v>0</v>
      </c>
      <c r="AU577">
        <v>1</v>
      </c>
      <c r="AV577">
        <v>16</v>
      </c>
      <c r="AW577">
        <v>0</v>
      </c>
      <c r="AX577">
        <v>0</v>
      </c>
      <c r="AY577">
        <v>15.8</v>
      </c>
      <c r="AZ577">
        <v>17.100000000000001</v>
      </c>
      <c r="BA577">
        <v>23</v>
      </c>
      <c r="BB577">
        <v>565</v>
      </c>
      <c r="BC577">
        <v>68</v>
      </c>
      <c r="BD577">
        <v>2.2999999999999998</v>
      </c>
      <c r="BE577">
        <v>68</v>
      </c>
      <c r="BF577">
        <v>17.600000000000001</v>
      </c>
      <c r="BG577">
        <v>162</v>
      </c>
      <c r="BH577">
        <v>19.7</v>
      </c>
      <c r="BI577">
        <v>16.7</v>
      </c>
      <c r="BJ577">
        <v>36.4</v>
      </c>
      <c r="BK577">
        <v>0.66</v>
      </c>
      <c r="BL577">
        <v>5.6</v>
      </c>
      <c r="BM577">
        <v>1.5</v>
      </c>
      <c r="BN577">
        <v>7.5</v>
      </c>
      <c r="BO577">
        <v>2.9</v>
      </c>
      <c r="BP577">
        <f t="shared" si="16"/>
        <v>13.888126589064319</v>
      </c>
      <c r="BQ577">
        <f t="shared" si="17"/>
        <v>20.793164550500393</v>
      </c>
    </row>
    <row r="578" spans="1:69" x14ac:dyDescent="0.2">
      <c r="A578" t="s">
        <v>1536</v>
      </c>
      <c r="B578" t="s">
        <v>68</v>
      </c>
      <c r="C578" t="s">
        <v>69</v>
      </c>
      <c r="D578" t="s">
        <v>70</v>
      </c>
      <c r="E578" t="s">
        <v>1537</v>
      </c>
      <c r="F578">
        <v>4</v>
      </c>
      <c r="G578">
        <v>33</v>
      </c>
      <c r="H578">
        <v>1</v>
      </c>
      <c r="I578">
        <v>1</v>
      </c>
      <c r="J578">
        <v>0</v>
      </c>
      <c r="K578" t="s">
        <v>72</v>
      </c>
      <c r="L578" t="s">
        <v>73</v>
      </c>
      <c r="M578" s="4">
        <v>362000000</v>
      </c>
      <c r="N578">
        <v>0</v>
      </c>
      <c r="O578">
        <v>4.6846450229999999</v>
      </c>
      <c r="P578">
        <v>-74.114883430000006</v>
      </c>
      <c r="Q578" t="s">
        <v>1538</v>
      </c>
      <c r="R578">
        <v>10969696.970000001</v>
      </c>
      <c r="S578">
        <v>0</v>
      </c>
      <c r="T578" t="s">
        <v>98</v>
      </c>
      <c r="U578" t="s">
        <v>525</v>
      </c>
      <c r="V578" t="s">
        <v>77</v>
      </c>
      <c r="W578" t="s">
        <v>98</v>
      </c>
      <c r="X578" t="s">
        <v>526</v>
      </c>
      <c r="Y578">
        <v>3.28857934401135</v>
      </c>
      <c r="Z578">
        <v>3288.5793440113498</v>
      </c>
      <c r="AA578">
        <v>4.6782416666666702</v>
      </c>
      <c r="AB578">
        <v>-74.143819444444404</v>
      </c>
      <c r="AC578">
        <v>2551</v>
      </c>
      <c r="AD578">
        <v>11</v>
      </c>
      <c r="AE578" t="s">
        <v>80</v>
      </c>
      <c r="AF578" t="s">
        <v>81</v>
      </c>
      <c r="AG578" t="s">
        <v>82</v>
      </c>
      <c r="AH578" t="s">
        <v>83</v>
      </c>
      <c r="AI578" t="s">
        <v>412</v>
      </c>
      <c r="AJ578">
        <v>0.79586970433375004</v>
      </c>
      <c r="AK578">
        <v>4.5682287159530404</v>
      </c>
      <c r="AL578">
        <v>1.16028279646916</v>
      </c>
      <c r="AM578">
        <v>0.47533682500290603</v>
      </c>
      <c r="AN578">
        <v>1.4777841980221</v>
      </c>
      <c r="AO578">
        <v>0.13003522681295299</v>
      </c>
      <c r="AP578">
        <v>0.13003522681295299</v>
      </c>
      <c r="AQ578">
        <v>0</v>
      </c>
      <c r="AR578">
        <v>1</v>
      </c>
      <c r="AS578">
        <v>0</v>
      </c>
      <c r="AT578">
        <v>0</v>
      </c>
      <c r="AU578">
        <v>0</v>
      </c>
      <c r="AV578">
        <v>7</v>
      </c>
      <c r="AW578">
        <v>0</v>
      </c>
      <c r="AX578">
        <v>0</v>
      </c>
      <c r="AY578">
        <v>15.8</v>
      </c>
      <c r="AZ578">
        <v>17.100000000000001</v>
      </c>
      <c r="BA578">
        <v>23</v>
      </c>
      <c r="BB578">
        <v>565</v>
      </c>
      <c r="BC578">
        <v>68</v>
      </c>
      <c r="BD578">
        <v>2.2999999999999998</v>
      </c>
      <c r="BE578">
        <v>68</v>
      </c>
      <c r="BF578">
        <v>17.600000000000001</v>
      </c>
      <c r="BG578">
        <v>162</v>
      </c>
      <c r="BH578">
        <v>19.7</v>
      </c>
      <c r="BI578">
        <v>16.7</v>
      </c>
      <c r="BJ578">
        <v>36.4</v>
      </c>
      <c r="BK578">
        <v>0.66</v>
      </c>
      <c r="BL578">
        <v>5.6</v>
      </c>
      <c r="BM578">
        <v>1.5</v>
      </c>
      <c r="BN578">
        <v>7.5</v>
      </c>
      <c r="BO578">
        <v>2.9</v>
      </c>
      <c r="BP578">
        <f t="shared" ref="BP578:BP641" si="18">+AZ578*EXP(-0.0495*Y578)</f>
        <v>14.531137865572553</v>
      </c>
      <c r="BQ578">
        <f t="shared" ref="BQ578:BQ641" si="19">+BA578*EXP(-0.024*Y578)</f>
        <v>21.254493071364625</v>
      </c>
    </row>
    <row r="579" spans="1:69" x14ac:dyDescent="0.2">
      <c r="A579" t="s">
        <v>1743</v>
      </c>
      <c r="B579" t="s">
        <v>68</v>
      </c>
      <c r="C579" t="s">
        <v>69</v>
      </c>
      <c r="D579" t="s">
        <v>70</v>
      </c>
      <c r="E579" t="s">
        <v>667</v>
      </c>
      <c r="F579">
        <v>3</v>
      </c>
      <c r="G579">
        <v>33</v>
      </c>
      <c r="H579">
        <v>1</v>
      </c>
      <c r="I579">
        <v>1</v>
      </c>
      <c r="J579">
        <v>0</v>
      </c>
      <c r="K579" t="s">
        <v>110</v>
      </c>
      <c r="L579" t="s">
        <v>111</v>
      </c>
      <c r="M579" s="4">
        <v>232000000</v>
      </c>
      <c r="N579">
        <v>0</v>
      </c>
      <c r="O579">
        <v>4.6559667999999999</v>
      </c>
      <c r="P579">
        <v>-74.134730000000005</v>
      </c>
      <c r="Q579" t="s">
        <v>1744</v>
      </c>
      <c r="R579">
        <v>7030303.0300000003</v>
      </c>
      <c r="S579">
        <v>0</v>
      </c>
      <c r="T579" t="s">
        <v>96</v>
      </c>
      <c r="U579" t="s">
        <v>97</v>
      </c>
      <c r="V579" t="s">
        <v>77</v>
      </c>
      <c r="W579" t="s">
        <v>98</v>
      </c>
      <c r="X579" t="s">
        <v>99</v>
      </c>
      <c r="Y579">
        <v>2.0318726226641601</v>
      </c>
      <c r="Z579">
        <v>2031.87262266416</v>
      </c>
      <c r="AA579">
        <v>4.6680000000000001</v>
      </c>
      <c r="AB579">
        <v>-74.148499999999999</v>
      </c>
      <c r="AC579">
        <v>2547</v>
      </c>
      <c r="AD579">
        <v>0</v>
      </c>
      <c r="AE579" t="s">
        <v>80</v>
      </c>
      <c r="AF579" t="s">
        <v>100</v>
      </c>
      <c r="AG579" t="s">
        <v>82</v>
      </c>
      <c r="AH579" t="s">
        <v>83</v>
      </c>
      <c r="AI579" t="s">
        <v>92</v>
      </c>
      <c r="AJ579">
        <v>2.7811283108301201</v>
      </c>
      <c r="AK579">
        <v>2.6046125292456601</v>
      </c>
      <c r="AL579">
        <v>2.1441545192556801</v>
      </c>
      <c r="AM579">
        <v>0.43856536667551399</v>
      </c>
      <c r="AN579">
        <v>2.02149444107049</v>
      </c>
      <c r="AO579">
        <v>0.26700731057520599</v>
      </c>
      <c r="AP579">
        <v>0.26700731057520599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13</v>
      </c>
      <c r="AW579">
        <v>0</v>
      </c>
      <c r="AX579">
        <v>0</v>
      </c>
      <c r="AY579">
        <v>15.8</v>
      </c>
      <c r="AZ579">
        <v>17.100000000000001</v>
      </c>
      <c r="BA579">
        <v>23</v>
      </c>
      <c r="BB579">
        <v>565</v>
      </c>
      <c r="BC579">
        <v>68</v>
      </c>
      <c r="BD579">
        <v>2.2999999999999998</v>
      </c>
      <c r="BE579">
        <v>68</v>
      </c>
      <c r="BF579">
        <v>17.600000000000001</v>
      </c>
      <c r="BG579">
        <v>162</v>
      </c>
      <c r="BH579">
        <v>19.7</v>
      </c>
      <c r="BI579">
        <v>16.7</v>
      </c>
      <c r="BJ579">
        <v>36.4</v>
      </c>
      <c r="BK579">
        <v>0.66</v>
      </c>
      <c r="BL579">
        <v>5.6</v>
      </c>
      <c r="BM579">
        <v>1.5</v>
      </c>
      <c r="BN579">
        <v>7.5</v>
      </c>
      <c r="BO579">
        <v>2.9</v>
      </c>
      <c r="BP579">
        <f t="shared" si="18"/>
        <v>15.46378391964655</v>
      </c>
      <c r="BQ579">
        <f t="shared" si="19"/>
        <v>21.905314376668237</v>
      </c>
    </row>
    <row r="580" spans="1:69" x14ac:dyDescent="0.2">
      <c r="A580" t="s">
        <v>4107</v>
      </c>
      <c r="B580" t="s">
        <v>68</v>
      </c>
      <c r="C580" t="s">
        <v>3294</v>
      </c>
      <c r="D580" t="s">
        <v>70</v>
      </c>
      <c r="E580" t="s">
        <v>4108</v>
      </c>
      <c r="F580">
        <v>3</v>
      </c>
      <c r="G580">
        <v>32</v>
      </c>
      <c r="H580">
        <v>1</v>
      </c>
      <c r="I580">
        <v>1</v>
      </c>
      <c r="J580">
        <v>1</v>
      </c>
      <c r="K580" t="s">
        <v>110</v>
      </c>
      <c r="L580" t="s">
        <v>111</v>
      </c>
      <c r="M580" s="4">
        <v>265000000</v>
      </c>
      <c r="N580">
        <v>0</v>
      </c>
      <c r="O580">
        <v>4.6935150380000001</v>
      </c>
      <c r="P580">
        <v>-74.106534809999999</v>
      </c>
      <c r="Q580" t="s">
        <v>4109</v>
      </c>
      <c r="R580">
        <v>8281250</v>
      </c>
      <c r="S580">
        <v>0</v>
      </c>
      <c r="T580" t="s">
        <v>98</v>
      </c>
      <c r="U580" t="s">
        <v>525</v>
      </c>
      <c r="V580" t="s">
        <v>77</v>
      </c>
      <c r="W580" t="s">
        <v>98</v>
      </c>
      <c r="X580" t="s">
        <v>526</v>
      </c>
      <c r="Y580">
        <v>4.4724153845992802</v>
      </c>
      <c r="Z580">
        <v>4472.4153845992796</v>
      </c>
      <c r="AA580">
        <v>4.6782416666666702</v>
      </c>
      <c r="AB580">
        <v>-74.143819444444404</v>
      </c>
      <c r="AC580">
        <v>2551</v>
      </c>
      <c r="AD580">
        <v>11</v>
      </c>
      <c r="AE580" t="s">
        <v>80</v>
      </c>
      <c r="AF580" t="s">
        <v>81</v>
      </c>
      <c r="AG580" t="s">
        <v>82</v>
      </c>
      <c r="AH580" t="s">
        <v>83</v>
      </c>
      <c r="AI580" t="s">
        <v>412</v>
      </c>
      <c r="AJ580">
        <v>1.2090149999071</v>
      </c>
      <c r="AK580">
        <v>4.0918873106609404</v>
      </c>
      <c r="AL580">
        <v>0.191434889366289</v>
      </c>
      <c r="AM580">
        <v>0.26953148568234803</v>
      </c>
      <c r="AN580">
        <v>0.57708688761399396</v>
      </c>
      <c r="AO580">
        <v>0.103355155138903</v>
      </c>
      <c r="AP580">
        <v>0.103355155138903</v>
      </c>
      <c r="AQ580">
        <v>0</v>
      </c>
      <c r="AR580">
        <v>0</v>
      </c>
      <c r="AS580">
        <v>0</v>
      </c>
      <c r="AT580">
        <v>0</v>
      </c>
      <c r="AU580">
        <v>1</v>
      </c>
      <c r="AV580">
        <v>17</v>
      </c>
      <c r="AW580">
        <v>1</v>
      </c>
      <c r="AX580">
        <v>0</v>
      </c>
      <c r="AY580">
        <v>15.8</v>
      </c>
      <c r="AZ580">
        <v>17.100000000000001</v>
      </c>
      <c r="BA580">
        <v>23</v>
      </c>
      <c r="BB580">
        <v>565</v>
      </c>
      <c r="BC580">
        <v>68</v>
      </c>
      <c r="BD580">
        <v>2.2999999999999998</v>
      </c>
      <c r="BE580">
        <v>68</v>
      </c>
      <c r="BF580">
        <v>17.600000000000001</v>
      </c>
      <c r="BG580">
        <v>162</v>
      </c>
      <c r="BH580">
        <v>19.7</v>
      </c>
      <c r="BI580">
        <v>16.7</v>
      </c>
      <c r="BJ580">
        <v>36.4</v>
      </c>
      <c r="BK580">
        <v>0.66</v>
      </c>
      <c r="BL580">
        <v>5.6</v>
      </c>
      <c r="BM580">
        <v>1.5</v>
      </c>
      <c r="BN580">
        <v>7.5</v>
      </c>
      <c r="BO580">
        <v>2.9</v>
      </c>
      <c r="BP580">
        <f t="shared" si="18"/>
        <v>13.70408415582529</v>
      </c>
      <c r="BQ580">
        <f t="shared" si="19"/>
        <v>20.659107156223442</v>
      </c>
    </row>
    <row r="581" spans="1:69" x14ac:dyDescent="0.2">
      <c r="A581" t="s">
        <v>3412</v>
      </c>
      <c r="B581" t="s">
        <v>68</v>
      </c>
      <c r="C581" t="s">
        <v>3294</v>
      </c>
      <c r="D581" t="s">
        <v>70</v>
      </c>
      <c r="E581" t="s">
        <v>934</v>
      </c>
      <c r="F581">
        <v>3</v>
      </c>
      <c r="G581">
        <v>32</v>
      </c>
      <c r="H581">
        <v>1</v>
      </c>
      <c r="I581">
        <v>1</v>
      </c>
      <c r="J581">
        <v>0</v>
      </c>
      <c r="K581" t="s">
        <v>110</v>
      </c>
      <c r="L581" t="s">
        <v>111</v>
      </c>
      <c r="M581" s="4">
        <v>168000000</v>
      </c>
      <c r="N581">
        <v>0</v>
      </c>
      <c r="O581">
        <v>4.6886406000000003</v>
      </c>
      <c r="P581">
        <v>-74.162315000000007</v>
      </c>
      <c r="Q581" t="s">
        <v>3413</v>
      </c>
      <c r="R581">
        <v>5250000</v>
      </c>
      <c r="S581">
        <v>0</v>
      </c>
      <c r="T581" t="s">
        <v>98</v>
      </c>
      <c r="U581" t="s">
        <v>525</v>
      </c>
      <c r="V581" t="s">
        <v>77</v>
      </c>
      <c r="W581" t="s">
        <v>98</v>
      </c>
      <c r="X581" t="s">
        <v>526</v>
      </c>
      <c r="Y581">
        <v>2.35603901627479</v>
      </c>
      <c r="Z581">
        <v>2356.0390162747899</v>
      </c>
      <c r="AA581">
        <v>4.6782416666666702</v>
      </c>
      <c r="AB581">
        <v>-74.143819444444404</v>
      </c>
      <c r="AC581">
        <v>2551</v>
      </c>
      <c r="AD581">
        <v>11</v>
      </c>
      <c r="AE581" t="s">
        <v>80</v>
      </c>
      <c r="AF581" t="s">
        <v>81</v>
      </c>
      <c r="AG581" t="s">
        <v>82</v>
      </c>
      <c r="AH581" t="s">
        <v>83</v>
      </c>
      <c r="AI581" t="s">
        <v>92</v>
      </c>
      <c r="AJ581">
        <v>4.6028355469553297</v>
      </c>
      <c r="AK581">
        <v>0.44853409728048499</v>
      </c>
      <c r="AL581">
        <v>2.8134680357537798</v>
      </c>
      <c r="AM581">
        <v>0.120333201489253</v>
      </c>
      <c r="AN581">
        <v>2.3811620883063398</v>
      </c>
      <c r="AO581">
        <v>8.9207257667484705E-2</v>
      </c>
      <c r="AP581">
        <v>8.9207257667484705E-2</v>
      </c>
      <c r="AQ581">
        <v>0</v>
      </c>
      <c r="AR581">
        <v>0</v>
      </c>
      <c r="AS581">
        <v>1</v>
      </c>
      <c r="AT581">
        <v>1</v>
      </c>
      <c r="AU581">
        <v>0</v>
      </c>
      <c r="AV581">
        <v>2</v>
      </c>
      <c r="AW581">
        <v>0</v>
      </c>
      <c r="AX581">
        <v>0</v>
      </c>
      <c r="AY581">
        <v>15.8</v>
      </c>
      <c r="AZ581">
        <v>17.100000000000001</v>
      </c>
      <c r="BA581">
        <v>23</v>
      </c>
      <c r="BB581">
        <v>565</v>
      </c>
      <c r="BC581">
        <v>68</v>
      </c>
      <c r="BD581">
        <v>2.2999999999999998</v>
      </c>
      <c r="BE581">
        <v>68</v>
      </c>
      <c r="BF581">
        <v>17.600000000000001</v>
      </c>
      <c r="BG581">
        <v>162</v>
      </c>
      <c r="BH581">
        <v>19.7</v>
      </c>
      <c r="BI581">
        <v>16.7</v>
      </c>
      <c r="BJ581">
        <v>36.4</v>
      </c>
      <c r="BK581">
        <v>0.66</v>
      </c>
      <c r="BL581">
        <v>5.6</v>
      </c>
      <c r="BM581">
        <v>1.5</v>
      </c>
      <c r="BN581">
        <v>7.5</v>
      </c>
      <c r="BO581">
        <v>2.9</v>
      </c>
      <c r="BP581">
        <f t="shared" si="18"/>
        <v>15.217628600852148</v>
      </c>
      <c r="BQ581">
        <f t="shared" si="19"/>
        <v>21.735552404170342</v>
      </c>
    </row>
    <row r="582" spans="1:69" x14ac:dyDescent="0.2">
      <c r="A582" t="s">
        <v>4015</v>
      </c>
      <c r="B582" t="s">
        <v>68</v>
      </c>
      <c r="C582" t="s">
        <v>3294</v>
      </c>
      <c r="D582" t="s">
        <v>70</v>
      </c>
      <c r="E582" t="s">
        <v>219</v>
      </c>
      <c r="F582">
        <v>3</v>
      </c>
      <c r="G582">
        <v>31</v>
      </c>
      <c r="H582">
        <v>1</v>
      </c>
      <c r="I582">
        <v>1</v>
      </c>
      <c r="J582">
        <v>0</v>
      </c>
      <c r="K582" t="s">
        <v>110</v>
      </c>
      <c r="L582" t="s">
        <v>111</v>
      </c>
      <c r="M582" s="4">
        <v>200000000</v>
      </c>
      <c r="N582">
        <v>0</v>
      </c>
      <c r="O582">
        <v>4.6491661070000001</v>
      </c>
      <c r="P582">
        <v>-74.149971010000002</v>
      </c>
      <c r="Q582" t="s">
        <v>4016</v>
      </c>
      <c r="R582">
        <v>6451612.9029999999</v>
      </c>
      <c r="S582">
        <v>0</v>
      </c>
      <c r="T582" t="s">
        <v>96</v>
      </c>
      <c r="U582" t="s">
        <v>97</v>
      </c>
      <c r="V582" t="s">
        <v>77</v>
      </c>
      <c r="W582" t="s">
        <v>98</v>
      </c>
      <c r="X582" t="s">
        <v>99</v>
      </c>
      <c r="Y582">
        <v>2.1029224794946799</v>
      </c>
      <c r="Z582">
        <v>2102.9224794946799</v>
      </c>
      <c r="AA582">
        <v>4.6680000000000001</v>
      </c>
      <c r="AB582">
        <v>-74.148499999999999</v>
      </c>
      <c r="AC582">
        <v>2547</v>
      </c>
      <c r="AD582">
        <v>0</v>
      </c>
      <c r="AE582" t="s">
        <v>80</v>
      </c>
      <c r="AF582" t="s">
        <v>100</v>
      </c>
      <c r="AG582" t="s">
        <v>82</v>
      </c>
      <c r="AH582" t="s">
        <v>83</v>
      </c>
      <c r="AI582" t="s">
        <v>221</v>
      </c>
      <c r="AJ582">
        <v>1.6218314588654601</v>
      </c>
      <c r="AK582">
        <v>1.4706902053192401</v>
      </c>
      <c r="AL582">
        <v>3.1784352316468798</v>
      </c>
      <c r="AM582">
        <v>0.30741516414161901</v>
      </c>
      <c r="AN582">
        <v>2.05166352254412</v>
      </c>
      <c r="AO582">
        <v>6.3162157201595098E-2</v>
      </c>
      <c r="AP582">
        <v>6.3162157201595098E-2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1</v>
      </c>
      <c r="AW582">
        <v>0</v>
      </c>
      <c r="AX582">
        <v>0</v>
      </c>
      <c r="AY582">
        <v>15.8</v>
      </c>
      <c r="AZ582">
        <v>17.100000000000001</v>
      </c>
      <c r="BA582">
        <v>23</v>
      </c>
      <c r="BB582">
        <v>565</v>
      </c>
      <c r="BC582">
        <v>68</v>
      </c>
      <c r="BD582">
        <v>2.2999999999999998</v>
      </c>
      <c r="BE582">
        <v>68</v>
      </c>
      <c r="BF582">
        <v>17.600000000000001</v>
      </c>
      <c r="BG582">
        <v>162</v>
      </c>
      <c r="BH582">
        <v>19.7</v>
      </c>
      <c r="BI582">
        <v>16.7</v>
      </c>
      <c r="BJ582">
        <v>36.4</v>
      </c>
      <c r="BK582">
        <v>0.66</v>
      </c>
      <c r="BL582">
        <v>5.6</v>
      </c>
      <c r="BM582">
        <v>1.5</v>
      </c>
      <c r="BN582">
        <v>7.5</v>
      </c>
      <c r="BO582">
        <v>2.9</v>
      </c>
      <c r="BP582">
        <f t="shared" si="18"/>
        <v>15.409493812028924</v>
      </c>
      <c r="BQ582">
        <f t="shared" si="19"/>
        <v>21.86799333875727</v>
      </c>
    </row>
    <row r="583" spans="1:69" x14ac:dyDescent="0.2">
      <c r="A583" t="s">
        <v>4059</v>
      </c>
      <c r="B583" t="s">
        <v>68</v>
      </c>
      <c r="C583" t="s">
        <v>3294</v>
      </c>
      <c r="D583" t="s">
        <v>70</v>
      </c>
      <c r="E583" t="s">
        <v>667</v>
      </c>
      <c r="F583">
        <v>3</v>
      </c>
      <c r="G583">
        <v>29</v>
      </c>
      <c r="H583">
        <v>1</v>
      </c>
      <c r="I583">
        <v>1</v>
      </c>
      <c r="J583">
        <v>0</v>
      </c>
      <c r="K583" t="s">
        <v>110</v>
      </c>
      <c r="L583" t="s">
        <v>111</v>
      </c>
      <c r="M583" s="4">
        <v>215000000</v>
      </c>
      <c r="N583">
        <v>0</v>
      </c>
      <c r="O583">
        <v>4.6560511590000004</v>
      </c>
      <c r="P583">
        <v>-74.134437559999995</v>
      </c>
      <c r="Q583" t="s">
        <v>4060</v>
      </c>
      <c r="R583">
        <v>7413793.1030000001</v>
      </c>
      <c r="S583">
        <v>0</v>
      </c>
      <c r="T583" t="s">
        <v>96</v>
      </c>
      <c r="U583" t="s">
        <v>97</v>
      </c>
      <c r="V583" t="s">
        <v>77</v>
      </c>
      <c r="W583" t="s">
        <v>98</v>
      </c>
      <c r="X583" t="s">
        <v>99</v>
      </c>
      <c r="Y583">
        <v>2.0502761065160202</v>
      </c>
      <c r="Z583">
        <v>2050.2761065160198</v>
      </c>
      <c r="AA583">
        <v>4.6680000000000001</v>
      </c>
      <c r="AB583">
        <v>-74.148499999999999</v>
      </c>
      <c r="AC583">
        <v>2547</v>
      </c>
      <c r="AD583">
        <v>0</v>
      </c>
      <c r="AE583" t="s">
        <v>80</v>
      </c>
      <c r="AF583" t="s">
        <v>100</v>
      </c>
      <c r="AG583" t="s">
        <v>82</v>
      </c>
      <c r="AH583" t="s">
        <v>83</v>
      </c>
      <c r="AI583" t="s">
        <v>92</v>
      </c>
      <c r="AJ583">
        <v>2.7485776640169099</v>
      </c>
      <c r="AK583">
        <v>2.6351113519770699</v>
      </c>
      <c r="AL583">
        <v>2.1311060867553802</v>
      </c>
      <c r="AM583">
        <v>0.41032842140883002</v>
      </c>
      <c r="AN583">
        <v>2.0406055555528999</v>
      </c>
      <c r="AO583">
        <v>0.297569964541058</v>
      </c>
      <c r="AP583">
        <v>0.297569964541058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13</v>
      </c>
      <c r="AW583">
        <v>0</v>
      </c>
      <c r="AX583">
        <v>0</v>
      </c>
      <c r="AY583">
        <v>15.8</v>
      </c>
      <c r="AZ583">
        <v>17.100000000000001</v>
      </c>
      <c r="BA583">
        <v>23</v>
      </c>
      <c r="BB583">
        <v>565</v>
      </c>
      <c r="BC583">
        <v>68</v>
      </c>
      <c r="BD583">
        <v>2.2999999999999998</v>
      </c>
      <c r="BE583">
        <v>68</v>
      </c>
      <c r="BF583">
        <v>17.600000000000001</v>
      </c>
      <c r="BG583">
        <v>162</v>
      </c>
      <c r="BH583">
        <v>19.7</v>
      </c>
      <c r="BI583">
        <v>16.7</v>
      </c>
      <c r="BJ583">
        <v>36.4</v>
      </c>
      <c r="BK583">
        <v>0.66</v>
      </c>
      <c r="BL583">
        <v>5.6</v>
      </c>
      <c r="BM583">
        <v>1.5</v>
      </c>
      <c r="BN583">
        <v>7.5</v>
      </c>
      <c r="BO583">
        <v>2.9</v>
      </c>
      <c r="BP583">
        <f t="shared" si="18"/>
        <v>15.449703253036128</v>
      </c>
      <c r="BQ583">
        <f t="shared" si="19"/>
        <v>21.895641294660773</v>
      </c>
    </row>
    <row r="584" spans="1:69" x14ac:dyDescent="0.2">
      <c r="A584" t="s">
        <v>3748</v>
      </c>
      <c r="B584" t="s">
        <v>68</v>
      </c>
      <c r="C584" t="s">
        <v>3294</v>
      </c>
      <c r="D584" t="s">
        <v>70</v>
      </c>
      <c r="E584" t="s">
        <v>3749</v>
      </c>
      <c r="F584">
        <v>3</v>
      </c>
      <c r="G584">
        <v>29</v>
      </c>
      <c r="H584">
        <v>2</v>
      </c>
      <c r="I584">
        <v>1</v>
      </c>
      <c r="J584">
        <v>0</v>
      </c>
      <c r="K584" t="s">
        <v>110</v>
      </c>
      <c r="L584" t="s">
        <v>111</v>
      </c>
      <c r="M584" s="4">
        <v>149000000</v>
      </c>
      <c r="N584">
        <v>0</v>
      </c>
      <c r="O584">
        <v>4.6861588999999997</v>
      </c>
      <c r="P584">
        <v>-74.152987499999995</v>
      </c>
      <c r="Q584" t="s">
        <v>3750</v>
      </c>
      <c r="R584">
        <v>5137931.034</v>
      </c>
      <c r="S584">
        <v>0</v>
      </c>
      <c r="T584" t="s">
        <v>98</v>
      </c>
      <c r="U584" t="s">
        <v>525</v>
      </c>
      <c r="V584" t="s">
        <v>77</v>
      </c>
      <c r="W584" t="s">
        <v>98</v>
      </c>
      <c r="X584" t="s">
        <v>526</v>
      </c>
      <c r="Y584">
        <v>1.3458878912664001</v>
      </c>
      <c r="Z584">
        <v>1345.8878912663999</v>
      </c>
      <c r="AA584">
        <v>4.6782416666666702</v>
      </c>
      <c r="AB584">
        <v>-74.143819444444404</v>
      </c>
      <c r="AC584">
        <v>2551</v>
      </c>
      <c r="AD584">
        <v>11</v>
      </c>
      <c r="AE584" t="s">
        <v>80</v>
      </c>
      <c r="AF584" t="s">
        <v>81</v>
      </c>
      <c r="AG584" t="s">
        <v>82</v>
      </c>
      <c r="AH584" t="s">
        <v>83</v>
      </c>
      <c r="AI584" t="s">
        <v>92</v>
      </c>
      <c r="AJ584">
        <v>3.5384489371574399</v>
      </c>
      <c r="AK584">
        <v>1.49427030593077</v>
      </c>
      <c r="AL584">
        <v>1.7435181006673399</v>
      </c>
      <c r="AM584">
        <v>9.5669238281378396E-2</v>
      </c>
      <c r="AN584">
        <v>1.5765053555813799</v>
      </c>
      <c r="AO584">
        <v>0.182388934764943</v>
      </c>
      <c r="AP584">
        <v>0.182388934764943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5</v>
      </c>
      <c r="AW584">
        <v>0</v>
      </c>
      <c r="AX584">
        <v>0</v>
      </c>
      <c r="AY584">
        <v>15.8</v>
      </c>
      <c r="AZ584">
        <v>17.100000000000001</v>
      </c>
      <c r="BA584">
        <v>23</v>
      </c>
      <c r="BB584">
        <v>565</v>
      </c>
      <c r="BC584">
        <v>68</v>
      </c>
      <c r="BD584">
        <v>2.2999999999999998</v>
      </c>
      <c r="BE584">
        <v>68</v>
      </c>
      <c r="BF584">
        <v>17.600000000000001</v>
      </c>
      <c r="BG584">
        <v>162</v>
      </c>
      <c r="BH584">
        <v>19.7</v>
      </c>
      <c r="BI584">
        <v>16.7</v>
      </c>
      <c r="BJ584">
        <v>36.4</v>
      </c>
      <c r="BK584">
        <v>0.66</v>
      </c>
      <c r="BL584">
        <v>5.6</v>
      </c>
      <c r="BM584">
        <v>1.5</v>
      </c>
      <c r="BN584">
        <v>7.5</v>
      </c>
      <c r="BO584">
        <v>2.9</v>
      </c>
      <c r="BP584">
        <f t="shared" si="18"/>
        <v>15.997892789191068</v>
      </c>
      <c r="BQ584">
        <f t="shared" si="19"/>
        <v>22.268940535953373</v>
      </c>
    </row>
    <row r="585" spans="1:69" x14ac:dyDescent="0.2">
      <c r="A585" t="s">
        <v>3367</v>
      </c>
      <c r="B585" t="s">
        <v>68</v>
      </c>
      <c r="C585" t="s">
        <v>3294</v>
      </c>
      <c r="D585" t="s">
        <v>70</v>
      </c>
      <c r="E585" t="s">
        <v>3368</v>
      </c>
      <c r="F585">
        <v>4</v>
      </c>
      <c r="G585">
        <v>28</v>
      </c>
      <c r="H585">
        <v>1</v>
      </c>
      <c r="I585">
        <v>1</v>
      </c>
      <c r="J585">
        <v>0</v>
      </c>
      <c r="K585" t="s">
        <v>110</v>
      </c>
      <c r="L585" t="s">
        <v>111</v>
      </c>
      <c r="M585" s="4">
        <v>300000000</v>
      </c>
      <c r="N585">
        <v>0</v>
      </c>
      <c r="O585">
        <v>4.6775263999999996</v>
      </c>
      <c r="P585">
        <v>-74.119883999999999</v>
      </c>
      <c r="Q585" t="s">
        <v>3369</v>
      </c>
      <c r="R585">
        <v>10714285.710000001</v>
      </c>
      <c r="S585">
        <v>0</v>
      </c>
      <c r="T585" t="s">
        <v>98</v>
      </c>
      <c r="U585" t="s">
        <v>525</v>
      </c>
      <c r="V585" t="s">
        <v>77</v>
      </c>
      <c r="W585" t="s">
        <v>98</v>
      </c>
      <c r="X585" t="s">
        <v>526</v>
      </c>
      <c r="Y585">
        <v>2.6567993442554898</v>
      </c>
      <c r="Z585">
        <v>2656.7993442554898</v>
      </c>
      <c r="AA585">
        <v>4.6782416666666702</v>
      </c>
      <c r="AB585">
        <v>-74.143819444444404</v>
      </c>
      <c r="AC585">
        <v>2551</v>
      </c>
      <c r="AD585">
        <v>11</v>
      </c>
      <c r="AE585" t="s">
        <v>80</v>
      </c>
      <c r="AF585" t="s">
        <v>81</v>
      </c>
      <c r="AG585" t="s">
        <v>82</v>
      </c>
      <c r="AH585" t="s">
        <v>83</v>
      </c>
      <c r="AI585" t="s">
        <v>92</v>
      </c>
      <c r="AJ585">
        <v>0.41053481582298001</v>
      </c>
      <c r="AK585">
        <v>4.3529636613182596</v>
      </c>
      <c r="AL585">
        <v>2.0496386507610902</v>
      </c>
      <c r="AM585">
        <v>0.27563597463184902</v>
      </c>
      <c r="AN585">
        <v>2.35464220265691</v>
      </c>
      <c r="AO585">
        <v>0.48677636219418402</v>
      </c>
      <c r="AP585">
        <v>0.48677636219418402</v>
      </c>
      <c r="AQ585">
        <v>2</v>
      </c>
      <c r="AR585">
        <v>2</v>
      </c>
      <c r="AS585">
        <v>0</v>
      </c>
      <c r="AT585">
        <v>0</v>
      </c>
      <c r="AU585">
        <v>0</v>
      </c>
      <c r="AV585">
        <v>11</v>
      </c>
      <c r="AW585">
        <v>0</v>
      </c>
      <c r="AX585">
        <v>0</v>
      </c>
      <c r="AY585">
        <v>15.8</v>
      </c>
      <c r="AZ585">
        <v>17.100000000000001</v>
      </c>
      <c r="BA585">
        <v>23</v>
      </c>
      <c r="BB585">
        <v>565</v>
      </c>
      <c r="BC585">
        <v>68</v>
      </c>
      <c r="BD585">
        <v>2.2999999999999998</v>
      </c>
      <c r="BE585">
        <v>68</v>
      </c>
      <c r="BF585">
        <v>17.600000000000001</v>
      </c>
      <c r="BG585">
        <v>162</v>
      </c>
      <c r="BH585">
        <v>19.7</v>
      </c>
      <c r="BI585">
        <v>16.7</v>
      </c>
      <c r="BJ585">
        <v>36.4</v>
      </c>
      <c r="BK585">
        <v>0.66</v>
      </c>
      <c r="BL585">
        <v>5.6</v>
      </c>
      <c r="BM585">
        <v>1.5</v>
      </c>
      <c r="BN585">
        <v>7.5</v>
      </c>
      <c r="BO585">
        <v>2.9</v>
      </c>
      <c r="BP585">
        <f t="shared" si="18"/>
        <v>14.992752174583062</v>
      </c>
      <c r="BQ585">
        <f t="shared" si="19"/>
        <v>21.579224684171013</v>
      </c>
    </row>
    <row r="586" spans="1:69" x14ac:dyDescent="0.2">
      <c r="A586" t="s">
        <v>4351</v>
      </c>
      <c r="B586" t="s">
        <v>68</v>
      </c>
      <c r="C586" t="s">
        <v>3294</v>
      </c>
      <c r="D586" t="s">
        <v>70</v>
      </c>
      <c r="E586" t="s">
        <v>3247</v>
      </c>
      <c r="F586">
        <v>3</v>
      </c>
      <c r="G586">
        <v>28</v>
      </c>
      <c r="H586">
        <v>1</v>
      </c>
      <c r="I586">
        <v>1</v>
      </c>
      <c r="J586">
        <v>0</v>
      </c>
      <c r="K586" t="s">
        <v>110</v>
      </c>
      <c r="L586" t="s">
        <v>111</v>
      </c>
      <c r="M586" s="4">
        <v>280000000</v>
      </c>
      <c r="N586">
        <v>0</v>
      </c>
      <c r="O586">
        <v>4.6818942999999997</v>
      </c>
      <c r="P586">
        <v>-74.115380000000002</v>
      </c>
      <c r="Q586" t="s">
        <v>4352</v>
      </c>
      <c r="R586">
        <v>10000000</v>
      </c>
      <c r="S586">
        <v>0</v>
      </c>
      <c r="T586" t="s">
        <v>98</v>
      </c>
      <c r="U586" t="s">
        <v>525</v>
      </c>
      <c r="V586" t="s">
        <v>77</v>
      </c>
      <c r="W586" t="s">
        <v>98</v>
      </c>
      <c r="X586" t="s">
        <v>526</v>
      </c>
      <c r="Y586">
        <v>3.1813999525808101</v>
      </c>
      <c r="Z586">
        <v>3181.3999525808099</v>
      </c>
      <c r="AA586">
        <v>4.6782416666666702</v>
      </c>
      <c r="AB586">
        <v>-74.143819444444404</v>
      </c>
      <c r="AC586">
        <v>2551</v>
      </c>
      <c r="AD586">
        <v>11</v>
      </c>
      <c r="AE586" t="s">
        <v>80</v>
      </c>
      <c r="AF586" t="s">
        <v>81</v>
      </c>
      <c r="AG586" t="s">
        <v>82</v>
      </c>
      <c r="AH586" t="s">
        <v>83</v>
      </c>
      <c r="AI586" t="s">
        <v>412</v>
      </c>
      <c r="AJ586">
        <v>0.667973250117466</v>
      </c>
      <c r="AK586">
        <v>4.84180512139109</v>
      </c>
      <c r="AL586">
        <v>1.4329603711194501</v>
      </c>
      <c r="AM586">
        <v>0.76619809149033102</v>
      </c>
      <c r="AN586">
        <v>1.6700001622704901</v>
      </c>
      <c r="AO586">
        <v>0.175726923509361</v>
      </c>
      <c r="AP586">
        <v>0.175726923509361</v>
      </c>
      <c r="AQ586">
        <v>0</v>
      </c>
      <c r="AR586">
        <v>2</v>
      </c>
      <c r="AS586">
        <v>0</v>
      </c>
      <c r="AT586">
        <v>0</v>
      </c>
      <c r="AU586">
        <v>0</v>
      </c>
      <c r="AV586">
        <v>10</v>
      </c>
      <c r="AW586">
        <v>0</v>
      </c>
      <c r="AX586">
        <v>0</v>
      </c>
      <c r="AY586">
        <v>15.8</v>
      </c>
      <c r="AZ586">
        <v>17.100000000000001</v>
      </c>
      <c r="BA586">
        <v>23</v>
      </c>
      <c r="BB586">
        <v>565</v>
      </c>
      <c r="BC586">
        <v>68</v>
      </c>
      <c r="BD586">
        <v>2.2999999999999998</v>
      </c>
      <c r="BE586">
        <v>68</v>
      </c>
      <c r="BF586">
        <v>17.600000000000001</v>
      </c>
      <c r="BG586">
        <v>162</v>
      </c>
      <c r="BH586">
        <v>19.7</v>
      </c>
      <c r="BI586">
        <v>16.7</v>
      </c>
      <c r="BJ586">
        <v>36.4</v>
      </c>
      <c r="BK586">
        <v>0.66</v>
      </c>
      <c r="BL586">
        <v>5.6</v>
      </c>
      <c r="BM586">
        <v>1.5</v>
      </c>
      <c r="BN586">
        <v>7.5</v>
      </c>
      <c r="BO586">
        <v>2.9</v>
      </c>
      <c r="BP586">
        <f t="shared" si="18"/>
        <v>14.608435938488105</v>
      </c>
      <c r="BQ586">
        <f t="shared" si="19"/>
        <v>21.309236496764822</v>
      </c>
    </row>
    <row r="587" spans="1:69" x14ac:dyDescent="0.2">
      <c r="A587" t="s">
        <v>4586</v>
      </c>
      <c r="B587" t="s">
        <v>68</v>
      </c>
      <c r="C587" t="s">
        <v>3294</v>
      </c>
      <c r="D587" t="s">
        <v>70</v>
      </c>
      <c r="E587" t="s">
        <v>667</v>
      </c>
      <c r="F587">
        <v>3</v>
      </c>
      <c r="G587">
        <v>28</v>
      </c>
      <c r="H587">
        <v>1</v>
      </c>
      <c r="I587">
        <v>1</v>
      </c>
      <c r="J587">
        <v>0</v>
      </c>
      <c r="K587" t="s">
        <v>110</v>
      </c>
      <c r="L587" t="s">
        <v>111</v>
      </c>
      <c r="M587" s="4">
        <v>213000000</v>
      </c>
      <c r="N587">
        <v>0</v>
      </c>
      <c r="O587">
        <v>4.6562218670000002</v>
      </c>
      <c r="P587">
        <v>-74.134658810000005</v>
      </c>
      <c r="Q587" t="s">
        <v>4587</v>
      </c>
      <c r="R587">
        <v>7607142.8569999998</v>
      </c>
      <c r="S587">
        <v>0</v>
      </c>
      <c r="T587" t="s">
        <v>96</v>
      </c>
      <c r="U587" t="s">
        <v>97</v>
      </c>
      <c r="V587" t="s">
        <v>77</v>
      </c>
      <c r="W587" t="s">
        <v>98</v>
      </c>
      <c r="X587" t="s">
        <v>99</v>
      </c>
      <c r="Y587">
        <v>2.0192672082227201</v>
      </c>
      <c r="Z587">
        <v>2019.26720822272</v>
      </c>
      <c r="AA587">
        <v>4.6680000000000001</v>
      </c>
      <c r="AB587">
        <v>-74.148499999999999</v>
      </c>
      <c r="AC587">
        <v>2547</v>
      </c>
      <c r="AD587">
        <v>0</v>
      </c>
      <c r="AE587" t="s">
        <v>80</v>
      </c>
      <c r="AF587" t="s">
        <v>100</v>
      </c>
      <c r="AG587" t="s">
        <v>82</v>
      </c>
      <c r="AH587" t="s">
        <v>83</v>
      </c>
      <c r="AI587" t="s">
        <v>92</v>
      </c>
      <c r="AJ587">
        <v>2.75984063733326</v>
      </c>
      <c r="AK587">
        <v>2.6079369607723502</v>
      </c>
      <c r="AL587">
        <v>2.16113970375971</v>
      </c>
      <c r="AM587">
        <v>0.43968335389395102</v>
      </c>
      <c r="AN587">
        <v>2.0096676844017902</v>
      </c>
      <c r="AO587">
        <v>0.29218221307577902</v>
      </c>
      <c r="AP587">
        <v>0.29218221307577902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13</v>
      </c>
      <c r="AW587">
        <v>0</v>
      </c>
      <c r="AX587">
        <v>0</v>
      </c>
      <c r="AY587">
        <v>15.8</v>
      </c>
      <c r="AZ587">
        <v>17.100000000000001</v>
      </c>
      <c r="BA587">
        <v>23</v>
      </c>
      <c r="BB587">
        <v>565</v>
      </c>
      <c r="BC587">
        <v>68</v>
      </c>
      <c r="BD587">
        <v>2.2999999999999998</v>
      </c>
      <c r="BE587">
        <v>68</v>
      </c>
      <c r="BF587">
        <v>17.600000000000001</v>
      </c>
      <c r="BG587">
        <v>162</v>
      </c>
      <c r="BH587">
        <v>19.7</v>
      </c>
      <c r="BI587">
        <v>16.7</v>
      </c>
      <c r="BJ587">
        <v>36.4</v>
      </c>
      <c r="BK587">
        <v>0.66</v>
      </c>
      <c r="BL587">
        <v>5.6</v>
      </c>
      <c r="BM587">
        <v>1.5</v>
      </c>
      <c r="BN587">
        <v>7.5</v>
      </c>
      <c r="BO587">
        <v>2.9</v>
      </c>
      <c r="BP587">
        <f t="shared" si="18"/>
        <v>15.473435837131722</v>
      </c>
      <c r="BQ587">
        <f t="shared" si="19"/>
        <v>21.911942392792877</v>
      </c>
    </row>
    <row r="588" spans="1:69" x14ac:dyDescent="0.2">
      <c r="A588" t="s">
        <v>4136</v>
      </c>
      <c r="B588" t="s">
        <v>68</v>
      </c>
      <c r="C588" t="s">
        <v>3294</v>
      </c>
      <c r="D588" t="s">
        <v>70</v>
      </c>
      <c r="E588" t="s">
        <v>580</v>
      </c>
      <c r="F588">
        <v>4</v>
      </c>
      <c r="G588">
        <v>27</v>
      </c>
      <c r="H588">
        <v>1</v>
      </c>
      <c r="I588">
        <v>1</v>
      </c>
      <c r="J588">
        <v>0</v>
      </c>
      <c r="K588" t="s">
        <v>110</v>
      </c>
      <c r="L588" t="s">
        <v>111</v>
      </c>
      <c r="M588" s="4">
        <v>320000000</v>
      </c>
      <c r="N588">
        <v>0</v>
      </c>
      <c r="O588">
        <v>4.6773571970000001</v>
      </c>
      <c r="P588">
        <v>-74.120048519999997</v>
      </c>
      <c r="Q588" t="s">
        <v>4137</v>
      </c>
      <c r="R588">
        <v>11851851.85</v>
      </c>
      <c r="S588">
        <v>0</v>
      </c>
      <c r="T588" t="s">
        <v>98</v>
      </c>
      <c r="U588" t="s">
        <v>525</v>
      </c>
      <c r="V588" t="s">
        <v>77</v>
      </c>
      <c r="W588" t="s">
        <v>98</v>
      </c>
      <c r="X588" t="s">
        <v>526</v>
      </c>
      <c r="Y588">
        <v>2.6391901930959101</v>
      </c>
      <c r="Z588">
        <v>2639.1901930959102</v>
      </c>
      <c r="AA588">
        <v>4.6782416666666702</v>
      </c>
      <c r="AB588">
        <v>-74.143819444444404</v>
      </c>
      <c r="AC588">
        <v>2551</v>
      </c>
      <c r="AD588">
        <v>11</v>
      </c>
      <c r="AE588" t="s">
        <v>80</v>
      </c>
      <c r="AF588" t="s">
        <v>81</v>
      </c>
      <c r="AG588" t="s">
        <v>82</v>
      </c>
      <c r="AH588" t="s">
        <v>83</v>
      </c>
      <c r="AI588" t="s">
        <v>92</v>
      </c>
      <c r="AJ588">
        <v>0.41225459928212199</v>
      </c>
      <c r="AK588">
        <v>4.3305775206930903</v>
      </c>
      <c r="AL588">
        <v>2.0364499204625202</v>
      </c>
      <c r="AM588">
        <v>0.26196747097847201</v>
      </c>
      <c r="AN588">
        <v>2.3803861869526499</v>
      </c>
      <c r="AO588">
        <v>0.48021397844741998</v>
      </c>
      <c r="AP588">
        <v>0.48021397844741998</v>
      </c>
      <c r="AQ588">
        <v>2</v>
      </c>
      <c r="AR588">
        <v>2</v>
      </c>
      <c r="AS588">
        <v>0</v>
      </c>
      <c r="AT588">
        <v>0</v>
      </c>
      <c r="AU588">
        <v>0</v>
      </c>
      <c r="AV588">
        <v>12</v>
      </c>
      <c r="AW588">
        <v>0</v>
      </c>
      <c r="AX588">
        <v>0</v>
      </c>
      <c r="AY588">
        <v>15.8</v>
      </c>
      <c r="AZ588">
        <v>17.100000000000001</v>
      </c>
      <c r="BA588">
        <v>23</v>
      </c>
      <c r="BB588">
        <v>565</v>
      </c>
      <c r="BC588">
        <v>68</v>
      </c>
      <c r="BD588">
        <v>2.2999999999999998</v>
      </c>
      <c r="BE588">
        <v>68</v>
      </c>
      <c r="BF588">
        <v>17.600000000000001</v>
      </c>
      <c r="BG588">
        <v>162</v>
      </c>
      <c r="BH588">
        <v>19.7</v>
      </c>
      <c r="BI588">
        <v>16.7</v>
      </c>
      <c r="BJ588">
        <v>36.4</v>
      </c>
      <c r="BK588">
        <v>0.66</v>
      </c>
      <c r="BL588">
        <v>5.6</v>
      </c>
      <c r="BM588">
        <v>1.5</v>
      </c>
      <c r="BN588">
        <v>7.5</v>
      </c>
      <c r="BO588">
        <v>2.9</v>
      </c>
      <c r="BP588">
        <f t="shared" si="18"/>
        <v>15.005826348974168</v>
      </c>
      <c r="BQ588">
        <f t="shared" si="19"/>
        <v>21.588346415451468</v>
      </c>
    </row>
    <row r="589" spans="1:69" x14ac:dyDescent="0.2">
      <c r="A589" t="s">
        <v>4101</v>
      </c>
      <c r="B589" t="s">
        <v>68</v>
      </c>
      <c r="C589" t="s">
        <v>3294</v>
      </c>
      <c r="D589" t="s">
        <v>70</v>
      </c>
      <c r="E589" t="s">
        <v>580</v>
      </c>
      <c r="F589">
        <v>3</v>
      </c>
      <c r="G589">
        <v>26</v>
      </c>
      <c r="H589">
        <v>1</v>
      </c>
      <c r="I589">
        <v>1</v>
      </c>
      <c r="J589">
        <v>0</v>
      </c>
      <c r="K589" t="s">
        <v>110</v>
      </c>
      <c r="L589" t="s">
        <v>111</v>
      </c>
      <c r="M589" s="4">
        <v>340000000</v>
      </c>
      <c r="N589">
        <v>0</v>
      </c>
      <c r="O589">
        <v>4.6775264740000004</v>
      </c>
      <c r="P589">
        <v>-74.119880679999994</v>
      </c>
      <c r="Q589" t="s">
        <v>4102</v>
      </c>
      <c r="R589">
        <v>13076923.08</v>
      </c>
      <c r="S589">
        <v>0</v>
      </c>
      <c r="T589" t="s">
        <v>98</v>
      </c>
      <c r="U589" t="s">
        <v>525</v>
      </c>
      <c r="V589" t="s">
        <v>77</v>
      </c>
      <c r="W589" t="s">
        <v>98</v>
      </c>
      <c r="X589" t="s">
        <v>526</v>
      </c>
      <c r="Y589">
        <v>2.6571672814616898</v>
      </c>
      <c r="Z589">
        <v>2657.16728146169</v>
      </c>
      <c r="AA589">
        <v>4.6782416666666702</v>
      </c>
      <c r="AB589">
        <v>-74.143819444444404</v>
      </c>
      <c r="AC589">
        <v>2551</v>
      </c>
      <c r="AD589">
        <v>11</v>
      </c>
      <c r="AE589" t="s">
        <v>80</v>
      </c>
      <c r="AF589" t="s">
        <v>81</v>
      </c>
      <c r="AG589" t="s">
        <v>82</v>
      </c>
      <c r="AH589" t="s">
        <v>83</v>
      </c>
      <c r="AI589" t="s">
        <v>92</v>
      </c>
      <c r="AJ589">
        <v>0.410268267727665</v>
      </c>
      <c r="AK589">
        <v>4.3533217166260396</v>
      </c>
      <c r="AL589">
        <v>2.0499944517778999</v>
      </c>
      <c r="AM589">
        <v>0.275996595087805</v>
      </c>
      <c r="AN589">
        <v>2.35433910831533</v>
      </c>
      <c r="AO589">
        <v>0.48659287861390099</v>
      </c>
      <c r="AP589">
        <v>0.48659287861390099</v>
      </c>
      <c r="AQ589">
        <v>2</v>
      </c>
      <c r="AR589">
        <v>2</v>
      </c>
      <c r="AS589">
        <v>0</v>
      </c>
      <c r="AT589">
        <v>0</v>
      </c>
      <c r="AU589">
        <v>0</v>
      </c>
      <c r="AV589">
        <v>11</v>
      </c>
      <c r="AW589">
        <v>0</v>
      </c>
      <c r="AX589">
        <v>0</v>
      </c>
      <c r="AY589">
        <v>15.8</v>
      </c>
      <c r="AZ589">
        <v>17.100000000000001</v>
      </c>
      <c r="BA589">
        <v>23</v>
      </c>
      <c r="BB589">
        <v>565</v>
      </c>
      <c r="BC589">
        <v>68</v>
      </c>
      <c r="BD589">
        <v>2.2999999999999998</v>
      </c>
      <c r="BE589">
        <v>68</v>
      </c>
      <c r="BF589">
        <v>17.600000000000001</v>
      </c>
      <c r="BG589">
        <v>162</v>
      </c>
      <c r="BH589">
        <v>19.7</v>
      </c>
      <c r="BI589">
        <v>16.7</v>
      </c>
      <c r="BJ589">
        <v>36.4</v>
      </c>
      <c r="BK589">
        <v>0.66</v>
      </c>
      <c r="BL589">
        <v>5.6</v>
      </c>
      <c r="BM589">
        <v>1.5</v>
      </c>
      <c r="BN589">
        <v>7.5</v>
      </c>
      <c r="BO589">
        <v>2.9</v>
      </c>
      <c r="BP589">
        <f t="shared" si="18"/>
        <v>14.99247911569792</v>
      </c>
      <c r="BQ589">
        <f t="shared" si="19"/>
        <v>21.579034129820947</v>
      </c>
    </row>
    <row r="590" spans="1:69" x14ac:dyDescent="0.2">
      <c r="A590" t="s">
        <v>3913</v>
      </c>
      <c r="B590" t="s">
        <v>68</v>
      </c>
      <c r="C590" t="s">
        <v>3294</v>
      </c>
      <c r="D590" t="s">
        <v>70</v>
      </c>
      <c r="E590" t="s">
        <v>3526</v>
      </c>
      <c r="F590">
        <v>4</v>
      </c>
      <c r="G590">
        <v>26</v>
      </c>
      <c r="H590">
        <v>1</v>
      </c>
      <c r="I590">
        <v>1</v>
      </c>
      <c r="J590">
        <v>0</v>
      </c>
      <c r="K590" t="s">
        <v>110</v>
      </c>
      <c r="L590" t="s">
        <v>111</v>
      </c>
      <c r="M590" s="4">
        <v>320000000</v>
      </c>
      <c r="N590">
        <v>0</v>
      </c>
      <c r="O590">
        <v>4.6739145000000004</v>
      </c>
      <c r="P590">
        <v>-74.143316900000002</v>
      </c>
      <c r="Q590" t="s">
        <v>3914</v>
      </c>
      <c r="R590">
        <v>12307692.310000001</v>
      </c>
      <c r="S590">
        <v>0</v>
      </c>
      <c r="T590" t="s">
        <v>98</v>
      </c>
      <c r="U590" t="s">
        <v>525</v>
      </c>
      <c r="V590" t="s">
        <v>77</v>
      </c>
      <c r="W590" t="s">
        <v>98</v>
      </c>
      <c r="X590" t="s">
        <v>526</v>
      </c>
      <c r="Y590">
        <v>0.48491419103580002</v>
      </c>
      <c r="Z590">
        <v>484.9141910358</v>
      </c>
      <c r="AA590">
        <v>4.6782416666666702</v>
      </c>
      <c r="AB590">
        <v>-74.143819444444404</v>
      </c>
      <c r="AC590">
        <v>2551</v>
      </c>
      <c r="AD590">
        <v>11</v>
      </c>
      <c r="AE590" t="s">
        <v>80</v>
      </c>
      <c r="AF590" t="s">
        <v>81</v>
      </c>
      <c r="AG590" t="s">
        <v>82</v>
      </c>
      <c r="AH590" t="s">
        <v>83</v>
      </c>
      <c r="AI590" t="s">
        <v>92</v>
      </c>
      <c r="AJ590">
        <v>2.5753963873878498</v>
      </c>
      <c r="AK590">
        <v>1.7588991649925301</v>
      </c>
      <c r="AL590">
        <v>1.0712817881946399</v>
      </c>
      <c r="AM590">
        <v>3.3743318274031903E-2</v>
      </c>
      <c r="AN590">
        <v>0.91272933580348403</v>
      </c>
      <c r="AO590">
        <v>0.104500180638314</v>
      </c>
      <c r="AP590">
        <v>0.104500180638314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30</v>
      </c>
      <c r="AW590">
        <v>1</v>
      </c>
      <c r="AX590">
        <v>0</v>
      </c>
      <c r="AY590">
        <v>15.8</v>
      </c>
      <c r="AZ590">
        <v>17.100000000000001</v>
      </c>
      <c r="BA590">
        <v>23</v>
      </c>
      <c r="BB590">
        <v>565</v>
      </c>
      <c r="BC590">
        <v>68</v>
      </c>
      <c r="BD590">
        <v>2.2999999999999998</v>
      </c>
      <c r="BE590">
        <v>68</v>
      </c>
      <c r="BF590">
        <v>17.600000000000001</v>
      </c>
      <c r="BG590">
        <v>162</v>
      </c>
      <c r="BH590">
        <v>19.7</v>
      </c>
      <c r="BI590">
        <v>16.7</v>
      </c>
      <c r="BJ590">
        <v>36.4</v>
      </c>
      <c r="BK590">
        <v>0.66</v>
      </c>
      <c r="BL590">
        <v>5.6</v>
      </c>
      <c r="BM590">
        <v>1.5</v>
      </c>
      <c r="BN590">
        <v>7.5</v>
      </c>
      <c r="BO590">
        <v>2.9</v>
      </c>
      <c r="BP590">
        <f t="shared" si="18"/>
        <v>16.694431338864032</v>
      </c>
      <c r="BQ590">
        <f t="shared" si="19"/>
        <v>22.733878920851957</v>
      </c>
    </row>
    <row r="591" spans="1:69" x14ac:dyDescent="0.2">
      <c r="A591" t="s">
        <v>4231</v>
      </c>
      <c r="B591" t="s">
        <v>68</v>
      </c>
      <c r="C591" t="s">
        <v>3294</v>
      </c>
      <c r="D591" t="s">
        <v>70</v>
      </c>
      <c r="E591" t="s">
        <v>171</v>
      </c>
      <c r="F591">
        <v>3</v>
      </c>
      <c r="G591">
        <v>26</v>
      </c>
      <c r="H591">
        <v>1</v>
      </c>
      <c r="I591">
        <v>1</v>
      </c>
      <c r="J591">
        <v>0</v>
      </c>
      <c r="K591" t="s">
        <v>110</v>
      </c>
      <c r="L591" t="s">
        <v>111</v>
      </c>
      <c r="M591" s="4">
        <v>240000000</v>
      </c>
      <c r="N591">
        <v>0</v>
      </c>
      <c r="O591">
        <v>4.6990800000000004</v>
      </c>
      <c r="P591">
        <v>-74.111750000000001</v>
      </c>
      <c r="Q591" t="s">
        <v>4232</v>
      </c>
      <c r="R591">
        <v>9230769.2310000006</v>
      </c>
      <c r="S591">
        <v>0</v>
      </c>
      <c r="T591" t="s">
        <v>98</v>
      </c>
      <c r="U591" t="s">
        <v>525</v>
      </c>
      <c r="V591" t="s">
        <v>77</v>
      </c>
      <c r="W591" t="s">
        <v>98</v>
      </c>
      <c r="X591" t="s">
        <v>526</v>
      </c>
      <c r="Y591">
        <v>4.24740923985176</v>
      </c>
      <c r="Z591">
        <v>4247.4092398517596</v>
      </c>
      <c r="AA591">
        <v>4.6782416666666702</v>
      </c>
      <c r="AB591">
        <v>-74.143819444444404</v>
      </c>
      <c r="AC591">
        <v>2551</v>
      </c>
      <c r="AD591">
        <v>11</v>
      </c>
      <c r="AE591" t="s">
        <v>80</v>
      </c>
      <c r="AF591" t="s">
        <v>81</v>
      </c>
      <c r="AG591" t="s">
        <v>82</v>
      </c>
      <c r="AH591" t="s">
        <v>83</v>
      </c>
      <c r="AI591" t="s">
        <v>412</v>
      </c>
      <c r="AJ591">
        <v>0.90846262019854196</v>
      </c>
      <c r="AK591">
        <v>3.26283262949116</v>
      </c>
      <c r="AL591">
        <v>0.84359603110584103</v>
      </c>
      <c r="AM591">
        <v>0.25184963768967999</v>
      </c>
      <c r="AN591">
        <v>1.42014157580607</v>
      </c>
      <c r="AO591">
        <v>0.16404495256610899</v>
      </c>
      <c r="AP591">
        <v>0.16404495256610899</v>
      </c>
      <c r="AQ591">
        <v>0</v>
      </c>
      <c r="AR591">
        <v>1</v>
      </c>
      <c r="AS591">
        <v>0</v>
      </c>
      <c r="AT591">
        <v>0</v>
      </c>
      <c r="AU591">
        <v>1</v>
      </c>
      <c r="AV591">
        <v>19</v>
      </c>
      <c r="AW591">
        <v>0</v>
      </c>
      <c r="AX591">
        <v>0</v>
      </c>
      <c r="AY591">
        <v>15.8</v>
      </c>
      <c r="AZ591">
        <v>17.100000000000001</v>
      </c>
      <c r="BA591">
        <v>23</v>
      </c>
      <c r="BB591">
        <v>565</v>
      </c>
      <c r="BC591">
        <v>68</v>
      </c>
      <c r="BD591">
        <v>2.2999999999999998</v>
      </c>
      <c r="BE591">
        <v>68</v>
      </c>
      <c r="BF591">
        <v>17.600000000000001</v>
      </c>
      <c r="BG591">
        <v>162</v>
      </c>
      <c r="BH591">
        <v>19.7</v>
      </c>
      <c r="BI591">
        <v>16.7</v>
      </c>
      <c r="BJ591">
        <v>36.4</v>
      </c>
      <c r="BK591">
        <v>0.66</v>
      </c>
      <c r="BL591">
        <v>5.6</v>
      </c>
      <c r="BM591">
        <v>1.5</v>
      </c>
      <c r="BN591">
        <v>7.5</v>
      </c>
      <c r="BO591">
        <v>2.9</v>
      </c>
      <c r="BP591">
        <f t="shared" si="18"/>
        <v>13.857570726423361</v>
      </c>
      <c r="BQ591">
        <f t="shared" si="19"/>
        <v>20.770971150736461</v>
      </c>
    </row>
    <row r="592" spans="1:69" x14ac:dyDescent="0.2">
      <c r="A592" t="s">
        <v>3708</v>
      </c>
      <c r="B592" t="s">
        <v>68</v>
      </c>
      <c r="C592" t="s">
        <v>3294</v>
      </c>
      <c r="D592" t="s">
        <v>70</v>
      </c>
      <c r="E592" t="s">
        <v>3247</v>
      </c>
      <c r="F592">
        <v>4</v>
      </c>
      <c r="G592">
        <v>26</v>
      </c>
      <c r="H592">
        <v>1</v>
      </c>
      <c r="I592">
        <v>1</v>
      </c>
      <c r="J592">
        <v>0</v>
      </c>
      <c r="K592" t="s">
        <v>110</v>
      </c>
      <c r="L592" t="s">
        <v>111</v>
      </c>
      <c r="M592" s="4">
        <v>240000000</v>
      </c>
      <c r="N592">
        <v>0</v>
      </c>
      <c r="O592">
        <v>4.6886299999999999</v>
      </c>
      <c r="P592">
        <v>-74.120400000000004</v>
      </c>
      <c r="Q592" t="s">
        <v>3709</v>
      </c>
      <c r="R592">
        <v>9230769.2310000006</v>
      </c>
      <c r="S592">
        <v>0</v>
      </c>
      <c r="T592" t="s">
        <v>98</v>
      </c>
      <c r="U592" t="s">
        <v>525</v>
      </c>
      <c r="V592" t="s">
        <v>77</v>
      </c>
      <c r="W592" t="s">
        <v>98</v>
      </c>
      <c r="X592" t="s">
        <v>526</v>
      </c>
      <c r="Y592">
        <v>2.84405790568995</v>
      </c>
      <c r="Z592">
        <v>2844.0579056899501</v>
      </c>
      <c r="AA592">
        <v>4.6782416666666702</v>
      </c>
      <c r="AB592">
        <v>-74.143819444444404</v>
      </c>
      <c r="AC592">
        <v>2551</v>
      </c>
      <c r="AD592">
        <v>11</v>
      </c>
      <c r="AE592" t="s">
        <v>80</v>
      </c>
      <c r="AF592" t="s">
        <v>81</v>
      </c>
      <c r="AG592" t="s">
        <v>82</v>
      </c>
      <c r="AH592" t="s">
        <v>83</v>
      </c>
      <c r="AI592" t="s">
        <v>92</v>
      </c>
      <c r="AJ592">
        <v>0.78234759908390505</v>
      </c>
      <c r="AK592">
        <v>3.9816529683967201</v>
      </c>
      <c r="AL592">
        <v>1.4476625139419299</v>
      </c>
      <c r="AM592">
        <v>0.25577267584908397</v>
      </c>
      <c r="AN592">
        <v>1.97118008142995</v>
      </c>
      <c r="AO592">
        <v>0.133094978547454</v>
      </c>
      <c r="AP592">
        <v>0.133094978547454</v>
      </c>
      <c r="AQ592">
        <v>0</v>
      </c>
      <c r="AR592">
        <v>1</v>
      </c>
      <c r="AS592">
        <v>0</v>
      </c>
      <c r="AT592">
        <v>0</v>
      </c>
      <c r="AU592">
        <v>0</v>
      </c>
      <c r="AV592">
        <v>7</v>
      </c>
      <c r="AW592">
        <v>0</v>
      </c>
      <c r="AX592">
        <v>0</v>
      </c>
      <c r="AY592">
        <v>15.8</v>
      </c>
      <c r="AZ592">
        <v>17.100000000000001</v>
      </c>
      <c r="BA592">
        <v>23</v>
      </c>
      <c r="BB592">
        <v>565</v>
      </c>
      <c r="BC592">
        <v>68</v>
      </c>
      <c r="BD592">
        <v>2.2999999999999998</v>
      </c>
      <c r="BE592">
        <v>68</v>
      </c>
      <c r="BF592">
        <v>17.600000000000001</v>
      </c>
      <c r="BG592">
        <v>162</v>
      </c>
      <c r="BH592">
        <v>19.7</v>
      </c>
      <c r="BI592">
        <v>16.7</v>
      </c>
      <c r="BJ592">
        <v>36.4</v>
      </c>
      <c r="BK592">
        <v>0.66</v>
      </c>
      <c r="BL592">
        <v>5.6</v>
      </c>
      <c r="BM592">
        <v>1.5</v>
      </c>
      <c r="BN592">
        <v>7.5</v>
      </c>
      <c r="BO592">
        <v>2.9</v>
      </c>
      <c r="BP592">
        <f t="shared" si="18"/>
        <v>14.85442197738382</v>
      </c>
      <c r="BQ592">
        <f t="shared" si="19"/>
        <v>21.482460815683979</v>
      </c>
    </row>
    <row r="593" spans="1:69" x14ac:dyDescent="0.2">
      <c r="A593" t="s">
        <v>3825</v>
      </c>
      <c r="B593" t="s">
        <v>68</v>
      </c>
      <c r="C593" t="s">
        <v>3294</v>
      </c>
      <c r="D593" t="s">
        <v>70</v>
      </c>
      <c r="E593" t="s">
        <v>3247</v>
      </c>
      <c r="F593">
        <v>3</v>
      </c>
      <c r="G593">
        <v>26</v>
      </c>
      <c r="H593">
        <v>1</v>
      </c>
      <c r="I593">
        <v>1</v>
      </c>
      <c r="J593">
        <v>0</v>
      </c>
      <c r="K593" t="s">
        <v>110</v>
      </c>
      <c r="L593" t="s">
        <v>111</v>
      </c>
      <c r="M593" s="4">
        <v>240000000</v>
      </c>
      <c r="N593">
        <v>0</v>
      </c>
      <c r="O593">
        <v>4.6886299999999999</v>
      </c>
      <c r="P593">
        <v>-74.120400000000004</v>
      </c>
      <c r="Q593" t="s">
        <v>3826</v>
      </c>
      <c r="R593">
        <v>9230769.2310000006</v>
      </c>
      <c r="S593">
        <v>0</v>
      </c>
      <c r="T593" t="s">
        <v>98</v>
      </c>
      <c r="U593" t="s">
        <v>525</v>
      </c>
      <c r="V593" t="s">
        <v>77</v>
      </c>
      <c r="W593" t="s">
        <v>98</v>
      </c>
      <c r="X593" t="s">
        <v>526</v>
      </c>
      <c r="Y593">
        <v>2.84405790568995</v>
      </c>
      <c r="Z593">
        <v>2844.0579056899501</v>
      </c>
      <c r="AA593">
        <v>4.6782416666666702</v>
      </c>
      <c r="AB593">
        <v>-74.143819444444404</v>
      </c>
      <c r="AC593">
        <v>2551</v>
      </c>
      <c r="AD593">
        <v>11</v>
      </c>
      <c r="AE593" t="s">
        <v>80</v>
      </c>
      <c r="AF593" t="s">
        <v>81</v>
      </c>
      <c r="AG593" t="s">
        <v>82</v>
      </c>
      <c r="AH593" t="s">
        <v>83</v>
      </c>
      <c r="AI593" t="s">
        <v>92</v>
      </c>
      <c r="AJ593">
        <v>0.78234759908390505</v>
      </c>
      <c r="AK593">
        <v>3.9816529683967201</v>
      </c>
      <c r="AL593">
        <v>1.4476625139419299</v>
      </c>
      <c r="AM593">
        <v>0.25577267584908397</v>
      </c>
      <c r="AN593">
        <v>1.97118008142995</v>
      </c>
      <c r="AO593">
        <v>0.133094978547454</v>
      </c>
      <c r="AP593">
        <v>0.133094978547454</v>
      </c>
      <c r="AQ593">
        <v>0</v>
      </c>
      <c r="AR593">
        <v>1</v>
      </c>
      <c r="AS593">
        <v>0</v>
      </c>
      <c r="AT593">
        <v>0</v>
      </c>
      <c r="AU593">
        <v>0</v>
      </c>
      <c r="AV593">
        <v>7</v>
      </c>
      <c r="AW593">
        <v>0</v>
      </c>
      <c r="AX593">
        <v>0</v>
      </c>
      <c r="AY593">
        <v>15.8</v>
      </c>
      <c r="AZ593">
        <v>17.100000000000001</v>
      </c>
      <c r="BA593">
        <v>23</v>
      </c>
      <c r="BB593">
        <v>565</v>
      </c>
      <c r="BC593">
        <v>68</v>
      </c>
      <c r="BD593">
        <v>2.2999999999999998</v>
      </c>
      <c r="BE593">
        <v>68</v>
      </c>
      <c r="BF593">
        <v>17.600000000000001</v>
      </c>
      <c r="BG593">
        <v>162</v>
      </c>
      <c r="BH593">
        <v>19.7</v>
      </c>
      <c r="BI593">
        <v>16.7</v>
      </c>
      <c r="BJ593">
        <v>36.4</v>
      </c>
      <c r="BK593">
        <v>0.66</v>
      </c>
      <c r="BL593">
        <v>5.6</v>
      </c>
      <c r="BM593">
        <v>1.5</v>
      </c>
      <c r="BN593">
        <v>7.5</v>
      </c>
      <c r="BO593">
        <v>2.9</v>
      </c>
      <c r="BP593">
        <f t="shared" si="18"/>
        <v>14.85442197738382</v>
      </c>
      <c r="BQ593">
        <f t="shared" si="19"/>
        <v>21.482460815683979</v>
      </c>
    </row>
    <row r="594" spans="1:69" x14ac:dyDescent="0.2">
      <c r="A594" t="s">
        <v>3335</v>
      </c>
      <c r="B594" t="s">
        <v>68</v>
      </c>
      <c r="C594" t="s">
        <v>3294</v>
      </c>
      <c r="D594" t="s">
        <v>70</v>
      </c>
      <c r="E594" t="s">
        <v>2742</v>
      </c>
      <c r="F594">
        <v>3</v>
      </c>
      <c r="G594">
        <v>26</v>
      </c>
      <c r="H594">
        <v>1</v>
      </c>
      <c r="I594">
        <v>1</v>
      </c>
      <c r="J594">
        <v>0</v>
      </c>
      <c r="K594" t="s">
        <v>110</v>
      </c>
      <c r="L594" t="s">
        <v>111</v>
      </c>
      <c r="M594" s="4">
        <v>237000000</v>
      </c>
      <c r="N594">
        <v>0</v>
      </c>
      <c r="O594">
        <v>4.6825299999999999</v>
      </c>
      <c r="P594">
        <v>-74.115549999999999</v>
      </c>
      <c r="Q594" t="s">
        <v>3336</v>
      </c>
      <c r="R594">
        <v>9115384.6150000002</v>
      </c>
      <c r="S594">
        <v>0</v>
      </c>
      <c r="T594" t="s">
        <v>98</v>
      </c>
      <c r="U594" t="s">
        <v>525</v>
      </c>
      <c r="V594" t="s">
        <v>77</v>
      </c>
      <c r="W594" t="s">
        <v>98</v>
      </c>
      <c r="X594" t="s">
        <v>526</v>
      </c>
      <c r="Y594">
        <v>3.1725671619878999</v>
      </c>
      <c r="Z594">
        <v>3172.5671619878999</v>
      </c>
      <c r="AA594">
        <v>4.6782416666666702</v>
      </c>
      <c r="AB594">
        <v>-74.143819444444404</v>
      </c>
      <c r="AC594">
        <v>2551</v>
      </c>
      <c r="AD594">
        <v>11</v>
      </c>
      <c r="AE594" t="s">
        <v>80</v>
      </c>
      <c r="AF594" t="s">
        <v>81</v>
      </c>
      <c r="AG594" t="s">
        <v>82</v>
      </c>
      <c r="AH594" t="s">
        <v>83</v>
      </c>
      <c r="AI594" t="s">
        <v>412</v>
      </c>
      <c r="AJ594">
        <v>0.65616274762420002</v>
      </c>
      <c r="AK594">
        <v>4.7690928719187804</v>
      </c>
      <c r="AL594">
        <v>1.38759338638373</v>
      </c>
      <c r="AM594">
        <v>0.69466681114502804</v>
      </c>
      <c r="AN594">
        <v>1.64962392559669</v>
      </c>
      <c r="AO594">
        <v>0.17502331759952899</v>
      </c>
      <c r="AP594">
        <v>0.17502331759952899</v>
      </c>
      <c r="AQ594">
        <v>0</v>
      </c>
      <c r="AR594">
        <v>2</v>
      </c>
      <c r="AS594">
        <v>0</v>
      </c>
      <c r="AT594">
        <v>0</v>
      </c>
      <c r="AU594">
        <v>0</v>
      </c>
      <c r="AV594">
        <v>7</v>
      </c>
      <c r="AW594">
        <v>0</v>
      </c>
      <c r="AX594">
        <v>0</v>
      </c>
      <c r="AY594">
        <v>15.8</v>
      </c>
      <c r="AZ594">
        <v>17.100000000000001</v>
      </c>
      <c r="BA594">
        <v>23</v>
      </c>
      <c r="BB594">
        <v>565</v>
      </c>
      <c r="BC594">
        <v>68</v>
      </c>
      <c r="BD594">
        <v>2.2999999999999998</v>
      </c>
      <c r="BE594">
        <v>68</v>
      </c>
      <c r="BF594">
        <v>17.600000000000001</v>
      </c>
      <c r="BG594">
        <v>162</v>
      </c>
      <c r="BH594">
        <v>19.7</v>
      </c>
      <c r="BI594">
        <v>16.7</v>
      </c>
      <c r="BJ594">
        <v>36.4</v>
      </c>
      <c r="BK594">
        <v>0.66</v>
      </c>
      <c r="BL594">
        <v>5.6</v>
      </c>
      <c r="BM594">
        <v>1.5</v>
      </c>
      <c r="BN594">
        <v>7.5</v>
      </c>
      <c r="BO594">
        <v>2.9</v>
      </c>
      <c r="BP594">
        <f t="shared" si="18"/>
        <v>14.614824481144618</v>
      </c>
      <c r="BQ594">
        <f t="shared" si="19"/>
        <v>21.313754256169076</v>
      </c>
    </row>
    <row r="595" spans="1:69" x14ac:dyDescent="0.2">
      <c r="A595" t="s">
        <v>4606</v>
      </c>
      <c r="B595" t="s">
        <v>68</v>
      </c>
      <c r="C595" t="s">
        <v>3294</v>
      </c>
      <c r="D595" t="s">
        <v>70</v>
      </c>
      <c r="E595" t="s">
        <v>4607</v>
      </c>
      <c r="F595">
        <v>3</v>
      </c>
      <c r="G595">
        <v>26</v>
      </c>
      <c r="H595">
        <v>1</v>
      </c>
      <c r="I595">
        <v>1</v>
      </c>
      <c r="J595">
        <v>0</v>
      </c>
      <c r="K595" t="s">
        <v>110</v>
      </c>
      <c r="L595" t="s">
        <v>111</v>
      </c>
      <c r="M595" s="4">
        <v>180000000</v>
      </c>
      <c r="N595">
        <v>0</v>
      </c>
      <c r="O595">
        <v>4.646571636</v>
      </c>
      <c r="P595">
        <v>-74.144416809999996</v>
      </c>
      <c r="Q595" t="s">
        <v>4608</v>
      </c>
      <c r="R595">
        <v>6923076.9230000004</v>
      </c>
      <c r="S595">
        <v>0</v>
      </c>
      <c r="T595" t="s">
        <v>96</v>
      </c>
      <c r="U595" t="s">
        <v>97</v>
      </c>
      <c r="V595" t="s">
        <v>77</v>
      </c>
      <c r="W595" t="s">
        <v>98</v>
      </c>
      <c r="X595" t="s">
        <v>99</v>
      </c>
      <c r="Y595">
        <v>2.4280342926532401</v>
      </c>
      <c r="Z595">
        <v>2428.0342926532398</v>
      </c>
      <c r="AA595">
        <v>4.6680000000000001</v>
      </c>
      <c r="AB595">
        <v>-74.148499999999999</v>
      </c>
      <c r="AC595">
        <v>2547</v>
      </c>
      <c r="AD595">
        <v>0</v>
      </c>
      <c r="AE595" t="s">
        <v>80</v>
      </c>
      <c r="AF595" t="s">
        <v>100</v>
      </c>
      <c r="AG595" t="s">
        <v>82</v>
      </c>
      <c r="AH595" t="s">
        <v>83</v>
      </c>
      <c r="AI595" t="s">
        <v>221</v>
      </c>
      <c r="AJ595">
        <v>1.60960518720509</v>
      </c>
      <c r="AK595">
        <v>2.0937093367683799</v>
      </c>
      <c r="AL595">
        <v>2.5081617506117899</v>
      </c>
      <c r="AM595">
        <v>0.64179181182811196</v>
      </c>
      <c r="AN595">
        <v>2.3821307504979701</v>
      </c>
      <c r="AO595">
        <v>1.11679846108011E-2</v>
      </c>
      <c r="AP595">
        <v>1.11679846108011E-2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6</v>
      </c>
      <c r="AW595">
        <v>0</v>
      </c>
      <c r="AX595">
        <v>0</v>
      </c>
      <c r="AY595">
        <v>15.8</v>
      </c>
      <c r="AZ595">
        <v>17.100000000000001</v>
      </c>
      <c r="BA595">
        <v>23</v>
      </c>
      <c r="BB595">
        <v>565</v>
      </c>
      <c r="BC595">
        <v>68</v>
      </c>
      <c r="BD595">
        <v>2.2999999999999998</v>
      </c>
      <c r="BE595">
        <v>68</v>
      </c>
      <c r="BF595">
        <v>17.600000000000001</v>
      </c>
      <c r="BG595">
        <v>162</v>
      </c>
      <c r="BH595">
        <v>19.7</v>
      </c>
      <c r="BI595">
        <v>16.7</v>
      </c>
      <c r="BJ595">
        <v>36.4</v>
      </c>
      <c r="BK595">
        <v>0.66</v>
      </c>
      <c r="BL595">
        <v>5.6</v>
      </c>
      <c r="BM595">
        <v>1.5</v>
      </c>
      <c r="BN595">
        <v>7.5</v>
      </c>
      <c r="BO595">
        <v>2.9</v>
      </c>
      <c r="BP595">
        <f t="shared" si="18"/>
        <v>15.16349305120935</v>
      </c>
      <c r="BQ595">
        <f t="shared" si="19"/>
        <v>21.698028261776518</v>
      </c>
    </row>
    <row r="596" spans="1:69" x14ac:dyDescent="0.2">
      <c r="A596" t="s">
        <v>4645</v>
      </c>
      <c r="B596" t="s">
        <v>68</v>
      </c>
      <c r="C596" t="s">
        <v>3294</v>
      </c>
      <c r="D596" t="s">
        <v>70</v>
      </c>
      <c r="E596" t="s">
        <v>4607</v>
      </c>
      <c r="F596">
        <v>3</v>
      </c>
      <c r="G596">
        <v>26</v>
      </c>
      <c r="H596">
        <v>1</v>
      </c>
      <c r="I596">
        <v>1</v>
      </c>
      <c r="J596">
        <v>0</v>
      </c>
      <c r="K596" t="s">
        <v>110</v>
      </c>
      <c r="L596" t="s">
        <v>111</v>
      </c>
      <c r="M596" s="4">
        <v>158000000</v>
      </c>
      <c r="N596">
        <v>0</v>
      </c>
      <c r="O596">
        <v>4.646571636</v>
      </c>
      <c r="P596">
        <v>-74.144416809999996</v>
      </c>
      <c r="Q596" t="s">
        <v>4646</v>
      </c>
      <c r="R596">
        <v>6076923.0769999996</v>
      </c>
      <c r="S596">
        <v>0</v>
      </c>
      <c r="T596" t="s">
        <v>96</v>
      </c>
      <c r="U596" t="s">
        <v>97</v>
      </c>
      <c r="V596" t="s">
        <v>77</v>
      </c>
      <c r="W596" t="s">
        <v>98</v>
      </c>
      <c r="X596" t="s">
        <v>99</v>
      </c>
      <c r="Y596">
        <v>2.4280342926532401</v>
      </c>
      <c r="Z596">
        <v>2428.0342926532398</v>
      </c>
      <c r="AA596">
        <v>4.6680000000000001</v>
      </c>
      <c r="AB596">
        <v>-74.148499999999999</v>
      </c>
      <c r="AC596">
        <v>2547</v>
      </c>
      <c r="AD596">
        <v>0</v>
      </c>
      <c r="AE596" t="s">
        <v>80</v>
      </c>
      <c r="AF596" t="s">
        <v>100</v>
      </c>
      <c r="AG596" t="s">
        <v>82</v>
      </c>
      <c r="AH596" t="s">
        <v>83</v>
      </c>
      <c r="AI596" t="s">
        <v>221</v>
      </c>
      <c r="AJ596">
        <v>1.60960518720509</v>
      </c>
      <c r="AK596">
        <v>2.0937093367683799</v>
      </c>
      <c r="AL596">
        <v>2.5081617506117899</v>
      </c>
      <c r="AM596">
        <v>0.64179181182811196</v>
      </c>
      <c r="AN596">
        <v>2.3821307504979701</v>
      </c>
      <c r="AO596">
        <v>1.11679846108011E-2</v>
      </c>
      <c r="AP596">
        <v>1.11679846108011E-2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6</v>
      </c>
      <c r="AW596">
        <v>0</v>
      </c>
      <c r="AX596">
        <v>0</v>
      </c>
      <c r="AY596">
        <v>15.8</v>
      </c>
      <c r="AZ596">
        <v>17.100000000000001</v>
      </c>
      <c r="BA596">
        <v>23</v>
      </c>
      <c r="BB596">
        <v>565</v>
      </c>
      <c r="BC596">
        <v>68</v>
      </c>
      <c r="BD596">
        <v>2.2999999999999998</v>
      </c>
      <c r="BE596">
        <v>68</v>
      </c>
      <c r="BF596">
        <v>17.600000000000001</v>
      </c>
      <c r="BG596">
        <v>162</v>
      </c>
      <c r="BH596">
        <v>19.7</v>
      </c>
      <c r="BI596">
        <v>16.7</v>
      </c>
      <c r="BJ596">
        <v>36.4</v>
      </c>
      <c r="BK596">
        <v>0.66</v>
      </c>
      <c r="BL596">
        <v>5.6</v>
      </c>
      <c r="BM596">
        <v>1.5</v>
      </c>
      <c r="BN596">
        <v>7.5</v>
      </c>
      <c r="BO596">
        <v>2.9</v>
      </c>
      <c r="BP596">
        <f t="shared" si="18"/>
        <v>15.16349305120935</v>
      </c>
      <c r="BQ596">
        <f t="shared" si="19"/>
        <v>21.698028261776518</v>
      </c>
    </row>
    <row r="597" spans="1:69" x14ac:dyDescent="0.2">
      <c r="A597" t="s">
        <v>3731</v>
      </c>
      <c r="B597" t="s">
        <v>68</v>
      </c>
      <c r="C597" t="s">
        <v>3294</v>
      </c>
      <c r="D597" t="s">
        <v>70</v>
      </c>
      <c r="E597" t="s">
        <v>3732</v>
      </c>
      <c r="F597">
        <v>3</v>
      </c>
      <c r="G597">
        <v>25.32</v>
      </c>
      <c r="H597">
        <v>1</v>
      </c>
      <c r="I597">
        <v>1</v>
      </c>
      <c r="J597">
        <v>0</v>
      </c>
      <c r="K597" t="s">
        <v>110</v>
      </c>
      <c r="L597" t="s">
        <v>133</v>
      </c>
      <c r="M597" s="4">
        <v>160000000</v>
      </c>
      <c r="N597">
        <v>0</v>
      </c>
      <c r="O597">
        <v>4.6742650000000001</v>
      </c>
      <c r="P597">
        <v>-74.139786000000001</v>
      </c>
      <c r="Q597" t="s">
        <v>3733</v>
      </c>
      <c r="R597">
        <v>6319115.324</v>
      </c>
      <c r="S597">
        <v>0</v>
      </c>
      <c r="T597" t="s">
        <v>98</v>
      </c>
      <c r="U597" t="s">
        <v>525</v>
      </c>
      <c r="V597" t="s">
        <v>77</v>
      </c>
      <c r="W597" t="s">
        <v>98</v>
      </c>
      <c r="X597" t="s">
        <v>526</v>
      </c>
      <c r="Y597">
        <v>0.62946643107437406</v>
      </c>
      <c r="Z597">
        <v>629.46643107437399</v>
      </c>
      <c r="AA597">
        <v>4.6782416666666702</v>
      </c>
      <c r="AB597">
        <v>-74.143819444444404</v>
      </c>
      <c r="AC597">
        <v>2551</v>
      </c>
      <c r="AD597">
        <v>11</v>
      </c>
      <c r="AE597" t="s">
        <v>80</v>
      </c>
      <c r="AF597" t="s">
        <v>81</v>
      </c>
      <c r="AG597" t="s">
        <v>82</v>
      </c>
      <c r="AH597" t="s">
        <v>83</v>
      </c>
      <c r="AI597" t="s">
        <v>92</v>
      </c>
      <c r="AJ597">
        <v>2.1950654034872401</v>
      </c>
      <c r="AK597">
        <v>2.1379273205682101</v>
      </c>
      <c r="AL597">
        <v>0.87122025384507296</v>
      </c>
      <c r="AM597">
        <v>0.100278742613613</v>
      </c>
      <c r="AN597">
        <v>1.22913137862552</v>
      </c>
      <c r="AO597">
        <v>0.29740077746923499</v>
      </c>
      <c r="AP597">
        <v>0.29740077746923499</v>
      </c>
      <c r="AQ597">
        <v>0</v>
      </c>
      <c r="AR597">
        <v>0</v>
      </c>
      <c r="AS597">
        <v>0</v>
      </c>
      <c r="AT597">
        <v>0</v>
      </c>
      <c r="AU597">
        <v>1</v>
      </c>
      <c r="AV597">
        <v>31</v>
      </c>
      <c r="AW597">
        <v>0</v>
      </c>
      <c r="AX597">
        <v>0</v>
      </c>
      <c r="AY597">
        <v>15.8</v>
      </c>
      <c r="AZ597">
        <v>17.100000000000001</v>
      </c>
      <c r="BA597">
        <v>23</v>
      </c>
      <c r="BB597">
        <v>565</v>
      </c>
      <c r="BC597">
        <v>68</v>
      </c>
      <c r="BD597">
        <v>2.2999999999999998</v>
      </c>
      <c r="BE597">
        <v>68</v>
      </c>
      <c r="BF597">
        <v>17.600000000000001</v>
      </c>
      <c r="BG597">
        <v>162</v>
      </c>
      <c r="BH597">
        <v>19.7</v>
      </c>
      <c r="BI597">
        <v>16.7</v>
      </c>
      <c r="BJ597">
        <v>36.4</v>
      </c>
      <c r="BK597">
        <v>0.66</v>
      </c>
      <c r="BL597">
        <v>5.6</v>
      </c>
      <c r="BM597">
        <v>1.5</v>
      </c>
      <c r="BN597">
        <v>7.5</v>
      </c>
      <c r="BO597">
        <v>2.9</v>
      </c>
      <c r="BP597">
        <f t="shared" si="18"/>
        <v>16.575403425467233</v>
      </c>
      <c r="BQ597">
        <f t="shared" si="19"/>
        <v>22.655145977153182</v>
      </c>
    </row>
    <row r="598" spans="1:69" x14ac:dyDescent="0.2">
      <c r="A598" t="s">
        <v>4632</v>
      </c>
      <c r="B598" t="s">
        <v>68</v>
      </c>
      <c r="C598" t="s">
        <v>3294</v>
      </c>
      <c r="D598" t="s">
        <v>70</v>
      </c>
      <c r="E598" t="s">
        <v>4561</v>
      </c>
      <c r="F598">
        <v>3</v>
      </c>
      <c r="G598">
        <v>24.81</v>
      </c>
      <c r="H598">
        <v>1</v>
      </c>
      <c r="I598">
        <v>1</v>
      </c>
      <c r="J598">
        <v>0</v>
      </c>
      <c r="K598" t="s">
        <v>110</v>
      </c>
      <c r="L598" t="s">
        <v>111</v>
      </c>
      <c r="M598" s="4">
        <v>310000000</v>
      </c>
      <c r="N598">
        <v>0</v>
      </c>
      <c r="O598">
        <v>4.6864194870000002</v>
      </c>
      <c r="P598">
        <v>-74.125648499999997</v>
      </c>
      <c r="Q598" t="s">
        <v>4633</v>
      </c>
      <c r="R598">
        <v>124949.6171</v>
      </c>
      <c r="S598">
        <v>0</v>
      </c>
      <c r="T598" t="s">
        <v>98</v>
      </c>
      <c r="U598" t="s">
        <v>525</v>
      </c>
      <c r="V598" t="s">
        <v>77</v>
      </c>
      <c r="W598" t="s">
        <v>98</v>
      </c>
      <c r="X598" t="s">
        <v>526</v>
      </c>
      <c r="Y598">
        <v>2.2120382905336999</v>
      </c>
      <c r="Z598">
        <v>2212.0382905337001</v>
      </c>
      <c r="AA598">
        <v>4.6782416666666702</v>
      </c>
      <c r="AB598">
        <v>-74.143819444444404</v>
      </c>
      <c r="AC598">
        <v>2551</v>
      </c>
      <c r="AD598">
        <v>11</v>
      </c>
      <c r="AE598" t="s">
        <v>80</v>
      </c>
      <c r="AF598" t="s">
        <v>81</v>
      </c>
      <c r="AG598" t="s">
        <v>82</v>
      </c>
      <c r="AH598" t="s">
        <v>83</v>
      </c>
      <c r="AI598" t="s">
        <v>92</v>
      </c>
      <c r="AJ598">
        <v>0.70938595368049695</v>
      </c>
      <c r="AK598">
        <v>4.1297518339224402</v>
      </c>
      <c r="AL598">
        <v>1.4416369869402199</v>
      </c>
      <c r="AM598">
        <v>0.26893530387272802</v>
      </c>
      <c r="AN598">
        <v>2.0206035759349601</v>
      </c>
      <c r="AO598">
        <v>0.19566563209849899</v>
      </c>
      <c r="AP598">
        <v>0.19566563209849899</v>
      </c>
      <c r="AQ598">
        <v>0</v>
      </c>
      <c r="AR598">
        <v>1</v>
      </c>
      <c r="AS598">
        <v>0</v>
      </c>
      <c r="AT598">
        <v>0</v>
      </c>
      <c r="AU598">
        <v>0</v>
      </c>
      <c r="AV598">
        <v>8</v>
      </c>
      <c r="AW598">
        <v>0</v>
      </c>
      <c r="AX598">
        <v>0</v>
      </c>
      <c r="AY598">
        <v>15.8</v>
      </c>
      <c r="AZ598">
        <v>17.100000000000001</v>
      </c>
      <c r="BA598">
        <v>23</v>
      </c>
      <c r="BB598">
        <v>565</v>
      </c>
      <c r="BC598">
        <v>68</v>
      </c>
      <c r="BD598">
        <v>2.2999999999999998</v>
      </c>
      <c r="BE598">
        <v>68</v>
      </c>
      <c r="BF598">
        <v>17.600000000000001</v>
      </c>
      <c r="BG598">
        <v>162</v>
      </c>
      <c r="BH598">
        <v>19.7</v>
      </c>
      <c r="BI598">
        <v>16.7</v>
      </c>
      <c r="BJ598">
        <v>36.4</v>
      </c>
      <c r="BK598">
        <v>0.66</v>
      </c>
      <c r="BL598">
        <v>5.6</v>
      </c>
      <c r="BM598">
        <v>1.5</v>
      </c>
      <c r="BN598">
        <v>7.5</v>
      </c>
      <c r="BO598">
        <v>2.9</v>
      </c>
      <c r="BP598">
        <f t="shared" si="18"/>
        <v>15.326487919850065</v>
      </c>
      <c r="BQ598">
        <f t="shared" si="19"/>
        <v>21.810800806861955</v>
      </c>
    </row>
    <row r="599" spans="1:69" x14ac:dyDescent="0.2">
      <c r="A599" t="s">
        <v>4630</v>
      </c>
      <c r="B599" t="s">
        <v>68</v>
      </c>
      <c r="C599" t="s">
        <v>3294</v>
      </c>
      <c r="D599" t="s">
        <v>70</v>
      </c>
      <c r="E599" t="s">
        <v>4561</v>
      </c>
      <c r="F599">
        <v>3</v>
      </c>
      <c r="G599">
        <v>24.81</v>
      </c>
      <c r="H599">
        <v>1</v>
      </c>
      <c r="I599">
        <v>1</v>
      </c>
      <c r="J599">
        <v>0</v>
      </c>
      <c r="K599" t="s">
        <v>110</v>
      </c>
      <c r="L599" t="s">
        <v>111</v>
      </c>
      <c r="M599" s="4">
        <v>310000000</v>
      </c>
      <c r="N599">
        <v>0</v>
      </c>
      <c r="O599">
        <v>4.6864194870000002</v>
      </c>
      <c r="P599">
        <v>-74.125648499999997</v>
      </c>
      <c r="Q599" t="s">
        <v>4631</v>
      </c>
      <c r="R599">
        <v>12494961.710000001</v>
      </c>
      <c r="S599">
        <v>0</v>
      </c>
      <c r="T599" t="s">
        <v>98</v>
      </c>
      <c r="U599" t="s">
        <v>525</v>
      </c>
      <c r="V599" t="s">
        <v>77</v>
      </c>
      <c r="W599" t="s">
        <v>98</v>
      </c>
      <c r="X599" t="s">
        <v>526</v>
      </c>
      <c r="Y599">
        <v>2.2120382905336999</v>
      </c>
      <c r="Z599">
        <v>2212.0382905337001</v>
      </c>
      <c r="AA599">
        <v>4.6782416666666702</v>
      </c>
      <c r="AB599">
        <v>-74.143819444444404</v>
      </c>
      <c r="AC599">
        <v>2551</v>
      </c>
      <c r="AD599">
        <v>11</v>
      </c>
      <c r="AE599" t="s">
        <v>80</v>
      </c>
      <c r="AF599" t="s">
        <v>81</v>
      </c>
      <c r="AG599" t="s">
        <v>82</v>
      </c>
      <c r="AH599" t="s">
        <v>83</v>
      </c>
      <c r="AI599" t="s">
        <v>92</v>
      </c>
      <c r="AJ599">
        <v>0.70938595368049695</v>
      </c>
      <c r="AK599">
        <v>4.1297518339224402</v>
      </c>
      <c r="AL599">
        <v>1.4416369869402199</v>
      </c>
      <c r="AM599">
        <v>0.26893530387272802</v>
      </c>
      <c r="AN599">
        <v>2.0206035759349601</v>
      </c>
      <c r="AO599">
        <v>0.19566563209849899</v>
      </c>
      <c r="AP599">
        <v>0.19566563209849899</v>
      </c>
      <c r="AQ599">
        <v>0</v>
      </c>
      <c r="AR599">
        <v>1</v>
      </c>
      <c r="AS599">
        <v>0</v>
      </c>
      <c r="AT599">
        <v>0</v>
      </c>
      <c r="AU599">
        <v>0</v>
      </c>
      <c r="AV599">
        <v>8</v>
      </c>
      <c r="AW599">
        <v>0</v>
      </c>
      <c r="AX599">
        <v>0</v>
      </c>
      <c r="AY599">
        <v>15.8</v>
      </c>
      <c r="AZ599">
        <v>17.100000000000001</v>
      </c>
      <c r="BA599">
        <v>23</v>
      </c>
      <c r="BB599">
        <v>565</v>
      </c>
      <c r="BC599">
        <v>68</v>
      </c>
      <c r="BD599">
        <v>2.2999999999999998</v>
      </c>
      <c r="BE599">
        <v>68</v>
      </c>
      <c r="BF599">
        <v>17.600000000000001</v>
      </c>
      <c r="BG599">
        <v>162</v>
      </c>
      <c r="BH599">
        <v>19.7</v>
      </c>
      <c r="BI599">
        <v>16.7</v>
      </c>
      <c r="BJ599">
        <v>36.4</v>
      </c>
      <c r="BK599">
        <v>0.66</v>
      </c>
      <c r="BL599">
        <v>5.6</v>
      </c>
      <c r="BM599">
        <v>1.5</v>
      </c>
      <c r="BN599">
        <v>7.5</v>
      </c>
      <c r="BO599">
        <v>2.9</v>
      </c>
      <c r="BP599">
        <f t="shared" si="18"/>
        <v>15.326487919850065</v>
      </c>
      <c r="BQ599">
        <f t="shared" si="19"/>
        <v>21.810800806861955</v>
      </c>
    </row>
    <row r="600" spans="1:69" x14ac:dyDescent="0.2">
      <c r="A600" t="s">
        <v>4560</v>
      </c>
      <c r="B600" t="s">
        <v>68</v>
      </c>
      <c r="C600" t="s">
        <v>3294</v>
      </c>
      <c r="D600" t="s">
        <v>70</v>
      </c>
      <c r="E600" t="s">
        <v>4561</v>
      </c>
      <c r="F600">
        <v>3</v>
      </c>
      <c r="G600">
        <v>24.8</v>
      </c>
      <c r="H600">
        <v>1</v>
      </c>
      <c r="I600">
        <v>1</v>
      </c>
      <c r="J600">
        <v>0</v>
      </c>
      <c r="K600" t="s">
        <v>110</v>
      </c>
      <c r="L600" t="s">
        <v>111</v>
      </c>
      <c r="M600" s="4">
        <v>285000000</v>
      </c>
      <c r="N600">
        <v>0</v>
      </c>
      <c r="O600">
        <v>4.686191</v>
      </c>
      <c r="P600">
        <v>-74.12585</v>
      </c>
      <c r="Q600" t="s">
        <v>4562</v>
      </c>
      <c r="R600">
        <v>11491935.48</v>
      </c>
      <c r="S600">
        <v>0</v>
      </c>
      <c r="T600" t="s">
        <v>98</v>
      </c>
      <c r="U600" t="s">
        <v>525</v>
      </c>
      <c r="V600" t="s">
        <v>77</v>
      </c>
      <c r="W600" t="s">
        <v>98</v>
      </c>
      <c r="X600" t="s">
        <v>526</v>
      </c>
      <c r="Y600">
        <v>2.1812407033396202</v>
      </c>
      <c r="Z600">
        <v>2181.2407033396198</v>
      </c>
      <c r="AA600">
        <v>4.6782416666666702</v>
      </c>
      <c r="AB600">
        <v>-74.143819444444404</v>
      </c>
      <c r="AC600">
        <v>2551</v>
      </c>
      <c r="AD600">
        <v>11</v>
      </c>
      <c r="AE600" t="s">
        <v>80</v>
      </c>
      <c r="AF600" t="s">
        <v>81</v>
      </c>
      <c r="AG600" t="s">
        <v>82</v>
      </c>
      <c r="AH600" t="s">
        <v>83</v>
      </c>
      <c r="AI600" t="s">
        <v>92</v>
      </c>
      <c r="AJ600">
        <v>0.70615174390089597</v>
      </c>
      <c r="AK600">
        <v>4.0978666448554</v>
      </c>
      <c r="AL600">
        <v>1.41202529225425</v>
      </c>
      <c r="AM600">
        <v>0.245979640386563</v>
      </c>
      <c r="AN600">
        <v>2.01285260918984</v>
      </c>
      <c r="AO600">
        <v>0.17203740455057301</v>
      </c>
      <c r="AP600">
        <v>0.17203740455057301</v>
      </c>
      <c r="AQ600">
        <v>0</v>
      </c>
      <c r="AR600">
        <v>1</v>
      </c>
      <c r="AS600">
        <v>0</v>
      </c>
      <c r="AT600">
        <v>0</v>
      </c>
      <c r="AU600">
        <v>0</v>
      </c>
      <c r="AV600">
        <v>9</v>
      </c>
      <c r="AW600">
        <v>0</v>
      </c>
      <c r="AX600">
        <v>0</v>
      </c>
      <c r="AY600">
        <v>15.8</v>
      </c>
      <c r="AZ600">
        <v>17.100000000000001</v>
      </c>
      <c r="BA600">
        <v>23</v>
      </c>
      <c r="BB600">
        <v>565</v>
      </c>
      <c r="BC600">
        <v>68</v>
      </c>
      <c r="BD600">
        <v>2.2999999999999998</v>
      </c>
      <c r="BE600">
        <v>68</v>
      </c>
      <c r="BF600">
        <v>17.600000000000001</v>
      </c>
      <c r="BG600">
        <v>162</v>
      </c>
      <c r="BH600">
        <v>19.7</v>
      </c>
      <c r="BI600">
        <v>16.7</v>
      </c>
      <c r="BJ600">
        <v>36.4</v>
      </c>
      <c r="BK600">
        <v>0.66</v>
      </c>
      <c r="BL600">
        <v>5.6</v>
      </c>
      <c r="BM600">
        <v>1.5</v>
      </c>
      <c r="BN600">
        <v>7.5</v>
      </c>
      <c r="BO600">
        <v>2.9</v>
      </c>
      <c r="BP600">
        <f t="shared" si="18"/>
        <v>15.349870671577307</v>
      </c>
      <c r="BQ600">
        <f t="shared" si="19"/>
        <v>21.826928047239754</v>
      </c>
    </row>
    <row r="601" spans="1:69" x14ac:dyDescent="0.2">
      <c r="A601" t="s">
        <v>3619</v>
      </c>
      <c r="B601" t="s">
        <v>68</v>
      </c>
      <c r="C601" t="s">
        <v>3294</v>
      </c>
      <c r="D601" t="s">
        <v>70</v>
      </c>
      <c r="E601" t="s">
        <v>3620</v>
      </c>
      <c r="F601">
        <v>3</v>
      </c>
      <c r="G601">
        <v>24.13</v>
      </c>
      <c r="H601">
        <v>1</v>
      </c>
      <c r="I601">
        <v>1</v>
      </c>
      <c r="J601">
        <v>0</v>
      </c>
      <c r="K601" t="s">
        <v>110</v>
      </c>
      <c r="L601" t="s">
        <v>115</v>
      </c>
      <c r="M601" s="4">
        <v>165000000</v>
      </c>
      <c r="N601">
        <v>0</v>
      </c>
      <c r="O601">
        <v>4.6860999999999997</v>
      </c>
      <c r="P601">
        <v>-74.153000000000006</v>
      </c>
      <c r="Q601" t="s">
        <v>3621</v>
      </c>
      <c r="R601">
        <v>6837961.0439999998</v>
      </c>
      <c r="S601">
        <v>0</v>
      </c>
      <c r="T601" t="s">
        <v>98</v>
      </c>
      <c r="U601" t="s">
        <v>525</v>
      </c>
      <c r="V601" t="s">
        <v>77</v>
      </c>
      <c r="W601" t="s">
        <v>98</v>
      </c>
      <c r="X601" t="s">
        <v>526</v>
      </c>
      <c r="Y601">
        <v>1.3426552554353599</v>
      </c>
      <c r="Z601">
        <v>1342.65525543536</v>
      </c>
      <c r="AA601">
        <v>4.6782416666666702</v>
      </c>
      <c r="AB601">
        <v>-74.143819444444404</v>
      </c>
      <c r="AC601">
        <v>2551</v>
      </c>
      <c r="AD601">
        <v>11</v>
      </c>
      <c r="AE601" t="s">
        <v>80</v>
      </c>
      <c r="AF601" t="s">
        <v>81</v>
      </c>
      <c r="AG601" t="s">
        <v>82</v>
      </c>
      <c r="AH601" t="s">
        <v>83</v>
      </c>
      <c r="AI601" t="s">
        <v>92</v>
      </c>
      <c r="AJ601">
        <v>3.53890501374191</v>
      </c>
      <c r="AK601">
        <v>1.49376146364595</v>
      </c>
      <c r="AL601">
        <v>1.7431100293986801</v>
      </c>
      <c r="AM601">
        <v>8.9705362617713294E-2</v>
      </c>
      <c r="AN601">
        <v>1.58160725101541</v>
      </c>
      <c r="AO601">
        <v>0.175783763236045</v>
      </c>
      <c r="AP601">
        <v>0.175783763236045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5</v>
      </c>
      <c r="AW601">
        <v>0</v>
      </c>
      <c r="AX601">
        <v>0</v>
      </c>
      <c r="AY601">
        <v>15.8</v>
      </c>
      <c r="AZ601">
        <v>17.100000000000001</v>
      </c>
      <c r="BA601">
        <v>23</v>
      </c>
      <c r="BB601">
        <v>565</v>
      </c>
      <c r="BC601">
        <v>68</v>
      </c>
      <c r="BD601">
        <v>2.2999999999999998</v>
      </c>
      <c r="BE601">
        <v>68</v>
      </c>
      <c r="BF601">
        <v>17.600000000000001</v>
      </c>
      <c r="BG601">
        <v>162</v>
      </c>
      <c r="BH601">
        <v>19.7</v>
      </c>
      <c r="BI601">
        <v>16.7</v>
      </c>
      <c r="BJ601">
        <v>36.4</v>
      </c>
      <c r="BK601">
        <v>0.66</v>
      </c>
      <c r="BL601">
        <v>5.6</v>
      </c>
      <c r="BM601">
        <v>1.5</v>
      </c>
      <c r="BN601">
        <v>7.5</v>
      </c>
      <c r="BO601">
        <v>2.9</v>
      </c>
      <c r="BP601">
        <f t="shared" si="18"/>
        <v>16.000452904406476</v>
      </c>
      <c r="BQ601">
        <f t="shared" si="19"/>
        <v>22.27066829997759</v>
      </c>
    </row>
    <row r="602" spans="1:69" x14ac:dyDescent="0.2">
      <c r="A602" t="s">
        <v>4285</v>
      </c>
      <c r="B602" t="s">
        <v>68</v>
      </c>
      <c r="C602" t="s">
        <v>3294</v>
      </c>
      <c r="D602" t="s">
        <v>70</v>
      </c>
      <c r="E602" t="s">
        <v>3592</v>
      </c>
      <c r="F602">
        <v>3</v>
      </c>
      <c r="G602">
        <v>24</v>
      </c>
      <c r="H602">
        <v>1</v>
      </c>
      <c r="I602">
        <v>1</v>
      </c>
      <c r="J602">
        <v>0</v>
      </c>
      <c r="K602" t="s">
        <v>110</v>
      </c>
      <c r="L602" t="s">
        <v>162</v>
      </c>
      <c r="M602" s="4">
        <v>125000000</v>
      </c>
      <c r="N602">
        <v>0</v>
      </c>
      <c r="O602">
        <v>4.6655421260000001</v>
      </c>
      <c r="P602">
        <v>-74.143020629999995</v>
      </c>
      <c r="Q602" t="s">
        <v>4286</v>
      </c>
      <c r="R602">
        <v>5208333.3329999996</v>
      </c>
      <c r="S602">
        <v>0</v>
      </c>
      <c r="T602" t="s">
        <v>96</v>
      </c>
      <c r="U602" t="s">
        <v>97</v>
      </c>
      <c r="V602" t="s">
        <v>77</v>
      </c>
      <c r="W602" t="s">
        <v>98</v>
      </c>
      <c r="X602" t="s">
        <v>99</v>
      </c>
      <c r="Y602">
        <v>0.66667177746892903</v>
      </c>
      <c r="Z602">
        <v>666.67177746892901</v>
      </c>
      <c r="AA602">
        <v>4.6680000000000001</v>
      </c>
      <c r="AB602">
        <v>-74.148499999999999</v>
      </c>
      <c r="AC602">
        <v>2547</v>
      </c>
      <c r="AD602">
        <v>0</v>
      </c>
      <c r="AE602" t="s">
        <v>80</v>
      </c>
      <c r="AF602" t="s">
        <v>100</v>
      </c>
      <c r="AG602" t="s">
        <v>82</v>
      </c>
      <c r="AH602" t="s">
        <v>83</v>
      </c>
      <c r="AI602" t="s">
        <v>92</v>
      </c>
      <c r="AJ602">
        <v>2.9843817192149298</v>
      </c>
      <c r="AK602">
        <v>1.63257141064579</v>
      </c>
      <c r="AL602">
        <v>1.8971064340434101</v>
      </c>
      <c r="AM602">
        <v>0.43067747665651102</v>
      </c>
      <c r="AN602">
        <v>0.67556378083748403</v>
      </c>
      <c r="AO602">
        <v>0.18151071663839299</v>
      </c>
      <c r="AP602">
        <v>0.18151071663839299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18</v>
      </c>
      <c r="AW602">
        <v>1</v>
      </c>
      <c r="AX602">
        <v>0</v>
      </c>
      <c r="AY602">
        <v>15.8</v>
      </c>
      <c r="AZ602">
        <v>17.100000000000001</v>
      </c>
      <c r="BA602">
        <v>23</v>
      </c>
      <c r="BB602">
        <v>565</v>
      </c>
      <c r="BC602">
        <v>68</v>
      </c>
      <c r="BD602">
        <v>2.2999999999999998</v>
      </c>
      <c r="BE602">
        <v>68</v>
      </c>
      <c r="BF602">
        <v>17.600000000000001</v>
      </c>
      <c r="BG602">
        <v>162</v>
      </c>
      <c r="BH602">
        <v>19.7</v>
      </c>
      <c r="BI602">
        <v>16.7</v>
      </c>
      <c r="BJ602">
        <v>36.4</v>
      </c>
      <c r="BK602">
        <v>0.66</v>
      </c>
      <c r="BL602">
        <v>5.6</v>
      </c>
      <c r="BM602">
        <v>1.5</v>
      </c>
      <c r="BN602">
        <v>7.5</v>
      </c>
      <c r="BO602">
        <v>2.9</v>
      </c>
      <c r="BP602">
        <f t="shared" si="18"/>
        <v>16.544905183363845</v>
      </c>
      <c r="BQ602">
        <f t="shared" si="19"/>
        <v>22.634925584888293</v>
      </c>
    </row>
    <row r="603" spans="1:69" hidden="1" x14ac:dyDescent="0.2">
      <c r="A603" t="s">
        <v>3132</v>
      </c>
      <c r="B603" t="s">
        <v>68</v>
      </c>
      <c r="C603" t="s">
        <v>1956</v>
      </c>
      <c r="D603" t="s">
        <v>70</v>
      </c>
      <c r="E603" t="s">
        <v>3133</v>
      </c>
      <c r="F603">
        <v>3</v>
      </c>
      <c r="G603">
        <v>702</v>
      </c>
      <c r="H603">
        <v>5</v>
      </c>
      <c r="I603">
        <v>5</v>
      </c>
      <c r="J603">
        <v>2</v>
      </c>
      <c r="K603" t="s">
        <v>110</v>
      </c>
      <c r="L603" t="s">
        <v>124</v>
      </c>
      <c r="M603" s="4">
        <v>2300000000</v>
      </c>
      <c r="N603">
        <v>0</v>
      </c>
      <c r="O603">
        <v>4.6258136170000004</v>
      </c>
      <c r="P603">
        <v>-74.134292009999996</v>
      </c>
      <c r="Q603" t="s">
        <v>3134</v>
      </c>
      <c r="R603">
        <v>3276353.2760000001</v>
      </c>
      <c r="S603">
        <v>0</v>
      </c>
      <c r="T603" t="s">
        <v>88</v>
      </c>
      <c r="U603" t="s">
        <v>89</v>
      </c>
      <c r="V603" t="s">
        <v>77</v>
      </c>
      <c r="W603" t="s">
        <v>88</v>
      </c>
      <c r="X603" t="s">
        <v>90</v>
      </c>
      <c r="Y603">
        <v>1.97926692356161</v>
      </c>
      <c r="Z603">
        <v>1979.2669235616099</v>
      </c>
      <c r="AA603">
        <v>4.6317666666666701</v>
      </c>
      <c r="AB603">
        <v>-74.117483333333297</v>
      </c>
      <c r="AC603">
        <v>2590</v>
      </c>
      <c r="AD603">
        <v>10</v>
      </c>
      <c r="AE603" t="s">
        <v>80</v>
      </c>
      <c r="AF603" t="s">
        <v>91</v>
      </c>
      <c r="AG603" t="s">
        <v>82</v>
      </c>
      <c r="AH603" t="s">
        <v>83</v>
      </c>
      <c r="AI603" t="s">
        <v>221</v>
      </c>
      <c r="AJ603">
        <v>0.475734091732266</v>
      </c>
      <c r="AK603">
        <v>4.5813666347883899</v>
      </c>
      <c r="AL603">
        <v>2.12123609698294</v>
      </c>
      <c r="AM603">
        <v>0.14938362966447999</v>
      </c>
      <c r="AN603">
        <v>2.8874912385784399</v>
      </c>
      <c r="AO603">
        <v>4.1763811933573501E-2</v>
      </c>
      <c r="AP603">
        <v>4.1763811933573501E-2</v>
      </c>
      <c r="AQ603">
        <v>1</v>
      </c>
      <c r="AR603">
        <v>3</v>
      </c>
      <c r="AS603">
        <v>0</v>
      </c>
      <c r="AT603">
        <v>0</v>
      </c>
      <c r="AU603">
        <v>0</v>
      </c>
      <c r="AV603">
        <v>52</v>
      </c>
      <c r="AW603">
        <v>0</v>
      </c>
      <c r="AX603">
        <v>0</v>
      </c>
      <c r="AY603">
        <v>16.600000000000001</v>
      </c>
      <c r="AZ603">
        <v>101.7</v>
      </c>
      <c r="BA603">
        <v>19.899999999999999</v>
      </c>
      <c r="BB603">
        <v>564</v>
      </c>
      <c r="BC603">
        <v>71</v>
      </c>
      <c r="BD603">
        <v>1.7</v>
      </c>
      <c r="BE603">
        <v>185</v>
      </c>
      <c r="BF603">
        <v>0.8</v>
      </c>
      <c r="BG603">
        <v>162</v>
      </c>
      <c r="BH603">
        <v>19.5</v>
      </c>
      <c r="BI603">
        <v>15.6</v>
      </c>
      <c r="BJ603">
        <v>35</v>
      </c>
      <c r="BK603">
        <v>0.68</v>
      </c>
      <c r="BL603">
        <v>5.4</v>
      </c>
      <c r="BM603">
        <v>0.9</v>
      </c>
      <c r="BN603">
        <v>4.5999999999999996</v>
      </c>
      <c r="BO603">
        <v>2.1</v>
      </c>
      <c r="BP603">
        <f t="shared" si="18"/>
        <v>92.208617394000029</v>
      </c>
      <c r="BQ603">
        <f t="shared" si="19"/>
        <v>18.976802753956644</v>
      </c>
    </row>
    <row r="604" spans="1:69" hidden="1" x14ac:dyDescent="0.2">
      <c r="A604" t="s">
        <v>2585</v>
      </c>
      <c r="B604" t="s">
        <v>68</v>
      </c>
      <c r="C604" t="s">
        <v>1956</v>
      </c>
      <c r="D604" t="s">
        <v>70</v>
      </c>
      <c r="E604" t="s">
        <v>2586</v>
      </c>
      <c r="F604">
        <v>3</v>
      </c>
      <c r="G604">
        <v>635</v>
      </c>
      <c r="H604">
        <v>5</v>
      </c>
      <c r="I604">
        <v>5</v>
      </c>
      <c r="J604">
        <v>2</v>
      </c>
      <c r="K604" t="s">
        <v>110</v>
      </c>
      <c r="L604" t="s">
        <v>162</v>
      </c>
      <c r="M604" s="4">
        <v>1490000000</v>
      </c>
      <c r="N604">
        <v>0</v>
      </c>
      <c r="O604">
        <v>4.6247601510000003</v>
      </c>
      <c r="P604">
        <v>-74.121139529999994</v>
      </c>
      <c r="Q604" t="s">
        <v>2587</v>
      </c>
      <c r="R604">
        <v>2346456.693</v>
      </c>
      <c r="S604">
        <v>0</v>
      </c>
      <c r="T604" t="s">
        <v>88</v>
      </c>
      <c r="U604" t="s">
        <v>89</v>
      </c>
      <c r="V604" t="s">
        <v>77</v>
      </c>
      <c r="W604" t="s">
        <v>88</v>
      </c>
      <c r="X604" t="s">
        <v>90</v>
      </c>
      <c r="Y604">
        <v>0.87915619612811902</v>
      </c>
      <c r="Z604">
        <v>879.15619612811895</v>
      </c>
      <c r="AA604">
        <v>4.6317666666666701</v>
      </c>
      <c r="AB604">
        <v>-74.117483333333297</v>
      </c>
      <c r="AC604">
        <v>2590</v>
      </c>
      <c r="AD604">
        <v>10</v>
      </c>
      <c r="AE604" t="s">
        <v>80</v>
      </c>
      <c r="AF604" t="s">
        <v>91</v>
      </c>
      <c r="AG604" t="s">
        <v>82</v>
      </c>
      <c r="AH604" t="s">
        <v>83</v>
      </c>
      <c r="AI604" t="s">
        <v>288</v>
      </c>
      <c r="AJ604">
        <v>0.49595800529574802</v>
      </c>
      <c r="AK604">
        <v>5.6250681253860204</v>
      </c>
      <c r="AL604">
        <v>1.79374805617146</v>
      </c>
      <c r="AM604">
        <v>0.22239359444512999</v>
      </c>
      <c r="AN604">
        <v>2.18830627700744</v>
      </c>
      <c r="AO604">
        <v>7.0702426657807099E-2</v>
      </c>
      <c r="AP604">
        <v>7.0702426657807099E-2</v>
      </c>
      <c r="AQ604">
        <v>1</v>
      </c>
      <c r="AR604">
        <v>1</v>
      </c>
      <c r="AS604">
        <v>0</v>
      </c>
      <c r="AT604">
        <v>0</v>
      </c>
      <c r="AU604">
        <v>0</v>
      </c>
      <c r="AV604">
        <v>39</v>
      </c>
      <c r="AW604">
        <v>0</v>
      </c>
      <c r="AX604">
        <v>0</v>
      </c>
      <c r="AY604">
        <v>16.600000000000001</v>
      </c>
      <c r="AZ604">
        <v>101.7</v>
      </c>
      <c r="BA604">
        <v>19.899999999999999</v>
      </c>
      <c r="BB604">
        <v>564</v>
      </c>
      <c r="BC604">
        <v>71</v>
      </c>
      <c r="BD604">
        <v>1.7</v>
      </c>
      <c r="BE604">
        <v>185</v>
      </c>
      <c r="BF604">
        <v>0.8</v>
      </c>
      <c r="BG604">
        <v>162</v>
      </c>
      <c r="BH604">
        <v>19.5</v>
      </c>
      <c r="BI604">
        <v>15.6</v>
      </c>
      <c r="BJ604">
        <v>35</v>
      </c>
      <c r="BK604">
        <v>0.68</v>
      </c>
      <c r="BL604">
        <v>5.4</v>
      </c>
      <c r="BM604">
        <v>0.9</v>
      </c>
      <c r="BN604">
        <v>4.5999999999999996</v>
      </c>
      <c r="BO604">
        <v>2.1</v>
      </c>
      <c r="BP604">
        <f t="shared" si="18"/>
        <v>97.369115529552886</v>
      </c>
      <c r="BQ604">
        <f t="shared" si="19"/>
        <v>19.48451374294163</v>
      </c>
    </row>
    <row r="605" spans="1:69" hidden="1" x14ac:dyDescent="0.2">
      <c r="A605" t="s">
        <v>2647</v>
      </c>
      <c r="B605" t="s">
        <v>68</v>
      </c>
      <c r="C605" t="s">
        <v>1956</v>
      </c>
      <c r="D605" t="s">
        <v>70</v>
      </c>
      <c r="E605" t="s">
        <v>168</v>
      </c>
      <c r="F605">
        <v>4</v>
      </c>
      <c r="G605">
        <v>600</v>
      </c>
      <c r="H605">
        <v>5</v>
      </c>
      <c r="I605">
        <v>5</v>
      </c>
      <c r="J605">
        <v>2</v>
      </c>
      <c r="K605" t="s">
        <v>110</v>
      </c>
      <c r="L605" t="s">
        <v>162</v>
      </c>
      <c r="M605" s="4">
        <v>3500000000</v>
      </c>
      <c r="N605">
        <v>0</v>
      </c>
      <c r="O605">
        <v>4.6325399000000003</v>
      </c>
      <c r="P605">
        <v>-74.092483900000005</v>
      </c>
      <c r="Q605" t="s">
        <v>2648</v>
      </c>
      <c r="R605">
        <v>5833333.3329999996</v>
      </c>
      <c r="S605">
        <v>0</v>
      </c>
      <c r="T605" t="s">
        <v>88</v>
      </c>
      <c r="U605" t="s">
        <v>89</v>
      </c>
      <c r="V605" t="s">
        <v>77</v>
      </c>
      <c r="W605" t="s">
        <v>88</v>
      </c>
      <c r="X605" t="s">
        <v>90</v>
      </c>
      <c r="Y605">
        <v>2.77516957301822</v>
      </c>
      <c r="Z605">
        <v>2775.16957301822</v>
      </c>
      <c r="AA605">
        <v>4.6317666666666701</v>
      </c>
      <c r="AB605">
        <v>-74.117483333333297</v>
      </c>
      <c r="AC605">
        <v>2590</v>
      </c>
      <c r="AD605">
        <v>10</v>
      </c>
      <c r="AE605" t="s">
        <v>80</v>
      </c>
      <c r="AF605" t="s">
        <v>91</v>
      </c>
      <c r="AG605" t="s">
        <v>82</v>
      </c>
      <c r="AH605" t="s">
        <v>83</v>
      </c>
      <c r="AI605" t="s">
        <v>84</v>
      </c>
      <c r="AJ605">
        <v>0.36517955472144098</v>
      </c>
      <c r="AK605">
        <v>3.5192500712251502</v>
      </c>
      <c r="AL605">
        <v>0.81595703523947705</v>
      </c>
      <c r="AM605">
        <v>8.9922321714572595E-2</v>
      </c>
      <c r="AN605">
        <v>2.01023416389179</v>
      </c>
      <c r="AO605">
        <v>0.21027411610027899</v>
      </c>
      <c r="AP605">
        <v>0.21027411610027899</v>
      </c>
      <c r="AQ605">
        <v>1</v>
      </c>
      <c r="AR605">
        <v>2</v>
      </c>
      <c r="AS605">
        <v>0</v>
      </c>
      <c r="AT605">
        <v>0</v>
      </c>
      <c r="AU605">
        <v>1</v>
      </c>
      <c r="AV605">
        <v>13</v>
      </c>
      <c r="AW605">
        <v>0</v>
      </c>
      <c r="AX605">
        <v>0</v>
      </c>
      <c r="AY605">
        <v>16.600000000000001</v>
      </c>
      <c r="AZ605">
        <v>101.7</v>
      </c>
      <c r="BA605">
        <v>19.899999999999999</v>
      </c>
      <c r="BB605">
        <v>564</v>
      </c>
      <c r="BC605">
        <v>71</v>
      </c>
      <c r="BD605">
        <v>1.7</v>
      </c>
      <c r="BE605">
        <v>185</v>
      </c>
      <c r="BF605">
        <v>0.8</v>
      </c>
      <c r="BG605">
        <v>162</v>
      </c>
      <c r="BH605">
        <v>19.5</v>
      </c>
      <c r="BI605">
        <v>15.6</v>
      </c>
      <c r="BJ605">
        <v>35</v>
      </c>
      <c r="BK605">
        <v>0.68</v>
      </c>
      <c r="BL605">
        <v>5.4</v>
      </c>
      <c r="BM605">
        <v>0.9</v>
      </c>
      <c r="BN605">
        <v>4.5999999999999996</v>
      </c>
      <c r="BO605">
        <v>2.1</v>
      </c>
      <c r="BP605">
        <f t="shared" si="18"/>
        <v>88.646487461375926</v>
      </c>
      <c r="BQ605">
        <f t="shared" si="19"/>
        <v>18.617754379628337</v>
      </c>
    </row>
    <row r="606" spans="1:69" hidden="1" x14ac:dyDescent="0.2">
      <c r="A606" t="s">
        <v>2972</v>
      </c>
      <c r="B606" t="s">
        <v>68</v>
      </c>
      <c r="C606" t="s">
        <v>1956</v>
      </c>
      <c r="D606" t="s">
        <v>70</v>
      </c>
      <c r="E606" t="s">
        <v>2973</v>
      </c>
      <c r="F606">
        <v>3</v>
      </c>
      <c r="G606">
        <v>600</v>
      </c>
      <c r="H606">
        <v>4</v>
      </c>
      <c r="I606">
        <v>3</v>
      </c>
      <c r="J606">
        <v>1</v>
      </c>
      <c r="K606" t="s">
        <v>110</v>
      </c>
      <c r="L606" t="s">
        <v>162</v>
      </c>
      <c r="M606" s="4">
        <v>950000000</v>
      </c>
      <c r="N606">
        <v>0</v>
      </c>
      <c r="O606">
        <v>4.601</v>
      </c>
      <c r="P606">
        <v>-74.108999999999995</v>
      </c>
      <c r="Q606" t="s">
        <v>2974</v>
      </c>
      <c r="R606">
        <v>1583333.3330000001</v>
      </c>
      <c r="S606">
        <v>0</v>
      </c>
      <c r="T606" t="s">
        <v>504</v>
      </c>
      <c r="U606" t="s">
        <v>505</v>
      </c>
      <c r="V606" t="s">
        <v>77</v>
      </c>
      <c r="W606" t="s">
        <v>88</v>
      </c>
      <c r="X606" t="s">
        <v>506</v>
      </c>
      <c r="Y606">
        <v>1.06401095606945</v>
      </c>
      <c r="Z606">
        <v>1064.01095606945</v>
      </c>
      <c r="AA606">
        <v>4.6085000000000003</v>
      </c>
      <c r="AB606">
        <v>-74.114944444444404</v>
      </c>
      <c r="AC606">
        <v>2559</v>
      </c>
      <c r="AD606">
        <v>0</v>
      </c>
      <c r="AE606" t="s">
        <v>80</v>
      </c>
      <c r="AF606" t="s">
        <v>507</v>
      </c>
      <c r="AG606" t="s">
        <v>82</v>
      </c>
      <c r="AH606" t="s">
        <v>83</v>
      </c>
      <c r="AI606" t="s">
        <v>288</v>
      </c>
      <c r="AJ606">
        <v>0.44053016781364601</v>
      </c>
      <c r="AK606">
        <v>4.7556195448239702</v>
      </c>
      <c r="AL606">
        <v>2.2024187522881902</v>
      </c>
      <c r="AM606">
        <v>0.22189846359201701</v>
      </c>
      <c r="AN606">
        <v>1.73447767603281</v>
      </c>
      <c r="AO606">
        <v>0.35185793581687802</v>
      </c>
      <c r="AP606">
        <v>0.35185793581687802</v>
      </c>
      <c r="AQ606">
        <v>1</v>
      </c>
      <c r="AR606">
        <v>2</v>
      </c>
      <c r="AS606">
        <v>0</v>
      </c>
      <c r="AT606">
        <v>0</v>
      </c>
      <c r="AU606">
        <v>0</v>
      </c>
      <c r="AV606">
        <v>18</v>
      </c>
      <c r="AW606">
        <v>0</v>
      </c>
      <c r="AX606">
        <v>0</v>
      </c>
      <c r="AY606">
        <v>16.600000000000001</v>
      </c>
      <c r="AZ606">
        <v>101.7</v>
      </c>
      <c r="BA606">
        <v>19.899999999999999</v>
      </c>
      <c r="BB606">
        <v>564</v>
      </c>
      <c r="BC606">
        <v>71</v>
      </c>
      <c r="BD606">
        <v>1.7</v>
      </c>
      <c r="BE606">
        <v>185</v>
      </c>
      <c r="BF606">
        <v>0.8</v>
      </c>
      <c r="BG606">
        <v>162</v>
      </c>
      <c r="BH606">
        <v>19.5</v>
      </c>
      <c r="BI606">
        <v>15.6</v>
      </c>
      <c r="BJ606">
        <v>35</v>
      </c>
      <c r="BK606">
        <v>0.68</v>
      </c>
      <c r="BL606">
        <v>5.4</v>
      </c>
      <c r="BM606">
        <v>0.9</v>
      </c>
      <c r="BN606">
        <v>4.5999999999999996</v>
      </c>
      <c r="BO606">
        <v>2.1</v>
      </c>
      <c r="BP606">
        <f t="shared" si="18"/>
        <v>96.482221742920188</v>
      </c>
      <c r="BQ606">
        <f t="shared" si="19"/>
        <v>19.398261890546756</v>
      </c>
    </row>
    <row r="607" spans="1:69" hidden="1" x14ac:dyDescent="0.2">
      <c r="A607" t="s">
        <v>2939</v>
      </c>
      <c r="B607" t="s">
        <v>68</v>
      </c>
      <c r="C607" t="s">
        <v>1956</v>
      </c>
      <c r="D607" t="s">
        <v>70</v>
      </c>
      <c r="E607" t="s">
        <v>2940</v>
      </c>
      <c r="F607">
        <v>3</v>
      </c>
      <c r="G607">
        <v>520</v>
      </c>
      <c r="H607">
        <v>5</v>
      </c>
      <c r="I607">
        <v>5</v>
      </c>
      <c r="J607">
        <v>2</v>
      </c>
      <c r="K607" t="s">
        <v>110</v>
      </c>
      <c r="L607" t="s">
        <v>162</v>
      </c>
      <c r="M607" s="4">
        <v>1490000000</v>
      </c>
      <c r="N607">
        <v>0</v>
      </c>
      <c r="O607">
        <v>4.5968356129999997</v>
      </c>
      <c r="P607">
        <v>-74.098670960000007</v>
      </c>
      <c r="Q607" t="s">
        <v>2941</v>
      </c>
      <c r="R607">
        <v>2865384.6150000002</v>
      </c>
      <c r="S607">
        <v>0</v>
      </c>
      <c r="T607" t="s">
        <v>504</v>
      </c>
      <c r="U607" t="s">
        <v>505</v>
      </c>
      <c r="V607" t="s">
        <v>77</v>
      </c>
      <c r="W607" t="s">
        <v>88</v>
      </c>
      <c r="X607" t="s">
        <v>506</v>
      </c>
      <c r="Y607">
        <v>2.2241035852731099</v>
      </c>
      <c r="Z607">
        <v>2224.1035852731102</v>
      </c>
      <c r="AA607">
        <v>4.6085000000000003</v>
      </c>
      <c r="AB607">
        <v>-74.114944444444404</v>
      </c>
      <c r="AC607">
        <v>2559</v>
      </c>
      <c r="AD607">
        <v>0</v>
      </c>
      <c r="AE607" t="s">
        <v>80</v>
      </c>
      <c r="AF607" t="s">
        <v>507</v>
      </c>
      <c r="AG607" t="s">
        <v>82</v>
      </c>
      <c r="AH607" t="s">
        <v>83</v>
      </c>
      <c r="AI607" t="s">
        <v>308</v>
      </c>
      <c r="AJ607">
        <v>0.69106883028294397</v>
      </c>
      <c r="AK607">
        <v>3.5830785001793002</v>
      </c>
      <c r="AL607">
        <v>1.12430120841153</v>
      </c>
      <c r="AM607">
        <v>0.358166402243494</v>
      </c>
      <c r="AN607">
        <v>1.3358881263417199</v>
      </c>
      <c r="AO607">
        <v>0.31387912239486498</v>
      </c>
      <c r="AP607">
        <v>0.31387912239486498</v>
      </c>
      <c r="AQ607">
        <v>0</v>
      </c>
      <c r="AR607">
        <v>3</v>
      </c>
      <c r="AS607">
        <v>0</v>
      </c>
      <c r="AT607">
        <v>0</v>
      </c>
      <c r="AU607">
        <v>0</v>
      </c>
      <c r="AV607">
        <v>22</v>
      </c>
      <c r="AW607">
        <v>0</v>
      </c>
      <c r="AX607">
        <v>0</v>
      </c>
      <c r="AY607">
        <v>16.600000000000001</v>
      </c>
      <c r="AZ607">
        <v>101.7</v>
      </c>
      <c r="BA607">
        <v>19.899999999999999</v>
      </c>
      <c r="BB607">
        <v>564</v>
      </c>
      <c r="BC607">
        <v>71</v>
      </c>
      <c r="BD607">
        <v>1.7</v>
      </c>
      <c r="BE607">
        <v>185</v>
      </c>
      <c r="BF607">
        <v>0.8</v>
      </c>
      <c r="BG607">
        <v>162</v>
      </c>
      <c r="BH607">
        <v>19.5</v>
      </c>
      <c r="BI607">
        <v>15.6</v>
      </c>
      <c r="BJ607">
        <v>35</v>
      </c>
      <c r="BK607">
        <v>0.68</v>
      </c>
      <c r="BL607">
        <v>5.4</v>
      </c>
      <c r="BM607">
        <v>0.9</v>
      </c>
      <c r="BN607">
        <v>4.5999999999999996</v>
      </c>
      <c r="BO607">
        <v>2.1</v>
      </c>
      <c r="BP607">
        <f t="shared" si="18"/>
        <v>91.097847452462815</v>
      </c>
      <c r="BQ607">
        <f t="shared" si="19"/>
        <v>18.865620522833762</v>
      </c>
    </row>
    <row r="608" spans="1:69" hidden="1" x14ac:dyDescent="0.2">
      <c r="A608" t="s">
        <v>3184</v>
      </c>
      <c r="B608" t="s">
        <v>68</v>
      </c>
      <c r="C608" t="s">
        <v>1956</v>
      </c>
      <c r="D608" t="s">
        <v>70</v>
      </c>
      <c r="E608" t="s">
        <v>3185</v>
      </c>
      <c r="F608">
        <v>3</v>
      </c>
      <c r="G608">
        <v>396</v>
      </c>
      <c r="H608">
        <v>5</v>
      </c>
      <c r="I608">
        <v>5</v>
      </c>
      <c r="J608">
        <v>1</v>
      </c>
      <c r="K608" t="s">
        <v>110</v>
      </c>
      <c r="L608" t="s">
        <v>162</v>
      </c>
      <c r="M608" s="4">
        <v>887000000</v>
      </c>
      <c r="N608">
        <v>0</v>
      </c>
      <c r="O608">
        <v>4.6118380999999999</v>
      </c>
      <c r="P608">
        <v>-74.096929799999998</v>
      </c>
      <c r="Q608" t="s">
        <v>3186</v>
      </c>
      <c r="R608">
        <v>2239898.9900000002</v>
      </c>
      <c r="S608">
        <v>0</v>
      </c>
      <c r="T608" t="s">
        <v>504</v>
      </c>
      <c r="U608" t="s">
        <v>505</v>
      </c>
      <c r="V608" t="s">
        <v>77</v>
      </c>
      <c r="W608" t="s">
        <v>88</v>
      </c>
      <c r="X608" t="s">
        <v>506</v>
      </c>
      <c r="Y608">
        <v>2.0331394653286101</v>
      </c>
      <c r="Z608">
        <v>2033.13946532861</v>
      </c>
      <c r="AA608">
        <v>4.6085000000000003</v>
      </c>
      <c r="AB608">
        <v>-74.114944444444404</v>
      </c>
      <c r="AC608">
        <v>2559</v>
      </c>
      <c r="AD608">
        <v>0</v>
      </c>
      <c r="AE608" t="s">
        <v>80</v>
      </c>
      <c r="AF608" t="s">
        <v>507</v>
      </c>
      <c r="AG608" t="s">
        <v>82</v>
      </c>
      <c r="AH608" t="s">
        <v>83</v>
      </c>
      <c r="AI608" t="s">
        <v>288</v>
      </c>
      <c r="AJ608">
        <v>0.340187264656304</v>
      </c>
      <c r="AK608">
        <v>3.5801025711011798</v>
      </c>
      <c r="AL608">
        <v>1.4231512071760299</v>
      </c>
      <c r="AM608">
        <v>0.31905505038230703</v>
      </c>
      <c r="AN608">
        <v>0.90382143285096905</v>
      </c>
      <c r="AO608">
        <v>9.86499593496349E-2</v>
      </c>
      <c r="AP608">
        <v>9.86499593496349E-2</v>
      </c>
      <c r="AQ608">
        <v>1</v>
      </c>
      <c r="AR608">
        <v>7</v>
      </c>
      <c r="AS608">
        <v>0</v>
      </c>
      <c r="AT608">
        <v>0</v>
      </c>
      <c r="AU608">
        <v>0</v>
      </c>
      <c r="AV608">
        <v>10</v>
      </c>
      <c r="AW608">
        <v>2</v>
      </c>
      <c r="AX608">
        <v>0</v>
      </c>
      <c r="AY608">
        <v>16.600000000000001</v>
      </c>
      <c r="AZ608">
        <v>101.7</v>
      </c>
      <c r="BA608">
        <v>19.899999999999999</v>
      </c>
      <c r="BB608">
        <v>564</v>
      </c>
      <c r="BC608">
        <v>71</v>
      </c>
      <c r="BD608">
        <v>1.7</v>
      </c>
      <c r="BE608">
        <v>185</v>
      </c>
      <c r="BF608">
        <v>0.8</v>
      </c>
      <c r="BG608">
        <v>162</v>
      </c>
      <c r="BH608">
        <v>19.5</v>
      </c>
      <c r="BI608">
        <v>15.6</v>
      </c>
      <c r="BJ608">
        <v>35</v>
      </c>
      <c r="BK608">
        <v>0.68</v>
      </c>
      <c r="BL608">
        <v>5.4</v>
      </c>
      <c r="BM608">
        <v>0.9</v>
      </c>
      <c r="BN608">
        <v>4.5999999999999996</v>
      </c>
      <c r="BO608">
        <v>2.1</v>
      </c>
      <c r="BP608">
        <f t="shared" si="18"/>
        <v>91.96305308826598</v>
      </c>
      <c r="BQ608">
        <f t="shared" si="19"/>
        <v>18.952282722474326</v>
      </c>
    </row>
    <row r="609" spans="1:69" hidden="1" x14ac:dyDescent="0.2">
      <c r="A609" t="s">
        <v>3143</v>
      </c>
      <c r="B609" t="s">
        <v>68</v>
      </c>
      <c r="C609" t="s">
        <v>1956</v>
      </c>
      <c r="D609" t="s">
        <v>70</v>
      </c>
      <c r="E609" t="s">
        <v>1949</v>
      </c>
      <c r="F609">
        <v>3</v>
      </c>
      <c r="G609">
        <v>375</v>
      </c>
      <c r="H609">
        <v>4</v>
      </c>
      <c r="I609">
        <v>4</v>
      </c>
      <c r="J609">
        <v>0</v>
      </c>
      <c r="K609" t="s">
        <v>110</v>
      </c>
      <c r="L609" t="s">
        <v>162</v>
      </c>
      <c r="M609" s="4">
        <v>800000000</v>
      </c>
      <c r="N609">
        <v>0</v>
      </c>
      <c r="O609">
        <v>4.62</v>
      </c>
      <c r="P609">
        <v>-74.137699999999995</v>
      </c>
      <c r="Q609" t="s">
        <v>3144</v>
      </c>
      <c r="R609">
        <v>2133333.3330000001</v>
      </c>
      <c r="S609">
        <v>0</v>
      </c>
      <c r="T609" t="s">
        <v>88</v>
      </c>
      <c r="U609" t="s">
        <v>89</v>
      </c>
      <c r="V609" t="s">
        <v>77</v>
      </c>
      <c r="W609" t="s">
        <v>88</v>
      </c>
      <c r="X609" t="s">
        <v>90</v>
      </c>
      <c r="Y609">
        <v>2.59761034714399</v>
      </c>
      <c r="Z609">
        <v>2597.6103471439901</v>
      </c>
      <c r="AA609">
        <v>4.6317666666666701</v>
      </c>
      <c r="AB609">
        <v>-74.117483333333297</v>
      </c>
      <c r="AC609">
        <v>2590</v>
      </c>
      <c r="AD609">
        <v>10</v>
      </c>
      <c r="AE609" t="s">
        <v>80</v>
      </c>
      <c r="AF609" t="s">
        <v>91</v>
      </c>
      <c r="AG609" t="s">
        <v>82</v>
      </c>
      <c r="AH609" t="s">
        <v>83</v>
      </c>
      <c r="AI609" t="s">
        <v>221</v>
      </c>
      <c r="AJ609">
        <v>1.1827203745833099</v>
      </c>
      <c r="AK609">
        <v>4.9193514865618297</v>
      </c>
      <c r="AL609">
        <v>2.8618312460127</v>
      </c>
      <c r="AM609">
        <v>6.5982133607298404E-2</v>
      </c>
      <c r="AN609">
        <v>2.4259684286594001</v>
      </c>
      <c r="AO609">
        <v>0.27576474720122202</v>
      </c>
      <c r="AP609">
        <v>0.27576474720122202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39</v>
      </c>
      <c r="AW609">
        <v>0</v>
      </c>
      <c r="AX609">
        <v>0</v>
      </c>
      <c r="AY609">
        <v>16.600000000000001</v>
      </c>
      <c r="AZ609">
        <v>101.7</v>
      </c>
      <c r="BA609">
        <v>19.899999999999999</v>
      </c>
      <c r="BB609">
        <v>564</v>
      </c>
      <c r="BC609">
        <v>71</v>
      </c>
      <c r="BD609">
        <v>1.7</v>
      </c>
      <c r="BE609">
        <v>185</v>
      </c>
      <c r="BF609">
        <v>0.8</v>
      </c>
      <c r="BG609">
        <v>162</v>
      </c>
      <c r="BH609">
        <v>19.5</v>
      </c>
      <c r="BI609">
        <v>15.6</v>
      </c>
      <c r="BJ609">
        <v>35</v>
      </c>
      <c r="BK609">
        <v>0.68</v>
      </c>
      <c r="BL609">
        <v>5.4</v>
      </c>
      <c r="BM609">
        <v>0.9</v>
      </c>
      <c r="BN609">
        <v>4.5999999999999996</v>
      </c>
      <c r="BO609">
        <v>2.1</v>
      </c>
      <c r="BP609">
        <f t="shared" si="18"/>
        <v>89.429051556308806</v>
      </c>
      <c r="BQ609">
        <f t="shared" si="19"/>
        <v>18.697261763868188</v>
      </c>
    </row>
    <row r="610" spans="1:69" hidden="1" x14ac:dyDescent="0.2">
      <c r="A610" t="s">
        <v>2985</v>
      </c>
      <c r="B610" t="s">
        <v>68</v>
      </c>
      <c r="C610" t="s">
        <v>1956</v>
      </c>
      <c r="D610" t="s">
        <v>70</v>
      </c>
      <c r="E610" t="s">
        <v>2986</v>
      </c>
      <c r="F610">
        <v>3</v>
      </c>
      <c r="G610">
        <v>345.24</v>
      </c>
      <c r="H610">
        <v>5</v>
      </c>
      <c r="I610">
        <v>5</v>
      </c>
      <c r="J610">
        <v>1</v>
      </c>
      <c r="K610" t="s">
        <v>110</v>
      </c>
      <c r="L610" t="s">
        <v>111</v>
      </c>
      <c r="M610" s="4">
        <v>900000000</v>
      </c>
      <c r="N610">
        <v>0</v>
      </c>
      <c r="O610">
        <v>4.6034199999999998</v>
      </c>
      <c r="P610">
        <v>-74.09872</v>
      </c>
      <c r="Q610" t="s">
        <v>2987</v>
      </c>
      <c r="R610">
        <v>2606882.1690000002</v>
      </c>
      <c r="S610">
        <v>0</v>
      </c>
      <c r="T610" t="s">
        <v>504</v>
      </c>
      <c r="U610" t="s">
        <v>505</v>
      </c>
      <c r="V610" t="s">
        <v>77</v>
      </c>
      <c r="W610" t="s">
        <v>88</v>
      </c>
      <c r="X610" t="s">
        <v>506</v>
      </c>
      <c r="Y610">
        <v>1.8869935609891799</v>
      </c>
      <c r="Z610">
        <v>1886.99356098918</v>
      </c>
      <c r="AA610">
        <v>4.6085000000000003</v>
      </c>
      <c r="AB610">
        <v>-74.114944444444404</v>
      </c>
      <c r="AC610">
        <v>2559</v>
      </c>
      <c r="AD610">
        <v>0</v>
      </c>
      <c r="AE610" t="s">
        <v>80</v>
      </c>
      <c r="AF610" t="s">
        <v>507</v>
      </c>
      <c r="AG610" t="s">
        <v>82</v>
      </c>
      <c r="AH610" t="s">
        <v>83</v>
      </c>
      <c r="AI610" t="s">
        <v>308</v>
      </c>
      <c r="AJ610">
        <v>0.15631261162576701</v>
      </c>
      <c r="AK610">
        <v>3.6714739031847601</v>
      </c>
      <c r="AL610">
        <v>1.2464840040001799</v>
      </c>
      <c r="AM610">
        <v>0.107118268382611</v>
      </c>
      <c r="AN610">
        <v>1.2741314527500101</v>
      </c>
      <c r="AO610">
        <v>0.117286079364872</v>
      </c>
      <c r="AP610">
        <v>0.117286079364872</v>
      </c>
      <c r="AQ610">
        <v>3</v>
      </c>
      <c r="AR610">
        <v>3</v>
      </c>
      <c r="AS610">
        <v>0</v>
      </c>
      <c r="AT610">
        <v>0</v>
      </c>
      <c r="AU610">
        <v>0</v>
      </c>
      <c r="AV610">
        <v>21</v>
      </c>
      <c r="AW610">
        <v>0</v>
      </c>
      <c r="AX610">
        <v>0</v>
      </c>
      <c r="AY610">
        <v>16.600000000000001</v>
      </c>
      <c r="AZ610">
        <v>101.7</v>
      </c>
      <c r="BA610">
        <v>19.899999999999999</v>
      </c>
      <c r="BB610">
        <v>564</v>
      </c>
      <c r="BC610">
        <v>71</v>
      </c>
      <c r="BD610">
        <v>1.7</v>
      </c>
      <c r="BE610">
        <v>185</v>
      </c>
      <c r="BF610">
        <v>0.8</v>
      </c>
      <c r="BG610">
        <v>162</v>
      </c>
      <c r="BH610">
        <v>19.5</v>
      </c>
      <c r="BI610">
        <v>15.6</v>
      </c>
      <c r="BJ610">
        <v>35</v>
      </c>
      <c r="BK610">
        <v>0.68</v>
      </c>
      <c r="BL610">
        <v>5.4</v>
      </c>
      <c r="BM610">
        <v>0.9</v>
      </c>
      <c r="BN610">
        <v>4.5999999999999996</v>
      </c>
      <c r="BO610">
        <v>2.1</v>
      </c>
      <c r="BP610">
        <f t="shared" si="18"/>
        <v>92.630746463679515</v>
      </c>
      <c r="BQ610">
        <f t="shared" si="19"/>
        <v>19.018874603718423</v>
      </c>
    </row>
    <row r="611" spans="1:69" hidden="1" x14ac:dyDescent="0.2">
      <c r="A611" t="s">
        <v>2954</v>
      </c>
      <c r="B611" t="s">
        <v>68</v>
      </c>
      <c r="C611" t="s">
        <v>1956</v>
      </c>
      <c r="D611" t="s">
        <v>70</v>
      </c>
      <c r="E611" t="s">
        <v>2955</v>
      </c>
      <c r="F611">
        <v>3</v>
      </c>
      <c r="G611">
        <v>334</v>
      </c>
      <c r="H611">
        <v>5</v>
      </c>
      <c r="I611">
        <v>5</v>
      </c>
      <c r="J611">
        <v>2</v>
      </c>
      <c r="K611" t="s">
        <v>110</v>
      </c>
      <c r="L611" t="s">
        <v>133</v>
      </c>
      <c r="M611" s="4">
        <v>850000000</v>
      </c>
      <c r="N611">
        <v>0</v>
      </c>
      <c r="O611">
        <v>4.6055345540000001</v>
      </c>
      <c r="P611">
        <v>-74.119956970000004</v>
      </c>
      <c r="Q611" t="s">
        <v>2956</v>
      </c>
      <c r="R611">
        <v>2544910.1800000002</v>
      </c>
      <c r="S611">
        <v>0</v>
      </c>
      <c r="T611" t="s">
        <v>504</v>
      </c>
      <c r="U611" t="s">
        <v>505</v>
      </c>
      <c r="V611" t="s">
        <v>77</v>
      </c>
      <c r="W611" t="s">
        <v>88</v>
      </c>
      <c r="X611" t="s">
        <v>506</v>
      </c>
      <c r="Y611">
        <v>0.646776652319761</v>
      </c>
      <c r="Z611">
        <v>646.77665231976096</v>
      </c>
      <c r="AA611">
        <v>4.6085000000000003</v>
      </c>
      <c r="AB611">
        <v>-74.114944444444404</v>
      </c>
      <c r="AC611">
        <v>2559</v>
      </c>
      <c r="AD611">
        <v>0</v>
      </c>
      <c r="AE611" t="s">
        <v>80</v>
      </c>
      <c r="AF611" t="s">
        <v>507</v>
      </c>
      <c r="AG611" t="s">
        <v>82</v>
      </c>
      <c r="AH611" t="s">
        <v>83</v>
      </c>
      <c r="AI611" t="s">
        <v>288</v>
      </c>
      <c r="AJ611">
        <v>1.20862193610264</v>
      </c>
      <c r="AK611">
        <v>6.0286736491872697</v>
      </c>
      <c r="AL611">
        <v>2.4992762485464199</v>
      </c>
      <c r="AM611">
        <v>0.22784236111873199</v>
      </c>
      <c r="AN611">
        <v>2.3241436400313602</v>
      </c>
      <c r="AO611">
        <v>9.3827757533799294E-2</v>
      </c>
      <c r="AP611">
        <v>9.3827757533799294E-2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8</v>
      </c>
      <c r="AW611">
        <v>0</v>
      </c>
      <c r="AX611">
        <v>0</v>
      </c>
      <c r="AY611">
        <v>16.600000000000001</v>
      </c>
      <c r="AZ611">
        <v>101.7</v>
      </c>
      <c r="BA611">
        <v>19.899999999999999</v>
      </c>
      <c r="BB611">
        <v>564</v>
      </c>
      <c r="BC611">
        <v>71</v>
      </c>
      <c r="BD611">
        <v>1.7</v>
      </c>
      <c r="BE611">
        <v>185</v>
      </c>
      <c r="BF611">
        <v>0.8</v>
      </c>
      <c r="BG611">
        <v>162</v>
      </c>
      <c r="BH611">
        <v>19.5</v>
      </c>
      <c r="BI611">
        <v>15.6</v>
      </c>
      <c r="BJ611">
        <v>35</v>
      </c>
      <c r="BK611">
        <v>0.68</v>
      </c>
      <c r="BL611">
        <v>5.4</v>
      </c>
      <c r="BM611">
        <v>0.9</v>
      </c>
      <c r="BN611">
        <v>4.5999999999999996</v>
      </c>
      <c r="BO611">
        <v>2.1</v>
      </c>
      <c r="BP611">
        <f t="shared" si="18"/>
        <v>98.495598191142193</v>
      </c>
      <c r="BQ611">
        <f t="shared" si="19"/>
        <v>19.593484589593519</v>
      </c>
    </row>
    <row r="612" spans="1:69" hidden="1" x14ac:dyDescent="0.2">
      <c r="A612" t="s">
        <v>2748</v>
      </c>
      <c r="B612" t="s">
        <v>68</v>
      </c>
      <c r="C612" t="s">
        <v>1956</v>
      </c>
      <c r="D612" t="s">
        <v>70</v>
      </c>
      <c r="E612" t="s">
        <v>2576</v>
      </c>
      <c r="F612">
        <v>3</v>
      </c>
      <c r="G612">
        <v>281.61</v>
      </c>
      <c r="H612">
        <v>5</v>
      </c>
      <c r="I612">
        <v>4</v>
      </c>
      <c r="J612">
        <v>2</v>
      </c>
      <c r="K612" t="s">
        <v>110</v>
      </c>
      <c r="L612" t="s">
        <v>162</v>
      </c>
      <c r="M612" s="4">
        <v>1150000000</v>
      </c>
      <c r="N612">
        <v>0</v>
      </c>
      <c r="O612">
        <v>4.5985899999999997</v>
      </c>
      <c r="P612">
        <v>-74.121549999999999</v>
      </c>
      <c r="Q612" t="s">
        <v>2749</v>
      </c>
      <c r="R612">
        <v>4083661.8020000001</v>
      </c>
      <c r="S612">
        <v>0</v>
      </c>
      <c r="T612" t="s">
        <v>504</v>
      </c>
      <c r="U612" t="s">
        <v>505</v>
      </c>
      <c r="V612" t="s">
        <v>77</v>
      </c>
      <c r="W612" t="s">
        <v>88</v>
      </c>
      <c r="X612" t="s">
        <v>506</v>
      </c>
      <c r="Y612">
        <v>1.3244698717285099</v>
      </c>
      <c r="Z612">
        <v>1324.46987172851</v>
      </c>
      <c r="AA612">
        <v>4.6085000000000003</v>
      </c>
      <c r="AB612">
        <v>-74.114944444444404</v>
      </c>
      <c r="AC612">
        <v>2559</v>
      </c>
      <c r="AD612">
        <v>0</v>
      </c>
      <c r="AE612" t="s">
        <v>80</v>
      </c>
      <c r="AF612" t="s">
        <v>507</v>
      </c>
      <c r="AG612" t="s">
        <v>82</v>
      </c>
      <c r="AH612" t="s">
        <v>83</v>
      </c>
      <c r="AI612" t="s">
        <v>288</v>
      </c>
      <c r="AJ612">
        <v>0.58216761070687095</v>
      </c>
      <c r="AK612">
        <v>5.8380435850636703</v>
      </c>
      <c r="AL612">
        <v>1.7563063058150401</v>
      </c>
      <c r="AM612">
        <v>0.33984997442053699</v>
      </c>
      <c r="AN612">
        <v>1.90173610918894</v>
      </c>
      <c r="AO612">
        <v>0.133547102511344</v>
      </c>
      <c r="AP612">
        <v>0.133547102511344</v>
      </c>
      <c r="AQ612">
        <v>0</v>
      </c>
      <c r="AR612">
        <v>2</v>
      </c>
      <c r="AS612">
        <v>0</v>
      </c>
      <c r="AT612">
        <v>0</v>
      </c>
      <c r="AU612">
        <v>0</v>
      </c>
      <c r="AV612">
        <v>23</v>
      </c>
      <c r="AW612">
        <v>0</v>
      </c>
      <c r="AX612">
        <v>0</v>
      </c>
      <c r="AY612">
        <v>16.600000000000001</v>
      </c>
      <c r="AZ612">
        <v>101.7</v>
      </c>
      <c r="BA612">
        <v>19.899999999999999</v>
      </c>
      <c r="BB612">
        <v>564</v>
      </c>
      <c r="BC612">
        <v>71</v>
      </c>
      <c r="BD612">
        <v>1.7</v>
      </c>
      <c r="BE612">
        <v>185</v>
      </c>
      <c r="BF612">
        <v>0.8</v>
      </c>
      <c r="BG612">
        <v>162</v>
      </c>
      <c r="BH612">
        <v>19.5</v>
      </c>
      <c r="BI612">
        <v>15.6</v>
      </c>
      <c r="BJ612">
        <v>35</v>
      </c>
      <c r="BK612">
        <v>0.68</v>
      </c>
      <c r="BL612">
        <v>5.4</v>
      </c>
      <c r="BM612">
        <v>0.9</v>
      </c>
      <c r="BN612">
        <v>4.5999999999999996</v>
      </c>
      <c r="BO612">
        <v>2.1</v>
      </c>
      <c r="BP612">
        <f t="shared" si="18"/>
        <v>95.246288217651653</v>
      </c>
      <c r="BQ612">
        <f t="shared" si="19"/>
        <v>19.277381291139498</v>
      </c>
    </row>
    <row r="613" spans="1:69" hidden="1" x14ac:dyDescent="0.2">
      <c r="A613" t="s">
        <v>2977</v>
      </c>
      <c r="B613" t="s">
        <v>68</v>
      </c>
      <c r="C613" t="s">
        <v>1956</v>
      </c>
      <c r="D613" t="s">
        <v>70</v>
      </c>
      <c r="E613" t="s">
        <v>1984</v>
      </c>
      <c r="F613">
        <v>3</v>
      </c>
      <c r="G613">
        <v>279</v>
      </c>
      <c r="H613">
        <v>5</v>
      </c>
      <c r="I613">
        <v>5</v>
      </c>
      <c r="J613">
        <v>4</v>
      </c>
      <c r="K613" t="s">
        <v>110</v>
      </c>
      <c r="L613" t="s">
        <v>124</v>
      </c>
      <c r="M613" s="4">
        <v>900000000</v>
      </c>
      <c r="N613">
        <v>0</v>
      </c>
      <c r="O613">
        <v>4.6105001000000003</v>
      </c>
      <c r="P613">
        <v>-74.117102700000004</v>
      </c>
      <c r="Q613" t="s">
        <v>2978</v>
      </c>
      <c r="R613">
        <v>3225806.452</v>
      </c>
      <c r="S613">
        <v>0</v>
      </c>
      <c r="T613" t="s">
        <v>504</v>
      </c>
      <c r="U613" t="s">
        <v>505</v>
      </c>
      <c r="V613" t="s">
        <v>77</v>
      </c>
      <c r="W613" t="s">
        <v>88</v>
      </c>
      <c r="X613" t="s">
        <v>506</v>
      </c>
      <c r="Y613">
        <v>0.32699109659536602</v>
      </c>
      <c r="Z613">
        <v>326.991096595366</v>
      </c>
      <c r="AA613">
        <v>4.6085000000000003</v>
      </c>
      <c r="AB613">
        <v>-74.114944444444404</v>
      </c>
      <c r="AC613">
        <v>2559</v>
      </c>
      <c r="AD613">
        <v>0</v>
      </c>
      <c r="AE613" t="s">
        <v>80</v>
      </c>
      <c r="AF613" t="s">
        <v>507</v>
      </c>
      <c r="AG613" t="s">
        <v>82</v>
      </c>
      <c r="AH613" t="s">
        <v>83</v>
      </c>
      <c r="AI613" t="s">
        <v>288</v>
      </c>
      <c r="AJ613">
        <v>1.61821850988441</v>
      </c>
      <c r="AK613">
        <v>5.7976962495218096</v>
      </c>
      <c r="AL613">
        <v>3.1178078878865199</v>
      </c>
      <c r="AM613">
        <v>0.54283053281581095</v>
      </c>
      <c r="AN613">
        <v>1.77137827338876</v>
      </c>
      <c r="AO613">
        <v>0.37355355589848499</v>
      </c>
      <c r="AP613">
        <v>0.37355355589848499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</v>
      </c>
      <c r="AW613">
        <v>0</v>
      </c>
      <c r="AX613">
        <v>0</v>
      </c>
      <c r="AY613">
        <v>16.600000000000001</v>
      </c>
      <c r="AZ613">
        <v>101.7</v>
      </c>
      <c r="BA613">
        <v>19.899999999999999</v>
      </c>
      <c r="BB613">
        <v>564</v>
      </c>
      <c r="BC613">
        <v>71</v>
      </c>
      <c r="BD613">
        <v>1.7</v>
      </c>
      <c r="BE613">
        <v>185</v>
      </c>
      <c r="BF613">
        <v>0.8</v>
      </c>
      <c r="BG613">
        <v>162</v>
      </c>
      <c r="BH613">
        <v>19.5</v>
      </c>
      <c r="BI613">
        <v>15.6</v>
      </c>
      <c r="BJ613">
        <v>35</v>
      </c>
      <c r="BK613">
        <v>0.68</v>
      </c>
      <c r="BL613">
        <v>5.4</v>
      </c>
      <c r="BM613">
        <v>0.9</v>
      </c>
      <c r="BN613">
        <v>4.5999999999999996</v>
      </c>
      <c r="BO613">
        <v>2.1</v>
      </c>
      <c r="BP613">
        <f t="shared" si="18"/>
        <v>100.06712829946011</v>
      </c>
      <c r="BQ613">
        <f t="shared" si="19"/>
        <v>19.744440250483446</v>
      </c>
    </row>
    <row r="614" spans="1:69" hidden="1" x14ac:dyDescent="0.2">
      <c r="A614" t="s">
        <v>2053</v>
      </c>
      <c r="B614" t="s">
        <v>68</v>
      </c>
      <c r="C614" t="s">
        <v>1956</v>
      </c>
      <c r="D614" t="s">
        <v>70</v>
      </c>
      <c r="E614" t="s">
        <v>1984</v>
      </c>
      <c r="F614">
        <v>3</v>
      </c>
      <c r="G614">
        <v>278</v>
      </c>
      <c r="H614">
        <v>3</v>
      </c>
      <c r="I614">
        <v>5</v>
      </c>
      <c r="J614">
        <v>3</v>
      </c>
      <c r="K614" t="s">
        <v>110</v>
      </c>
      <c r="L614" t="s">
        <v>133</v>
      </c>
      <c r="M614" s="4">
        <v>1250000000</v>
      </c>
      <c r="N614">
        <v>0</v>
      </c>
      <c r="O614">
        <v>4.6128768920000001</v>
      </c>
      <c r="P614">
        <v>-74.116661070000006</v>
      </c>
      <c r="Q614" t="s">
        <v>2054</v>
      </c>
      <c r="R614">
        <v>4496402.8779999996</v>
      </c>
      <c r="S614">
        <v>0</v>
      </c>
      <c r="T614" t="s">
        <v>504</v>
      </c>
      <c r="U614" t="s">
        <v>505</v>
      </c>
      <c r="V614" t="s">
        <v>77</v>
      </c>
      <c r="W614" t="s">
        <v>88</v>
      </c>
      <c r="X614" t="s">
        <v>506</v>
      </c>
      <c r="Y614">
        <v>0.52314174464185303</v>
      </c>
      <c r="Z614">
        <v>523.14174464185305</v>
      </c>
      <c r="AA614">
        <v>4.6085000000000003</v>
      </c>
      <c r="AB614">
        <v>-74.114944444444404</v>
      </c>
      <c r="AC614">
        <v>2559</v>
      </c>
      <c r="AD614">
        <v>0</v>
      </c>
      <c r="AE614" t="s">
        <v>80</v>
      </c>
      <c r="AF614" t="s">
        <v>507</v>
      </c>
      <c r="AG614" t="s">
        <v>82</v>
      </c>
      <c r="AH614" t="s">
        <v>83</v>
      </c>
      <c r="AI614" t="s">
        <v>288</v>
      </c>
      <c r="AJ614">
        <v>1.74169543578513</v>
      </c>
      <c r="AK614">
        <v>5.7678922313466101</v>
      </c>
      <c r="AL614">
        <v>3.1676433928977699</v>
      </c>
      <c r="AM614">
        <v>0.61302779483504999</v>
      </c>
      <c r="AN614">
        <v>1.62598757405973</v>
      </c>
      <c r="AO614">
        <v>0.30232624710183897</v>
      </c>
      <c r="AP614">
        <v>0.30232624710183897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</v>
      </c>
      <c r="AW614">
        <v>0</v>
      </c>
      <c r="AX614">
        <v>0</v>
      </c>
      <c r="AY614">
        <v>16.600000000000001</v>
      </c>
      <c r="AZ614">
        <v>101.7</v>
      </c>
      <c r="BA614">
        <v>19.899999999999999</v>
      </c>
      <c r="BB614">
        <v>564</v>
      </c>
      <c r="BC614">
        <v>71</v>
      </c>
      <c r="BD614">
        <v>1.7</v>
      </c>
      <c r="BE614">
        <v>185</v>
      </c>
      <c r="BF614">
        <v>0.8</v>
      </c>
      <c r="BG614">
        <v>162</v>
      </c>
      <c r="BH614">
        <v>19.5</v>
      </c>
      <c r="BI614">
        <v>15.6</v>
      </c>
      <c r="BJ614">
        <v>35</v>
      </c>
      <c r="BK614">
        <v>0.68</v>
      </c>
      <c r="BL614">
        <v>5.4</v>
      </c>
      <c r="BM614">
        <v>0.9</v>
      </c>
      <c r="BN614">
        <v>4.5999999999999996</v>
      </c>
      <c r="BO614">
        <v>2.1</v>
      </c>
      <c r="BP614">
        <f t="shared" si="18"/>
        <v>99.100232425329665</v>
      </c>
      <c r="BQ614">
        <f t="shared" si="19"/>
        <v>19.651709458188243</v>
      </c>
    </row>
    <row r="615" spans="1:69" hidden="1" x14ac:dyDescent="0.2">
      <c r="A615" t="s">
        <v>2922</v>
      </c>
      <c r="B615" t="s">
        <v>68</v>
      </c>
      <c r="C615" t="s">
        <v>1956</v>
      </c>
      <c r="D615" t="s">
        <v>70</v>
      </c>
      <c r="E615" t="s">
        <v>2923</v>
      </c>
      <c r="F615">
        <v>3</v>
      </c>
      <c r="G615">
        <v>270</v>
      </c>
      <c r="H615">
        <v>5</v>
      </c>
      <c r="I615">
        <v>3</v>
      </c>
      <c r="J615">
        <v>2</v>
      </c>
      <c r="K615" t="s">
        <v>110</v>
      </c>
      <c r="L615" t="s">
        <v>162</v>
      </c>
      <c r="M615" s="4">
        <v>880000000</v>
      </c>
      <c r="N615">
        <v>0</v>
      </c>
      <c r="O615">
        <v>4.6321399999999997</v>
      </c>
      <c r="P615">
        <v>-74.12979</v>
      </c>
      <c r="Q615" t="s">
        <v>2924</v>
      </c>
      <c r="R615">
        <v>3259259.2590000001</v>
      </c>
      <c r="S615">
        <v>0</v>
      </c>
      <c r="T615" t="s">
        <v>88</v>
      </c>
      <c r="U615" t="s">
        <v>89</v>
      </c>
      <c r="V615" t="s">
        <v>77</v>
      </c>
      <c r="W615" t="s">
        <v>88</v>
      </c>
      <c r="X615" t="s">
        <v>90</v>
      </c>
      <c r="Y615">
        <v>1.3661298221484199</v>
      </c>
      <c r="Z615">
        <v>1366.1298221484201</v>
      </c>
      <c r="AA615">
        <v>4.6317666666666701</v>
      </c>
      <c r="AB615">
        <v>-74.117483333333297</v>
      </c>
      <c r="AC615">
        <v>2590</v>
      </c>
      <c r="AD615">
        <v>10</v>
      </c>
      <c r="AE615" t="s">
        <v>80</v>
      </c>
      <c r="AF615" t="s">
        <v>91</v>
      </c>
      <c r="AG615" t="s">
        <v>82</v>
      </c>
      <c r="AH615" t="s">
        <v>83</v>
      </c>
      <c r="AI615" t="s">
        <v>221</v>
      </c>
      <c r="AJ615">
        <v>0.275310984071377</v>
      </c>
      <c r="AK615">
        <v>4.36846671193452</v>
      </c>
      <c r="AL615">
        <v>1.26350634176875</v>
      </c>
      <c r="AM615">
        <v>0.19601464231471299</v>
      </c>
      <c r="AN615">
        <v>2.6952308713618902</v>
      </c>
      <c r="AO615">
        <v>0.117432631641831</v>
      </c>
      <c r="AP615">
        <v>0.117432631641831</v>
      </c>
      <c r="AQ615">
        <v>1</v>
      </c>
      <c r="AR615">
        <v>2</v>
      </c>
      <c r="AS615">
        <v>0</v>
      </c>
      <c r="AT615">
        <v>0</v>
      </c>
      <c r="AU615">
        <v>0</v>
      </c>
      <c r="AV615">
        <v>35</v>
      </c>
      <c r="AW615">
        <v>0</v>
      </c>
      <c r="AX615">
        <v>0</v>
      </c>
      <c r="AY615">
        <v>16.600000000000001</v>
      </c>
      <c r="AZ615">
        <v>101.7</v>
      </c>
      <c r="BA615">
        <v>19.899999999999999</v>
      </c>
      <c r="BB615">
        <v>564</v>
      </c>
      <c r="BC615">
        <v>71</v>
      </c>
      <c r="BD615">
        <v>1.7</v>
      </c>
      <c r="BE615">
        <v>185</v>
      </c>
      <c r="BF615">
        <v>0.8</v>
      </c>
      <c r="BG615">
        <v>162</v>
      </c>
      <c r="BH615">
        <v>19.5</v>
      </c>
      <c r="BI615">
        <v>15.6</v>
      </c>
      <c r="BJ615">
        <v>35</v>
      </c>
      <c r="BK615">
        <v>0.68</v>
      </c>
      <c r="BL615">
        <v>5.4</v>
      </c>
      <c r="BM615">
        <v>0.9</v>
      </c>
      <c r="BN615">
        <v>4.5999999999999996</v>
      </c>
      <c r="BO615">
        <v>2.1</v>
      </c>
      <c r="BP615">
        <f t="shared" si="18"/>
        <v>95.050076793181489</v>
      </c>
      <c r="BQ615">
        <f t="shared" si="19"/>
        <v>19.258116649540984</v>
      </c>
    </row>
    <row r="616" spans="1:69" hidden="1" x14ac:dyDescent="0.2">
      <c r="A616" t="s">
        <v>3081</v>
      </c>
      <c r="B616" t="s">
        <v>68</v>
      </c>
      <c r="C616" t="s">
        <v>1956</v>
      </c>
      <c r="D616" t="s">
        <v>70</v>
      </c>
      <c r="E616" t="s">
        <v>3082</v>
      </c>
      <c r="F616">
        <v>3</v>
      </c>
      <c r="G616">
        <v>260</v>
      </c>
      <c r="H616">
        <v>5</v>
      </c>
      <c r="I616">
        <v>5</v>
      </c>
      <c r="J616">
        <v>3</v>
      </c>
      <c r="K616" t="s">
        <v>110</v>
      </c>
      <c r="L616" t="s">
        <v>162</v>
      </c>
      <c r="M616" s="4">
        <v>630000000</v>
      </c>
      <c r="N616">
        <v>0</v>
      </c>
      <c r="O616">
        <v>4.5959801669999996</v>
      </c>
      <c r="P616">
        <v>-74.108879090000002</v>
      </c>
      <c r="Q616" t="s">
        <v>3083</v>
      </c>
      <c r="R616">
        <v>2423076.923</v>
      </c>
      <c r="S616">
        <v>0</v>
      </c>
      <c r="T616" t="s">
        <v>504</v>
      </c>
      <c r="U616" t="s">
        <v>505</v>
      </c>
      <c r="V616" t="s">
        <v>77</v>
      </c>
      <c r="W616" t="s">
        <v>88</v>
      </c>
      <c r="X616" t="s">
        <v>506</v>
      </c>
      <c r="Y616">
        <v>1.54769283502398</v>
      </c>
      <c r="Z616">
        <v>1547.69283502398</v>
      </c>
      <c r="AA616">
        <v>4.6085000000000003</v>
      </c>
      <c r="AB616">
        <v>-74.114944444444404</v>
      </c>
      <c r="AC616">
        <v>2559</v>
      </c>
      <c r="AD616">
        <v>0</v>
      </c>
      <c r="AE616" t="s">
        <v>80</v>
      </c>
      <c r="AF616" t="s">
        <v>507</v>
      </c>
      <c r="AG616" t="s">
        <v>82</v>
      </c>
      <c r="AH616" t="s">
        <v>83</v>
      </c>
      <c r="AI616" t="s">
        <v>987</v>
      </c>
      <c r="AJ616">
        <v>0.248702066479661</v>
      </c>
      <c r="AK616">
        <v>4.4670185179139299</v>
      </c>
      <c r="AL616">
        <v>1.7809519718834199</v>
      </c>
      <c r="AM616">
        <v>0.27286790343061701</v>
      </c>
      <c r="AN616">
        <v>1.1857877821603</v>
      </c>
      <c r="AO616">
        <v>6.3118024810152704E-2</v>
      </c>
      <c r="AP616">
        <v>6.3118024810152704E-2</v>
      </c>
      <c r="AQ616">
        <v>1</v>
      </c>
      <c r="AR616">
        <v>2</v>
      </c>
      <c r="AS616">
        <v>0</v>
      </c>
      <c r="AT616">
        <v>0</v>
      </c>
      <c r="AU616">
        <v>0</v>
      </c>
      <c r="AV616">
        <v>18</v>
      </c>
      <c r="AW616">
        <v>0</v>
      </c>
      <c r="AX616">
        <v>0</v>
      </c>
      <c r="AY616">
        <v>16.600000000000001</v>
      </c>
      <c r="AZ616">
        <v>101.7</v>
      </c>
      <c r="BA616">
        <v>19.899999999999999</v>
      </c>
      <c r="BB616">
        <v>564</v>
      </c>
      <c r="BC616">
        <v>71</v>
      </c>
      <c r="BD616">
        <v>1.7</v>
      </c>
      <c r="BE616">
        <v>185</v>
      </c>
      <c r="BF616">
        <v>0.8</v>
      </c>
      <c r="BG616">
        <v>162</v>
      </c>
      <c r="BH616">
        <v>19.5</v>
      </c>
      <c r="BI616">
        <v>15.6</v>
      </c>
      <c r="BJ616">
        <v>35</v>
      </c>
      <c r="BK616">
        <v>0.68</v>
      </c>
      <c r="BL616">
        <v>5.4</v>
      </c>
      <c r="BM616">
        <v>0.9</v>
      </c>
      <c r="BN616">
        <v>4.5999999999999996</v>
      </c>
      <c r="BO616">
        <v>2.1</v>
      </c>
      <c r="BP616">
        <f t="shared" si="18"/>
        <v>94.199653922883357</v>
      </c>
      <c r="BQ616">
        <f t="shared" si="19"/>
        <v>19.174381739638381</v>
      </c>
    </row>
    <row r="617" spans="1:69" hidden="1" x14ac:dyDescent="0.2">
      <c r="A617" t="s">
        <v>1983</v>
      </c>
      <c r="B617" t="s">
        <v>68</v>
      </c>
      <c r="C617" t="s">
        <v>1956</v>
      </c>
      <c r="D617" t="s">
        <v>70</v>
      </c>
      <c r="E617" t="s">
        <v>1984</v>
      </c>
      <c r="F617">
        <v>3</v>
      </c>
      <c r="G617">
        <v>256</v>
      </c>
      <c r="H617">
        <v>5</v>
      </c>
      <c r="I617">
        <v>4</v>
      </c>
      <c r="J617">
        <v>2</v>
      </c>
      <c r="K617" t="s">
        <v>110</v>
      </c>
      <c r="L617" t="s">
        <v>162</v>
      </c>
      <c r="M617" s="4">
        <v>870000000</v>
      </c>
      <c r="N617">
        <v>0</v>
      </c>
      <c r="O617">
        <v>4.6119149999999998</v>
      </c>
      <c r="P617">
        <v>-74.117769999999993</v>
      </c>
      <c r="Q617" t="s">
        <v>1985</v>
      </c>
      <c r="R617">
        <v>3398437.5</v>
      </c>
      <c r="S617">
        <v>0</v>
      </c>
      <c r="T617" t="s">
        <v>504</v>
      </c>
      <c r="U617" t="s">
        <v>505</v>
      </c>
      <c r="V617" t="s">
        <v>77</v>
      </c>
      <c r="W617" t="s">
        <v>88</v>
      </c>
      <c r="X617" t="s">
        <v>506</v>
      </c>
      <c r="Y617">
        <v>0.49276212341073899</v>
      </c>
      <c r="Z617">
        <v>492.76212341073898</v>
      </c>
      <c r="AA617">
        <v>4.6085000000000003</v>
      </c>
      <c r="AB617">
        <v>-74.114944444444404</v>
      </c>
      <c r="AC617">
        <v>2559</v>
      </c>
      <c r="AD617">
        <v>0</v>
      </c>
      <c r="AE617" t="s">
        <v>80</v>
      </c>
      <c r="AF617" t="s">
        <v>507</v>
      </c>
      <c r="AG617" t="s">
        <v>82</v>
      </c>
      <c r="AH617" t="s">
        <v>83</v>
      </c>
      <c r="AI617" t="s">
        <v>288</v>
      </c>
      <c r="AJ617">
        <v>1.7911892551306401</v>
      </c>
      <c r="AK617">
        <v>5.8813384055570896</v>
      </c>
      <c r="AL617">
        <v>3.1640612277585101</v>
      </c>
      <c r="AM617">
        <v>0.71257850290289004</v>
      </c>
      <c r="AN617">
        <v>1.7774465228410501</v>
      </c>
      <c r="AO617">
        <v>0.24232116879492299</v>
      </c>
      <c r="AP617">
        <v>0.24232116879492299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8</v>
      </c>
      <c r="AW617">
        <v>0</v>
      </c>
      <c r="AX617">
        <v>0</v>
      </c>
      <c r="AY617">
        <v>16.600000000000001</v>
      </c>
      <c r="AZ617">
        <v>101.7</v>
      </c>
      <c r="BA617">
        <v>19.899999999999999</v>
      </c>
      <c r="BB617">
        <v>564</v>
      </c>
      <c r="BC617">
        <v>71</v>
      </c>
      <c r="BD617">
        <v>1.7</v>
      </c>
      <c r="BE617">
        <v>185</v>
      </c>
      <c r="BF617">
        <v>0.8</v>
      </c>
      <c r="BG617">
        <v>162</v>
      </c>
      <c r="BH617">
        <v>19.5</v>
      </c>
      <c r="BI617">
        <v>15.6</v>
      </c>
      <c r="BJ617">
        <v>35</v>
      </c>
      <c r="BK617">
        <v>0.68</v>
      </c>
      <c r="BL617">
        <v>5.4</v>
      </c>
      <c r="BM617">
        <v>0.9</v>
      </c>
      <c r="BN617">
        <v>4.5999999999999996</v>
      </c>
      <c r="BO617">
        <v>2.1</v>
      </c>
      <c r="BP617">
        <f t="shared" si="18"/>
        <v>99.249370596050227</v>
      </c>
      <c r="BQ617">
        <f t="shared" si="19"/>
        <v>19.66604295866626</v>
      </c>
    </row>
    <row r="618" spans="1:69" hidden="1" x14ac:dyDescent="0.2">
      <c r="A618" t="s">
        <v>3116</v>
      </c>
      <c r="B618" t="s">
        <v>68</v>
      </c>
      <c r="C618" t="s">
        <v>1956</v>
      </c>
      <c r="D618" t="s">
        <v>70</v>
      </c>
      <c r="E618" t="s">
        <v>3117</v>
      </c>
      <c r="F618">
        <v>3</v>
      </c>
      <c r="G618">
        <v>238</v>
      </c>
      <c r="H618">
        <v>5</v>
      </c>
      <c r="I618">
        <v>3</v>
      </c>
      <c r="J618">
        <v>1</v>
      </c>
      <c r="K618" t="s">
        <v>110</v>
      </c>
      <c r="L618" t="s">
        <v>162</v>
      </c>
      <c r="M618" s="4">
        <v>700000000</v>
      </c>
      <c r="N618">
        <v>0</v>
      </c>
      <c r="O618">
        <v>4.5985899999999997</v>
      </c>
      <c r="P618">
        <v>-74.113159999999993</v>
      </c>
      <c r="Q618" t="s">
        <v>3118</v>
      </c>
      <c r="R618">
        <v>2941176.4709999999</v>
      </c>
      <c r="S618">
        <v>0</v>
      </c>
      <c r="T618" t="s">
        <v>504</v>
      </c>
      <c r="U618" t="s">
        <v>505</v>
      </c>
      <c r="V618" t="s">
        <v>77</v>
      </c>
      <c r="W618" t="s">
        <v>88</v>
      </c>
      <c r="X618" t="s">
        <v>506</v>
      </c>
      <c r="Y618">
        <v>1.12080446919737</v>
      </c>
      <c r="Z618">
        <v>1120.8044691973701</v>
      </c>
      <c r="AA618">
        <v>4.6085000000000003</v>
      </c>
      <c r="AB618">
        <v>-74.114944444444404</v>
      </c>
      <c r="AC618">
        <v>2559</v>
      </c>
      <c r="AD618">
        <v>0</v>
      </c>
      <c r="AE618" t="s">
        <v>80</v>
      </c>
      <c r="AF618" t="s">
        <v>507</v>
      </c>
      <c r="AG618" t="s">
        <v>82</v>
      </c>
      <c r="AH618" t="s">
        <v>83</v>
      </c>
      <c r="AI618" t="s">
        <v>288</v>
      </c>
      <c r="AJ618">
        <v>0.31000251666999001</v>
      </c>
      <c r="AK618">
        <v>5.0225007353533897</v>
      </c>
      <c r="AL618">
        <v>2.32828563492949</v>
      </c>
      <c r="AM618">
        <v>0.37875347948475702</v>
      </c>
      <c r="AN618">
        <v>1.48781884336323</v>
      </c>
      <c r="AO618">
        <v>4.5226041317536901E-2</v>
      </c>
      <c r="AP618">
        <v>4.5226041317536901E-2</v>
      </c>
      <c r="AQ618">
        <v>1</v>
      </c>
      <c r="AR618">
        <v>2</v>
      </c>
      <c r="AS618">
        <v>0</v>
      </c>
      <c r="AT618">
        <v>0</v>
      </c>
      <c r="AU618">
        <v>0</v>
      </c>
      <c r="AV618">
        <v>18</v>
      </c>
      <c r="AW618">
        <v>0</v>
      </c>
      <c r="AX618">
        <v>0</v>
      </c>
      <c r="AY618">
        <v>16.600000000000001</v>
      </c>
      <c r="AZ618">
        <v>101.7</v>
      </c>
      <c r="BA618">
        <v>19.899999999999999</v>
      </c>
      <c r="BB618">
        <v>564</v>
      </c>
      <c r="BC618">
        <v>71</v>
      </c>
      <c r="BD618">
        <v>1.7</v>
      </c>
      <c r="BE618">
        <v>185</v>
      </c>
      <c r="BF618">
        <v>0.8</v>
      </c>
      <c r="BG618">
        <v>162</v>
      </c>
      <c r="BH618">
        <v>19.5</v>
      </c>
      <c r="BI618">
        <v>15.6</v>
      </c>
      <c r="BJ618">
        <v>35</v>
      </c>
      <c r="BK618">
        <v>0.68</v>
      </c>
      <c r="BL618">
        <v>5.4</v>
      </c>
      <c r="BM618">
        <v>0.9</v>
      </c>
      <c r="BN618">
        <v>4.5999999999999996</v>
      </c>
      <c r="BO618">
        <v>2.1</v>
      </c>
      <c r="BP618">
        <f t="shared" si="18"/>
        <v>96.211364215140506</v>
      </c>
      <c r="BQ618">
        <f t="shared" si="19"/>
        <v>19.371839211686581</v>
      </c>
    </row>
    <row r="619" spans="1:69" hidden="1" x14ac:dyDescent="0.2">
      <c r="A619" t="s">
        <v>1157</v>
      </c>
      <c r="B619" t="s">
        <v>68</v>
      </c>
      <c r="C619" t="s">
        <v>69</v>
      </c>
      <c r="D619" t="s">
        <v>70</v>
      </c>
      <c r="E619" t="s">
        <v>130</v>
      </c>
      <c r="F619">
        <v>4</v>
      </c>
      <c r="G619">
        <v>226.67</v>
      </c>
      <c r="H619">
        <v>3</v>
      </c>
      <c r="I619">
        <v>4</v>
      </c>
      <c r="J619">
        <v>2</v>
      </c>
      <c r="K619" t="s">
        <v>110</v>
      </c>
      <c r="L619" t="s">
        <v>162</v>
      </c>
      <c r="M619" s="4">
        <v>2200000000</v>
      </c>
      <c r="N619">
        <v>0</v>
      </c>
      <c r="O619">
        <v>4.5965499999999997</v>
      </c>
      <c r="P619">
        <v>-74.095950000000002</v>
      </c>
      <c r="Q619" t="s">
        <v>1158</v>
      </c>
      <c r="R619">
        <v>9705739.6209999993</v>
      </c>
      <c r="S619">
        <v>0</v>
      </c>
      <c r="T619" t="s">
        <v>504</v>
      </c>
      <c r="U619" t="s">
        <v>505</v>
      </c>
      <c r="V619" t="s">
        <v>77</v>
      </c>
      <c r="W619" t="s">
        <v>88</v>
      </c>
      <c r="X619" t="s">
        <v>506</v>
      </c>
      <c r="Y619">
        <v>2.4923345855875301</v>
      </c>
      <c r="Z619">
        <v>2492.33458558753</v>
      </c>
      <c r="AA619">
        <v>4.6085000000000003</v>
      </c>
      <c r="AB619">
        <v>-74.114944444444404</v>
      </c>
      <c r="AC619">
        <v>2559</v>
      </c>
      <c r="AD619">
        <v>0</v>
      </c>
      <c r="AE619" t="s">
        <v>80</v>
      </c>
      <c r="AF619" t="s">
        <v>507</v>
      </c>
      <c r="AG619" t="s">
        <v>82</v>
      </c>
      <c r="AH619" t="s">
        <v>83</v>
      </c>
      <c r="AI619" t="s">
        <v>308</v>
      </c>
      <c r="AJ619">
        <v>0.849737302432373</v>
      </c>
      <c r="AK619">
        <v>3.2810393332641299</v>
      </c>
      <c r="AL619">
        <v>0.89994462002576203</v>
      </c>
      <c r="AM619">
        <v>0.39230940878007597</v>
      </c>
      <c r="AN619">
        <v>1.44811480607302</v>
      </c>
      <c r="AO619">
        <v>1.5700144271330398E-2</v>
      </c>
      <c r="AP619">
        <v>1.5700144271330398E-2</v>
      </c>
      <c r="AQ619">
        <v>0</v>
      </c>
      <c r="AR619">
        <v>5</v>
      </c>
      <c r="AS619">
        <v>0</v>
      </c>
      <c r="AT619">
        <v>0</v>
      </c>
      <c r="AU619">
        <v>1</v>
      </c>
      <c r="AV619">
        <v>21</v>
      </c>
      <c r="AW619">
        <v>0</v>
      </c>
      <c r="AX619">
        <v>0</v>
      </c>
      <c r="AY619">
        <v>16.600000000000001</v>
      </c>
      <c r="AZ619">
        <v>101.7</v>
      </c>
      <c r="BA619">
        <v>19.899999999999999</v>
      </c>
      <c r="BB619">
        <v>564</v>
      </c>
      <c r="BC619">
        <v>71</v>
      </c>
      <c r="BD619">
        <v>1.7</v>
      </c>
      <c r="BE619">
        <v>185</v>
      </c>
      <c r="BF619">
        <v>0.8</v>
      </c>
      <c r="BG619">
        <v>162</v>
      </c>
      <c r="BH619">
        <v>19.5</v>
      </c>
      <c r="BI619">
        <v>15.6</v>
      </c>
      <c r="BJ619">
        <v>35</v>
      </c>
      <c r="BK619">
        <v>0.68</v>
      </c>
      <c r="BL619">
        <v>5.4</v>
      </c>
      <c r="BM619">
        <v>0.9</v>
      </c>
      <c r="BN619">
        <v>4.5999999999999996</v>
      </c>
      <c r="BO619">
        <v>2.1</v>
      </c>
      <c r="BP619">
        <f t="shared" si="18"/>
        <v>89.896296159473479</v>
      </c>
      <c r="BQ619">
        <f t="shared" si="19"/>
        <v>18.744562337260788</v>
      </c>
    </row>
    <row r="620" spans="1:69" hidden="1" x14ac:dyDescent="0.2">
      <c r="A620" t="s">
        <v>2382</v>
      </c>
      <c r="B620" t="s">
        <v>68</v>
      </c>
      <c r="C620" t="s">
        <v>1956</v>
      </c>
      <c r="D620" t="s">
        <v>70</v>
      </c>
      <c r="E620" t="s">
        <v>2383</v>
      </c>
      <c r="F620">
        <v>3</v>
      </c>
      <c r="G620">
        <v>224</v>
      </c>
      <c r="H620">
        <v>5</v>
      </c>
      <c r="I620">
        <v>5</v>
      </c>
      <c r="J620">
        <v>4</v>
      </c>
      <c r="K620" t="s">
        <v>110</v>
      </c>
      <c r="L620" t="s">
        <v>162</v>
      </c>
      <c r="M620" s="4">
        <v>850000000</v>
      </c>
      <c r="N620">
        <v>0</v>
      </c>
      <c r="O620">
        <v>4.5939016339999998</v>
      </c>
      <c r="P620">
        <v>-74.100013730000001</v>
      </c>
      <c r="Q620" t="s">
        <v>2384</v>
      </c>
      <c r="R620">
        <v>3794642.8569999998</v>
      </c>
      <c r="S620">
        <v>0</v>
      </c>
      <c r="T620" t="s">
        <v>504</v>
      </c>
      <c r="U620" t="s">
        <v>505</v>
      </c>
      <c r="V620" t="s">
        <v>77</v>
      </c>
      <c r="W620" t="s">
        <v>88</v>
      </c>
      <c r="X620" t="s">
        <v>506</v>
      </c>
      <c r="Y620">
        <v>2.3206948707712298</v>
      </c>
      <c r="Z620">
        <v>2320.6948707712299</v>
      </c>
      <c r="AA620">
        <v>4.6085000000000003</v>
      </c>
      <c r="AB620">
        <v>-74.114944444444404</v>
      </c>
      <c r="AC620">
        <v>2559</v>
      </c>
      <c r="AD620">
        <v>0</v>
      </c>
      <c r="AE620" t="s">
        <v>80</v>
      </c>
      <c r="AF620" t="s">
        <v>507</v>
      </c>
      <c r="AG620" t="s">
        <v>82</v>
      </c>
      <c r="AH620" t="s">
        <v>83</v>
      </c>
      <c r="AI620" t="s">
        <v>987</v>
      </c>
      <c r="AJ620">
        <v>0.90629343930143502</v>
      </c>
      <c r="AK620">
        <v>3.5211831854251301</v>
      </c>
      <c r="AL620">
        <v>1.0283276198681199</v>
      </c>
      <c r="AM620">
        <v>0.48916904100450698</v>
      </c>
      <c r="AN620">
        <v>0.97971756934495102</v>
      </c>
      <c r="AO620">
        <v>0.39255505800998203</v>
      </c>
      <c r="AP620">
        <v>0.39255505800998203</v>
      </c>
      <c r="AQ620">
        <v>0</v>
      </c>
      <c r="AR620">
        <v>1</v>
      </c>
      <c r="AS620">
        <v>0</v>
      </c>
      <c r="AT620">
        <v>0</v>
      </c>
      <c r="AU620">
        <v>0</v>
      </c>
      <c r="AV620">
        <v>39</v>
      </c>
      <c r="AW620">
        <v>1</v>
      </c>
      <c r="AX620">
        <v>0</v>
      </c>
      <c r="AY620">
        <v>16.600000000000001</v>
      </c>
      <c r="AZ620">
        <v>101.7</v>
      </c>
      <c r="BA620">
        <v>19.899999999999999</v>
      </c>
      <c r="BB620">
        <v>564</v>
      </c>
      <c r="BC620">
        <v>71</v>
      </c>
      <c r="BD620">
        <v>1.7</v>
      </c>
      <c r="BE620">
        <v>185</v>
      </c>
      <c r="BF620">
        <v>0.8</v>
      </c>
      <c r="BG620">
        <v>162</v>
      </c>
      <c r="BH620">
        <v>19.5</v>
      </c>
      <c r="BI620">
        <v>15.6</v>
      </c>
      <c r="BJ620">
        <v>35</v>
      </c>
      <c r="BK620">
        <v>0.68</v>
      </c>
      <c r="BL620">
        <v>5.4</v>
      </c>
      <c r="BM620">
        <v>0.9</v>
      </c>
      <c r="BN620">
        <v>4.5999999999999996</v>
      </c>
      <c r="BO620">
        <v>2.1</v>
      </c>
      <c r="BP620">
        <f t="shared" si="18"/>
        <v>90.663323786953697</v>
      </c>
      <c r="BQ620">
        <f t="shared" si="19"/>
        <v>18.821937066778322</v>
      </c>
    </row>
    <row r="621" spans="1:69" hidden="1" x14ac:dyDescent="0.2">
      <c r="A621" t="s">
        <v>2172</v>
      </c>
      <c r="B621" t="s">
        <v>68</v>
      </c>
      <c r="C621" t="s">
        <v>1956</v>
      </c>
      <c r="D621" t="s">
        <v>70</v>
      </c>
      <c r="E621" t="s">
        <v>985</v>
      </c>
      <c r="F621">
        <v>3</v>
      </c>
      <c r="G621">
        <v>206</v>
      </c>
      <c r="H621">
        <v>3</v>
      </c>
      <c r="I621">
        <v>3</v>
      </c>
      <c r="J621">
        <v>0</v>
      </c>
      <c r="K621" t="s">
        <v>110</v>
      </c>
      <c r="L621" t="s">
        <v>162</v>
      </c>
      <c r="M621" s="4">
        <v>1500000000</v>
      </c>
      <c r="N621">
        <v>0</v>
      </c>
      <c r="O621">
        <v>4.5935597420000001</v>
      </c>
      <c r="P621">
        <v>-74.113540650000004</v>
      </c>
      <c r="Q621" t="s">
        <v>2173</v>
      </c>
      <c r="R621">
        <v>7281553.398</v>
      </c>
      <c r="S621">
        <v>0</v>
      </c>
      <c r="T621" t="s">
        <v>504</v>
      </c>
      <c r="U621" t="s">
        <v>505</v>
      </c>
      <c r="V621" t="s">
        <v>77</v>
      </c>
      <c r="W621" t="s">
        <v>88</v>
      </c>
      <c r="X621" t="s">
        <v>506</v>
      </c>
      <c r="Y621">
        <v>1.6704203357880401</v>
      </c>
      <c r="Z621">
        <v>1670.4203357880399</v>
      </c>
      <c r="AA621">
        <v>4.6085000000000003</v>
      </c>
      <c r="AB621">
        <v>-74.114944444444404</v>
      </c>
      <c r="AC621">
        <v>2559</v>
      </c>
      <c r="AD621">
        <v>0</v>
      </c>
      <c r="AE621" t="s">
        <v>80</v>
      </c>
      <c r="AF621" t="s">
        <v>507</v>
      </c>
      <c r="AG621" t="s">
        <v>82</v>
      </c>
      <c r="AH621" t="s">
        <v>83</v>
      </c>
      <c r="AI621" t="s">
        <v>987</v>
      </c>
      <c r="AJ621">
        <v>0.50039139321516002</v>
      </c>
      <c r="AK621">
        <v>4.7961427782238797</v>
      </c>
      <c r="AL621">
        <v>2.0551035607480799</v>
      </c>
      <c r="AM621">
        <v>0.17951037432650499</v>
      </c>
      <c r="AN621">
        <v>0.96231927112360405</v>
      </c>
      <c r="AO621">
        <v>0.236309549539231</v>
      </c>
      <c r="AP621">
        <v>0.236309549539231</v>
      </c>
      <c r="AQ621">
        <v>0</v>
      </c>
      <c r="AR621">
        <v>2</v>
      </c>
      <c r="AS621">
        <v>0</v>
      </c>
      <c r="AT621">
        <v>0</v>
      </c>
      <c r="AU621">
        <v>0</v>
      </c>
      <c r="AV621">
        <v>16</v>
      </c>
      <c r="AW621">
        <v>1</v>
      </c>
      <c r="AX621">
        <v>0</v>
      </c>
      <c r="AY621">
        <v>16.600000000000001</v>
      </c>
      <c r="AZ621">
        <v>101.7</v>
      </c>
      <c r="BA621">
        <v>19.899999999999999</v>
      </c>
      <c r="BB621">
        <v>564</v>
      </c>
      <c r="BC621">
        <v>71</v>
      </c>
      <c r="BD621">
        <v>1.7</v>
      </c>
      <c r="BE621">
        <v>185</v>
      </c>
      <c r="BF621">
        <v>0.8</v>
      </c>
      <c r="BG621">
        <v>162</v>
      </c>
      <c r="BH621">
        <v>19.5</v>
      </c>
      <c r="BI621">
        <v>15.6</v>
      </c>
      <c r="BJ621">
        <v>35</v>
      </c>
      <c r="BK621">
        <v>0.68</v>
      </c>
      <c r="BL621">
        <v>5.4</v>
      </c>
      <c r="BM621">
        <v>0.9</v>
      </c>
      <c r="BN621">
        <v>4.5999999999999996</v>
      </c>
      <c r="BO621">
        <v>2.1</v>
      </c>
      <c r="BP621">
        <f t="shared" si="18"/>
        <v>93.629124702370561</v>
      </c>
      <c r="BQ621">
        <f t="shared" si="19"/>
        <v>19.117987459168944</v>
      </c>
    </row>
    <row r="622" spans="1:69" hidden="1" x14ac:dyDescent="0.2">
      <c r="A622" t="s">
        <v>2961</v>
      </c>
      <c r="B622" t="s">
        <v>68</v>
      </c>
      <c r="C622" t="s">
        <v>1956</v>
      </c>
      <c r="D622" t="s">
        <v>70</v>
      </c>
      <c r="E622" t="s">
        <v>2962</v>
      </c>
      <c r="F622">
        <v>4</v>
      </c>
      <c r="G622">
        <v>180</v>
      </c>
      <c r="H622">
        <v>3</v>
      </c>
      <c r="I622">
        <v>4</v>
      </c>
      <c r="J622">
        <v>3</v>
      </c>
      <c r="K622" t="s">
        <v>110</v>
      </c>
      <c r="L622" t="s">
        <v>133</v>
      </c>
      <c r="M622" s="4">
        <v>1400000000</v>
      </c>
      <c r="N622">
        <v>0</v>
      </c>
      <c r="O622">
        <v>4.6303868289999999</v>
      </c>
      <c r="P622">
        <v>-74.137672420000001</v>
      </c>
      <c r="Q622" t="s">
        <v>2963</v>
      </c>
      <c r="R622">
        <v>7777777.7779999999</v>
      </c>
      <c r="S622">
        <v>0</v>
      </c>
      <c r="T622" t="s">
        <v>88</v>
      </c>
      <c r="U622" t="s">
        <v>89</v>
      </c>
      <c r="V622" t="s">
        <v>77</v>
      </c>
      <c r="W622" t="s">
        <v>88</v>
      </c>
      <c r="X622" t="s">
        <v>90</v>
      </c>
      <c r="Y622">
        <v>2.24536154740853</v>
      </c>
      <c r="Z622">
        <v>2245.36154740853</v>
      </c>
      <c r="AA622">
        <v>4.6317666666666701</v>
      </c>
      <c r="AB622">
        <v>-74.117483333333297</v>
      </c>
      <c r="AC622">
        <v>2590</v>
      </c>
      <c r="AD622">
        <v>10</v>
      </c>
      <c r="AE622" t="s">
        <v>80</v>
      </c>
      <c r="AF622" t="s">
        <v>91</v>
      </c>
      <c r="AG622" t="s">
        <v>82</v>
      </c>
      <c r="AH622" t="s">
        <v>83</v>
      </c>
      <c r="AI622" t="s">
        <v>221</v>
      </c>
      <c r="AJ622">
        <v>0.383491936785962</v>
      </c>
      <c r="AK622">
        <v>3.9524423290657298</v>
      </c>
      <c r="AL622">
        <v>2.04605402543599</v>
      </c>
      <c r="AM622">
        <v>9.7869732131273798E-2</v>
      </c>
      <c r="AN622">
        <v>2.7076033676710298</v>
      </c>
      <c r="AO622">
        <v>0.236287413271312</v>
      </c>
      <c r="AP622">
        <v>0.236287413271312</v>
      </c>
      <c r="AQ622">
        <v>2</v>
      </c>
      <c r="AR622">
        <v>4</v>
      </c>
      <c r="AS622">
        <v>0</v>
      </c>
      <c r="AT622">
        <v>0</v>
      </c>
      <c r="AU622">
        <v>0</v>
      </c>
      <c r="AV622">
        <v>41</v>
      </c>
      <c r="AW622">
        <v>0</v>
      </c>
      <c r="AX622">
        <v>0</v>
      </c>
      <c r="AY622">
        <v>16.600000000000001</v>
      </c>
      <c r="AZ622">
        <v>101.7</v>
      </c>
      <c r="BA622">
        <v>19.899999999999999</v>
      </c>
      <c r="BB622">
        <v>564</v>
      </c>
      <c r="BC622">
        <v>71</v>
      </c>
      <c r="BD622">
        <v>1.7</v>
      </c>
      <c r="BE622">
        <v>185</v>
      </c>
      <c r="BF622">
        <v>0.8</v>
      </c>
      <c r="BG622">
        <v>162</v>
      </c>
      <c r="BH622">
        <v>19.5</v>
      </c>
      <c r="BI622">
        <v>15.6</v>
      </c>
      <c r="BJ622">
        <v>35</v>
      </c>
      <c r="BK622">
        <v>0.68</v>
      </c>
      <c r="BL622">
        <v>5.4</v>
      </c>
      <c r="BM622">
        <v>0.9</v>
      </c>
      <c r="BN622">
        <v>4.5999999999999996</v>
      </c>
      <c r="BO622">
        <v>2.1</v>
      </c>
      <c r="BP622">
        <f t="shared" si="18"/>
        <v>91.00203841745585</v>
      </c>
      <c r="BQ622">
        <f t="shared" si="19"/>
        <v>18.855997906207474</v>
      </c>
    </row>
    <row r="623" spans="1:69" hidden="1" x14ac:dyDescent="0.2">
      <c r="A623" t="s">
        <v>2575</v>
      </c>
      <c r="B623" t="s">
        <v>68</v>
      </c>
      <c r="C623" t="s">
        <v>1956</v>
      </c>
      <c r="D623" t="s">
        <v>70</v>
      </c>
      <c r="E623" t="s">
        <v>2576</v>
      </c>
      <c r="F623">
        <v>3</v>
      </c>
      <c r="G623">
        <v>180</v>
      </c>
      <c r="H623">
        <v>5</v>
      </c>
      <c r="I623">
        <v>2</v>
      </c>
      <c r="J623">
        <v>1</v>
      </c>
      <c r="K623" t="s">
        <v>110</v>
      </c>
      <c r="L623" t="s">
        <v>162</v>
      </c>
      <c r="M623" s="4">
        <v>545000000</v>
      </c>
      <c r="N623">
        <v>0</v>
      </c>
      <c r="O623">
        <v>4.5953969959999998</v>
      </c>
      <c r="P623">
        <v>-74.125709529999995</v>
      </c>
      <c r="Q623" t="s">
        <v>2577</v>
      </c>
      <c r="R623">
        <v>3027777.7779999999</v>
      </c>
      <c r="S623">
        <v>0</v>
      </c>
      <c r="T623" t="s">
        <v>504</v>
      </c>
      <c r="U623" t="s">
        <v>505</v>
      </c>
      <c r="V623" t="s">
        <v>77</v>
      </c>
      <c r="W623" t="s">
        <v>88</v>
      </c>
      <c r="X623" t="s">
        <v>506</v>
      </c>
      <c r="Y623">
        <v>1.8853124299672499</v>
      </c>
      <c r="Z623">
        <v>1885.31242996725</v>
      </c>
      <c r="AA623">
        <v>4.6085000000000003</v>
      </c>
      <c r="AB623">
        <v>-74.114944444444404</v>
      </c>
      <c r="AC623">
        <v>2559</v>
      </c>
      <c r="AD623">
        <v>0</v>
      </c>
      <c r="AE623" t="s">
        <v>80</v>
      </c>
      <c r="AF623" t="s">
        <v>507</v>
      </c>
      <c r="AG623" t="s">
        <v>82</v>
      </c>
      <c r="AH623" t="s">
        <v>83</v>
      </c>
      <c r="AI623" t="s">
        <v>288</v>
      </c>
      <c r="AJ623">
        <v>0.27885337441175501</v>
      </c>
      <c r="AK623">
        <v>5.9223400538406299</v>
      </c>
      <c r="AL623">
        <v>1.2101787465615601</v>
      </c>
      <c r="AM623">
        <v>0.15495293222857601</v>
      </c>
      <c r="AN623">
        <v>1.3336969798567799</v>
      </c>
      <c r="AO623">
        <v>0.268846032437635</v>
      </c>
      <c r="AP623">
        <v>0.268846032437635</v>
      </c>
      <c r="AQ623">
        <v>2</v>
      </c>
      <c r="AR623">
        <v>4</v>
      </c>
      <c r="AS623">
        <v>0</v>
      </c>
      <c r="AT623">
        <v>0</v>
      </c>
      <c r="AU623">
        <v>0</v>
      </c>
      <c r="AV623">
        <v>21</v>
      </c>
      <c r="AW623">
        <v>0</v>
      </c>
      <c r="AX623">
        <v>0</v>
      </c>
      <c r="AY623">
        <v>16.600000000000001</v>
      </c>
      <c r="AZ623">
        <v>101.7</v>
      </c>
      <c r="BA623">
        <v>19.899999999999999</v>
      </c>
      <c r="BB623">
        <v>564</v>
      </c>
      <c r="BC623">
        <v>71</v>
      </c>
      <c r="BD623">
        <v>1.7</v>
      </c>
      <c r="BE623">
        <v>185</v>
      </c>
      <c r="BF623">
        <v>0.8</v>
      </c>
      <c r="BG623">
        <v>162</v>
      </c>
      <c r="BH623">
        <v>19.5</v>
      </c>
      <c r="BI623">
        <v>15.6</v>
      </c>
      <c r="BJ623">
        <v>35</v>
      </c>
      <c r="BK623">
        <v>0.68</v>
      </c>
      <c r="BL623">
        <v>5.4</v>
      </c>
      <c r="BM623">
        <v>0.9</v>
      </c>
      <c r="BN623">
        <v>4.5999999999999996</v>
      </c>
      <c r="BO623">
        <v>2.1</v>
      </c>
      <c r="BP623">
        <f t="shared" si="18"/>
        <v>92.638455143280254</v>
      </c>
      <c r="BQ623">
        <f t="shared" si="19"/>
        <v>19.019641976481335</v>
      </c>
    </row>
    <row r="624" spans="1:69" hidden="1" x14ac:dyDescent="0.2">
      <c r="A624" t="s">
        <v>3201</v>
      </c>
      <c r="B624" t="s">
        <v>68</v>
      </c>
      <c r="C624" t="s">
        <v>1956</v>
      </c>
      <c r="D624" t="s">
        <v>70</v>
      </c>
      <c r="E624" t="s">
        <v>2390</v>
      </c>
      <c r="F624">
        <v>3</v>
      </c>
      <c r="G624">
        <v>172.4</v>
      </c>
      <c r="H624">
        <v>5</v>
      </c>
      <c r="I624">
        <v>2</v>
      </c>
      <c r="J624">
        <v>1</v>
      </c>
      <c r="K624" t="s">
        <v>110</v>
      </c>
      <c r="L624" t="s">
        <v>162</v>
      </c>
      <c r="M624" s="4">
        <v>1200000000</v>
      </c>
      <c r="N624">
        <v>0</v>
      </c>
      <c r="O624">
        <v>4.6368499999999999</v>
      </c>
      <c r="P624">
        <v>-74.138829999999999</v>
      </c>
      <c r="Q624" t="s">
        <v>3202</v>
      </c>
      <c r="R624">
        <v>6960556.8449999997</v>
      </c>
      <c r="S624">
        <v>0</v>
      </c>
      <c r="T624" t="s">
        <v>88</v>
      </c>
      <c r="U624" t="s">
        <v>89</v>
      </c>
      <c r="V624" t="s">
        <v>77</v>
      </c>
      <c r="W624" t="s">
        <v>88</v>
      </c>
      <c r="X624" t="s">
        <v>90</v>
      </c>
      <c r="Y624">
        <v>2.4351906246208199</v>
      </c>
      <c r="Z624">
        <v>2435.19062462082</v>
      </c>
      <c r="AA624">
        <v>4.6317666666666701</v>
      </c>
      <c r="AB624">
        <v>-74.117483333333297</v>
      </c>
      <c r="AC624">
        <v>2590</v>
      </c>
      <c r="AD624">
        <v>10</v>
      </c>
      <c r="AE624" t="s">
        <v>80</v>
      </c>
      <c r="AF624" t="s">
        <v>91</v>
      </c>
      <c r="AG624" t="s">
        <v>82</v>
      </c>
      <c r="AH624" t="s">
        <v>83</v>
      </c>
      <c r="AI624" t="s">
        <v>221</v>
      </c>
      <c r="AJ624">
        <v>0.715960466409853</v>
      </c>
      <c r="AK624">
        <v>3.3050930772165898</v>
      </c>
      <c r="AL624">
        <v>1.8654041635527101</v>
      </c>
      <c r="AM624">
        <v>0.107331796992398</v>
      </c>
      <c r="AN624">
        <v>2.9907592903055198</v>
      </c>
      <c r="AO624">
        <v>0.333342998864194</v>
      </c>
      <c r="AP624">
        <v>0.333342998864194</v>
      </c>
      <c r="AQ624">
        <v>0</v>
      </c>
      <c r="AR624">
        <v>3</v>
      </c>
      <c r="AS624">
        <v>0</v>
      </c>
      <c r="AT624">
        <v>0</v>
      </c>
      <c r="AU624">
        <v>0</v>
      </c>
      <c r="AV624">
        <v>28</v>
      </c>
      <c r="AW624">
        <v>0</v>
      </c>
      <c r="AX624">
        <v>0</v>
      </c>
      <c r="AY624">
        <v>16.600000000000001</v>
      </c>
      <c r="AZ624">
        <v>101.7</v>
      </c>
      <c r="BA624">
        <v>19.899999999999999</v>
      </c>
      <c r="BB624">
        <v>564</v>
      </c>
      <c r="BC624">
        <v>71</v>
      </c>
      <c r="BD624">
        <v>1.7</v>
      </c>
      <c r="BE624">
        <v>185</v>
      </c>
      <c r="BF624">
        <v>0.8</v>
      </c>
      <c r="BG624">
        <v>162</v>
      </c>
      <c r="BH624">
        <v>19.5</v>
      </c>
      <c r="BI624">
        <v>15.6</v>
      </c>
      <c r="BJ624">
        <v>35</v>
      </c>
      <c r="BK624">
        <v>0.68</v>
      </c>
      <c r="BL624">
        <v>5.4</v>
      </c>
      <c r="BM624">
        <v>0.9</v>
      </c>
      <c r="BN624">
        <v>4.5999999999999996</v>
      </c>
      <c r="BO624">
        <v>2.1</v>
      </c>
      <c r="BP624">
        <f t="shared" si="18"/>
        <v>90.150939141295865</v>
      </c>
      <c r="BQ624">
        <f t="shared" si="19"/>
        <v>18.770287298467711</v>
      </c>
    </row>
    <row r="625" spans="1:69" hidden="1" x14ac:dyDescent="0.2">
      <c r="A625" t="s">
        <v>352</v>
      </c>
      <c r="B625" t="s">
        <v>68</v>
      </c>
      <c r="C625" t="s">
        <v>69</v>
      </c>
      <c r="D625" t="s">
        <v>70</v>
      </c>
      <c r="E625" t="s">
        <v>353</v>
      </c>
      <c r="F625">
        <v>5</v>
      </c>
      <c r="G625">
        <v>169</v>
      </c>
      <c r="H625">
        <v>4</v>
      </c>
      <c r="I625">
        <v>5</v>
      </c>
      <c r="J625">
        <v>3</v>
      </c>
      <c r="K625" t="s">
        <v>110</v>
      </c>
      <c r="L625" t="s">
        <v>111</v>
      </c>
      <c r="M625" s="4">
        <v>2523000000</v>
      </c>
      <c r="N625">
        <v>0</v>
      </c>
      <c r="O625">
        <v>4.6520961170000001</v>
      </c>
      <c r="P625">
        <v>-74.114721220000007</v>
      </c>
      <c r="Q625" t="s">
        <v>354</v>
      </c>
      <c r="R625">
        <v>14928994.08</v>
      </c>
      <c r="S625">
        <v>0</v>
      </c>
      <c r="T625" t="s">
        <v>88</v>
      </c>
      <c r="U625" t="s">
        <v>89</v>
      </c>
      <c r="V625" t="s">
        <v>77</v>
      </c>
      <c r="W625" t="s">
        <v>88</v>
      </c>
      <c r="X625" t="s">
        <v>90</v>
      </c>
      <c r="Y625">
        <v>2.2837210592853201</v>
      </c>
      <c r="Z625">
        <v>2283.7210592853198</v>
      </c>
      <c r="AA625">
        <v>4.6317666666666701</v>
      </c>
      <c r="AB625">
        <v>-74.117483333333297</v>
      </c>
      <c r="AC625">
        <v>2590</v>
      </c>
      <c r="AD625">
        <v>10</v>
      </c>
      <c r="AE625" t="s">
        <v>80</v>
      </c>
      <c r="AF625" t="s">
        <v>91</v>
      </c>
      <c r="AG625" t="s">
        <v>82</v>
      </c>
      <c r="AH625" t="s">
        <v>83</v>
      </c>
      <c r="AI625" t="s">
        <v>92</v>
      </c>
      <c r="AJ625">
        <v>1.1464426946367099</v>
      </c>
      <c r="AK625">
        <v>4.8637988329979001</v>
      </c>
      <c r="AL625">
        <v>1.08462065636417</v>
      </c>
      <c r="AM625">
        <v>0.32448510025067501</v>
      </c>
      <c r="AN625">
        <v>0.10856897762641</v>
      </c>
      <c r="AO625">
        <v>0.14154277969326201</v>
      </c>
      <c r="AP625">
        <v>0.14154277969326201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28</v>
      </c>
      <c r="AW625">
        <v>1</v>
      </c>
      <c r="AX625">
        <v>0</v>
      </c>
      <c r="AY625">
        <v>16.600000000000001</v>
      </c>
      <c r="AZ625">
        <v>101.7</v>
      </c>
      <c r="BA625">
        <v>19.899999999999999</v>
      </c>
      <c r="BB625">
        <v>564</v>
      </c>
      <c r="BC625">
        <v>71</v>
      </c>
      <c r="BD625">
        <v>1.7</v>
      </c>
      <c r="BE625">
        <v>185</v>
      </c>
      <c r="BF625">
        <v>0.8</v>
      </c>
      <c r="BG625">
        <v>162</v>
      </c>
      <c r="BH625">
        <v>19.5</v>
      </c>
      <c r="BI625">
        <v>15.6</v>
      </c>
      <c r="BJ625">
        <v>35</v>
      </c>
      <c r="BK625">
        <v>0.68</v>
      </c>
      <c r="BL625">
        <v>5.4</v>
      </c>
      <c r="BM625">
        <v>0.9</v>
      </c>
      <c r="BN625">
        <v>4.5999999999999996</v>
      </c>
      <c r="BO625">
        <v>2.1</v>
      </c>
      <c r="BP625">
        <f t="shared" si="18"/>
        <v>90.82940807242575</v>
      </c>
      <c r="BQ625">
        <f t="shared" si="19"/>
        <v>18.838646529501922</v>
      </c>
    </row>
    <row r="626" spans="1:69" hidden="1" x14ac:dyDescent="0.2">
      <c r="A626" t="s">
        <v>2349</v>
      </c>
      <c r="B626" t="s">
        <v>68</v>
      </c>
      <c r="C626" t="s">
        <v>1956</v>
      </c>
      <c r="D626" t="s">
        <v>70</v>
      </c>
      <c r="E626" t="s">
        <v>2350</v>
      </c>
      <c r="F626">
        <v>3</v>
      </c>
      <c r="G626">
        <v>150</v>
      </c>
      <c r="H626">
        <v>4</v>
      </c>
      <c r="I626">
        <v>3</v>
      </c>
      <c r="J626">
        <v>1</v>
      </c>
      <c r="K626" t="s">
        <v>110</v>
      </c>
      <c r="L626" t="s">
        <v>162</v>
      </c>
      <c r="M626" s="4">
        <v>720000000</v>
      </c>
      <c r="N626">
        <v>0</v>
      </c>
      <c r="O626">
        <v>4.6165218350000004</v>
      </c>
      <c r="P626">
        <v>-74.128273010000001</v>
      </c>
      <c r="Q626" t="s">
        <v>2351</v>
      </c>
      <c r="R626">
        <v>4800000</v>
      </c>
      <c r="S626">
        <v>0</v>
      </c>
      <c r="T626" t="s">
        <v>504</v>
      </c>
      <c r="U626" t="s">
        <v>505</v>
      </c>
      <c r="V626" t="s">
        <v>77</v>
      </c>
      <c r="W626" t="s">
        <v>88</v>
      </c>
      <c r="X626" t="s">
        <v>506</v>
      </c>
      <c r="Y626">
        <v>1.7276112895047999</v>
      </c>
      <c r="Z626">
        <v>1727.6112895048</v>
      </c>
      <c r="AA626">
        <v>4.6085000000000003</v>
      </c>
      <c r="AB626">
        <v>-74.114944444444404</v>
      </c>
      <c r="AC626">
        <v>2559</v>
      </c>
      <c r="AD626">
        <v>0</v>
      </c>
      <c r="AE626" t="s">
        <v>80</v>
      </c>
      <c r="AF626" t="s">
        <v>507</v>
      </c>
      <c r="AG626" t="s">
        <v>82</v>
      </c>
      <c r="AH626" t="s">
        <v>83</v>
      </c>
      <c r="AI626" t="s">
        <v>221</v>
      </c>
      <c r="AJ626">
        <v>1.46890426649095</v>
      </c>
      <c r="AK626">
        <v>5.8056153078711903</v>
      </c>
      <c r="AL626">
        <v>2.7725023261952302</v>
      </c>
      <c r="AM626">
        <v>0.55617628237911299</v>
      </c>
      <c r="AN626">
        <v>2.83162015175771</v>
      </c>
      <c r="AO626">
        <v>0.15623300803718199</v>
      </c>
      <c r="AP626">
        <v>0.15623300803718199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26</v>
      </c>
      <c r="AW626">
        <v>0</v>
      </c>
      <c r="AX626">
        <v>0</v>
      </c>
      <c r="AY626">
        <v>16.600000000000001</v>
      </c>
      <c r="AZ626">
        <v>101.7</v>
      </c>
      <c r="BA626">
        <v>19.899999999999999</v>
      </c>
      <c r="BB626">
        <v>564</v>
      </c>
      <c r="BC626">
        <v>71</v>
      </c>
      <c r="BD626">
        <v>1.7</v>
      </c>
      <c r="BE626">
        <v>185</v>
      </c>
      <c r="BF626">
        <v>0.8</v>
      </c>
      <c r="BG626">
        <v>162</v>
      </c>
      <c r="BH626">
        <v>19.5</v>
      </c>
      <c r="BI626">
        <v>15.6</v>
      </c>
      <c r="BJ626">
        <v>35</v>
      </c>
      <c r="BK626">
        <v>0.68</v>
      </c>
      <c r="BL626">
        <v>5.4</v>
      </c>
      <c r="BM626">
        <v>0.9</v>
      </c>
      <c r="BN626">
        <v>4.5999999999999996</v>
      </c>
      <c r="BO626">
        <v>2.1</v>
      </c>
      <c r="BP626">
        <f t="shared" si="18"/>
        <v>93.364439956674005</v>
      </c>
      <c r="BQ626">
        <f t="shared" si="19"/>
        <v>19.091764437458934</v>
      </c>
    </row>
    <row r="627" spans="1:69" hidden="1" x14ac:dyDescent="0.2">
      <c r="A627" t="s">
        <v>2560</v>
      </c>
      <c r="B627" t="s">
        <v>68</v>
      </c>
      <c r="C627" t="s">
        <v>1956</v>
      </c>
      <c r="D627" t="s">
        <v>70</v>
      </c>
      <c r="E627" t="s">
        <v>2561</v>
      </c>
      <c r="F627">
        <v>4</v>
      </c>
      <c r="G627">
        <v>126</v>
      </c>
      <c r="H627">
        <v>4</v>
      </c>
      <c r="I627">
        <v>3</v>
      </c>
      <c r="J627">
        <v>1</v>
      </c>
      <c r="K627" t="s">
        <v>110</v>
      </c>
      <c r="L627" t="s">
        <v>162</v>
      </c>
      <c r="M627" s="4">
        <v>830000000</v>
      </c>
      <c r="N627">
        <v>0</v>
      </c>
      <c r="O627">
        <v>4.6424200000000004</v>
      </c>
      <c r="P627">
        <v>-74.126080000000002</v>
      </c>
      <c r="Q627" t="s">
        <v>2562</v>
      </c>
      <c r="R627">
        <v>6587301.5870000003</v>
      </c>
      <c r="S627">
        <v>0</v>
      </c>
      <c r="T627" t="s">
        <v>88</v>
      </c>
      <c r="U627" t="s">
        <v>89</v>
      </c>
      <c r="V627" t="s">
        <v>77</v>
      </c>
      <c r="W627" t="s">
        <v>88</v>
      </c>
      <c r="X627" t="s">
        <v>90</v>
      </c>
      <c r="Y627">
        <v>1.5219177074493899</v>
      </c>
      <c r="Z627">
        <v>1521.91770744939</v>
      </c>
      <c r="AA627">
        <v>4.6317666666666701</v>
      </c>
      <c r="AB627">
        <v>-74.117483333333297</v>
      </c>
      <c r="AC627">
        <v>2590</v>
      </c>
      <c r="AD627">
        <v>10</v>
      </c>
      <c r="AE627" t="s">
        <v>80</v>
      </c>
      <c r="AF627" t="s">
        <v>91</v>
      </c>
      <c r="AG627" t="s">
        <v>82</v>
      </c>
      <c r="AH627" t="s">
        <v>83</v>
      </c>
      <c r="AI627" t="s">
        <v>221</v>
      </c>
      <c r="AJ627">
        <v>1.479283535128</v>
      </c>
      <c r="AK627">
        <v>4.0191984352101402</v>
      </c>
      <c r="AL627">
        <v>0.42889270737936802</v>
      </c>
      <c r="AM627">
        <v>0.36506592995333897</v>
      </c>
      <c r="AN627">
        <v>1.6012859201284799</v>
      </c>
      <c r="AO627">
        <v>0.15857087111778101</v>
      </c>
      <c r="AP627">
        <v>0.15857087111778101</v>
      </c>
      <c r="AQ627">
        <v>0</v>
      </c>
      <c r="AR627">
        <v>0</v>
      </c>
      <c r="AS627">
        <v>0</v>
      </c>
      <c r="AT627">
        <v>0</v>
      </c>
      <c r="AU627">
        <v>1</v>
      </c>
      <c r="AV627">
        <v>11</v>
      </c>
      <c r="AW627">
        <v>0</v>
      </c>
      <c r="AX627">
        <v>0</v>
      </c>
      <c r="AY627">
        <v>16.600000000000001</v>
      </c>
      <c r="AZ627">
        <v>101.7</v>
      </c>
      <c r="BA627">
        <v>19.899999999999999</v>
      </c>
      <c r="BB627">
        <v>564</v>
      </c>
      <c r="BC627">
        <v>71</v>
      </c>
      <c r="BD627">
        <v>1.7</v>
      </c>
      <c r="BE627">
        <v>185</v>
      </c>
      <c r="BF627">
        <v>0.8</v>
      </c>
      <c r="BG627">
        <v>162</v>
      </c>
      <c r="BH627">
        <v>19.5</v>
      </c>
      <c r="BI627">
        <v>15.6</v>
      </c>
      <c r="BJ627">
        <v>35</v>
      </c>
      <c r="BK627">
        <v>0.68</v>
      </c>
      <c r="BL627">
        <v>5.4</v>
      </c>
      <c r="BM627">
        <v>0.9</v>
      </c>
      <c r="BN627">
        <v>4.5999999999999996</v>
      </c>
      <c r="BO627">
        <v>2.1</v>
      </c>
      <c r="BP627">
        <f t="shared" si="18"/>
        <v>94.319917027360106</v>
      </c>
      <c r="BQ627">
        <f t="shared" si="19"/>
        <v>19.186246740374983</v>
      </c>
    </row>
    <row r="628" spans="1:69" hidden="1" x14ac:dyDescent="0.2">
      <c r="A628" t="s">
        <v>2300</v>
      </c>
      <c r="B628" t="s">
        <v>68</v>
      </c>
      <c r="C628" t="s">
        <v>1956</v>
      </c>
      <c r="D628" t="s">
        <v>70</v>
      </c>
      <c r="E628" t="s">
        <v>2301</v>
      </c>
      <c r="F628">
        <v>3</v>
      </c>
      <c r="G628">
        <v>126</v>
      </c>
      <c r="H628">
        <v>3</v>
      </c>
      <c r="I628">
        <v>3</v>
      </c>
      <c r="J628">
        <v>1</v>
      </c>
      <c r="K628" t="s">
        <v>110</v>
      </c>
      <c r="L628" t="s">
        <v>162</v>
      </c>
      <c r="M628" s="4">
        <v>750000000</v>
      </c>
      <c r="N628">
        <v>0</v>
      </c>
      <c r="O628">
        <v>4.6356415750000002</v>
      </c>
      <c r="P628">
        <v>-74.138008119999995</v>
      </c>
      <c r="Q628" t="s">
        <v>2302</v>
      </c>
      <c r="R628">
        <v>5952380.9519999996</v>
      </c>
      <c r="S628">
        <v>0</v>
      </c>
      <c r="T628" t="s">
        <v>88</v>
      </c>
      <c r="U628" t="s">
        <v>89</v>
      </c>
      <c r="V628" t="s">
        <v>77</v>
      </c>
      <c r="W628" t="s">
        <v>88</v>
      </c>
      <c r="X628" t="s">
        <v>90</v>
      </c>
      <c r="Y628">
        <v>2.31783242407788</v>
      </c>
      <c r="Z628">
        <v>2317.8324240778802</v>
      </c>
      <c r="AA628">
        <v>4.6317666666666701</v>
      </c>
      <c r="AB628">
        <v>-74.117483333333297</v>
      </c>
      <c r="AC628">
        <v>2590</v>
      </c>
      <c r="AD628">
        <v>10</v>
      </c>
      <c r="AE628" t="s">
        <v>80</v>
      </c>
      <c r="AF628" t="s">
        <v>91</v>
      </c>
      <c r="AG628" t="s">
        <v>82</v>
      </c>
      <c r="AH628" t="s">
        <v>83</v>
      </c>
      <c r="AI628" t="s">
        <v>221</v>
      </c>
      <c r="AJ628">
        <v>0.64181290593412799</v>
      </c>
      <c r="AK628">
        <v>3.4660754899348998</v>
      </c>
      <c r="AL628">
        <v>1.8156201225948201</v>
      </c>
      <c r="AM628">
        <v>0.16778672587861601</v>
      </c>
      <c r="AN628">
        <v>2.9798464293904101</v>
      </c>
      <c r="AO628">
        <v>0.24865642968222501</v>
      </c>
      <c r="AP628">
        <v>0.24865642968222501</v>
      </c>
      <c r="AQ628">
        <v>0</v>
      </c>
      <c r="AR628">
        <v>3</v>
      </c>
      <c r="AS628">
        <v>0</v>
      </c>
      <c r="AT628">
        <v>0</v>
      </c>
      <c r="AU628">
        <v>0</v>
      </c>
      <c r="AV628">
        <v>39</v>
      </c>
      <c r="AW628">
        <v>0</v>
      </c>
      <c r="AX628">
        <v>0</v>
      </c>
      <c r="AY628">
        <v>16.600000000000001</v>
      </c>
      <c r="AZ628">
        <v>101.7</v>
      </c>
      <c r="BA628">
        <v>19.899999999999999</v>
      </c>
      <c r="BB628">
        <v>564</v>
      </c>
      <c r="BC628">
        <v>71</v>
      </c>
      <c r="BD628">
        <v>1.7</v>
      </c>
      <c r="BE628">
        <v>185</v>
      </c>
      <c r="BF628">
        <v>0.8</v>
      </c>
      <c r="BG628">
        <v>162</v>
      </c>
      <c r="BH628">
        <v>19.5</v>
      </c>
      <c r="BI628">
        <v>15.6</v>
      </c>
      <c r="BJ628">
        <v>35</v>
      </c>
      <c r="BK628">
        <v>0.68</v>
      </c>
      <c r="BL628">
        <v>5.4</v>
      </c>
      <c r="BM628">
        <v>0.9</v>
      </c>
      <c r="BN628">
        <v>4.5999999999999996</v>
      </c>
      <c r="BO628">
        <v>2.1</v>
      </c>
      <c r="BP628">
        <f t="shared" si="18"/>
        <v>90.676170884195358</v>
      </c>
      <c r="BQ628">
        <f t="shared" si="19"/>
        <v>18.823230154190998</v>
      </c>
    </row>
    <row r="629" spans="1:69" hidden="1" x14ac:dyDescent="0.2">
      <c r="A629" t="s">
        <v>2996</v>
      </c>
      <c r="B629" t="s">
        <v>68</v>
      </c>
      <c r="C629" t="s">
        <v>1956</v>
      </c>
      <c r="D629" t="s">
        <v>70</v>
      </c>
      <c r="E629" t="s">
        <v>301</v>
      </c>
      <c r="F629">
        <v>3</v>
      </c>
      <c r="G629">
        <v>123</v>
      </c>
      <c r="H629">
        <v>3</v>
      </c>
      <c r="I629">
        <v>2</v>
      </c>
      <c r="J629">
        <v>1</v>
      </c>
      <c r="K629" t="s">
        <v>110</v>
      </c>
      <c r="L629" t="s">
        <v>162</v>
      </c>
      <c r="M629" s="4">
        <v>680000000</v>
      </c>
      <c r="N629">
        <v>0</v>
      </c>
      <c r="O629">
        <v>4.6234107</v>
      </c>
      <c r="P629">
        <v>-74.108590000000007</v>
      </c>
      <c r="Q629" t="s">
        <v>2997</v>
      </c>
      <c r="R629">
        <v>5528455.2850000001</v>
      </c>
      <c r="S629">
        <v>0</v>
      </c>
      <c r="T629" t="s">
        <v>88</v>
      </c>
      <c r="U629" t="s">
        <v>89</v>
      </c>
      <c r="V629" t="s">
        <v>77</v>
      </c>
      <c r="W629" t="s">
        <v>88</v>
      </c>
      <c r="X629" t="s">
        <v>90</v>
      </c>
      <c r="Y629">
        <v>1.3560831642100799</v>
      </c>
      <c r="Z629">
        <v>1356.08316421008</v>
      </c>
      <c r="AA629">
        <v>4.6317666666666701</v>
      </c>
      <c r="AB629">
        <v>-74.117483333333297</v>
      </c>
      <c r="AC629">
        <v>2590</v>
      </c>
      <c r="AD629">
        <v>10</v>
      </c>
      <c r="AE629" t="s">
        <v>80</v>
      </c>
      <c r="AF629" t="s">
        <v>91</v>
      </c>
      <c r="AG629" t="s">
        <v>82</v>
      </c>
      <c r="AH629" t="s">
        <v>83</v>
      </c>
      <c r="AI629" t="s">
        <v>288</v>
      </c>
      <c r="AJ629">
        <v>0.50422727186690297</v>
      </c>
      <c r="AK629">
        <v>5.0478362221020099</v>
      </c>
      <c r="AL629">
        <v>2.47622016023977</v>
      </c>
      <c r="AM629">
        <v>0.187115382537066</v>
      </c>
      <c r="AN629">
        <v>0.91488567883799699</v>
      </c>
      <c r="AO629">
        <v>0.65295343851665699</v>
      </c>
      <c r="AP629">
        <v>0.65295343851665699</v>
      </c>
      <c r="AQ629">
        <v>0</v>
      </c>
      <c r="AR629">
        <v>3</v>
      </c>
      <c r="AS629">
        <v>0</v>
      </c>
      <c r="AT629">
        <v>0</v>
      </c>
      <c r="AU629">
        <v>0</v>
      </c>
      <c r="AV629">
        <v>13</v>
      </c>
      <c r="AW629">
        <v>1</v>
      </c>
      <c r="AX629">
        <v>0</v>
      </c>
      <c r="AY629">
        <v>16.600000000000001</v>
      </c>
      <c r="AZ629">
        <v>101.7</v>
      </c>
      <c r="BA629">
        <v>19.899999999999999</v>
      </c>
      <c r="BB629">
        <v>564</v>
      </c>
      <c r="BC629">
        <v>71</v>
      </c>
      <c r="BD629">
        <v>1.7</v>
      </c>
      <c r="BE629">
        <v>185</v>
      </c>
      <c r="BF629">
        <v>0.8</v>
      </c>
      <c r="BG629">
        <v>162</v>
      </c>
      <c r="BH629">
        <v>19.5</v>
      </c>
      <c r="BI629">
        <v>15.6</v>
      </c>
      <c r="BJ629">
        <v>35</v>
      </c>
      <c r="BK629">
        <v>0.68</v>
      </c>
      <c r="BL629">
        <v>5.4</v>
      </c>
      <c r="BM629">
        <v>0.9</v>
      </c>
      <c r="BN629">
        <v>4.5999999999999996</v>
      </c>
      <c r="BO629">
        <v>2.1</v>
      </c>
      <c r="BP629">
        <f t="shared" si="18"/>
        <v>95.097357861494302</v>
      </c>
      <c r="BQ629">
        <f t="shared" si="19"/>
        <v>19.262760722459777</v>
      </c>
    </row>
    <row r="630" spans="1:69" hidden="1" x14ac:dyDescent="0.2">
      <c r="A630" t="s">
        <v>2294</v>
      </c>
      <c r="B630" t="s">
        <v>68</v>
      </c>
      <c r="C630" t="s">
        <v>1956</v>
      </c>
      <c r="D630" t="s">
        <v>70</v>
      </c>
      <c r="E630" t="s">
        <v>2295</v>
      </c>
      <c r="F630">
        <v>3</v>
      </c>
      <c r="G630">
        <v>120</v>
      </c>
      <c r="H630">
        <v>4</v>
      </c>
      <c r="I630">
        <v>2</v>
      </c>
      <c r="J630">
        <v>1</v>
      </c>
      <c r="K630" t="s">
        <v>110</v>
      </c>
      <c r="L630" t="s">
        <v>124</v>
      </c>
      <c r="M630" s="4">
        <v>550000000</v>
      </c>
      <c r="N630">
        <v>0</v>
      </c>
      <c r="O630">
        <v>4.609058857</v>
      </c>
      <c r="P630">
        <v>-74.123466489999998</v>
      </c>
      <c r="Q630" t="s">
        <v>2296</v>
      </c>
      <c r="R630">
        <v>4583333.3329999996</v>
      </c>
      <c r="S630">
        <v>0</v>
      </c>
      <c r="T630" t="s">
        <v>504</v>
      </c>
      <c r="U630" t="s">
        <v>505</v>
      </c>
      <c r="V630" t="s">
        <v>77</v>
      </c>
      <c r="W630" t="s">
        <v>88</v>
      </c>
      <c r="X630" t="s">
        <v>506</v>
      </c>
      <c r="Y630">
        <v>0.94764658177503402</v>
      </c>
      <c r="Z630">
        <v>947.64658177503395</v>
      </c>
      <c r="AA630">
        <v>4.6085000000000003</v>
      </c>
      <c r="AB630">
        <v>-74.114944444444404</v>
      </c>
      <c r="AC630">
        <v>2559</v>
      </c>
      <c r="AD630">
        <v>0</v>
      </c>
      <c r="AE630" t="s">
        <v>80</v>
      </c>
      <c r="AF630" t="s">
        <v>507</v>
      </c>
      <c r="AG630" t="s">
        <v>82</v>
      </c>
      <c r="AH630" t="s">
        <v>83</v>
      </c>
      <c r="AI630" t="s">
        <v>288</v>
      </c>
      <c r="AJ630">
        <v>1.6855812775536301</v>
      </c>
      <c r="AK630">
        <v>6.4855102237920397</v>
      </c>
      <c r="AL630">
        <v>2.49199001840404</v>
      </c>
      <c r="AM630">
        <v>0.25911690808892501</v>
      </c>
      <c r="AN630">
        <v>2.4808305660731298</v>
      </c>
      <c r="AO630">
        <v>0.22094029295494499</v>
      </c>
      <c r="AP630">
        <v>0.22094029295494499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9</v>
      </c>
      <c r="AW630">
        <v>0</v>
      </c>
      <c r="AX630">
        <v>0</v>
      </c>
      <c r="AY630">
        <v>16.600000000000001</v>
      </c>
      <c r="AZ630">
        <v>101.7</v>
      </c>
      <c r="BA630">
        <v>19.899999999999999</v>
      </c>
      <c r="BB630">
        <v>564</v>
      </c>
      <c r="BC630">
        <v>71</v>
      </c>
      <c r="BD630">
        <v>1.7</v>
      </c>
      <c r="BE630">
        <v>185</v>
      </c>
      <c r="BF630">
        <v>0.8</v>
      </c>
      <c r="BG630">
        <v>162</v>
      </c>
      <c r="BH630">
        <v>19.5</v>
      </c>
      <c r="BI630">
        <v>15.6</v>
      </c>
      <c r="BJ630">
        <v>35</v>
      </c>
      <c r="BK630">
        <v>0.68</v>
      </c>
      <c r="BL630">
        <v>5.4</v>
      </c>
      <c r="BM630">
        <v>0.9</v>
      </c>
      <c r="BN630">
        <v>4.5999999999999996</v>
      </c>
      <c r="BO630">
        <v>2.1</v>
      </c>
      <c r="BP630">
        <f t="shared" si="18"/>
        <v>97.039566486496156</v>
      </c>
      <c r="BQ630">
        <f t="shared" si="19"/>
        <v>19.452512007232414</v>
      </c>
    </row>
    <row r="631" spans="1:69" hidden="1" x14ac:dyDescent="0.2">
      <c r="A631" t="s">
        <v>681</v>
      </c>
      <c r="B631" t="s">
        <v>68</v>
      </c>
      <c r="C631" t="s">
        <v>69</v>
      </c>
      <c r="D631" t="s">
        <v>70</v>
      </c>
      <c r="E631" t="s">
        <v>168</v>
      </c>
      <c r="F631">
        <v>4</v>
      </c>
      <c r="G631">
        <v>114</v>
      </c>
      <c r="H631">
        <v>3</v>
      </c>
      <c r="I631">
        <v>2</v>
      </c>
      <c r="J631">
        <v>1</v>
      </c>
      <c r="K631" t="s">
        <v>110</v>
      </c>
      <c r="L631" t="s">
        <v>133</v>
      </c>
      <c r="M631" s="4">
        <v>1170000000</v>
      </c>
      <c r="N631">
        <v>0</v>
      </c>
      <c r="O631">
        <v>4.6326087999999999</v>
      </c>
      <c r="P631">
        <v>-74.094803999999996</v>
      </c>
      <c r="Q631" t="s">
        <v>682</v>
      </c>
      <c r="R631">
        <v>10263157.890000001</v>
      </c>
      <c r="S631">
        <v>0</v>
      </c>
      <c r="T631" t="s">
        <v>88</v>
      </c>
      <c r="U631" t="s">
        <v>89</v>
      </c>
      <c r="V631" t="s">
        <v>77</v>
      </c>
      <c r="W631" t="s">
        <v>88</v>
      </c>
      <c r="X631" t="s">
        <v>90</v>
      </c>
      <c r="Y631">
        <v>2.5181510767912401</v>
      </c>
      <c r="Z631">
        <v>2518.15107679124</v>
      </c>
      <c r="AA631">
        <v>4.6317666666666701</v>
      </c>
      <c r="AB631">
        <v>-74.117483333333297</v>
      </c>
      <c r="AC631">
        <v>2590</v>
      </c>
      <c r="AD631">
        <v>10</v>
      </c>
      <c r="AE631" t="s">
        <v>80</v>
      </c>
      <c r="AF631" t="s">
        <v>91</v>
      </c>
      <c r="AG631" t="s">
        <v>82</v>
      </c>
      <c r="AH631" t="s">
        <v>83</v>
      </c>
      <c r="AI631" t="s">
        <v>84</v>
      </c>
      <c r="AJ631">
        <v>0.57181503350208196</v>
      </c>
      <c r="AK631">
        <v>3.7758131292430699</v>
      </c>
      <c r="AL631">
        <v>0.93417997808318598</v>
      </c>
      <c r="AM631">
        <v>9.7207543241164499E-2</v>
      </c>
      <c r="AN631">
        <v>1.8831410189603699</v>
      </c>
      <c r="AO631">
        <v>0.41999070928920801</v>
      </c>
      <c r="AP631">
        <v>0.41999070928920801</v>
      </c>
      <c r="AQ631">
        <v>0</v>
      </c>
      <c r="AR631">
        <v>2</v>
      </c>
      <c r="AS631">
        <v>0</v>
      </c>
      <c r="AT631">
        <v>0</v>
      </c>
      <c r="AU631">
        <v>1</v>
      </c>
      <c r="AV631">
        <v>16</v>
      </c>
      <c r="AW631">
        <v>0</v>
      </c>
      <c r="AX631">
        <v>0</v>
      </c>
      <c r="AY631">
        <v>16.600000000000001</v>
      </c>
      <c r="AZ631">
        <v>101.7</v>
      </c>
      <c r="BA631">
        <v>19.899999999999999</v>
      </c>
      <c r="BB631">
        <v>564</v>
      </c>
      <c r="BC631">
        <v>71</v>
      </c>
      <c r="BD631">
        <v>1.7</v>
      </c>
      <c r="BE631">
        <v>185</v>
      </c>
      <c r="BF631">
        <v>0.8</v>
      </c>
      <c r="BG631">
        <v>162</v>
      </c>
      <c r="BH631">
        <v>19.5</v>
      </c>
      <c r="BI631">
        <v>15.6</v>
      </c>
      <c r="BJ631">
        <v>35</v>
      </c>
      <c r="BK631">
        <v>0.68</v>
      </c>
      <c r="BL631">
        <v>5.4</v>
      </c>
      <c r="BM631">
        <v>0.9</v>
      </c>
      <c r="BN631">
        <v>4.5999999999999996</v>
      </c>
      <c r="BO631">
        <v>2.1</v>
      </c>
      <c r="BP631">
        <f t="shared" si="18"/>
        <v>89.781489588209809</v>
      </c>
      <c r="BQ631">
        <f t="shared" si="19"/>
        <v>18.732951882637884</v>
      </c>
    </row>
    <row r="632" spans="1:69" hidden="1" x14ac:dyDescent="0.2">
      <c r="A632" t="s">
        <v>1009</v>
      </c>
      <c r="B632" t="s">
        <v>68</v>
      </c>
      <c r="C632" t="s">
        <v>69</v>
      </c>
      <c r="D632" t="s">
        <v>70</v>
      </c>
      <c r="E632" t="s">
        <v>1010</v>
      </c>
      <c r="F632">
        <v>5</v>
      </c>
      <c r="G632">
        <v>111.04</v>
      </c>
      <c r="H632">
        <v>3</v>
      </c>
      <c r="I632">
        <v>3</v>
      </c>
      <c r="J632">
        <v>2</v>
      </c>
      <c r="K632" t="s">
        <v>110</v>
      </c>
      <c r="L632" t="s">
        <v>162</v>
      </c>
      <c r="M632" s="4">
        <v>850000000</v>
      </c>
      <c r="N632">
        <v>0</v>
      </c>
      <c r="O632">
        <v>4.6288600000000004</v>
      </c>
      <c r="P632">
        <v>-74.107389999999995</v>
      </c>
      <c r="Q632" t="s">
        <v>1011</v>
      </c>
      <c r="R632">
        <v>7654899.1349999998</v>
      </c>
      <c r="S632">
        <v>0</v>
      </c>
      <c r="T632" t="s">
        <v>88</v>
      </c>
      <c r="U632" t="s">
        <v>89</v>
      </c>
      <c r="V632" t="s">
        <v>77</v>
      </c>
      <c r="W632" t="s">
        <v>88</v>
      </c>
      <c r="X632" t="s">
        <v>90</v>
      </c>
      <c r="Y632">
        <v>1.16572394331527</v>
      </c>
      <c r="Z632">
        <v>1165.7239433152699</v>
      </c>
      <c r="AA632">
        <v>4.6317666666666701</v>
      </c>
      <c r="AB632">
        <v>-74.117483333333297</v>
      </c>
      <c r="AC632">
        <v>2590</v>
      </c>
      <c r="AD632">
        <v>10</v>
      </c>
      <c r="AE632" t="s">
        <v>80</v>
      </c>
      <c r="AF632" t="s">
        <v>91</v>
      </c>
      <c r="AG632" t="s">
        <v>82</v>
      </c>
      <c r="AH632" t="s">
        <v>83</v>
      </c>
      <c r="AI632" t="s">
        <v>288</v>
      </c>
      <c r="AJ632">
        <v>0.46619352052992502</v>
      </c>
      <c r="AK632">
        <v>5.0734062009391403</v>
      </c>
      <c r="AL632">
        <v>2.1425224031785701</v>
      </c>
      <c r="AM632">
        <v>0.32394033296010599</v>
      </c>
      <c r="AN632">
        <v>1.35087366944765</v>
      </c>
      <c r="AO632">
        <v>0.62617995536231597</v>
      </c>
      <c r="AP632">
        <v>0.62617995536231597</v>
      </c>
      <c r="AQ632">
        <v>2</v>
      </c>
      <c r="AR632">
        <v>3</v>
      </c>
      <c r="AS632">
        <v>0</v>
      </c>
      <c r="AT632">
        <v>0</v>
      </c>
      <c r="AU632">
        <v>0</v>
      </c>
      <c r="AV632">
        <v>15</v>
      </c>
      <c r="AW632">
        <v>0</v>
      </c>
      <c r="AX632">
        <v>0</v>
      </c>
      <c r="AY632">
        <v>16.600000000000001</v>
      </c>
      <c r="AZ632">
        <v>101.7</v>
      </c>
      <c r="BA632">
        <v>19.899999999999999</v>
      </c>
      <c r="BB632">
        <v>564</v>
      </c>
      <c r="BC632">
        <v>71</v>
      </c>
      <c r="BD632">
        <v>1.7</v>
      </c>
      <c r="BE632">
        <v>185</v>
      </c>
      <c r="BF632">
        <v>0.8</v>
      </c>
      <c r="BG632">
        <v>162</v>
      </c>
      <c r="BH632">
        <v>19.5</v>
      </c>
      <c r="BI632">
        <v>15.6</v>
      </c>
      <c r="BJ632">
        <v>35</v>
      </c>
      <c r="BK632">
        <v>0.68</v>
      </c>
      <c r="BL632">
        <v>5.4</v>
      </c>
      <c r="BM632">
        <v>0.9</v>
      </c>
      <c r="BN632">
        <v>4.5999999999999996</v>
      </c>
      <c r="BO632">
        <v>2.1</v>
      </c>
      <c r="BP632">
        <f t="shared" si="18"/>
        <v>95.997674561852293</v>
      </c>
      <c r="BQ632">
        <f t="shared" si="19"/>
        <v>19.350966316979562</v>
      </c>
    </row>
    <row r="633" spans="1:69" hidden="1" x14ac:dyDescent="0.2">
      <c r="A633" t="s">
        <v>2085</v>
      </c>
      <c r="B633" t="s">
        <v>68</v>
      </c>
      <c r="C633" t="s">
        <v>1956</v>
      </c>
      <c r="D633" t="s">
        <v>70</v>
      </c>
      <c r="E633" t="s">
        <v>168</v>
      </c>
      <c r="F633">
        <v>4</v>
      </c>
      <c r="G633">
        <v>111.03</v>
      </c>
      <c r="H633">
        <v>3</v>
      </c>
      <c r="I633">
        <v>3</v>
      </c>
      <c r="J633">
        <v>2</v>
      </c>
      <c r="K633" t="s">
        <v>110</v>
      </c>
      <c r="L633" t="s">
        <v>124</v>
      </c>
      <c r="M633" s="4">
        <v>850000000</v>
      </c>
      <c r="N633">
        <v>0</v>
      </c>
      <c r="O633">
        <v>4.6362224000000003</v>
      </c>
      <c r="P633">
        <v>-74.098029999999994</v>
      </c>
      <c r="Q633" t="s">
        <v>2086</v>
      </c>
      <c r="R633">
        <v>7655588.5800000001</v>
      </c>
      <c r="S633">
        <v>0</v>
      </c>
      <c r="T633" t="s">
        <v>88</v>
      </c>
      <c r="U633" t="s">
        <v>89</v>
      </c>
      <c r="V633" t="s">
        <v>77</v>
      </c>
      <c r="W633" t="s">
        <v>88</v>
      </c>
      <c r="X633" t="s">
        <v>90</v>
      </c>
      <c r="Y633">
        <v>2.2147142976701102</v>
      </c>
      <c r="Z633">
        <v>2214.7142976701102</v>
      </c>
      <c r="AA633">
        <v>4.6317666666666701</v>
      </c>
      <c r="AB633">
        <v>-74.117483333333297</v>
      </c>
      <c r="AC633">
        <v>2590</v>
      </c>
      <c r="AD633">
        <v>10</v>
      </c>
      <c r="AE633" t="s">
        <v>80</v>
      </c>
      <c r="AF633" t="s">
        <v>91</v>
      </c>
      <c r="AG633" t="s">
        <v>82</v>
      </c>
      <c r="AH633" t="s">
        <v>83</v>
      </c>
      <c r="AI633" t="s">
        <v>84</v>
      </c>
      <c r="AJ633">
        <v>0.56125663197199904</v>
      </c>
      <c r="AK633">
        <v>4.1895060677334799</v>
      </c>
      <c r="AL633">
        <v>0.97704499704450898</v>
      </c>
      <c r="AM633">
        <v>0.29136128801929601</v>
      </c>
      <c r="AN633">
        <v>2.1287020732416901</v>
      </c>
      <c r="AO633">
        <v>0.65362511184202898</v>
      </c>
      <c r="AP633">
        <v>0.65362511184202898</v>
      </c>
      <c r="AQ633">
        <v>0</v>
      </c>
      <c r="AR633">
        <v>3</v>
      </c>
      <c r="AS633">
        <v>0</v>
      </c>
      <c r="AT633">
        <v>0</v>
      </c>
      <c r="AU633">
        <v>1</v>
      </c>
      <c r="AV633">
        <v>17</v>
      </c>
      <c r="AW633">
        <v>0</v>
      </c>
      <c r="AX633">
        <v>0</v>
      </c>
      <c r="AY633">
        <v>16.600000000000001</v>
      </c>
      <c r="AZ633">
        <v>101.7</v>
      </c>
      <c r="BA633">
        <v>19.899999999999999</v>
      </c>
      <c r="BB633">
        <v>564</v>
      </c>
      <c r="BC633">
        <v>71</v>
      </c>
      <c r="BD633">
        <v>1.7</v>
      </c>
      <c r="BE633">
        <v>185</v>
      </c>
      <c r="BF633">
        <v>0.8</v>
      </c>
      <c r="BG633">
        <v>162</v>
      </c>
      <c r="BH633">
        <v>19.5</v>
      </c>
      <c r="BI633">
        <v>15.6</v>
      </c>
      <c r="BJ633">
        <v>35</v>
      </c>
      <c r="BK633">
        <v>0.68</v>
      </c>
      <c r="BL633">
        <v>5.4</v>
      </c>
      <c r="BM633">
        <v>0.9</v>
      </c>
      <c r="BN633">
        <v>4.5999999999999996</v>
      </c>
      <c r="BO633">
        <v>2.1</v>
      </c>
      <c r="BP633">
        <f t="shared" si="18"/>
        <v>91.140196815594052</v>
      </c>
      <c r="BQ633">
        <f t="shared" si="19"/>
        <v>18.869872235547962</v>
      </c>
    </row>
    <row r="634" spans="1:69" hidden="1" x14ac:dyDescent="0.2">
      <c r="A634" t="s">
        <v>744</v>
      </c>
      <c r="B634" t="s">
        <v>68</v>
      </c>
      <c r="C634" t="s">
        <v>69</v>
      </c>
      <c r="D634" t="s">
        <v>70</v>
      </c>
      <c r="E634" t="s">
        <v>745</v>
      </c>
      <c r="F634">
        <v>4</v>
      </c>
      <c r="G634">
        <v>98</v>
      </c>
      <c r="H634">
        <v>3</v>
      </c>
      <c r="I634">
        <v>3</v>
      </c>
      <c r="J634">
        <v>2</v>
      </c>
      <c r="K634" t="s">
        <v>110</v>
      </c>
      <c r="L634" t="s">
        <v>162</v>
      </c>
      <c r="M634" s="4">
        <v>850000000</v>
      </c>
      <c r="N634">
        <v>0</v>
      </c>
      <c r="O634">
        <v>4.6424709999999996</v>
      </c>
      <c r="P634">
        <v>-74.103876900000003</v>
      </c>
      <c r="Q634" t="s">
        <v>746</v>
      </c>
      <c r="R634">
        <v>8673469.3880000003</v>
      </c>
      <c r="S634">
        <v>0</v>
      </c>
      <c r="T634" t="s">
        <v>88</v>
      </c>
      <c r="U634" t="s">
        <v>89</v>
      </c>
      <c r="V634" t="s">
        <v>77</v>
      </c>
      <c r="W634" t="s">
        <v>88</v>
      </c>
      <c r="X634" t="s">
        <v>90</v>
      </c>
      <c r="Y634">
        <v>1.92330883233757</v>
      </c>
      <c r="Z634">
        <v>1923.30883233757</v>
      </c>
      <c r="AA634">
        <v>4.6317666666666701</v>
      </c>
      <c r="AB634">
        <v>-74.117483333333297</v>
      </c>
      <c r="AC634">
        <v>2590</v>
      </c>
      <c r="AD634">
        <v>10</v>
      </c>
      <c r="AE634" t="s">
        <v>80</v>
      </c>
      <c r="AF634" t="s">
        <v>91</v>
      </c>
      <c r="AG634" t="s">
        <v>82</v>
      </c>
      <c r="AH634" t="s">
        <v>83</v>
      </c>
      <c r="AI634" t="s">
        <v>84</v>
      </c>
      <c r="AJ634">
        <v>0.72383539336807401</v>
      </c>
      <c r="AK634">
        <v>4.9662910618588496</v>
      </c>
      <c r="AL634">
        <v>1.29489843297878</v>
      </c>
      <c r="AM634">
        <v>0.27764023803329602</v>
      </c>
      <c r="AN634">
        <v>1.5211973446309801</v>
      </c>
      <c r="AO634">
        <v>0.74593844939809295</v>
      </c>
      <c r="AP634">
        <v>0.74593844939809295</v>
      </c>
      <c r="AQ634">
        <v>0</v>
      </c>
      <c r="AR634">
        <v>3</v>
      </c>
      <c r="AS634">
        <v>0</v>
      </c>
      <c r="AT634">
        <v>0</v>
      </c>
      <c r="AU634">
        <v>0</v>
      </c>
      <c r="AV634">
        <v>41</v>
      </c>
      <c r="AW634">
        <v>0</v>
      </c>
      <c r="AX634">
        <v>0</v>
      </c>
      <c r="AY634">
        <v>16.600000000000001</v>
      </c>
      <c r="AZ634">
        <v>101.7</v>
      </c>
      <c r="BA634">
        <v>19.899999999999999</v>
      </c>
      <c r="BB634">
        <v>564</v>
      </c>
      <c r="BC634">
        <v>71</v>
      </c>
      <c r="BD634">
        <v>1.7</v>
      </c>
      <c r="BE634">
        <v>185</v>
      </c>
      <c r="BF634">
        <v>0.8</v>
      </c>
      <c r="BG634">
        <v>162</v>
      </c>
      <c r="BH634">
        <v>19.5</v>
      </c>
      <c r="BI634">
        <v>15.6</v>
      </c>
      <c r="BJ634">
        <v>35</v>
      </c>
      <c r="BK634">
        <v>0.68</v>
      </c>
      <c r="BL634">
        <v>5.4</v>
      </c>
      <c r="BM634">
        <v>0.9</v>
      </c>
      <c r="BN634">
        <v>4.5999999999999996</v>
      </c>
      <c r="BO634">
        <v>2.1</v>
      </c>
      <c r="BP634">
        <f t="shared" si="18"/>
        <v>92.464382457635324</v>
      </c>
      <c r="BQ634">
        <f t="shared" si="19"/>
        <v>19.002305611049458</v>
      </c>
    </row>
    <row r="635" spans="1:69" hidden="1" x14ac:dyDescent="0.2">
      <c r="A635" t="s">
        <v>170</v>
      </c>
      <c r="B635" t="s">
        <v>68</v>
      </c>
      <c r="C635" t="s">
        <v>69</v>
      </c>
      <c r="D635" t="s">
        <v>70</v>
      </c>
      <c r="E635" t="s">
        <v>171</v>
      </c>
      <c r="F635">
        <v>4</v>
      </c>
      <c r="G635">
        <v>94</v>
      </c>
      <c r="H635">
        <v>3</v>
      </c>
      <c r="I635">
        <v>2</v>
      </c>
      <c r="J635">
        <v>1</v>
      </c>
      <c r="K635" t="s">
        <v>110</v>
      </c>
      <c r="L635" t="s">
        <v>162</v>
      </c>
      <c r="M635" s="4">
        <v>640000000</v>
      </c>
      <c r="N635">
        <v>0</v>
      </c>
      <c r="O635">
        <v>4.6610626000000002</v>
      </c>
      <c r="P635">
        <v>-74.117301900000001</v>
      </c>
      <c r="Q635" t="s">
        <v>172</v>
      </c>
      <c r="R635">
        <v>6808510.6380000003</v>
      </c>
      <c r="S635">
        <v>0</v>
      </c>
      <c r="T635" t="s">
        <v>88</v>
      </c>
      <c r="U635" t="s">
        <v>89</v>
      </c>
      <c r="V635" t="s">
        <v>77</v>
      </c>
      <c r="W635" t="s">
        <v>88</v>
      </c>
      <c r="X635" t="s">
        <v>90</v>
      </c>
      <c r="Y635">
        <v>3.2612705114508298</v>
      </c>
      <c r="Z635">
        <v>3261.2705114508299</v>
      </c>
      <c r="AA635">
        <v>4.6317666666666701</v>
      </c>
      <c r="AB635">
        <v>-74.117483333333297</v>
      </c>
      <c r="AC635">
        <v>2590</v>
      </c>
      <c r="AD635">
        <v>10</v>
      </c>
      <c r="AE635" t="s">
        <v>80</v>
      </c>
      <c r="AF635" t="s">
        <v>91</v>
      </c>
      <c r="AG635" t="s">
        <v>82</v>
      </c>
      <c r="AH635" t="s">
        <v>83</v>
      </c>
      <c r="AI635" t="s">
        <v>92</v>
      </c>
      <c r="AJ635">
        <v>0.950853068515916</v>
      </c>
      <c r="AK635">
        <v>4.4727316759695901</v>
      </c>
      <c r="AL635">
        <v>1.21900922656574</v>
      </c>
      <c r="AM635">
        <v>0.18606081017604001</v>
      </c>
      <c r="AN635">
        <v>1.13953844811825</v>
      </c>
      <c r="AO635">
        <v>0.22171981339416499</v>
      </c>
      <c r="AP635">
        <v>0.22171981339416499</v>
      </c>
      <c r="AQ635">
        <v>0</v>
      </c>
      <c r="AR635">
        <v>2</v>
      </c>
      <c r="AS635">
        <v>0</v>
      </c>
      <c r="AT635">
        <v>0</v>
      </c>
      <c r="AU635">
        <v>0</v>
      </c>
      <c r="AV635">
        <v>24</v>
      </c>
      <c r="AW635">
        <v>0</v>
      </c>
      <c r="AX635">
        <v>0</v>
      </c>
      <c r="AY635">
        <v>16.600000000000001</v>
      </c>
      <c r="AZ635">
        <v>101.7</v>
      </c>
      <c r="BA635">
        <v>19.899999999999999</v>
      </c>
      <c r="BB635">
        <v>564</v>
      </c>
      <c r="BC635">
        <v>71</v>
      </c>
      <c r="BD635">
        <v>1.7</v>
      </c>
      <c r="BE635">
        <v>185</v>
      </c>
      <c r="BF635">
        <v>0.8</v>
      </c>
      <c r="BG635">
        <v>162</v>
      </c>
      <c r="BH635">
        <v>19.5</v>
      </c>
      <c r="BI635">
        <v>15.6</v>
      </c>
      <c r="BJ635">
        <v>35</v>
      </c>
      <c r="BK635">
        <v>0.68</v>
      </c>
      <c r="BL635">
        <v>5.4</v>
      </c>
      <c r="BM635">
        <v>0.9</v>
      </c>
      <c r="BN635">
        <v>4.5999999999999996</v>
      </c>
      <c r="BO635">
        <v>2.1</v>
      </c>
      <c r="BP635">
        <f t="shared" si="18"/>
        <v>86.538933655580422</v>
      </c>
      <c r="BQ635">
        <f t="shared" si="19"/>
        <v>18.401813866467965</v>
      </c>
    </row>
    <row r="636" spans="1:69" hidden="1" x14ac:dyDescent="0.2">
      <c r="A636" t="s">
        <v>501</v>
      </c>
      <c r="B636" t="s">
        <v>68</v>
      </c>
      <c r="C636" t="s">
        <v>69</v>
      </c>
      <c r="D636" t="s">
        <v>70</v>
      </c>
      <c r="E636" t="s">
        <v>502</v>
      </c>
      <c r="F636">
        <v>3</v>
      </c>
      <c r="G636">
        <v>94</v>
      </c>
      <c r="H636">
        <v>3</v>
      </c>
      <c r="I636">
        <v>2</v>
      </c>
      <c r="J636">
        <v>1</v>
      </c>
      <c r="K636" t="s">
        <v>110</v>
      </c>
      <c r="L636" t="s">
        <v>124</v>
      </c>
      <c r="M636" s="4">
        <v>410000000</v>
      </c>
      <c r="N636">
        <v>0</v>
      </c>
      <c r="O636">
        <v>4.6051807</v>
      </c>
      <c r="P636">
        <v>-74.100300000000004</v>
      </c>
      <c r="Q636" t="s">
        <v>503</v>
      </c>
      <c r="R636">
        <v>4361702.1279999996</v>
      </c>
      <c r="S636">
        <v>0</v>
      </c>
      <c r="T636" t="s">
        <v>504</v>
      </c>
      <c r="U636" t="s">
        <v>505</v>
      </c>
      <c r="V636" t="s">
        <v>77</v>
      </c>
      <c r="W636" t="s">
        <v>88</v>
      </c>
      <c r="X636" t="s">
        <v>506</v>
      </c>
      <c r="Y636">
        <v>1.6664272420730599</v>
      </c>
      <c r="Z636">
        <v>1666.4272420730599</v>
      </c>
      <c r="AA636">
        <v>4.6085000000000003</v>
      </c>
      <c r="AB636">
        <v>-74.114944444444404</v>
      </c>
      <c r="AC636">
        <v>2559</v>
      </c>
      <c r="AD636">
        <v>0</v>
      </c>
      <c r="AE636" t="s">
        <v>80</v>
      </c>
      <c r="AF636" t="s">
        <v>507</v>
      </c>
      <c r="AG636" t="s">
        <v>82</v>
      </c>
      <c r="AH636" t="s">
        <v>83</v>
      </c>
      <c r="AI636" t="s">
        <v>288</v>
      </c>
      <c r="AJ636">
        <v>0.113778788585975</v>
      </c>
      <c r="AK636">
        <v>3.8869404421113001</v>
      </c>
      <c r="AL636">
        <v>1.4393710668239501</v>
      </c>
      <c r="AM636">
        <v>0.110068520083831</v>
      </c>
      <c r="AN636">
        <v>1.3591639055967699</v>
      </c>
      <c r="AO636">
        <v>0.21272853564031599</v>
      </c>
      <c r="AP636">
        <v>0.21272853564031599</v>
      </c>
      <c r="AQ636">
        <v>2</v>
      </c>
      <c r="AR636">
        <v>3</v>
      </c>
      <c r="AS636">
        <v>0</v>
      </c>
      <c r="AT636">
        <v>0</v>
      </c>
      <c r="AU636">
        <v>0</v>
      </c>
      <c r="AV636">
        <v>22</v>
      </c>
      <c r="AW636">
        <v>0</v>
      </c>
      <c r="AX636">
        <v>0</v>
      </c>
      <c r="AY636">
        <v>16.600000000000001</v>
      </c>
      <c r="AZ636">
        <v>101.7</v>
      </c>
      <c r="BA636">
        <v>19.899999999999999</v>
      </c>
      <c r="BB636">
        <v>564</v>
      </c>
      <c r="BC636">
        <v>71</v>
      </c>
      <c r="BD636">
        <v>1.7</v>
      </c>
      <c r="BE636">
        <v>185</v>
      </c>
      <c r="BF636">
        <v>0.8</v>
      </c>
      <c r="BG636">
        <v>162</v>
      </c>
      <c r="BH636">
        <v>19.5</v>
      </c>
      <c r="BI636">
        <v>15.6</v>
      </c>
      <c r="BJ636">
        <v>35</v>
      </c>
      <c r="BK636">
        <v>0.68</v>
      </c>
      <c r="BL636">
        <v>5.4</v>
      </c>
      <c r="BM636">
        <v>0.9</v>
      </c>
      <c r="BN636">
        <v>4.5999999999999996</v>
      </c>
      <c r="BO636">
        <v>2.1</v>
      </c>
      <c r="BP636">
        <f t="shared" si="18"/>
        <v>93.647633090011738</v>
      </c>
      <c r="BQ636">
        <f t="shared" si="19"/>
        <v>19.119819704937079</v>
      </c>
    </row>
    <row r="637" spans="1:69" hidden="1" x14ac:dyDescent="0.2">
      <c r="A637" t="s">
        <v>285</v>
      </c>
      <c r="B637" t="s">
        <v>68</v>
      </c>
      <c r="C637" t="s">
        <v>69</v>
      </c>
      <c r="D637" t="s">
        <v>70</v>
      </c>
      <c r="E637" t="s">
        <v>286</v>
      </c>
      <c r="F637">
        <v>4</v>
      </c>
      <c r="G637">
        <v>91</v>
      </c>
      <c r="H637">
        <v>3</v>
      </c>
      <c r="I637">
        <v>2</v>
      </c>
      <c r="J637">
        <v>2</v>
      </c>
      <c r="K637" t="s">
        <v>110</v>
      </c>
      <c r="L637" t="s">
        <v>111</v>
      </c>
      <c r="M637" s="4">
        <v>870000000</v>
      </c>
      <c r="N637">
        <v>0</v>
      </c>
      <c r="O637">
        <v>4.6429369999999999</v>
      </c>
      <c r="P637">
        <v>-74.110793999999999</v>
      </c>
      <c r="Q637" t="s">
        <v>287</v>
      </c>
      <c r="R637">
        <v>9560439.5600000005</v>
      </c>
      <c r="S637">
        <v>0</v>
      </c>
      <c r="T637" t="s">
        <v>88</v>
      </c>
      <c r="U637" t="s">
        <v>89</v>
      </c>
      <c r="V637" t="s">
        <v>77</v>
      </c>
      <c r="W637" t="s">
        <v>88</v>
      </c>
      <c r="X637" t="s">
        <v>90</v>
      </c>
      <c r="Y637">
        <v>1.4481422293470601</v>
      </c>
      <c r="Z637">
        <v>1448.14222934706</v>
      </c>
      <c r="AA637">
        <v>4.6317666666666701</v>
      </c>
      <c r="AB637">
        <v>-74.117483333333297</v>
      </c>
      <c r="AC637">
        <v>2590</v>
      </c>
      <c r="AD637">
        <v>10</v>
      </c>
      <c r="AE637" t="s">
        <v>80</v>
      </c>
      <c r="AF637" t="s">
        <v>91</v>
      </c>
      <c r="AG637" t="s">
        <v>82</v>
      </c>
      <c r="AH637" t="s">
        <v>83</v>
      </c>
      <c r="AI637" t="s">
        <v>288</v>
      </c>
      <c r="AJ637">
        <v>1.3401444484079199</v>
      </c>
      <c r="AK637">
        <v>5.5472804187053804</v>
      </c>
      <c r="AL637">
        <v>1.3176415194773199</v>
      </c>
      <c r="AM637">
        <v>0.23542914450472499</v>
      </c>
      <c r="AN637">
        <v>0.99625515669279296</v>
      </c>
      <c r="AO637">
        <v>0.50022150476860905</v>
      </c>
      <c r="AP637">
        <v>0.50022150476860905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41</v>
      </c>
      <c r="AW637">
        <v>1</v>
      </c>
      <c r="AX637">
        <v>0</v>
      </c>
      <c r="AY637">
        <v>16.600000000000001</v>
      </c>
      <c r="AZ637">
        <v>101.7</v>
      </c>
      <c r="BA637">
        <v>19.899999999999999</v>
      </c>
      <c r="BB637">
        <v>564</v>
      </c>
      <c r="BC637">
        <v>71</v>
      </c>
      <c r="BD637">
        <v>1.7</v>
      </c>
      <c r="BE637">
        <v>185</v>
      </c>
      <c r="BF637">
        <v>0.8</v>
      </c>
      <c r="BG637">
        <v>162</v>
      </c>
      <c r="BH637">
        <v>19.5</v>
      </c>
      <c r="BI637">
        <v>15.6</v>
      </c>
      <c r="BJ637">
        <v>35</v>
      </c>
      <c r="BK637">
        <v>0.68</v>
      </c>
      <c r="BL637">
        <v>5.4</v>
      </c>
      <c r="BM637">
        <v>0.9</v>
      </c>
      <c r="BN637">
        <v>4.5999999999999996</v>
      </c>
      <c r="BO637">
        <v>2.1</v>
      </c>
      <c r="BP637">
        <f t="shared" si="18"/>
        <v>94.664992331900763</v>
      </c>
      <c r="BQ637">
        <f t="shared" si="19"/>
        <v>19.220248221828768</v>
      </c>
    </row>
    <row r="638" spans="1:69" hidden="1" x14ac:dyDescent="0.2">
      <c r="A638" t="s">
        <v>3275</v>
      </c>
      <c r="B638" t="s">
        <v>68</v>
      </c>
      <c r="C638" t="s">
        <v>1956</v>
      </c>
      <c r="D638" t="s">
        <v>70</v>
      </c>
      <c r="E638" t="s">
        <v>274</v>
      </c>
      <c r="F638">
        <v>4</v>
      </c>
      <c r="G638">
        <v>91</v>
      </c>
      <c r="H638">
        <v>3</v>
      </c>
      <c r="I638">
        <v>2</v>
      </c>
      <c r="J638">
        <v>2</v>
      </c>
      <c r="K638" t="s">
        <v>110</v>
      </c>
      <c r="L638" t="s">
        <v>124</v>
      </c>
      <c r="M638" s="4">
        <v>795000000</v>
      </c>
      <c r="N638">
        <v>0</v>
      </c>
      <c r="O638">
        <v>4.6424975399999999</v>
      </c>
      <c r="P638">
        <v>-74.106933589999997</v>
      </c>
      <c r="Q638" t="s">
        <v>3276</v>
      </c>
      <c r="R638">
        <v>8736263.7359999996</v>
      </c>
      <c r="S638">
        <v>0</v>
      </c>
      <c r="T638" t="s">
        <v>88</v>
      </c>
      <c r="U638" t="s">
        <v>89</v>
      </c>
      <c r="V638" t="s">
        <v>77</v>
      </c>
      <c r="W638" t="s">
        <v>88</v>
      </c>
      <c r="X638" t="s">
        <v>90</v>
      </c>
      <c r="Y638">
        <v>1.6724667127678601</v>
      </c>
      <c r="Z638">
        <v>1672.4667127678599</v>
      </c>
      <c r="AA638">
        <v>4.6317666666666701</v>
      </c>
      <c r="AB638">
        <v>-74.117483333333297</v>
      </c>
      <c r="AC638">
        <v>2590</v>
      </c>
      <c r="AD638">
        <v>10</v>
      </c>
      <c r="AE638" t="s">
        <v>80</v>
      </c>
      <c r="AF638" t="s">
        <v>91</v>
      </c>
      <c r="AG638" t="s">
        <v>82</v>
      </c>
      <c r="AH638" t="s">
        <v>83</v>
      </c>
      <c r="AI638" t="s">
        <v>84</v>
      </c>
      <c r="AJ638">
        <v>0.99954446681345199</v>
      </c>
      <c r="AK638">
        <v>5.29950083714371</v>
      </c>
      <c r="AL638">
        <v>1.62777114151842</v>
      </c>
      <c r="AM638">
        <v>0.49074580631490899</v>
      </c>
      <c r="AN638">
        <v>1.2734775458352099</v>
      </c>
      <c r="AO638">
        <v>0.54294105246038704</v>
      </c>
      <c r="AP638">
        <v>0.54294105246038704</v>
      </c>
      <c r="AQ638">
        <v>0</v>
      </c>
      <c r="AR638">
        <v>1</v>
      </c>
      <c r="AS638">
        <v>0</v>
      </c>
      <c r="AT638">
        <v>0</v>
      </c>
      <c r="AU638">
        <v>0</v>
      </c>
      <c r="AV638">
        <v>42</v>
      </c>
      <c r="AW638">
        <v>0</v>
      </c>
      <c r="AX638">
        <v>0</v>
      </c>
      <c r="AY638">
        <v>16.600000000000001</v>
      </c>
      <c r="AZ638">
        <v>101.7</v>
      </c>
      <c r="BA638">
        <v>19.899999999999999</v>
      </c>
      <c r="BB638">
        <v>564</v>
      </c>
      <c r="BC638">
        <v>71</v>
      </c>
      <c r="BD638">
        <v>1.7</v>
      </c>
      <c r="BE638">
        <v>185</v>
      </c>
      <c r="BF638">
        <v>0.8</v>
      </c>
      <c r="BG638">
        <v>162</v>
      </c>
      <c r="BH638">
        <v>19.5</v>
      </c>
      <c r="BI638">
        <v>15.6</v>
      </c>
      <c r="BJ638">
        <v>35</v>
      </c>
      <c r="BK638">
        <v>0.68</v>
      </c>
      <c r="BL638">
        <v>5.4</v>
      </c>
      <c r="BM638">
        <v>0.9</v>
      </c>
      <c r="BN638">
        <v>4.5999999999999996</v>
      </c>
      <c r="BO638">
        <v>2.1</v>
      </c>
      <c r="BP638">
        <f t="shared" si="18"/>
        <v>93.619640958680847</v>
      </c>
      <c r="BQ638">
        <f t="shared" si="19"/>
        <v>19.117048539599246</v>
      </c>
    </row>
    <row r="639" spans="1:69" hidden="1" x14ac:dyDescent="0.2">
      <c r="A639" t="s">
        <v>273</v>
      </c>
      <c r="B639" t="s">
        <v>68</v>
      </c>
      <c r="C639" t="s">
        <v>69</v>
      </c>
      <c r="D639" t="s">
        <v>70</v>
      </c>
      <c r="E639" t="s">
        <v>274</v>
      </c>
      <c r="F639">
        <v>4</v>
      </c>
      <c r="G639">
        <v>90</v>
      </c>
      <c r="H639">
        <v>2</v>
      </c>
      <c r="I639">
        <v>2</v>
      </c>
      <c r="J639">
        <v>2</v>
      </c>
      <c r="K639" t="s">
        <v>110</v>
      </c>
      <c r="L639" t="s">
        <v>124</v>
      </c>
      <c r="M639" s="4">
        <v>815000000</v>
      </c>
      <c r="N639">
        <v>0</v>
      </c>
      <c r="O639">
        <v>4.6442394260000004</v>
      </c>
      <c r="P639">
        <v>-74.107826230000001</v>
      </c>
      <c r="Q639" t="s">
        <v>275</v>
      </c>
      <c r="R639">
        <v>9055555.5559999999</v>
      </c>
      <c r="S639">
        <v>0</v>
      </c>
      <c r="T639" t="s">
        <v>88</v>
      </c>
      <c r="U639" t="s">
        <v>89</v>
      </c>
      <c r="V639" t="s">
        <v>77</v>
      </c>
      <c r="W639" t="s">
        <v>88</v>
      </c>
      <c r="X639" t="s">
        <v>90</v>
      </c>
      <c r="Y639">
        <v>1.75383709664127</v>
      </c>
      <c r="Z639">
        <v>1753.8370966412699</v>
      </c>
      <c r="AA639">
        <v>4.6317666666666701</v>
      </c>
      <c r="AB639">
        <v>-74.117483333333297</v>
      </c>
      <c r="AC639">
        <v>2590</v>
      </c>
      <c r="AD639">
        <v>10</v>
      </c>
      <c r="AE639" t="s">
        <v>80</v>
      </c>
      <c r="AF639" t="s">
        <v>91</v>
      </c>
      <c r="AG639" t="s">
        <v>82</v>
      </c>
      <c r="AH639" t="s">
        <v>83</v>
      </c>
      <c r="AI639" t="s">
        <v>84</v>
      </c>
      <c r="AJ639">
        <v>1.00266425202659</v>
      </c>
      <c r="AK639">
        <v>5.4352590970257904</v>
      </c>
      <c r="AL639">
        <v>1.50724950019967</v>
      </c>
      <c r="AM639">
        <v>0.27429298634185101</v>
      </c>
      <c r="AN639">
        <v>1.06503105123515</v>
      </c>
      <c r="AO639">
        <v>0.32745209753899501</v>
      </c>
      <c r="AP639">
        <v>0.32745209753899501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39</v>
      </c>
      <c r="AW639">
        <v>0</v>
      </c>
      <c r="AX639">
        <v>0</v>
      </c>
      <c r="AY639">
        <v>16.600000000000001</v>
      </c>
      <c r="AZ639">
        <v>101.7</v>
      </c>
      <c r="BA639">
        <v>19.899999999999999</v>
      </c>
      <c r="BB639">
        <v>564</v>
      </c>
      <c r="BC639">
        <v>71</v>
      </c>
      <c r="BD639">
        <v>1.7</v>
      </c>
      <c r="BE639">
        <v>185</v>
      </c>
      <c r="BF639">
        <v>0.8</v>
      </c>
      <c r="BG639">
        <v>162</v>
      </c>
      <c r="BH639">
        <v>19.5</v>
      </c>
      <c r="BI639">
        <v>15.6</v>
      </c>
      <c r="BJ639">
        <v>35</v>
      </c>
      <c r="BK639">
        <v>0.68</v>
      </c>
      <c r="BL639">
        <v>5.4</v>
      </c>
      <c r="BM639">
        <v>0.9</v>
      </c>
      <c r="BN639">
        <v>4.5999999999999996</v>
      </c>
      <c r="BO639">
        <v>2.1</v>
      </c>
      <c r="BP639">
        <f t="shared" si="18"/>
        <v>93.243314983651572</v>
      </c>
      <c r="BQ639">
        <f t="shared" si="19"/>
        <v>19.079751492077037</v>
      </c>
    </row>
    <row r="640" spans="1:69" hidden="1" x14ac:dyDescent="0.2">
      <c r="A640" t="s">
        <v>2161</v>
      </c>
      <c r="B640" t="s">
        <v>68</v>
      </c>
      <c r="C640" t="s">
        <v>1956</v>
      </c>
      <c r="D640" t="s">
        <v>70</v>
      </c>
      <c r="E640" t="s">
        <v>274</v>
      </c>
      <c r="F640">
        <v>4</v>
      </c>
      <c r="G640">
        <v>79</v>
      </c>
      <c r="H640">
        <v>3</v>
      </c>
      <c r="I640">
        <v>2</v>
      </c>
      <c r="J640">
        <v>2</v>
      </c>
      <c r="K640" t="s">
        <v>110</v>
      </c>
      <c r="L640" t="s">
        <v>162</v>
      </c>
      <c r="M640" s="4">
        <v>795000000</v>
      </c>
      <c r="N640">
        <v>0</v>
      </c>
      <c r="O640">
        <v>4.6420207019999999</v>
      </c>
      <c r="P640">
        <v>-74.106285099999994</v>
      </c>
      <c r="Q640" t="s">
        <v>2162</v>
      </c>
      <c r="R640">
        <v>10063291.140000001</v>
      </c>
      <c r="S640">
        <v>0</v>
      </c>
      <c r="T640" t="s">
        <v>88</v>
      </c>
      <c r="U640" t="s">
        <v>89</v>
      </c>
      <c r="V640" t="s">
        <v>77</v>
      </c>
      <c r="W640" t="s">
        <v>88</v>
      </c>
      <c r="X640" t="s">
        <v>90</v>
      </c>
      <c r="Y640">
        <v>1.6872383108234601</v>
      </c>
      <c r="Z640">
        <v>1687.2383108234601</v>
      </c>
      <c r="AA640">
        <v>4.6317666666666701</v>
      </c>
      <c r="AB640">
        <v>-74.117483333333297</v>
      </c>
      <c r="AC640">
        <v>2590</v>
      </c>
      <c r="AD640">
        <v>10</v>
      </c>
      <c r="AE640" t="s">
        <v>80</v>
      </c>
      <c r="AF640" t="s">
        <v>91</v>
      </c>
      <c r="AG640" t="s">
        <v>82</v>
      </c>
      <c r="AH640" t="s">
        <v>83</v>
      </c>
      <c r="AI640" t="s">
        <v>84</v>
      </c>
      <c r="AJ640">
        <v>0.96553441671013596</v>
      </c>
      <c r="AK640">
        <v>5.2191249191964602</v>
      </c>
      <c r="AL640">
        <v>1.5664914727939001</v>
      </c>
      <c r="AM640">
        <v>0.53006269207958201</v>
      </c>
      <c r="AN640">
        <v>1.3607199022540599</v>
      </c>
      <c r="AO640">
        <v>0.62122239490730802</v>
      </c>
      <c r="AP640">
        <v>0.62122239490730802</v>
      </c>
      <c r="AQ640">
        <v>0</v>
      </c>
      <c r="AR640">
        <v>1</v>
      </c>
      <c r="AS640">
        <v>0</v>
      </c>
      <c r="AT640">
        <v>0</v>
      </c>
      <c r="AU640">
        <v>0</v>
      </c>
      <c r="AV640">
        <v>40</v>
      </c>
      <c r="AW640">
        <v>0</v>
      </c>
      <c r="AX640">
        <v>0</v>
      </c>
      <c r="AY640">
        <v>16.600000000000001</v>
      </c>
      <c r="AZ640">
        <v>101.7</v>
      </c>
      <c r="BA640">
        <v>19.899999999999999</v>
      </c>
      <c r="BB640">
        <v>564</v>
      </c>
      <c r="BC640">
        <v>71</v>
      </c>
      <c r="BD640">
        <v>1.7</v>
      </c>
      <c r="BE640">
        <v>185</v>
      </c>
      <c r="BF640">
        <v>0.8</v>
      </c>
      <c r="BG640">
        <v>162</v>
      </c>
      <c r="BH640">
        <v>19.5</v>
      </c>
      <c r="BI640">
        <v>15.6</v>
      </c>
      <c r="BJ640">
        <v>35</v>
      </c>
      <c r="BK640">
        <v>0.68</v>
      </c>
      <c r="BL640">
        <v>5.4</v>
      </c>
      <c r="BM640">
        <v>0.9</v>
      </c>
      <c r="BN640">
        <v>4.5999999999999996</v>
      </c>
      <c r="BO640">
        <v>2.1</v>
      </c>
      <c r="BP640">
        <f t="shared" si="18"/>
        <v>93.551211849745727</v>
      </c>
      <c r="BQ640">
        <f t="shared" si="19"/>
        <v>19.110272396234937</v>
      </c>
    </row>
    <row r="641" spans="1:69" hidden="1" x14ac:dyDescent="0.2">
      <c r="A641" t="s">
        <v>629</v>
      </c>
      <c r="B641" t="s">
        <v>68</v>
      </c>
      <c r="C641" t="s">
        <v>69</v>
      </c>
      <c r="D641" t="s">
        <v>70</v>
      </c>
      <c r="E641" t="s">
        <v>630</v>
      </c>
      <c r="F641">
        <v>4</v>
      </c>
      <c r="G641">
        <v>73</v>
      </c>
      <c r="H641">
        <v>4</v>
      </c>
      <c r="I641">
        <v>2</v>
      </c>
      <c r="J641">
        <v>1</v>
      </c>
      <c r="K641" t="s">
        <v>110</v>
      </c>
      <c r="L641" t="s">
        <v>111</v>
      </c>
      <c r="M641" s="4">
        <v>485000000</v>
      </c>
      <c r="N641">
        <v>0</v>
      </c>
      <c r="O641">
        <v>4.6371739999999999</v>
      </c>
      <c r="P641">
        <v>-74.125399999999999</v>
      </c>
      <c r="Q641" t="s">
        <v>631</v>
      </c>
      <c r="R641">
        <v>6643835.6160000004</v>
      </c>
      <c r="S641">
        <v>0</v>
      </c>
      <c r="T641" t="s">
        <v>88</v>
      </c>
      <c r="U641" t="s">
        <v>89</v>
      </c>
      <c r="V641" t="s">
        <v>77</v>
      </c>
      <c r="W641" t="s">
        <v>88</v>
      </c>
      <c r="X641" t="s">
        <v>90</v>
      </c>
      <c r="Y641">
        <v>1.06485519053457</v>
      </c>
      <c r="Z641">
        <v>1064.8551905345701</v>
      </c>
      <c r="AA641">
        <v>4.6317666666666701</v>
      </c>
      <c r="AB641">
        <v>-74.117483333333297</v>
      </c>
      <c r="AC641">
        <v>2590</v>
      </c>
      <c r="AD641">
        <v>10</v>
      </c>
      <c r="AE641" t="s">
        <v>80</v>
      </c>
      <c r="AF641" t="s">
        <v>91</v>
      </c>
      <c r="AG641" t="s">
        <v>82</v>
      </c>
      <c r="AH641" t="s">
        <v>83</v>
      </c>
      <c r="AI641" t="s">
        <v>221</v>
      </c>
      <c r="AJ641">
        <v>0.98258872683820397</v>
      </c>
      <c r="AK641">
        <v>4.38855487990838</v>
      </c>
      <c r="AL641">
        <v>0.52483637864152399</v>
      </c>
      <c r="AM641">
        <v>0.41638096153098503</v>
      </c>
      <c r="AN641">
        <v>1.95682387898428</v>
      </c>
      <c r="AO641">
        <v>0.15742501898153799</v>
      </c>
      <c r="AP641">
        <v>0.15742501898153799</v>
      </c>
      <c r="AQ641">
        <v>0</v>
      </c>
      <c r="AR641">
        <v>1</v>
      </c>
      <c r="AS641">
        <v>0</v>
      </c>
      <c r="AT641">
        <v>0</v>
      </c>
      <c r="AU641">
        <v>1</v>
      </c>
      <c r="AV641">
        <v>17</v>
      </c>
      <c r="AW641">
        <v>0</v>
      </c>
      <c r="AX641">
        <v>0</v>
      </c>
      <c r="AY641">
        <v>16.600000000000001</v>
      </c>
      <c r="AZ641">
        <v>101.7</v>
      </c>
      <c r="BA641">
        <v>19.899999999999999</v>
      </c>
      <c r="BB641">
        <v>564</v>
      </c>
      <c r="BC641">
        <v>71</v>
      </c>
      <c r="BD641">
        <v>1.7</v>
      </c>
      <c r="BE641">
        <v>185</v>
      </c>
      <c r="BF641">
        <v>0.8</v>
      </c>
      <c r="BG641">
        <v>162</v>
      </c>
      <c r="BH641">
        <v>19.5</v>
      </c>
      <c r="BI641">
        <v>15.6</v>
      </c>
      <c r="BJ641">
        <v>35</v>
      </c>
      <c r="BK641">
        <v>0.68</v>
      </c>
      <c r="BL641">
        <v>5.4</v>
      </c>
      <c r="BM641">
        <v>0.9</v>
      </c>
      <c r="BN641">
        <v>4.5999999999999996</v>
      </c>
      <c r="BO641">
        <v>2.1</v>
      </c>
      <c r="BP641">
        <f t="shared" si="18"/>
        <v>96.478189873131001</v>
      </c>
      <c r="BQ641">
        <f t="shared" si="19"/>
        <v>19.397868854178512</v>
      </c>
    </row>
    <row r="642" spans="1:69" hidden="1" x14ac:dyDescent="0.2">
      <c r="A642" t="s">
        <v>167</v>
      </c>
      <c r="B642" t="s">
        <v>68</v>
      </c>
      <c r="C642" t="s">
        <v>69</v>
      </c>
      <c r="D642" t="s">
        <v>70</v>
      </c>
      <c r="E642" t="s">
        <v>168</v>
      </c>
      <c r="F642">
        <v>4</v>
      </c>
      <c r="G642">
        <v>72</v>
      </c>
      <c r="H642">
        <v>3</v>
      </c>
      <c r="I642">
        <v>2</v>
      </c>
      <c r="J642">
        <v>1</v>
      </c>
      <c r="K642" t="s">
        <v>110</v>
      </c>
      <c r="L642" t="s">
        <v>133</v>
      </c>
      <c r="M642" s="4">
        <v>700000000</v>
      </c>
      <c r="N642">
        <v>0</v>
      </c>
      <c r="O642">
        <v>4.6334042999999996</v>
      </c>
      <c r="P642">
        <v>-74.097520000000003</v>
      </c>
      <c r="Q642" t="s">
        <v>169</v>
      </c>
      <c r="R642">
        <v>9722222.2219999991</v>
      </c>
      <c r="S642">
        <v>0</v>
      </c>
      <c r="T642" t="s">
        <v>88</v>
      </c>
      <c r="U642" t="s">
        <v>89</v>
      </c>
      <c r="V642" t="s">
        <v>77</v>
      </c>
      <c r="W642" t="s">
        <v>88</v>
      </c>
      <c r="X642" t="s">
        <v>90</v>
      </c>
      <c r="Y642">
        <v>2.22253714662657</v>
      </c>
      <c r="Z642">
        <v>2222.5371466265701</v>
      </c>
      <c r="AA642">
        <v>4.6317666666666701</v>
      </c>
      <c r="AB642">
        <v>-74.117483333333297</v>
      </c>
      <c r="AC642">
        <v>2590</v>
      </c>
      <c r="AD642">
        <v>10</v>
      </c>
      <c r="AE642" t="s">
        <v>80</v>
      </c>
      <c r="AF642" t="s">
        <v>91</v>
      </c>
      <c r="AG642" t="s">
        <v>82</v>
      </c>
      <c r="AH642" t="s">
        <v>83</v>
      </c>
      <c r="AI642" t="s">
        <v>84</v>
      </c>
      <c r="AJ642">
        <v>0.66480081215956999</v>
      </c>
      <c r="AK642">
        <v>4.0850236218583298</v>
      </c>
      <c r="AL642">
        <v>1.08256556052827</v>
      </c>
      <c r="AM642">
        <v>0.21586763818568599</v>
      </c>
      <c r="AN642">
        <v>1.84548803346345</v>
      </c>
      <c r="AO642">
        <v>0.64584433171654299</v>
      </c>
      <c r="AP642">
        <v>0.64584433171654299</v>
      </c>
      <c r="AQ642">
        <v>0</v>
      </c>
      <c r="AR642">
        <v>2</v>
      </c>
      <c r="AS642">
        <v>0</v>
      </c>
      <c r="AT642">
        <v>0</v>
      </c>
      <c r="AU642">
        <v>0</v>
      </c>
      <c r="AV642">
        <v>13</v>
      </c>
      <c r="AW642">
        <v>0</v>
      </c>
      <c r="AX642">
        <v>0</v>
      </c>
      <c r="AY642">
        <v>16.600000000000001</v>
      </c>
      <c r="AZ642">
        <v>101.7</v>
      </c>
      <c r="BA642">
        <v>19.899999999999999</v>
      </c>
      <c r="BB642">
        <v>564</v>
      </c>
      <c r="BC642">
        <v>71</v>
      </c>
      <c r="BD642">
        <v>1.7</v>
      </c>
      <c r="BE642">
        <v>185</v>
      </c>
      <c r="BF642">
        <v>0.8</v>
      </c>
      <c r="BG642">
        <v>162</v>
      </c>
      <c r="BH642">
        <v>19.5</v>
      </c>
      <c r="BI642">
        <v>15.6</v>
      </c>
      <c r="BJ642">
        <v>35</v>
      </c>
      <c r="BK642">
        <v>0.68</v>
      </c>
      <c r="BL642">
        <v>5.4</v>
      </c>
      <c r="BM642">
        <v>0.9</v>
      </c>
      <c r="BN642">
        <v>4.5999999999999996</v>
      </c>
      <c r="BO642">
        <v>2.1</v>
      </c>
      <c r="BP642">
        <f t="shared" ref="BP642:BP705" si="20">+AZ642*EXP(-0.0495*Y642)</f>
        <v>91.104911336170375</v>
      </c>
      <c r="BQ642">
        <f t="shared" ref="BQ642:BQ705" si="21">+BA642*EXP(-0.024*Y642)</f>
        <v>18.866329780255651</v>
      </c>
    </row>
    <row r="643" spans="1:69" hidden="1" x14ac:dyDescent="0.2">
      <c r="A643" t="s">
        <v>1625</v>
      </c>
      <c r="B643" t="s">
        <v>68</v>
      </c>
      <c r="C643" t="s">
        <v>69</v>
      </c>
      <c r="D643" t="s">
        <v>70</v>
      </c>
      <c r="E643" t="s">
        <v>1626</v>
      </c>
      <c r="F643">
        <v>4</v>
      </c>
      <c r="G643">
        <v>72</v>
      </c>
      <c r="H643">
        <v>3</v>
      </c>
      <c r="I643">
        <v>2</v>
      </c>
      <c r="J643">
        <v>1</v>
      </c>
      <c r="K643" t="s">
        <v>110</v>
      </c>
      <c r="L643" t="s">
        <v>124</v>
      </c>
      <c r="M643" s="4">
        <v>535000000</v>
      </c>
      <c r="N643">
        <v>0</v>
      </c>
      <c r="O643">
        <v>4.6604347229999998</v>
      </c>
      <c r="P643">
        <v>-74.117698669999996</v>
      </c>
      <c r="Q643" t="s">
        <v>1627</v>
      </c>
      <c r="R643">
        <v>7430555.5559999999</v>
      </c>
      <c r="S643">
        <v>0</v>
      </c>
      <c r="T643" t="s">
        <v>88</v>
      </c>
      <c r="U643" t="s">
        <v>89</v>
      </c>
      <c r="V643" t="s">
        <v>77</v>
      </c>
      <c r="W643" t="s">
        <v>88</v>
      </c>
      <c r="X643" t="s">
        <v>90</v>
      </c>
      <c r="Y643">
        <v>3.1914028693923302</v>
      </c>
      <c r="Z643">
        <v>3191.4028693923301</v>
      </c>
      <c r="AA643">
        <v>4.6317666666666701</v>
      </c>
      <c r="AB643">
        <v>-74.117483333333297</v>
      </c>
      <c r="AC643">
        <v>2590</v>
      </c>
      <c r="AD643">
        <v>10</v>
      </c>
      <c r="AE643" t="s">
        <v>80</v>
      </c>
      <c r="AF643" t="s">
        <v>91</v>
      </c>
      <c r="AG643" t="s">
        <v>82</v>
      </c>
      <c r="AH643" t="s">
        <v>83</v>
      </c>
      <c r="AI643" t="s">
        <v>92</v>
      </c>
      <c r="AJ643">
        <v>1.003805273939</v>
      </c>
      <c r="AK643">
        <v>4.43324972989216</v>
      </c>
      <c r="AL643">
        <v>1.24332692287572</v>
      </c>
      <c r="AM643">
        <v>0.25357038170844098</v>
      </c>
      <c r="AN643">
        <v>1.0862402715198001</v>
      </c>
      <c r="AO643">
        <v>0.14023618376111899</v>
      </c>
      <c r="AP643">
        <v>0.14023618376111899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23</v>
      </c>
      <c r="AW643">
        <v>0</v>
      </c>
      <c r="AX643">
        <v>0</v>
      </c>
      <c r="AY643">
        <v>16.600000000000001</v>
      </c>
      <c r="AZ643">
        <v>101.7</v>
      </c>
      <c r="BA643">
        <v>19.899999999999999</v>
      </c>
      <c r="BB643">
        <v>564</v>
      </c>
      <c r="BC643">
        <v>71</v>
      </c>
      <c r="BD643">
        <v>1.7</v>
      </c>
      <c r="BE643">
        <v>185</v>
      </c>
      <c r="BF643">
        <v>0.8</v>
      </c>
      <c r="BG643">
        <v>162</v>
      </c>
      <c r="BH643">
        <v>19.5</v>
      </c>
      <c r="BI643">
        <v>15.6</v>
      </c>
      <c r="BJ643">
        <v>35</v>
      </c>
      <c r="BK643">
        <v>0.68</v>
      </c>
      <c r="BL643">
        <v>5.4</v>
      </c>
      <c r="BM643">
        <v>0.9</v>
      </c>
      <c r="BN643">
        <v>4.5999999999999996</v>
      </c>
      <c r="BO643">
        <v>2.1</v>
      </c>
      <c r="BP643">
        <f t="shared" si="20"/>
        <v>86.838742219374097</v>
      </c>
      <c r="BQ643">
        <f t="shared" si="21"/>
        <v>18.432696343729045</v>
      </c>
    </row>
    <row r="644" spans="1:69" hidden="1" x14ac:dyDescent="0.2">
      <c r="A644" t="s">
        <v>2365</v>
      </c>
      <c r="B644" t="s">
        <v>68</v>
      </c>
      <c r="C644" t="s">
        <v>1956</v>
      </c>
      <c r="D644" t="s">
        <v>70</v>
      </c>
      <c r="E644" t="s">
        <v>2366</v>
      </c>
      <c r="F644">
        <v>3</v>
      </c>
      <c r="G644">
        <v>71</v>
      </c>
      <c r="H644">
        <v>3</v>
      </c>
      <c r="I644">
        <v>2</v>
      </c>
      <c r="J644">
        <v>1</v>
      </c>
      <c r="K644" t="s">
        <v>110</v>
      </c>
      <c r="L644" t="s">
        <v>162</v>
      </c>
      <c r="M644" s="4">
        <v>428000000</v>
      </c>
      <c r="N644">
        <v>0</v>
      </c>
      <c r="O644">
        <v>4.6199778870000001</v>
      </c>
      <c r="P644">
        <v>-74.131575960000006</v>
      </c>
      <c r="Q644" t="s">
        <v>2367</v>
      </c>
      <c r="R644">
        <v>6028169.0140000004</v>
      </c>
      <c r="S644">
        <v>0</v>
      </c>
      <c r="T644" t="s">
        <v>88</v>
      </c>
      <c r="U644" t="s">
        <v>89</v>
      </c>
      <c r="V644" t="s">
        <v>77</v>
      </c>
      <c r="W644" t="s">
        <v>88</v>
      </c>
      <c r="X644" t="s">
        <v>90</v>
      </c>
      <c r="Y644">
        <v>2.0413872845115701</v>
      </c>
      <c r="Z644">
        <v>2041.38728451157</v>
      </c>
      <c r="AA644">
        <v>4.6317666666666701</v>
      </c>
      <c r="AB644">
        <v>-74.117483333333297</v>
      </c>
      <c r="AC644">
        <v>2590</v>
      </c>
      <c r="AD644">
        <v>10</v>
      </c>
      <c r="AE644" t="s">
        <v>80</v>
      </c>
      <c r="AF644" t="s">
        <v>91</v>
      </c>
      <c r="AG644" t="s">
        <v>82</v>
      </c>
      <c r="AH644" t="s">
        <v>83</v>
      </c>
      <c r="AI644" t="s">
        <v>221</v>
      </c>
      <c r="AJ644">
        <v>1.0832962872755401</v>
      </c>
      <c r="AK644">
        <v>5.2841370342210698</v>
      </c>
      <c r="AL644">
        <v>2.5247491632852399</v>
      </c>
      <c r="AM644">
        <v>0.37303272016285799</v>
      </c>
      <c r="AN644">
        <v>3.1049351759866601</v>
      </c>
      <c r="AO644">
        <v>0.15608542164668099</v>
      </c>
      <c r="AP644">
        <v>0.15608542164668099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33</v>
      </c>
      <c r="AW644">
        <v>0</v>
      </c>
      <c r="AX644">
        <v>0</v>
      </c>
      <c r="AY644">
        <v>16.600000000000001</v>
      </c>
      <c r="AZ644">
        <v>101.7</v>
      </c>
      <c r="BA644">
        <v>19.899999999999999</v>
      </c>
      <c r="BB644">
        <v>564</v>
      </c>
      <c r="BC644">
        <v>71</v>
      </c>
      <c r="BD644">
        <v>1.7</v>
      </c>
      <c r="BE644">
        <v>185</v>
      </c>
      <c r="BF644">
        <v>0.8</v>
      </c>
      <c r="BG644">
        <v>162</v>
      </c>
      <c r="BH644">
        <v>19.5</v>
      </c>
      <c r="BI644">
        <v>15.6</v>
      </c>
      <c r="BJ644">
        <v>35</v>
      </c>
      <c r="BK644">
        <v>0.68</v>
      </c>
      <c r="BL644">
        <v>5.4</v>
      </c>
      <c r="BM644">
        <v>0.9</v>
      </c>
      <c r="BN644">
        <v>4.5999999999999996</v>
      </c>
      <c r="BO644">
        <v>2.1</v>
      </c>
      <c r="BP644">
        <f t="shared" si="20"/>
        <v>91.925515267162567</v>
      </c>
      <c r="BQ644">
        <f t="shared" si="21"/>
        <v>18.948531533732108</v>
      </c>
    </row>
    <row r="645" spans="1:69" hidden="1" x14ac:dyDescent="0.2">
      <c r="A645" t="s">
        <v>85</v>
      </c>
      <c r="B645" t="s">
        <v>68</v>
      </c>
      <c r="C645" t="s">
        <v>69</v>
      </c>
      <c r="D645" t="s">
        <v>70</v>
      </c>
      <c r="E645" t="s">
        <v>86</v>
      </c>
      <c r="F645">
        <v>1</v>
      </c>
      <c r="G645">
        <v>70</v>
      </c>
      <c r="H645">
        <v>2</v>
      </c>
      <c r="I645">
        <v>2</v>
      </c>
      <c r="J645">
        <v>2</v>
      </c>
      <c r="K645" t="s">
        <v>72</v>
      </c>
      <c r="L645" t="s">
        <v>73</v>
      </c>
      <c r="M645" s="4">
        <v>3000000000</v>
      </c>
      <c r="N645">
        <v>0</v>
      </c>
      <c r="O645">
        <v>4.649592792</v>
      </c>
      <c r="P645">
        <v>-74.11132336</v>
      </c>
      <c r="Q645" t="s">
        <v>87</v>
      </c>
      <c r="R645">
        <v>42857142.859999999</v>
      </c>
      <c r="S645">
        <v>0</v>
      </c>
      <c r="T645" t="s">
        <v>88</v>
      </c>
      <c r="U645" t="s">
        <v>89</v>
      </c>
      <c r="V645" t="s">
        <v>77</v>
      </c>
      <c r="W645" t="s">
        <v>88</v>
      </c>
      <c r="X645" t="s">
        <v>90</v>
      </c>
      <c r="Y645">
        <v>2.09880089453348</v>
      </c>
      <c r="Z645">
        <v>2098.80089453348</v>
      </c>
      <c r="AA645">
        <v>4.6317666666666701</v>
      </c>
      <c r="AB645">
        <v>-74.117483333333297</v>
      </c>
      <c r="AC645">
        <v>2590</v>
      </c>
      <c r="AD645">
        <v>10</v>
      </c>
      <c r="AE645" t="s">
        <v>80</v>
      </c>
      <c r="AF645" t="s">
        <v>91</v>
      </c>
      <c r="AG645" t="s">
        <v>82</v>
      </c>
      <c r="AH645" t="s">
        <v>83</v>
      </c>
      <c r="AI645" t="s">
        <v>92</v>
      </c>
      <c r="AJ645">
        <v>1.03852061543244</v>
      </c>
      <c r="AK645">
        <v>5.2873725904693796</v>
      </c>
      <c r="AL645">
        <v>1.0407607195353601</v>
      </c>
      <c r="AM645">
        <v>0.35723392581767299</v>
      </c>
      <c r="AN645">
        <v>0.395136717447305</v>
      </c>
      <c r="AO645">
        <v>3.09748968871623E-2</v>
      </c>
      <c r="AP645">
        <v>3.09748968871623E-2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53</v>
      </c>
      <c r="AW645">
        <v>1</v>
      </c>
      <c r="AX645">
        <v>0</v>
      </c>
      <c r="AY645">
        <v>16.600000000000001</v>
      </c>
      <c r="AZ645">
        <v>101.7</v>
      </c>
      <c r="BA645">
        <v>19.899999999999999</v>
      </c>
      <c r="BB645">
        <v>564</v>
      </c>
      <c r="BC645">
        <v>71</v>
      </c>
      <c r="BD645">
        <v>1.7</v>
      </c>
      <c r="BE645">
        <v>185</v>
      </c>
      <c r="BF645">
        <v>0.8</v>
      </c>
      <c r="BG645">
        <v>162</v>
      </c>
      <c r="BH645">
        <v>19.5</v>
      </c>
      <c r="BI645">
        <v>15.6</v>
      </c>
      <c r="BJ645">
        <v>35</v>
      </c>
      <c r="BK645">
        <v>0.68</v>
      </c>
      <c r="BL645">
        <v>5.4</v>
      </c>
      <c r="BM645">
        <v>0.9</v>
      </c>
      <c r="BN645">
        <v>4.5999999999999996</v>
      </c>
      <c r="BO645">
        <v>2.1</v>
      </c>
      <c r="BP645">
        <f t="shared" si="20"/>
        <v>91.664636252012983</v>
      </c>
      <c r="BQ645">
        <f t="shared" si="21"/>
        <v>18.922439827689683</v>
      </c>
    </row>
    <row r="646" spans="1:69" hidden="1" x14ac:dyDescent="0.2">
      <c r="A646" t="s">
        <v>2394</v>
      </c>
      <c r="B646" t="s">
        <v>68</v>
      </c>
      <c r="C646" t="s">
        <v>1956</v>
      </c>
      <c r="D646" t="s">
        <v>70</v>
      </c>
      <c r="E646" t="s">
        <v>2390</v>
      </c>
      <c r="F646">
        <v>3</v>
      </c>
      <c r="G646">
        <v>68</v>
      </c>
      <c r="H646">
        <v>4</v>
      </c>
      <c r="I646">
        <v>3</v>
      </c>
      <c r="J646">
        <v>1</v>
      </c>
      <c r="K646" t="s">
        <v>110</v>
      </c>
      <c r="L646" t="s">
        <v>162</v>
      </c>
      <c r="M646" s="4">
        <v>400000000</v>
      </c>
      <c r="N646">
        <v>0</v>
      </c>
      <c r="O646">
        <v>4.6384242999999996</v>
      </c>
      <c r="P646">
        <v>-74.138029700000004</v>
      </c>
      <c r="Q646" t="s">
        <v>2395</v>
      </c>
      <c r="R646">
        <v>5882352.9409999996</v>
      </c>
      <c r="S646">
        <v>0</v>
      </c>
      <c r="T646" t="s">
        <v>88</v>
      </c>
      <c r="U646" t="s">
        <v>89</v>
      </c>
      <c r="V646" t="s">
        <v>77</v>
      </c>
      <c r="W646" t="s">
        <v>88</v>
      </c>
      <c r="X646" t="s">
        <v>90</v>
      </c>
      <c r="Y646">
        <v>2.3971729801937798</v>
      </c>
      <c r="Z646">
        <v>2397.1729801937799</v>
      </c>
      <c r="AA646">
        <v>4.6317666666666701</v>
      </c>
      <c r="AB646">
        <v>-74.117483333333297</v>
      </c>
      <c r="AC646">
        <v>2590</v>
      </c>
      <c r="AD646">
        <v>10</v>
      </c>
      <c r="AE646" t="s">
        <v>80</v>
      </c>
      <c r="AF646" t="s">
        <v>91</v>
      </c>
      <c r="AG646" t="s">
        <v>82</v>
      </c>
      <c r="AH646" t="s">
        <v>83</v>
      </c>
      <c r="AI646" t="s">
        <v>221</v>
      </c>
      <c r="AJ646">
        <v>0.91078696170998896</v>
      </c>
      <c r="AK646">
        <v>3.2331516836150098</v>
      </c>
      <c r="AL646">
        <v>1.7434451474564501</v>
      </c>
      <c r="AM646">
        <v>3.4628604011386399E-2</v>
      </c>
      <c r="AN646">
        <v>2.9591235692687898</v>
      </c>
      <c r="AO646">
        <v>0.20295696201197</v>
      </c>
      <c r="AP646">
        <v>0.20295696201197</v>
      </c>
      <c r="AQ646">
        <v>0</v>
      </c>
      <c r="AR646">
        <v>1</v>
      </c>
      <c r="AS646">
        <v>0</v>
      </c>
      <c r="AT646">
        <v>0</v>
      </c>
      <c r="AU646">
        <v>0</v>
      </c>
      <c r="AV646">
        <v>18</v>
      </c>
      <c r="AW646">
        <v>0</v>
      </c>
      <c r="AX646">
        <v>0</v>
      </c>
      <c r="AY646">
        <v>16.600000000000001</v>
      </c>
      <c r="AZ646">
        <v>101.7</v>
      </c>
      <c r="BA646">
        <v>19.899999999999999</v>
      </c>
      <c r="BB646">
        <v>564</v>
      </c>
      <c r="BC646">
        <v>71</v>
      </c>
      <c r="BD646">
        <v>1.7</v>
      </c>
      <c r="BE646">
        <v>185</v>
      </c>
      <c r="BF646">
        <v>0.8</v>
      </c>
      <c r="BG646">
        <v>162</v>
      </c>
      <c r="BH646">
        <v>19.5</v>
      </c>
      <c r="BI646">
        <v>15.6</v>
      </c>
      <c r="BJ646">
        <v>35</v>
      </c>
      <c r="BK646">
        <v>0.68</v>
      </c>
      <c r="BL646">
        <v>5.4</v>
      </c>
      <c r="BM646">
        <v>0.9</v>
      </c>
      <c r="BN646">
        <v>4.5999999999999996</v>
      </c>
      <c r="BO646">
        <v>2.1</v>
      </c>
      <c r="BP646">
        <f t="shared" si="20"/>
        <v>90.320751528164934</v>
      </c>
      <c r="BQ646">
        <f t="shared" si="21"/>
        <v>18.787421564731662</v>
      </c>
    </row>
    <row r="647" spans="1:69" hidden="1" x14ac:dyDescent="0.2">
      <c r="A647" t="s">
        <v>2389</v>
      </c>
      <c r="B647" t="s">
        <v>68</v>
      </c>
      <c r="C647" t="s">
        <v>1956</v>
      </c>
      <c r="D647" t="s">
        <v>70</v>
      </c>
      <c r="E647" t="s">
        <v>2390</v>
      </c>
      <c r="F647">
        <v>3</v>
      </c>
      <c r="G647">
        <v>68</v>
      </c>
      <c r="H647">
        <v>4</v>
      </c>
      <c r="I647">
        <v>2</v>
      </c>
      <c r="J647">
        <v>1</v>
      </c>
      <c r="K647" t="s">
        <v>110</v>
      </c>
      <c r="L647" t="s">
        <v>162</v>
      </c>
      <c r="M647" s="4">
        <v>380000000</v>
      </c>
      <c r="N647">
        <v>0</v>
      </c>
      <c r="O647">
        <v>4.6386780999999999</v>
      </c>
      <c r="P647">
        <v>-74.138126200000002</v>
      </c>
      <c r="Q647" t="s">
        <v>2391</v>
      </c>
      <c r="R647">
        <v>5588235.2939999998</v>
      </c>
      <c r="S647">
        <v>0</v>
      </c>
      <c r="T647" t="s">
        <v>88</v>
      </c>
      <c r="U647" t="s">
        <v>89</v>
      </c>
      <c r="V647" t="s">
        <v>77</v>
      </c>
      <c r="W647" t="s">
        <v>88</v>
      </c>
      <c r="X647" t="s">
        <v>90</v>
      </c>
      <c r="Y647">
        <v>2.4162049066397402</v>
      </c>
      <c r="Z647">
        <v>2416.2049066397399</v>
      </c>
      <c r="AA647">
        <v>4.6317666666666701</v>
      </c>
      <c r="AB647">
        <v>-74.117483333333297</v>
      </c>
      <c r="AC647">
        <v>2590</v>
      </c>
      <c r="AD647">
        <v>10</v>
      </c>
      <c r="AE647" t="s">
        <v>80</v>
      </c>
      <c r="AF647" t="s">
        <v>91</v>
      </c>
      <c r="AG647" t="s">
        <v>82</v>
      </c>
      <c r="AH647" t="s">
        <v>83</v>
      </c>
      <c r="AI647" t="s">
        <v>221</v>
      </c>
      <c r="AJ647">
        <v>0.932496664799908</v>
      </c>
      <c r="AK647">
        <v>3.2053524299572098</v>
      </c>
      <c r="AL647">
        <v>1.74979622954838</v>
      </c>
      <c r="AM647">
        <v>6.2711264820253507E-2</v>
      </c>
      <c r="AN647">
        <v>2.9553820283714698</v>
      </c>
      <c r="AO647">
        <v>0.182844002349969</v>
      </c>
      <c r="AP647">
        <v>0.182844002349969</v>
      </c>
      <c r="AQ647">
        <v>0</v>
      </c>
      <c r="AR647">
        <v>1</v>
      </c>
      <c r="AS647">
        <v>0</v>
      </c>
      <c r="AT647">
        <v>0</v>
      </c>
      <c r="AU647">
        <v>0</v>
      </c>
      <c r="AV647">
        <v>14</v>
      </c>
      <c r="AW647">
        <v>0</v>
      </c>
      <c r="AX647">
        <v>0</v>
      </c>
      <c r="AY647">
        <v>16.600000000000001</v>
      </c>
      <c r="AZ647">
        <v>101.7</v>
      </c>
      <c r="BA647">
        <v>19.899999999999999</v>
      </c>
      <c r="BB647">
        <v>564</v>
      </c>
      <c r="BC647">
        <v>71</v>
      </c>
      <c r="BD647">
        <v>1.7</v>
      </c>
      <c r="BE647">
        <v>185</v>
      </c>
      <c r="BF647">
        <v>0.8</v>
      </c>
      <c r="BG647">
        <v>162</v>
      </c>
      <c r="BH647">
        <v>19.5</v>
      </c>
      <c r="BI647">
        <v>15.6</v>
      </c>
      <c r="BJ647">
        <v>35</v>
      </c>
      <c r="BK647">
        <v>0.68</v>
      </c>
      <c r="BL647">
        <v>5.4</v>
      </c>
      <c r="BM647">
        <v>0.9</v>
      </c>
      <c r="BN647">
        <v>4.5999999999999996</v>
      </c>
      <c r="BO647">
        <v>2.1</v>
      </c>
      <c r="BP647">
        <f t="shared" si="20"/>
        <v>90.235702190079053</v>
      </c>
      <c r="BQ647">
        <f t="shared" si="21"/>
        <v>18.778842064485939</v>
      </c>
    </row>
    <row r="648" spans="1:69" hidden="1" x14ac:dyDescent="0.2">
      <c r="A648" t="s">
        <v>2481</v>
      </c>
      <c r="B648" t="s">
        <v>68</v>
      </c>
      <c r="C648" t="s">
        <v>1956</v>
      </c>
      <c r="D648" t="s">
        <v>70</v>
      </c>
      <c r="E648" t="s">
        <v>2390</v>
      </c>
      <c r="F648">
        <v>3</v>
      </c>
      <c r="G648">
        <v>68</v>
      </c>
      <c r="H648">
        <v>4</v>
      </c>
      <c r="I648">
        <v>1</v>
      </c>
      <c r="J648">
        <v>1</v>
      </c>
      <c r="K648" t="s">
        <v>110</v>
      </c>
      <c r="L648" t="s">
        <v>162</v>
      </c>
      <c r="M648" s="4">
        <v>360000000</v>
      </c>
      <c r="N648">
        <v>0</v>
      </c>
      <c r="O648">
        <v>4.6384242999999996</v>
      </c>
      <c r="P648">
        <v>-74.138029700000004</v>
      </c>
      <c r="Q648" t="s">
        <v>2482</v>
      </c>
      <c r="R648">
        <v>5294117.6469999999</v>
      </c>
      <c r="S648">
        <v>0</v>
      </c>
      <c r="T648" t="s">
        <v>88</v>
      </c>
      <c r="U648" t="s">
        <v>89</v>
      </c>
      <c r="V648" t="s">
        <v>77</v>
      </c>
      <c r="W648" t="s">
        <v>88</v>
      </c>
      <c r="X648" t="s">
        <v>90</v>
      </c>
      <c r="Y648">
        <v>2.3971729801937798</v>
      </c>
      <c r="Z648">
        <v>2397.1729801937799</v>
      </c>
      <c r="AA648">
        <v>4.6317666666666701</v>
      </c>
      <c r="AB648">
        <v>-74.117483333333297</v>
      </c>
      <c r="AC648">
        <v>2590</v>
      </c>
      <c r="AD648">
        <v>10</v>
      </c>
      <c r="AE648" t="s">
        <v>80</v>
      </c>
      <c r="AF648" t="s">
        <v>91</v>
      </c>
      <c r="AG648" t="s">
        <v>82</v>
      </c>
      <c r="AH648" t="s">
        <v>83</v>
      </c>
      <c r="AI648" t="s">
        <v>221</v>
      </c>
      <c r="AJ648">
        <v>0.91078696170998896</v>
      </c>
      <c r="AK648">
        <v>3.2331516836150098</v>
      </c>
      <c r="AL648">
        <v>1.7434451474564501</v>
      </c>
      <c r="AM648">
        <v>3.4628604011386399E-2</v>
      </c>
      <c r="AN648">
        <v>2.9591235692687898</v>
      </c>
      <c r="AO648">
        <v>0.20295696201197</v>
      </c>
      <c r="AP648">
        <v>0.20295696201197</v>
      </c>
      <c r="AQ648">
        <v>0</v>
      </c>
      <c r="AR648">
        <v>1</v>
      </c>
      <c r="AS648">
        <v>0</v>
      </c>
      <c r="AT648">
        <v>0</v>
      </c>
      <c r="AU648">
        <v>0</v>
      </c>
      <c r="AV648">
        <v>18</v>
      </c>
      <c r="AW648">
        <v>0</v>
      </c>
      <c r="AX648">
        <v>0</v>
      </c>
      <c r="AY648">
        <v>16.600000000000001</v>
      </c>
      <c r="AZ648">
        <v>101.7</v>
      </c>
      <c r="BA648">
        <v>19.899999999999999</v>
      </c>
      <c r="BB648">
        <v>564</v>
      </c>
      <c r="BC648">
        <v>71</v>
      </c>
      <c r="BD648">
        <v>1.7</v>
      </c>
      <c r="BE648">
        <v>185</v>
      </c>
      <c r="BF648">
        <v>0.8</v>
      </c>
      <c r="BG648">
        <v>162</v>
      </c>
      <c r="BH648">
        <v>19.5</v>
      </c>
      <c r="BI648">
        <v>15.6</v>
      </c>
      <c r="BJ648">
        <v>35</v>
      </c>
      <c r="BK648">
        <v>0.68</v>
      </c>
      <c r="BL648">
        <v>5.4</v>
      </c>
      <c r="BM648">
        <v>0.9</v>
      </c>
      <c r="BN648">
        <v>4.5999999999999996</v>
      </c>
      <c r="BO648">
        <v>2.1</v>
      </c>
      <c r="BP648">
        <f t="shared" si="20"/>
        <v>90.320751528164934</v>
      </c>
      <c r="BQ648">
        <f t="shared" si="21"/>
        <v>18.787421564731662</v>
      </c>
    </row>
    <row r="649" spans="1:69" hidden="1" x14ac:dyDescent="0.2">
      <c r="A649" t="s">
        <v>622</v>
      </c>
      <c r="B649" t="s">
        <v>68</v>
      </c>
      <c r="C649" t="s">
        <v>69</v>
      </c>
      <c r="D649" t="s">
        <v>70</v>
      </c>
      <c r="E649" t="s">
        <v>168</v>
      </c>
      <c r="F649">
        <v>4</v>
      </c>
      <c r="G649">
        <v>67</v>
      </c>
      <c r="H649">
        <v>2</v>
      </c>
      <c r="I649">
        <v>2</v>
      </c>
      <c r="J649">
        <v>1</v>
      </c>
      <c r="K649" t="s">
        <v>110</v>
      </c>
      <c r="L649" t="s">
        <v>162</v>
      </c>
      <c r="M649" s="4">
        <v>600000000</v>
      </c>
      <c r="N649">
        <v>0</v>
      </c>
      <c r="O649">
        <v>4.6354489330000002</v>
      </c>
      <c r="P649">
        <v>-74.096290589999995</v>
      </c>
      <c r="Q649" t="s">
        <v>623</v>
      </c>
      <c r="R649">
        <v>8955223.8809999991</v>
      </c>
      <c r="S649">
        <v>0</v>
      </c>
      <c r="T649" t="s">
        <v>88</v>
      </c>
      <c r="U649" t="s">
        <v>89</v>
      </c>
      <c r="V649" t="s">
        <v>77</v>
      </c>
      <c r="W649" t="s">
        <v>88</v>
      </c>
      <c r="X649" t="s">
        <v>90</v>
      </c>
      <c r="Y649">
        <v>2.38691526970026</v>
      </c>
      <c r="Z649">
        <v>2386.9152697002601</v>
      </c>
      <c r="AA649">
        <v>4.6317666666666701</v>
      </c>
      <c r="AB649">
        <v>-74.117483333333297</v>
      </c>
      <c r="AC649">
        <v>2590</v>
      </c>
      <c r="AD649">
        <v>10</v>
      </c>
      <c r="AE649" t="s">
        <v>80</v>
      </c>
      <c r="AF649" t="s">
        <v>91</v>
      </c>
      <c r="AG649" t="s">
        <v>82</v>
      </c>
      <c r="AH649" t="s">
        <v>83</v>
      </c>
      <c r="AI649" t="s">
        <v>84</v>
      </c>
      <c r="AJ649">
        <v>0.41738844301730099</v>
      </c>
      <c r="AK649">
        <v>3.98410317505388</v>
      </c>
      <c r="AL649">
        <v>0.841531078829442</v>
      </c>
      <c r="AM649">
        <v>9.4343969589327295E-2</v>
      </c>
      <c r="AN649">
        <v>2.1036823894393999</v>
      </c>
      <c r="AO649">
        <v>0.47758028150943499</v>
      </c>
      <c r="AP649">
        <v>0.47758028150943499</v>
      </c>
      <c r="AQ649">
        <v>1</v>
      </c>
      <c r="AR649">
        <v>3</v>
      </c>
      <c r="AS649">
        <v>0</v>
      </c>
      <c r="AT649">
        <v>0</v>
      </c>
      <c r="AU649">
        <v>1</v>
      </c>
      <c r="AV649">
        <v>16</v>
      </c>
      <c r="AW649">
        <v>0</v>
      </c>
      <c r="AX649">
        <v>0</v>
      </c>
      <c r="AY649">
        <v>16.600000000000001</v>
      </c>
      <c r="AZ649">
        <v>101.7</v>
      </c>
      <c r="BA649">
        <v>19.899999999999999</v>
      </c>
      <c r="BB649">
        <v>564</v>
      </c>
      <c r="BC649">
        <v>71</v>
      </c>
      <c r="BD649">
        <v>1.7</v>
      </c>
      <c r="BE649">
        <v>185</v>
      </c>
      <c r="BF649">
        <v>0.8</v>
      </c>
      <c r="BG649">
        <v>162</v>
      </c>
      <c r="BH649">
        <v>19.5</v>
      </c>
      <c r="BI649">
        <v>15.6</v>
      </c>
      <c r="BJ649">
        <v>35</v>
      </c>
      <c r="BK649">
        <v>0.68</v>
      </c>
      <c r="BL649">
        <v>5.4</v>
      </c>
      <c r="BM649">
        <v>0.9</v>
      </c>
      <c r="BN649">
        <v>4.5999999999999996</v>
      </c>
      <c r="BO649">
        <v>2.1</v>
      </c>
      <c r="BP649">
        <f t="shared" si="20"/>
        <v>90.366624137217258</v>
      </c>
      <c r="BQ649">
        <f t="shared" si="21"/>
        <v>18.792047316455701</v>
      </c>
    </row>
    <row r="650" spans="1:69" hidden="1" x14ac:dyDescent="0.2">
      <c r="A650" t="s">
        <v>984</v>
      </c>
      <c r="B650" t="s">
        <v>68</v>
      </c>
      <c r="C650" t="s">
        <v>69</v>
      </c>
      <c r="D650" t="s">
        <v>70</v>
      </c>
      <c r="E650" t="s">
        <v>985</v>
      </c>
      <c r="F650">
        <v>3</v>
      </c>
      <c r="G650">
        <v>67</v>
      </c>
      <c r="H650">
        <v>3</v>
      </c>
      <c r="I650">
        <v>2</v>
      </c>
      <c r="J650">
        <v>1</v>
      </c>
      <c r="K650" t="s">
        <v>110</v>
      </c>
      <c r="L650" t="s">
        <v>111</v>
      </c>
      <c r="M650" s="4">
        <v>356000000</v>
      </c>
      <c r="N650">
        <v>0</v>
      </c>
      <c r="O650">
        <v>4.5898169869999998</v>
      </c>
      <c r="P650">
        <v>-74.114314030000003</v>
      </c>
      <c r="Q650" t="s">
        <v>986</v>
      </c>
      <c r="R650">
        <v>5313432.8360000001</v>
      </c>
      <c r="S650">
        <v>0</v>
      </c>
      <c r="T650" t="s">
        <v>504</v>
      </c>
      <c r="U650" t="s">
        <v>505</v>
      </c>
      <c r="V650" t="s">
        <v>77</v>
      </c>
      <c r="W650" t="s">
        <v>88</v>
      </c>
      <c r="X650" t="s">
        <v>506</v>
      </c>
      <c r="Y650">
        <v>2.0809595347851002</v>
      </c>
      <c r="Z650">
        <v>2080.9595347851</v>
      </c>
      <c r="AA650">
        <v>4.6085000000000003</v>
      </c>
      <c r="AB650">
        <v>-74.114944444444404</v>
      </c>
      <c r="AC650">
        <v>2559</v>
      </c>
      <c r="AD650">
        <v>0</v>
      </c>
      <c r="AE650" t="s">
        <v>80</v>
      </c>
      <c r="AF650" t="s">
        <v>507</v>
      </c>
      <c r="AG650" t="s">
        <v>82</v>
      </c>
      <c r="AH650" t="s">
        <v>83</v>
      </c>
      <c r="AI650" t="s">
        <v>987</v>
      </c>
      <c r="AJ650">
        <v>0.67788272801156402</v>
      </c>
      <c r="AK650">
        <v>4.7117442171286399</v>
      </c>
      <c r="AL650">
        <v>1.8938176285969299</v>
      </c>
      <c r="AM650">
        <v>0.45588100813307197</v>
      </c>
      <c r="AN650">
        <v>0.64323332105045095</v>
      </c>
      <c r="AO650">
        <v>4.05572763112058E-2</v>
      </c>
      <c r="AP650">
        <v>4.05572763112058E-2</v>
      </c>
      <c r="AQ650">
        <v>0</v>
      </c>
      <c r="AR650">
        <v>2</v>
      </c>
      <c r="AS650">
        <v>0</v>
      </c>
      <c r="AT650">
        <v>0</v>
      </c>
      <c r="AU650">
        <v>0</v>
      </c>
      <c r="AV650">
        <v>12</v>
      </c>
      <c r="AW650">
        <v>1</v>
      </c>
      <c r="AX650">
        <v>0</v>
      </c>
      <c r="AY650">
        <v>16.600000000000001</v>
      </c>
      <c r="AZ650">
        <v>101.7</v>
      </c>
      <c r="BA650">
        <v>19.899999999999999</v>
      </c>
      <c r="BB650">
        <v>564</v>
      </c>
      <c r="BC650">
        <v>71</v>
      </c>
      <c r="BD650">
        <v>1.7</v>
      </c>
      <c r="BE650">
        <v>185</v>
      </c>
      <c r="BF650">
        <v>0.8</v>
      </c>
      <c r="BG650">
        <v>162</v>
      </c>
      <c r="BH650">
        <v>19.5</v>
      </c>
      <c r="BI650">
        <v>15.6</v>
      </c>
      <c r="BJ650">
        <v>35</v>
      </c>
      <c r="BK650">
        <v>0.68</v>
      </c>
      <c r="BL650">
        <v>5.4</v>
      </c>
      <c r="BM650">
        <v>0.9</v>
      </c>
      <c r="BN650">
        <v>4.5999999999999996</v>
      </c>
      <c r="BO650">
        <v>2.1</v>
      </c>
      <c r="BP650">
        <f t="shared" si="20"/>
        <v>91.74562538611994</v>
      </c>
      <c r="BQ650">
        <f t="shared" si="21"/>
        <v>18.930544011992659</v>
      </c>
    </row>
    <row r="651" spans="1:69" hidden="1" x14ac:dyDescent="0.2">
      <c r="A651" t="s">
        <v>1637</v>
      </c>
      <c r="B651" t="s">
        <v>68</v>
      </c>
      <c r="C651" t="s">
        <v>69</v>
      </c>
      <c r="D651" t="s">
        <v>70</v>
      </c>
      <c r="E651" t="s">
        <v>1558</v>
      </c>
      <c r="F651">
        <v>3</v>
      </c>
      <c r="G651">
        <v>66.7</v>
      </c>
      <c r="H651">
        <v>3</v>
      </c>
      <c r="I651">
        <v>2</v>
      </c>
      <c r="J651">
        <v>1</v>
      </c>
      <c r="K651" t="s">
        <v>110</v>
      </c>
      <c r="L651" t="s">
        <v>162</v>
      </c>
      <c r="M651" s="4">
        <v>280000000</v>
      </c>
      <c r="N651">
        <v>0</v>
      </c>
      <c r="O651">
        <v>4.6141800000000002</v>
      </c>
      <c r="P651">
        <v>-74.133780000000002</v>
      </c>
      <c r="Q651" t="s">
        <v>1638</v>
      </c>
      <c r="R651">
        <v>4197901.0489999996</v>
      </c>
      <c r="S651">
        <v>0</v>
      </c>
      <c r="T651" t="s">
        <v>504</v>
      </c>
      <c r="U651" t="s">
        <v>505</v>
      </c>
      <c r="V651" t="s">
        <v>77</v>
      </c>
      <c r="W651" t="s">
        <v>88</v>
      </c>
      <c r="X651" t="s">
        <v>506</v>
      </c>
      <c r="Y651">
        <v>2.1835295460398001</v>
      </c>
      <c r="Z651">
        <v>2183.5295460398002</v>
      </c>
      <c r="AA651">
        <v>4.6085000000000003</v>
      </c>
      <c r="AB651">
        <v>-74.114944444444404</v>
      </c>
      <c r="AC651">
        <v>2559</v>
      </c>
      <c r="AD651">
        <v>0</v>
      </c>
      <c r="AE651" t="s">
        <v>80</v>
      </c>
      <c r="AF651" t="s">
        <v>507</v>
      </c>
      <c r="AG651" t="s">
        <v>82</v>
      </c>
      <c r="AH651" t="s">
        <v>83</v>
      </c>
      <c r="AI651" t="s">
        <v>221</v>
      </c>
      <c r="AJ651">
        <v>1.7589895292361</v>
      </c>
      <c r="AK651">
        <v>5.6950244091386297</v>
      </c>
      <c r="AL651">
        <v>2.44741427804815</v>
      </c>
      <c r="AM651">
        <v>7.3367354575650398E-2</v>
      </c>
      <c r="AN651">
        <v>2.9211731358451298</v>
      </c>
      <c r="AO651">
        <v>8.2670103022861999E-2</v>
      </c>
      <c r="AP651">
        <v>8.2670103022861999E-2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34</v>
      </c>
      <c r="AW651">
        <v>0</v>
      </c>
      <c r="AX651">
        <v>0</v>
      </c>
      <c r="AY651">
        <v>16.600000000000001</v>
      </c>
      <c r="AZ651">
        <v>101.7</v>
      </c>
      <c r="BA651">
        <v>19.899999999999999</v>
      </c>
      <c r="BB651">
        <v>564</v>
      </c>
      <c r="BC651">
        <v>71</v>
      </c>
      <c r="BD651">
        <v>1.7</v>
      </c>
      <c r="BE651">
        <v>185</v>
      </c>
      <c r="BF651">
        <v>0.8</v>
      </c>
      <c r="BG651">
        <v>162</v>
      </c>
      <c r="BH651">
        <v>19.5</v>
      </c>
      <c r="BI651">
        <v>15.6</v>
      </c>
      <c r="BJ651">
        <v>35</v>
      </c>
      <c r="BK651">
        <v>0.68</v>
      </c>
      <c r="BL651">
        <v>5.4</v>
      </c>
      <c r="BM651">
        <v>0.9</v>
      </c>
      <c r="BN651">
        <v>4.5999999999999996</v>
      </c>
      <c r="BO651">
        <v>2.1</v>
      </c>
      <c r="BP651">
        <f t="shared" si="20"/>
        <v>91.280993585626533</v>
      </c>
      <c r="BQ651">
        <f t="shared" si="21"/>
        <v>18.884000376574367</v>
      </c>
    </row>
    <row r="652" spans="1:69" hidden="1" x14ac:dyDescent="0.2">
      <c r="A652" t="s">
        <v>3211</v>
      </c>
      <c r="B652" t="s">
        <v>68</v>
      </c>
      <c r="C652" t="s">
        <v>1956</v>
      </c>
      <c r="D652" t="s">
        <v>70</v>
      </c>
      <c r="E652" t="s">
        <v>3212</v>
      </c>
      <c r="F652">
        <v>3</v>
      </c>
      <c r="G652">
        <v>66</v>
      </c>
      <c r="H652">
        <v>3</v>
      </c>
      <c r="I652">
        <v>2</v>
      </c>
      <c r="J652">
        <v>1</v>
      </c>
      <c r="K652" t="s">
        <v>110</v>
      </c>
      <c r="L652" t="s">
        <v>124</v>
      </c>
      <c r="M652" s="4">
        <v>460000000</v>
      </c>
      <c r="N652">
        <v>0</v>
      </c>
      <c r="O652">
        <v>4.618293285</v>
      </c>
      <c r="P652">
        <v>-74.13262177</v>
      </c>
      <c r="Q652" t="s">
        <v>3213</v>
      </c>
      <c r="R652">
        <v>6969696.9699999997</v>
      </c>
      <c r="S652">
        <v>0</v>
      </c>
      <c r="T652" t="s">
        <v>504</v>
      </c>
      <c r="U652" t="s">
        <v>505</v>
      </c>
      <c r="V652" t="s">
        <v>77</v>
      </c>
      <c r="W652" t="s">
        <v>88</v>
      </c>
      <c r="X652" t="s">
        <v>506</v>
      </c>
      <c r="Y652">
        <v>2.2440603732187201</v>
      </c>
      <c r="Z652">
        <v>2244.0603732187201</v>
      </c>
      <c r="AA652">
        <v>4.6085000000000003</v>
      </c>
      <c r="AB652">
        <v>-74.114944444444404</v>
      </c>
      <c r="AC652">
        <v>2559</v>
      </c>
      <c r="AD652">
        <v>0</v>
      </c>
      <c r="AE652" t="s">
        <v>80</v>
      </c>
      <c r="AF652" t="s">
        <v>507</v>
      </c>
      <c r="AG652" t="s">
        <v>82</v>
      </c>
      <c r="AH652" t="s">
        <v>83</v>
      </c>
      <c r="AI652" t="s">
        <v>221</v>
      </c>
      <c r="AJ652">
        <v>1.2872789204447701</v>
      </c>
      <c r="AK652">
        <v>5.3768517423021498</v>
      </c>
      <c r="AL652">
        <v>2.7418989454260001</v>
      </c>
      <c r="AM652">
        <v>0.15397772055983699</v>
      </c>
      <c r="AN652">
        <v>2.9918529326687402</v>
      </c>
      <c r="AO652">
        <v>5.50816183789581E-2</v>
      </c>
      <c r="AP652">
        <v>5.50816183789581E-2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30</v>
      </c>
      <c r="AW652">
        <v>0</v>
      </c>
      <c r="AX652">
        <v>0</v>
      </c>
      <c r="AY652">
        <v>16.600000000000001</v>
      </c>
      <c r="AZ652">
        <v>101.7</v>
      </c>
      <c r="BA652">
        <v>19.899999999999999</v>
      </c>
      <c r="BB652">
        <v>564</v>
      </c>
      <c r="BC652">
        <v>71</v>
      </c>
      <c r="BD652">
        <v>1.7</v>
      </c>
      <c r="BE652">
        <v>185</v>
      </c>
      <c r="BF652">
        <v>0.8</v>
      </c>
      <c r="BG652">
        <v>162</v>
      </c>
      <c r="BH652">
        <v>19.5</v>
      </c>
      <c r="BI652">
        <v>15.6</v>
      </c>
      <c r="BJ652">
        <v>35</v>
      </c>
      <c r="BK652">
        <v>0.68</v>
      </c>
      <c r="BL652">
        <v>5.4</v>
      </c>
      <c r="BM652">
        <v>0.9</v>
      </c>
      <c r="BN652">
        <v>4.5999999999999996</v>
      </c>
      <c r="BO652">
        <v>2.1</v>
      </c>
      <c r="BP652">
        <f t="shared" si="20"/>
        <v>91.007899876645254</v>
      </c>
      <c r="BQ652">
        <f t="shared" si="21"/>
        <v>18.856586753908914</v>
      </c>
    </row>
    <row r="653" spans="1:69" hidden="1" x14ac:dyDescent="0.2">
      <c r="A653" t="s">
        <v>475</v>
      </c>
      <c r="B653" t="s">
        <v>68</v>
      </c>
      <c r="C653" t="s">
        <v>69</v>
      </c>
      <c r="D653" t="s">
        <v>70</v>
      </c>
      <c r="E653" t="s">
        <v>296</v>
      </c>
      <c r="F653">
        <v>4</v>
      </c>
      <c r="G653">
        <v>64.180000000000007</v>
      </c>
      <c r="H653">
        <v>2</v>
      </c>
      <c r="I653">
        <v>2</v>
      </c>
      <c r="J653">
        <v>1</v>
      </c>
      <c r="K653" t="s">
        <v>72</v>
      </c>
      <c r="L653" t="s">
        <v>73</v>
      </c>
      <c r="M653" s="4">
        <v>598028491</v>
      </c>
      <c r="N653">
        <v>0</v>
      </c>
      <c r="O653">
        <v>4.6455397999999999</v>
      </c>
      <c r="P653">
        <v>-74.124979999999994</v>
      </c>
      <c r="Q653" t="s">
        <v>476</v>
      </c>
      <c r="R653">
        <v>9317988.3300000001</v>
      </c>
      <c r="S653">
        <v>0</v>
      </c>
      <c r="T653" t="s">
        <v>88</v>
      </c>
      <c r="U653" t="s">
        <v>89</v>
      </c>
      <c r="V653" t="s">
        <v>77</v>
      </c>
      <c r="W653" t="s">
        <v>88</v>
      </c>
      <c r="X653" t="s">
        <v>90</v>
      </c>
      <c r="Y653">
        <v>1.7443151642725301</v>
      </c>
      <c r="Z653">
        <v>1744.31516427253</v>
      </c>
      <c r="AA653">
        <v>4.6317666666666701</v>
      </c>
      <c r="AB653">
        <v>-74.117483333333297</v>
      </c>
      <c r="AC653">
        <v>2590</v>
      </c>
      <c r="AD653">
        <v>10</v>
      </c>
      <c r="AE653" t="s">
        <v>80</v>
      </c>
      <c r="AF653" t="s">
        <v>91</v>
      </c>
      <c r="AG653" t="s">
        <v>82</v>
      </c>
      <c r="AH653" t="s">
        <v>83</v>
      </c>
      <c r="AI653" t="s">
        <v>92</v>
      </c>
      <c r="AJ653">
        <v>1.84488475579095</v>
      </c>
      <c r="AK653">
        <v>3.9776146963822301</v>
      </c>
      <c r="AL653">
        <v>0.57825767745824197</v>
      </c>
      <c r="AM653">
        <v>0.20112158476043501</v>
      </c>
      <c r="AN653">
        <v>1.31220652562471</v>
      </c>
      <c r="AO653">
        <v>3.8607558916069502E-3</v>
      </c>
      <c r="AP653">
        <v>3.8607558916069502E-3</v>
      </c>
      <c r="AQ653">
        <v>0</v>
      </c>
      <c r="AR653">
        <v>0</v>
      </c>
      <c r="AS653">
        <v>0</v>
      </c>
      <c r="AT653">
        <v>0</v>
      </c>
      <c r="AU653">
        <v>1</v>
      </c>
      <c r="AV653">
        <v>14</v>
      </c>
      <c r="AW653">
        <v>0</v>
      </c>
      <c r="AX653">
        <v>0</v>
      </c>
      <c r="AY653">
        <v>16.600000000000001</v>
      </c>
      <c r="AZ653">
        <v>101.7</v>
      </c>
      <c r="BA653">
        <v>19.899999999999999</v>
      </c>
      <c r="BB653">
        <v>564</v>
      </c>
      <c r="BC653">
        <v>71</v>
      </c>
      <c r="BD653">
        <v>1.7</v>
      </c>
      <c r="BE653">
        <v>185</v>
      </c>
      <c r="BF653">
        <v>0.8</v>
      </c>
      <c r="BG653">
        <v>162</v>
      </c>
      <c r="BH653">
        <v>19.5</v>
      </c>
      <c r="BI653">
        <v>15.6</v>
      </c>
      <c r="BJ653">
        <v>35</v>
      </c>
      <c r="BK653">
        <v>0.68</v>
      </c>
      <c r="BL653">
        <v>5.4</v>
      </c>
      <c r="BM653">
        <v>0.9</v>
      </c>
      <c r="BN653">
        <v>4.5999999999999996</v>
      </c>
      <c r="BO653">
        <v>2.1</v>
      </c>
      <c r="BP653">
        <f t="shared" si="20"/>
        <v>93.287274241306449</v>
      </c>
      <c r="BQ653">
        <f t="shared" si="21"/>
        <v>19.084112216808048</v>
      </c>
    </row>
    <row r="654" spans="1:69" hidden="1" x14ac:dyDescent="0.2">
      <c r="A654" t="s">
        <v>198</v>
      </c>
      <c r="B654" t="s">
        <v>68</v>
      </c>
      <c r="C654" t="s">
        <v>69</v>
      </c>
      <c r="D654" t="s">
        <v>70</v>
      </c>
      <c r="E654" t="s">
        <v>199</v>
      </c>
      <c r="F654">
        <v>4</v>
      </c>
      <c r="G654">
        <v>59.5</v>
      </c>
      <c r="H654">
        <v>3</v>
      </c>
      <c r="I654">
        <v>2</v>
      </c>
      <c r="J654">
        <v>1</v>
      </c>
      <c r="K654" t="s">
        <v>110</v>
      </c>
      <c r="L654" t="s">
        <v>111</v>
      </c>
      <c r="M654" s="4">
        <v>650000000</v>
      </c>
      <c r="N654">
        <v>0</v>
      </c>
      <c r="O654">
        <v>4.6478629109999998</v>
      </c>
      <c r="P654">
        <v>-74.117828369999998</v>
      </c>
      <c r="Q654" t="s">
        <v>200</v>
      </c>
      <c r="R654">
        <v>10924369.75</v>
      </c>
      <c r="S654">
        <v>0</v>
      </c>
      <c r="T654" t="s">
        <v>88</v>
      </c>
      <c r="U654" t="s">
        <v>89</v>
      </c>
      <c r="V654" t="s">
        <v>77</v>
      </c>
      <c r="W654" t="s">
        <v>88</v>
      </c>
      <c r="X654" t="s">
        <v>90</v>
      </c>
      <c r="Y654">
        <v>1.79223465052473</v>
      </c>
      <c r="Z654">
        <v>1792.2346505247299</v>
      </c>
      <c r="AA654">
        <v>4.6317666666666701</v>
      </c>
      <c r="AB654">
        <v>-74.117483333333297</v>
      </c>
      <c r="AC654">
        <v>2590</v>
      </c>
      <c r="AD654">
        <v>10</v>
      </c>
      <c r="AE654" t="s">
        <v>80</v>
      </c>
      <c r="AF654" t="s">
        <v>91</v>
      </c>
      <c r="AG654" t="s">
        <v>82</v>
      </c>
      <c r="AH654" t="s">
        <v>83</v>
      </c>
      <c r="AI654" t="s">
        <v>92</v>
      </c>
      <c r="AJ654">
        <v>1.6909513459501899</v>
      </c>
      <c r="AK654">
        <v>4.6362624461573603</v>
      </c>
      <c r="AL654">
        <v>0.92507156646284705</v>
      </c>
      <c r="AM654">
        <v>0.42107835665586502</v>
      </c>
      <c r="AN654">
        <v>0.51317831546324599</v>
      </c>
      <c r="AO654">
        <v>0.24632766950959001</v>
      </c>
      <c r="AP654">
        <v>0.24632766950959001</v>
      </c>
      <c r="AQ654">
        <v>0</v>
      </c>
      <c r="AR654">
        <v>0</v>
      </c>
      <c r="AS654">
        <v>0</v>
      </c>
      <c r="AT654">
        <v>0</v>
      </c>
      <c r="AU654">
        <v>1</v>
      </c>
      <c r="AV654">
        <v>20</v>
      </c>
      <c r="AW654">
        <v>1</v>
      </c>
      <c r="AX654">
        <v>0</v>
      </c>
      <c r="AY654">
        <v>16.600000000000001</v>
      </c>
      <c r="AZ654">
        <v>101.7</v>
      </c>
      <c r="BA654">
        <v>19.899999999999999</v>
      </c>
      <c r="BB654">
        <v>564</v>
      </c>
      <c r="BC654">
        <v>71</v>
      </c>
      <c r="BD654">
        <v>1.7</v>
      </c>
      <c r="BE654">
        <v>185</v>
      </c>
      <c r="BF654">
        <v>0.8</v>
      </c>
      <c r="BG654">
        <v>162</v>
      </c>
      <c r="BH654">
        <v>19.5</v>
      </c>
      <c r="BI654">
        <v>15.6</v>
      </c>
      <c r="BJ654">
        <v>35</v>
      </c>
      <c r="BK654">
        <v>0.68</v>
      </c>
      <c r="BL654">
        <v>5.4</v>
      </c>
      <c r="BM654">
        <v>0.9</v>
      </c>
      <c r="BN654">
        <v>4.5999999999999996</v>
      </c>
      <c r="BO654">
        <v>2.1</v>
      </c>
      <c r="BP654">
        <f t="shared" si="20"/>
        <v>93.066257698516694</v>
      </c>
      <c r="BQ654">
        <f t="shared" si="21"/>
        <v>19.062176812353332</v>
      </c>
    </row>
    <row r="655" spans="1:69" hidden="1" x14ac:dyDescent="0.2">
      <c r="A655" t="s">
        <v>796</v>
      </c>
      <c r="B655" t="s">
        <v>68</v>
      </c>
      <c r="C655" t="s">
        <v>69</v>
      </c>
      <c r="D655" t="s">
        <v>70</v>
      </c>
      <c r="E655" t="s">
        <v>301</v>
      </c>
      <c r="F655">
        <v>3</v>
      </c>
      <c r="G655">
        <v>59.14</v>
      </c>
      <c r="H655">
        <v>2</v>
      </c>
      <c r="I655">
        <v>2</v>
      </c>
      <c r="J655">
        <v>0</v>
      </c>
      <c r="K655" t="s">
        <v>72</v>
      </c>
      <c r="L655" t="s">
        <v>73</v>
      </c>
      <c r="M655" s="4">
        <v>505500000</v>
      </c>
      <c r="N655">
        <v>0</v>
      </c>
      <c r="O655">
        <v>4.6217503999999998</v>
      </c>
      <c r="P655">
        <v>-74.109700000000004</v>
      </c>
      <c r="Q655" t="s">
        <v>797</v>
      </c>
      <c r="R655">
        <v>8547514.3729999997</v>
      </c>
      <c r="S655">
        <v>0</v>
      </c>
      <c r="T655" t="s">
        <v>88</v>
      </c>
      <c r="U655" t="s">
        <v>89</v>
      </c>
      <c r="V655" t="s">
        <v>77</v>
      </c>
      <c r="W655" t="s">
        <v>88</v>
      </c>
      <c r="X655" t="s">
        <v>90</v>
      </c>
      <c r="Y655">
        <v>1.41034236313207</v>
      </c>
      <c r="Z655">
        <v>1410.34236313207</v>
      </c>
      <c r="AA655">
        <v>4.6317666666666701</v>
      </c>
      <c r="AB655">
        <v>-74.117483333333297</v>
      </c>
      <c r="AC655">
        <v>2590</v>
      </c>
      <c r="AD655">
        <v>10</v>
      </c>
      <c r="AE655" t="s">
        <v>80</v>
      </c>
      <c r="AF655" t="s">
        <v>91</v>
      </c>
      <c r="AG655" t="s">
        <v>82</v>
      </c>
      <c r="AH655" t="s">
        <v>83</v>
      </c>
      <c r="AI655" t="s">
        <v>288</v>
      </c>
      <c r="AJ655">
        <v>0.70573106363599802</v>
      </c>
      <c r="AK655">
        <v>5.1364967079326798</v>
      </c>
      <c r="AL655">
        <v>2.55170292907937</v>
      </c>
      <c r="AM655">
        <v>0.35621134260336301</v>
      </c>
      <c r="AN655">
        <v>0.89861101942435895</v>
      </c>
      <c r="AO655">
        <v>0.44431420857394799</v>
      </c>
      <c r="AP655">
        <v>0.44431420857394799</v>
      </c>
      <c r="AQ655">
        <v>0</v>
      </c>
      <c r="AR655">
        <v>3</v>
      </c>
      <c r="AS655">
        <v>0</v>
      </c>
      <c r="AT655">
        <v>0</v>
      </c>
      <c r="AU655">
        <v>0</v>
      </c>
      <c r="AV655">
        <v>14</v>
      </c>
      <c r="AW655">
        <v>1</v>
      </c>
      <c r="AX655">
        <v>0</v>
      </c>
      <c r="AY655">
        <v>16.600000000000001</v>
      </c>
      <c r="AZ655">
        <v>101.7</v>
      </c>
      <c r="BA655">
        <v>19.899999999999999</v>
      </c>
      <c r="BB655">
        <v>564</v>
      </c>
      <c r="BC655">
        <v>71</v>
      </c>
      <c r="BD655">
        <v>1.7</v>
      </c>
      <c r="BE655">
        <v>185</v>
      </c>
      <c r="BF655">
        <v>0.8</v>
      </c>
      <c r="BG655">
        <v>162</v>
      </c>
      <c r="BH655">
        <v>19.5</v>
      </c>
      <c r="BI655">
        <v>15.6</v>
      </c>
      <c r="BJ655">
        <v>35</v>
      </c>
      <c r="BK655">
        <v>0.68</v>
      </c>
      <c r="BL655">
        <v>5.4</v>
      </c>
      <c r="BM655">
        <v>0.9</v>
      </c>
      <c r="BN655">
        <v>4.5999999999999996</v>
      </c>
      <c r="BO655">
        <v>2.1</v>
      </c>
      <c r="BP655">
        <f t="shared" si="20"/>
        <v>94.842285186165228</v>
      </c>
      <c r="BQ655">
        <f t="shared" si="21"/>
        <v>19.237692680884678</v>
      </c>
    </row>
    <row r="656" spans="1:69" hidden="1" x14ac:dyDescent="0.2">
      <c r="A656" t="s">
        <v>109</v>
      </c>
      <c r="B656" t="s">
        <v>68</v>
      </c>
      <c r="C656" t="s">
        <v>69</v>
      </c>
      <c r="D656" t="s">
        <v>70</v>
      </c>
      <c r="E656" t="s">
        <v>94</v>
      </c>
      <c r="F656">
        <v>4</v>
      </c>
      <c r="G656">
        <v>59</v>
      </c>
      <c r="H656">
        <v>2</v>
      </c>
      <c r="I656">
        <v>2</v>
      </c>
      <c r="J656">
        <v>1</v>
      </c>
      <c r="K656" t="s">
        <v>110</v>
      </c>
      <c r="L656" t="s">
        <v>111</v>
      </c>
      <c r="M656" s="4">
        <v>485000000</v>
      </c>
      <c r="N656">
        <v>0</v>
      </c>
      <c r="O656">
        <v>4.6534279999999999</v>
      </c>
      <c r="P656">
        <v>-74.123298500000004</v>
      </c>
      <c r="Q656" t="s">
        <v>112</v>
      </c>
      <c r="R656">
        <v>8220338.983</v>
      </c>
      <c r="S656">
        <v>0</v>
      </c>
      <c r="T656" t="s">
        <v>88</v>
      </c>
      <c r="U656" t="s">
        <v>89</v>
      </c>
      <c r="V656" t="s">
        <v>77</v>
      </c>
      <c r="W656" t="s">
        <v>88</v>
      </c>
      <c r="X656" t="s">
        <v>90</v>
      </c>
      <c r="Y656">
        <v>2.4961592806687598</v>
      </c>
      <c r="Z656">
        <v>2496.1592806687599</v>
      </c>
      <c r="AA656">
        <v>4.6317666666666701</v>
      </c>
      <c r="AB656">
        <v>-74.117483333333297</v>
      </c>
      <c r="AC656">
        <v>2590</v>
      </c>
      <c r="AD656">
        <v>10</v>
      </c>
      <c r="AE656" t="s">
        <v>80</v>
      </c>
      <c r="AF656" t="s">
        <v>91</v>
      </c>
      <c r="AG656" t="s">
        <v>82</v>
      </c>
      <c r="AH656" t="s">
        <v>83</v>
      </c>
      <c r="AI656" t="s">
        <v>92</v>
      </c>
      <c r="AJ656">
        <v>1.8656072306695499</v>
      </c>
      <c r="AK656">
        <v>3.9016868423028801</v>
      </c>
      <c r="AL656">
        <v>1.3836672153360401</v>
      </c>
      <c r="AM656">
        <v>0.322585154002129</v>
      </c>
      <c r="AN656">
        <v>1.00381301688713</v>
      </c>
      <c r="AO656">
        <v>0.11653404530587499</v>
      </c>
      <c r="AP656">
        <v>0.11653404530587499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11</v>
      </c>
      <c r="AW656">
        <v>0</v>
      </c>
      <c r="AX656">
        <v>0</v>
      </c>
      <c r="AY656">
        <v>16.600000000000001</v>
      </c>
      <c r="AZ656">
        <v>101.7</v>
      </c>
      <c r="BA656">
        <v>19.899999999999999</v>
      </c>
      <c r="BB656">
        <v>564</v>
      </c>
      <c r="BC656">
        <v>71</v>
      </c>
      <c r="BD656">
        <v>1.7</v>
      </c>
      <c r="BE656">
        <v>185</v>
      </c>
      <c r="BF656">
        <v>0.8</v>
      </c>
      <c r="BG656">
        <v>162</v>
      </c>
      <c r="BH656">
        <v>19.5</v>
      </c>
      <c r="BI656">
        <v>15.6</v>
      </c>
      <c r="BJ656">
        <v>35</v>
      </c>
      <c r="BK656">
        <v>0.68</v>
      </c>
      <c r="BL656">
        <v>5.4</v>
      </c>
      <c r="BM656">
        <v>0.9</v>
      </c>
      <c r="BN656">
        <v>4.5999999999999996</v>
      </c>
      <c r="BO656">
        <v>2.1</v>
      </c>
      <c r="BP656">
        <f t="shared" si="20"/>
        <v>89.87927838732088</v>
      </c>
      <c r="BQ656">
        <f t="shared" si="21"/>
        <v>18.742841802579335</v>
      </c>
    </row>
    <row r="657" spans="1:69" hidden="1" x14ac:dyDescent="0.2">
      <c r="A657" t="s">
        <v>1054</v>
      </c>
      <c r="B657" t="s">
        <v>68</v>
      </c>
      <c r="C657" t="s">
        <v>69</v>
      </c>
      <c r="D657" t="s">
        <v>70</v>
      </c>
      <c r="E657" t="s">
        <v>1055</v>
      </c>
      <c r="F657">
        <v>3</v>
      </c>
      <c r="G657">
        <v>59</v>
      </c>
      <c r="H657">
        <v>2</v>
      </c>
      <c r="I657">
        <v>2</v>
      </c>
      <c r="J657">
        <v>1</v>
      </c>
      <c r="K657" t="s">
        <v>110</v>
      </c>
      <c r="L657" t="s">
        <v>133</v>
      </c>
      <c r="M657" s="4">
        <v>326000000</v>
      </c>
      <c r="N657">
        <v>0</v>
      </c>
      <c r="O657">
        <v>4.5932145999999996</v>
      </c>
      <c r="P657">
        <v>-74.107776999999999</v>
      </c>
      <c r="Q657" t="s">
        <v>1056</v>
      </c>
      <c r="R657">
        <v>5525423.7290000003</v>
      </c>
      <c r="S657">
        <v>0</v>
      </c>
      <c r="T657" t="s">
        <v>504</v>
      </c>
      <c r="U657" t="s">
        <v>505</v>
      </c>
      <c r="V657" t="s">
        <v>77</v>
      </c>
      <c r="W657" t="s">
        <v>88</v>
      </c>
      <c r="X657" t="s">
        <v>506</v>
      </c>
      <c r="Y657">
        <v>1.8782510200118401</v>
      </c>
      <c r="Z657">
        <v>1878.25102001184</v>
      </c>
      <c r="AA657">
        <v>4.6085000000000003</v>
      </c>
      <c r="AB657">
        <v>-74.114944444444404</v>
      </c>
      <c r="AC657">
        <v>2559</v>
      </c>
      <c r="AD657">
        <v>0</v>
      </c>
      <c r="AE657" t="s">
        <v>80</v>
      </c>
      <c r="AF657" t="s">
        <v>507</v>
      </c>
      <c r="AG657" t="s">
        <v>82</v>
      </c>
      <c r="AH657" t="s">
        <v>83</v>
      </c>
      <c r="AI657" t="s">
        <v>987</v>
      </c>
      <c r="AJ657">
        <v>0.55850283843748305</v>
      </c>
      <c r="AK657">
        <v>4.20872724783941</v>
      </c>
      <c r="AL657">
        <v>1.4911222149174199</v>
      </c>
      <c r="AM657">
        <v>0.32328427221713602</v>
      </c>
      <c r="AN657">
        <v>0.91872066148224096</v>
      </c>
      <c r="AO657">
        <v>1.6213981656088901E-2</v>
      </c>
      <c r="AP657">
        <v>1.6213981656088901E-2</v>
      </c>
      <c r="AQ657">
        <v>0</v>
      </c>
      <c r="AR657">
        <v>1</v>
      </c>
      <c r="AS657">
        <v>0</v>
      </c>
      <c r="AT657">
        <v>0</v>
      </c>
      <c r="AU657">
        <v>0</v>
      </c>
      <c r="AV657">
        <v>22</v>
      </c>
      <c r="AW657">
        <v>2</v>
      </c>
      <c r="AX657">
        <v>0</v>
      </c>
      <c r="AY657">
        <v>16.600000000000001</v>
      </c>
      <c r="AZ657">
        <v>101.7</v>
      </c>
      <c r="BA657">
        <v>19.899999999999999</v>
      </c>
      <c r="BB657">
        <v>564</v>
      </c>
      <c r="BC657">
        <v>71</v>
      </c>
      <c r="BD657">
        <v>1.7</v>
      </c>
      <c r="BE657">
        <v>185</v>
      </c>
      <c r="BF657">
        <v>0.8</v>
      </c>
      <c r="BG657">
        <v>162</v>
      </c>
      <c r="BH657">
        <v>19.5</v>
      </c>
      <c r="BI657">
        <v>15.6</v>
      </c>
      <c r="BJ657">
        <v>35</v>
      </c>
      <c r="BK657">
        <v>0.68</v>
      </c>
      <c r="BL657">
        <v>5.4</v>
      </c>
      <c r="BM657">
        <v>0.9</v>
      </c>
      <c r="BN657">
        <v>4.5999999999999996</v>
      </c>
      <c r="BO657">
        <v>2.1</v>
      </c>
      <c r="BP657">
        <f t="shared" si="20"/>
        <v>92.670841629548789</v>
      </c>
      <c r="BQ657">
        <f t="shared" si="21"/>
        <v>19.022865581372791</v>
      </c>
    </row>
    <row r="658" spans="1:69" hidden="1" x14ac:dyDescent="0.2">
      <c r="A658" t="s">
        <v>1252</v>
      </c>
      <c r="B658" t="s">
        <v>68</v>
      </c>
      <c r="C658" t="s">
        <v>69</v>
      </c>
      <c r="D658" t="s">
        <v>70</v>
      </c>
      <c r="E658" t="s">
        <v>301</v>
      </c>
      <c r="F658">
        <v>3</v>
      </c>
      <c r="G658">
        <v>58.1</v>
      </c>
      <c r="H658">
        <v>2</v>
      </c>
      <c r="I658">
        <v>2</v>
      </c>
      <c r="J658">
        <v>1</v>
      </c>
      <c r="K658" t="s">
        <v>72</v>
      </c>
      <c r="L658" t="s">
        <v>73</v>
      </c>
      <c r="M658" s="4">
        <v>491600000</v>
      </c>
      <c r="N658">
        <v>0</v>
      </c>
      <c r="O658">
        <v>4.6217503999999998</v>
      </c>
      <c r="P658">
        <v>-74.109700000000004</v>
      </c>
      <c r="Q658" t="s">
        <v>1253</v>
      </c>
      <c r="R658">
        <v>8461273.6659999993</v>
      </c>
      <c r="S658">
        <v>0</v>
      </c>
      <c r="T658" t="s">
        <v>88</v>
      </c>
      <c r="U658" t="s">
        <v>89</v>
      </c>
      <c r="V658" t="s">
        <v>77</v>
      </c>
      <c r="W658" t="s">
        <v>88</v>
      </c>
      <c r="X658" t="s">
        <v>90</v>
      </c>
      <c r="Y658">
        <v>1.41034236313207</v>
      </c>
      <c r="Z658">
        <v>1410.34236313207</v>
      </c>
      <c r="AA658">
        <v>4.6317666666666701</v>
      </c>
      <c r="AB658">
        <v>-74.117483333333297</v>
      </c>
      <c r="AC658">
        <v>2590</v>
      </c>
      <c r="AD658">
        <v>10</v>
      </c>
      <c r="AE658" t="s">
        <v>80</v>
      </c>
      <c r="AF658" t="s">
        <v>91</v>
      </c>
      <c r="AG658" t="s">
        <v>82</v>
      </c>
      <c r="AH658" t="s">
        <v>83</v>
      </c>
      <c r="AI658" t="s">
        <v>288</v>
      </c>
      <c r="AJ658">
        <v>0.70573106363599802</v>
      </c>
      <c r="AK658">
        <v>5.1364967079326798</v>
      </c>
      <c r="AL658">
        <v>2.55170292907937</v>
      </c>
      <c r="AM658">
        <v>0.35621134260336301</v>
      </c>
      <c r="AN658">
        <v>0.89861101942435895</v>
      </c>
      <c r="AO658">
        <v>0.44431420857394799</v>
      </c>
      <c r="AP658">
        <v>0.44431420857394799</v>
      </c>
      <c r="AQ658">
        <v>0</v>
      </c>
      <c r="AR658">
        <v>3</v>
      </c>
      <c r="AS658">
        <v>0</v>
      </c>
      <c r="AT658">
        <v>0</v>
      </c>
      <c r="AU658">
        <v>0</v>
      </c>
      <c r="AV658">
        <v>14</v>
      </c>
      <c r="AW658">
        <v>1</v>
      </c>
      <c r="AX658">
        <v>0</v>
      </c>
      <c r="AY658">
        <v>16.600000000000001</v>
      </c>
      <c r="AZ658">
        <v>101.7</v>
      </c>
      <c r="BA658">
        <v>19.899999999999999</v>
      </c>
      <c r="BB658">
        <v>564</v>
      </c>
      <c r="BC658">
        <v>71</v>
      </c>
      <c r="BD658">
        <v>1.7</v>
      </c>
      <c r="BE658">
        <v>185</v>
      </c>
      <c r="BF658">
        <v>0.8</v>
      </c>
      <c r="BG658">
        <v>162</v>
      </c>
      <c r="BH658">
        <v>19.5</v>
      </c>
      <c r="BI658">
        <v>15.6</v>
      </c>
      <c r="BJ658">
        <v>35</v>
      </c>
      <c r="BK658">
        <v>0.68</v>
      </c>
      <c r="BL658">
        <v>5.4</v>
      </c>
      <c r="BM658">
        <v>0.9</v>
      </c>
      <c r="BN658">
        <v>4.5999999999999996</v>
      </c>
      <c r="BO658">
        <v>2.1</v>
      </c>
      <c r="BP658">
        <f t="shared" si="20"/>
        <v>94.842285186165228</v>
      </c>
      <c r="BQ658">
        <f t="shared" si="21"/>
        <v>19.237692680884678</v>
      </c>
    </row>
    <row r="659" spans="1:69" hidden="1" x14ac:dyDescent="0.2">
      <c r="A659" t="s">
        <v>1714</v>
      </c>
      <c r="B659" t="s">
        <v>68</v>
      </c>
      <c r="C659" t="s">
        <v>69</v>
      </c>
      <c r="D659" t="s">
        <v>70</v>
      </c>
      <c r="E659" t="s">
        <v>1715</v>
      </c>
      <c r="F659">
        <v>3</v>
      </c>
      <c r="G659">
        <v>58</v>
      </c>
      <c r="H659">
        <v>2</v>
      </c>
      <c r="I659">
        <v>2</v>
      </c>
      <c r="J659">
        <v>1</v>
      </c>
      <c r="K659" t="s">
        <v>110</v>
      </c>
      <c r="L659" t="s">
        <v>111</v>
      </c>
      <c r="M659" s="4">
        <v>380000000</v>
      </c>
      <c r="N659">
        <v>0</v>
      </c>
      <c r="O659">
        <v>4.6367440000000002</v>
      </c>
      <c r="P659">
        <v>-74.137029999999996</v>
      </c>
      <c r="Q659" t="s">
        <v>1716</v>
      </c>
      <c r="R659">
        <v>6551724.1380000003</v>
      </c>
      <c r="S659">
        <v>0</v>
      </c>
      <c r="T659" t="s">
        <v>88</v>
      </c>
      <c r="U659" t="s">
        <v>89</v>
      </c>
      <c r="V659" t="s">
        <v>77</v>
      </c>
      <c r="W659" t="s">
        <v>88</v>
      </c>
      <c r="X659" t="s">
        <v>90</v>
      </c>
      <c r="Y659">
        <v>2.23846841928296</v>
      </c>
      <c r="Z659">
        <v>2238.46841928296</v>
      </c>
      <c r="AA659">
        <v>4.6317666666666701</v>
      </c>
      <c r="AB659">
        <v>-74.117483333333297</v>
      </c>
      <c r="AC659">
        <v>2590</v>
      </c>
      <c r="AD659">
        <v>10</v>
      </c>
      <c r="AE659" t="s">
        <v>80</v>
      </c>
      <c r="AF659" t="s">
        <v>91</v>
      </c>
      <c r="AG659" t="s">
        <v>82</v>
      </c>
      <c r="AH659" t="s">
        <v>83</v>
      </c>
      <c r="AI659" t="s">
        <v>221</v>
      </c>
      <c r="AJ659">
        <v>0.795634775123778</v>
      </c>
      <c r="AK659">
        <v>3.4448973729674899</v>
      </c>
      <c r="AL659">
        <v>1.6756247264906301</v>
      </c>
      <c r="AM659">
        <v>5.3450091981429297E-2</v>
      </c>
      <c r="AN659">
        <v>2.9575709995886501</v>
      </c>
      <c r="AO659">
        <v>0.13680397131997399</v>
      </c>
      <c r="AP659">
        <v>0.13680397131997399</v>
      </c>
      <c r="AQ659">
        <v>0</v>
      </c>
      <c r="AR659">
        <v>2</v>
      </c>
      <c r="AS659">
        <v>0</v>
      </c>
      <c r="AT659">
        <v>0</v>
      </c>
      <c r="AU659">
        <v>0</v>
      </c>
      <c r="AV659">
        <v>32</v>
      </c>
      <c r="AW659">
        <v>0</v>
      </c>
      <c r="AX659">
        <v>0</v>
      </c>
      <c r="AY659">
        <v>16.600000000000001</v>
      </c>
      <c r="AZ659">
        <v>101.7</v>
      </c>
      <c r="BA659">
        <v>19.899999999999999</v>
      </c>
      <c r="BB659">
        <v>564</v>
      </c>
      <c r="BC659">
        <v>71</v>
      </c>
      <c r="BD659">
        <v>1.7</v>
      </c>
      <c r="BE659">
        <v>185</v>
      </c>
      <c r="BF659">
        <v>0.8</v>
      </c>
      <c r="BG659">
        <v>162</v>
      </c>
      <c r="BH659">
        <v>19.5</v>
      </c>
      <c r="BI659">
        <v>15.6</v>
      </c>
      <c r="BJ659">
        <v>35</v>
      </c>
      <c r="BK659">
        <v>0.68</v>
      </c>
      <c r="BL659">
        <v>5.4</v>
      </c>
      <c r="BM659">
        <v>0.9</v>
      </c>
      <c r="BN659">
        <v>4.5999999999999996</v>
      </c>
      <c r="BO659">
        <v>2.1</v>
      </c>
      <c r="BP659">
        <f t="shared" si="20"/>
        <v>91.033094506645924</v>
      </c>
      <c r="BQ659">
        <f t="shared" si="21"/>
        <v>18.859117607682453</v>
      </c>
    </row>
    <row r="660" spans="1:69" hidden="1" x14ac:dyDescent="0.2">
      <c r="A660" t="s">
        <v>1864</v>
      </c>
      <c r="B660" t="s">
        <v>68</v>
      </c>
      <c r="C660" t="s">
        <v>69</v>
      </c>
      <c r="D660" t="s">
        <v>70</v>
      </c>
      <c r="E660" t="s">
        <v>301</v>
      </c>
      <c r="F660">
        <v>3</v>
      </c>
      <c r="G660">
        <v>57.08</v>
      </c>
      <c r="H660">
        <v>1</v>
      </c>
      <c r="I660">
        <v>1</v>
      </c>
      <c r="J660">
        <v>1</v>
      </c>
      <c r="K660" t="s">
        <v>72</v>
      </c>
      <c r="L660" t="s">
        <v>73</v>
      </c>
      <c r="M660" s="4">
        <v>475400000</v>
      </c>
      <c r="N660">
        <v>0</v>
      </c>
      <c r="O660">
        <v>4.6217503999999998</v>
      </c>
      <c r="P660">
        <v>-74.109700000000004</v>
      </c>
      <c r="Q660" t="s">
        <v>1865</v>
      </c>
      <c r="R660">
        <v>8328661.5279999999</v>
      </c>
      <c r="S660">
        <v>0</v>
      </c>
      <c r="T660" t="s">
        <v>88</v>
      </c>
      <c r="U660" t="s">
        <v>89</v>
      </c>
      <c r="V660" t="s">
        <v>77</v>
      </c>
      <c r="W660" t="s">
        <v>88</v>
      </c>
      <c r="X660" t="s">
        <v>90</v>
      </c>
      <c r="Y660">
        <v>1.41034236313207</v>
      </c>
      <c r="Z660">
        <v>1410.34236313207</v>
      </c>
      <c r="AA660">
        <v>4.6317666666666701</v>
      </c>
      <c r="AB660">
        <v>-74.117483333333297</v>
      </c>
      <c r="AC660">
        <v>2590</v>
      </c>
      <c r="AD660">
        <v>10</v>
      </c>
      <c r="AE660" t="s">
        <v>80</v>
      </c>
      <c r="AF660" t="s">
        <v>91</v>
      </c>
      <c r="AG660" t="s">
        <v>82</v>
      </c>
      <c r="AH660" t="s">
        <v>83</v>
      </c>
      <c r="AI660" t="s">
        <v>288</v>
      </c>
      <c r="AJ660">
        <v>0.70573106363599802</v>
      </c>
      <c r="AK660">
        <v>5.1364967079326798</v>
      </c>
      <c r="AL660">
        <v>2.55170292907937</v>
      </c>
      <c r="AM660">
        <v>0.35621134260336301</v>
      </c>
      <c r="AN660">
        <v>0.89861101942435895</v>
      </c>
      <c r="AO660">
        <v>0.44431420857394799</v>
      </c>
      <c r="AP660">
        <v>0.44431420857394799</v>
      </c>
      <c r="AQ660">
        <v>0</v>
      </c>
      <c r="AR660">
        <v>3</v>
      </c>
      <c r="AS660">
        <v>0</v>
      </c>
      <c r="AT660">
        <v>0</v>
      </c>
      <c r="AU660">
        <v>0</v>
      </c>
      <c r="AV660">
        <v>14</v>
      </c>
      <c r="AW660">
        <v>1</v>
      </c>
      <c r="AX660">
        <v>0</v>
      </c>
      <c r="AY660">
        <v>16.600000000000001</v>
      </c>
      <c r="AZ660">
        <v>101.7</v>
      </c>
      <c r="BA660">
        <v>19.899999999999999</v>
      </c>
      <c r="BB660">
        <v>564</v>
      </c>
      <c r="BC660">
        <v>71</v>
      </c>
      <c r="BD660">
        <v>1.7</v>
      </c>
      <c r="BE660">
        <v>185</v>
      </c>
      <c r="BF660">
        <v>0.8</v>
      </c>
      <c r="BG660">
        <v>162</v>
      </c>
      <c r="BH660">
        <v>19.5</v>
      </c>
      <c r="BI660">
        <v>15.6</v>
      </c>
      <c r="BJ660">
        <v>35</v>
      </c>
      <c r="BK660">
        <v>0.68</v>
      </c>
      <c r="BL660">
        <v>5.4</v>
      </c>
      <c r="BM660">
        <v>0.9</v>
      </c>
      <c r="BN660">
        <v>4.5999999999999996</v>
      </c>
      <c r="BO660">
        <v>2.1</v>
      </c>
      <c r="BP660">
        <f t="shared" si="20"/>
        <v>94.842285186165228</v>
      </c>
      <c r="BQ660">
        <f t="shared" si="21"/>
        <v>19.237692680884678</v>
      </c>
    </row>
    <row r="661" spans="1:69" hidden="1" x14ac:dyDescent="0.2">
      <c r="A661" t="s">
        <v>4155</v>
      </c>
      <c r="B661" t="s">
        <v>68</v>
      </c>
      <c r="C661" t="s">
        <v>3294</v>
      </c>
      <c r="D661" t="s">
        <v>70</v>
      </c>
      <c r="E661" t="s">
        <v>168</v>
      </c>
      <c r="F661">
        <v>4</v>
      </c>
      <c r="G661">
        <v>56</v>
      </c>
      <c r="H661">
        <v>1</v>
      </c>
      <c r="I661">
        <v>2</v>
      </c>
      <c r="J661">
        <v>0</v>
      </c>
      <c r="K661" t="s">
        <v>110</v>
      </c>
      <c r="L661" t="s">
        <v>162</v>
      </c>
      <c r="M661" s="4">
        <v>356000000</v>
      </c>
      <c r="N661">
        <v>0</v>
      </c>
      <c r="O661">
        <v>4.6348233219999999</v>
      </c>
      <c r="P661">
        <v>-74.09722137</v>
      </c>
      <c r="Q661" t="s">
        <v>4156</v>
      </c>
      <c r="R661">
        <v>6357142.8569999998</v>
      </c>
      <c r="S661">
        <v>0</v>
      </c>
      <c r="T661" t="s">
        <v>88</v>
      </c>
      <c r="U661" t="s">
        <v>89</v>
      </c>
      <c r="V661" t="s">
        <v>77</v>
      </c>
      <c r="W661" t="s">
        <v>88</v>
      </c>
      <c r="X661" t="s">
        <v>90</v>
      </c>
      <c r="Y661">
        <v>2.2737845573342899</v>
      </c>
      <c r="Z661">
        <v>2273.7845573342902</v>
      </c>
      <c r="AA661">
        <v>4.6317666666666701</v>
      </c>
      <c r="AB661">
        <v>-74.117483333333297</v>
      </c>
      <c r="AC661">
        <v>2590</v>
      </c>
      <c r="AD661">
        <v>10</v>
      </c>
      <c r="AE661" t="s">
        <v>80</v>
      </c>
      <c r="AF661" t="s">
        <v>91</v>
      </c>
      <c r="AG661" t="s">
        <v>82</v>
      </c>
      <c r="AH661" t="s">
        <v>83</v>
      </c>
      <c r="AI661" t="s">
        <v>84</v>
      </c>
      <c r="AJ661">
        <v>0.54160795222323699</v>
      </c>
      <c r="AK661">
        <v>4.0741163338724604</v>
      </c>
      <c r="AL661">
        <v>0.96566824229959003</v>
      </c>
      <c r="AM661">
        <v>0.148677036844167</v>
      </c>
      <c r="AN661">
        <v>2.0048405992629501</v>
      </c>
      <c r="AO661">
        <v>0.58199408545523201</v>
      </c>
      <c r="AP661">
        <v>0.58199408545523201</v>
      </c>
      <c r="AQ661">
        <v>0</v>
      </c>
      <c r="AR661">
        <v>3</v>
      </c>
      <c r="AS661">
        <v>0</v>
      </c>
      <c r="AT661">
        <v>0</v>
      </c>
      <c r="AU661">
        <v>1</v>
      </c>
      <c r="AV661">
        <v>15</v>
      </c>
      <c r="AW661">
        <v>0</v>
      </c>
      <c r="AX661">
        <v>0</v>
      </c>
      <c r="AY661">
        <v>16.600000000000001</v>
      </c>
      <c r="AZ661">
        <v>101.7</v>
      </c>
      <c r="BA661">
        <v>19.899999999999999</v>
      </c>
      <c r="BB661">
        <v>564</v>
      </c>
      <c r="BC661">
        <v>71</v>
      </c>
      <c r="BD661">
        <v>1.7</v>
      </c>
      <c r="BE661">
        <v>185</v>
      </c>
      <c r="BF661">
        <v>0.8</v>
      </c>
      <c r="BG661">
        <v>162</v>
      </c>
      <c r="BH661">
        <v>19.5</v>
      </c>
      <c r="BI661">
        <v>15.6</v>
      </c>
      <c r="BJ661">
        <v>35</v>
      </c>
      <c r="BK661">
        <v>0.68</v>
      </c>
      <c r="BL661">
        <v>5.4</v>
      </c>
      <c r="BM661">
        <v>0.9</v>
      </c>
      <c r="BN661">
        <v>4.5999999999999996</v>
      </c>
      <c r="BO661">
        <v>2.1</v>
      </c>
      <c r="BP661">
        <f t="shared" si="20"/>
        <v>90.874094127326757</v>
      </c>
      <c r="BQ661">
        <f t="shared" si="21"/>
        <v>18.843139631181074</v>
      </c>
    </row>
    <row r="662" spans="1:69" hidden="1" x14ac:dyDescent="0.2">
      <c r="A662" t="s">
        <v>4208</v>
      </c>
      <c r="B662" t="s">
        <v>68</v>
      </c>
      <c r="C662" t="s">
        <v>3294</v>
      </c>
      <c r="D662" t="s">
        <v>70</v>
      </c>
      <c r="E662" t="s">
        <v>168</v>
      </c>
      <c r="F662">
        <v>4</v>
      </c>
      <c r="G662">
        <v>56</v>
      </c>
      <c r="H662">
        <v>1</v>
      </c>
      <c r="I662">
        <v>2</v>
      </c>
      <c r="J662">
        <v>0</v>
      </c>
      <c r="K662" t="s">
        <v>110</v>
      </c>
      <c r="L662" t="s">
        <v>162</v>
      </c>
      <c r="M662" s="4">
        <v>356000000</v>
      </c>
      <c r="N662">
        <v>0</v>
      </c>
      <c r="O662">
        <v>4.6348233219999999</v>
      </c>
      <c r="P662">
        <v>-74.09722137</v>
      </c>
      <c r="Q662" t="s">
        <v>4209</v>
      </c>
      <c r="R662">
        <v>6357142.8569999998</v>
      </c>
      <c r="S662">
        <v>0</v>
      </c>
      <c r="T662" t="s">
        <v>88</v>
      </c>
      <c r="U662" t="s">
        <v>89</v>
      </c>
      <c r="V662" t="s">
        <v>77</v>
      </c>
      <c r="W662" t="s">
        <v>88</v>
      </c>
      <c r="X662" t="s">
        <v>90</v>
      </c>
      <c r="Y662">
        <v>2.2737845573342899</v>
      </c>
      <c r="Z662">
        <v>2273.7845573342902</v>
      </c>
      <c r="AA662">
        <v>4.6317666666666701</v>
      </c>
      <c r="AB662">
        <v>-74.117483333333297</v>
      </c>
      <c r="AC662">
        <v>2590</v>
      </c>
      <c r="AD662">
        <v>10</v>
      </c>
      <c r="AE662" t="s">
        <v>80</v>
      </c>
      <c r="AF662" t="s">
        <v>91</v>
      </c>
      <c r="AG662" t="s">
        <v>82</v>
      </c>
      <c r="AH662" t="s">
        <v>83</v>
      </c>
      <c r="AI662" t="s">
        <v>84</v>
      </c>
      <c r="AJ662">
        <v>0.54160795222323699</v>
      </c>
      <c r="AK662">
        <v>4.0741163338724604</v>
      </c>
      <c r="AL662">
        <v>0.96566824229959003</v>
      </c>
      <c r="AM662">
        <v>0.148677036844167</v>
      </c>
      <c r="AN662">
        <v>2.0048405992629501</v>
      </c>
      <c r="AO662">
        <v>0.58199408545523201</v>
      </c>
      <c r="AP662">
        <v>0.58199408545523201</v>
      </c>
      <c r="AQ662">
        <v>0</v>
      </c>
      <c r="AR662">
        <v>3</v>
      </c>
      <c r="AS662">
        <v>0</v>
      </c>
      <c r="AT662">
        <v>0</v>
      </c>
      <c r="AU662">
        <v>1</v>
      </c>
      <c r="AV662">
        <v>15</v>
      </c>
      <c r="AW662">
        <v>0</v>
      </c>
      <c r="AX662">
        <v>0</v>
      </c>
      <c r="AY662">
        <v>16.600000000000001</v>
      </c>
      <c r="AZ662">
        <v>101.7</v>
      </c>
      <c r="BA662">
        <v>19.899999999999999</v>
      </c>
      <c r="BB662">
        <v>564</v>
      </c>
      <c r="BC662">
        <v>71</v>
      </c>
      <c r="BD662">
        <v>1.7</v>
      </c>
      <c r="BE662">
        <v>185</v>
      </c>
      <c r="BF662">
        <v>0.8</v>
      </c>
      <c r="BG662">
        <v>162</v>
      </c>
      <c r="BH662">
        <v>19.5</v>
      </c>
      <c r="BI662">
        <v>15.6</v>
      </c>
      <c r="BJ662">
        <v>35</v>
      </c>
      <c r="BK662">
        <v>0.68</v>
      </c>
      <c r="BL662">
        <v>5.4</v>
      </c>
      <c r="BM662">
        <v>0.9</v>
      </c>
      <c r="BN662">
        <v>4.5999999999999996</v>
      </c>
      <c r="BO662">
        <v>2.1</v>
      </c>
      <c r="BP662">
        <f t="shared" si="20"/>
        <v>90.874094127326757</v>
      </c>
      <c r="BQ662">
        <f t="shared" si="21"/>
        <v>18.843139631181074</v>
      </c>
    </row>
    <row r="663" spans="1:69" hidden="1" x14ac:dyDescent="0.2">
      <c r="A663" t="s">
        <v>1557</v>
      </c>
      <c r="B663" t="s">
        <v>68</v>
      </c>
      <c r="C663" t="s">
        <v>69</v>
      </c>
      <c r="D663" t="s">
        <v>70</v>
      </c>
      <c r="E663" t="s">
        <v>1558</v>
      </c>
      <c r="F663">
        <v>3</v>
      </c>
      <c r="G663">
        <v>55</v>
      </c>
      <c r="H663">
        <v>2</v>
      </c>
      <c r="I663">
        <v>1</v>
      </c>
      <c r="J663">
        <v>0</v>
      </c>
      <c r="K663" t="s">
        <v>110</v>
      </c>
      <c r="L663" t="s">
        <v>162</v>
      </c>
      <c r="M663" s="4">
        <v>231000000</v>
      </c>
      <c r="N663">
        <v>0</v>
      </c>
      <c r="O663">
        <v>4.6132521449999997</v>
      </c>
      <c r="P663">
        <v>-74.133796810000007</v>
      </c>
      <c r="Q663" t="s">
        <v>1559</v>
      </c>
      <c r="R663">
        <v>4200000</v>
      </c>
      <c r="S663">
        <v>0</v>
      </c>
      <c r="T663" t="s">
        <v>504</v>
      </c>
      <c r="U663" t="s">
        <v>505</v>
      </c>
      <c r="V663" t="s">
        <v>77</v>
      </c>
      <c r="W663" t="s">
        <v>88</v>
      </c>
      <c r="X663" t="s">
        <v>506</v>
      </c>
      <c r="Y663">
        <v>2.15769741977175</v>
      </c>
      <c r="Z663">
        <v>2157.69741977175</v>
      </c>
      <c r="AA663">
        <v>4.6085000000000003</v>
      </c>
      <c r="AB663">
        <v>-74.114944444444404</v>
      </c>
      <c r="AC663">
        <v>2559</v>
      </c>
      <c r="AD663">
        <v>0</v>
      </c>
      <c r="AE663" t="s">
        <v>80</v>
      </c>
      <c r="AF663" t="s">
        <v>507</v>
      </c>
      <c r="AG663" t="s">
        <v>82</v>
      </c>
      <c r="AH663" t="s">
        <v>83</v>
      </c>
      <c r="AI663" t="s">
        <v>221</v>
      </c>
      <c r="AJ663">
        <v>1.85938085444846</v>
      </c>
      <c r="AK663">
        <v>5.7813653047199098</v>
      </c>
      <c r="AL663">
        <v>2.34729458975831</v>
      </c>
      <c r="AM663">
        <v>6.9062724414349602E-2</v>
      </c>
      <c r="AN663">
        <v>2.94192146794563</v>
      </c>
      <c r="AO663">
        <v>0.15966099964775801</v>
      </c>
      <c r="AP663">
        <v>0.15966099964775801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34</v>
      </c>
      <c r="AW663">
        <v>0</v>
      </c>
      <c r="AX663">
        <v>0</v>
      </c>
      <c r="AY663">
        <v>16.600000000000001</v>
      </c>
      <c r="AZ663">
        <v>101.7</v>
      </c>
      <c r="BA663">
        <v>19.899999999999999</v>
      </c>
      <c r="BB663">
        <v>564</v>
      </c>
      <c r="BC663">
        <v>71</v>
      </c>
      <c r="BD663">
        <v>1.7</v>
      </c>
      <c r="BE663">
        <v>185</v>
      </c>
      <c r="BF663">
        <v>0.8</v>
      </c>
      <c r="BG663">
        <v>162</v>
      </c>
      <c r="BH663">
        <v>19.5</v>
      </c>
      <c r="BI663">
        <v>15.6</v>
      </c>
      <c r="BJ663">
        <v>35</v>
      </c>
      <c r="BK663">
        <v>0.68</v>
      </c>
      <c r="BL663">
        <v>5.4</v>
      </c>
      <c r="BM663">
        <v>0.9</v>
      </c>
      <c r="BN663">
        <v>4.5999999999999996</v>
      </c>
      <c r="BO663">
        <v>2.1</v>
      </c>
      <c r="BP663">
        <f t="shared" si="20"/>
        <v>91.397788358414147</v>
      </c>
      <c r="BQ663">
        <f t="shared" si="21"/>
        <v>18.895711539662344</v>
      </c>
    </row>
    <row r="664" spans="1:69" hidden="1" x14ac:dyDescent="0.2">
      <c r="A664" t="s">
        <v>1754</v>
      </c>
      <c r="B664" t="s">
        <v>68</v>
      </c>
      <c r="C664" t="s">
        <v>69</v>
      </c>
      <c r="D664" t="s">
        <v>70</v>
      </c>
      <c r="E664" t="s">
        <v>301</v>
      </c>
      <c r="F664">
        <v>3</v>
      </c>
      <c r="G664">
        <v>54.81</v>
      </c>
      <c r="H664">
        <v>2</v>
      </c>
      <c r="I664">
        <v>1</v>
      </c>
      <c r="J664">
        <v>1</v>
      </c>
      <c r="K664" t="s">
        <v>72</v>
      </c>
      <c r="L664" t="s">
        <v>73</v>
      </c>
      <c r="M664" s="4">
        <v>439000000</v>
      </c>
      <c r="N664">
        <v>0</v>
      </c>
      <c r="O664">
        <v>4.6217503999999998</v>
      </c>
      <c r="P664">
        <v>-74.109700000000004</v>
      </c>
      <c r="Q664" t="s">
        <v>1755</v>
      </c>
      <c r="R664">
        <v>8009487.3200000003</v>
      </c>
      <c r="S664">
        <v>0</v>
      </c>
      <c r="T664" t="s">
        <v>88</v>
      </c>
      <c r="U664" t="s">
        <v>89</v>
      </c>
      <c r="V664" t="s">
        <v>77</v>
      </c>
      <c r="W664" t="s">
        <v>88</v>
      </c>
      <c r="X664" t="s">
        <v>90</v>
      </c>
      <c r="Y664">
        <v>1.41034236313207</v>
      </c>
      <c r="Z664">
        <v>1410.34236313207</v>
      </c>
      <c r="AA664">
        <v>4.6317666666666701</v>
      </c>
      <c r="AB664">
        <v>-74.117483333333297</v>
      </c>
      <c r="AC664">
        <v>2590</v>
      </c>
      <c r="AD664">
        <v>10</v>
      </c>
      <c r="AE664" t="s">
        <v>80</v>
      </c>
      <c r="AF664" t="s">
        <v>91</v>
      </c>
      <c r="AG664" t="s">
        <v>82</v>
      </c>
      <c r="AH664" t="s">
        <v>83</v>
      </c>
      <c r="AI664" t="s">
        <v>288</v>
      </c>
      <c r="AJ664">
        <v>0.70573106363599802</v>
      </c>
      <c r="AK664">
        <v>5.1364967079326798</v>
      </c>
      <c r="AL664">
        <v>2.55170292907937</v>
      </c>
      <c r="AM664">
        <v>0.35621134260336301</v>
      </c>
      <c r="AN664">
        <v>0.89861101942435895</v>
      </c>
      <c r="AO664">
        <v>0.44431420857394799</v>
      </c>
      <c r="AP664">
        <v>0.44431420857394799</v>
      </c>
      <c r="AQ664">
        <v>0</v>
      </c>
      <c r="AR664">
        <v>3</v>
      </c>
      <c r="AS664">
        <v>0</v>
      </c>
      <c r="AT664">
        <v>0</v>
      </c>
      <c r="AU664">
        <v>0</v>
      </c>
      <c r="AV664">
        <v>14</v>
      </c>
      <c r="AW664">
        <v>1</v>
      </c>
      <c r="AX664">
        <v>0</v>
      </c>
      <c r="AY664">
        <v>16.600000000000001</v>
      </c>
      <c r="AZ664">
        <v>101.7</v>
      </c>
      <c r="BA664">
        <v>19.899999999999999</v>
      </c>
      <c r="BB664">
        <v>564</v>
      </c>
      <c r="BC664">
        <v>71</v>
      </c>
      <c r="BD664">
        <v>1.7</v>
      </c>
      <c r="BE664">
        <v>185</v>
      </c>
      <c r="BF664">
        <v>0.8</v>
      </c>
      <c r="BG664">
        <v>162</v>
      </c>
      <c r="BH664">
        <v>19.5</v>
      </c>
      <c r="BI664">
        <v>15.6</v>
      </c>
      <c r="BJ664">
        <v>35</v>
      </c>
      <c r="BK664">
        <v>0.68</v>
      </c>
      <c r="BL664">
        <v>5.4</v>
      </c>
      <c r="BM664">
        <v>0.9</v>
      </c>
      <c r="BN664">
        <v>4.5999999999999996</v>
      </c>
      <c r="BO664">
        <v>2.1</v>
      </c>
      <c r="BP664">
        <f t="shared" si="20"/>
        <v>94.842285186165228</v>
      </c>
      <c r="BQ664">
        <f t="shared" si="21"/>
        <v>19.237692680884678</v>
      </c>
    </row>
    <row r="665" spans="1:69" hidden="1" x14ac:dyDescent="0.2">
      <c r="A665" t="s">
        <v>1402</v>
      </c>
      <c r="B665" t="s">
        <v>68</v>
      </c>
      <c r="C665" t="s">
        <v>69</v>
      </c>
      <c r="D665" t="s">
        <v>70</v>
      </c>
      <c r="E665" t="s">
        <v>301</v>
      </c>
      <c r="F665">
        <v>3</v>
      </c>
      <c r="G665">
        <v>54.81</v>
      </c>
      <c r="H665">
        <v>2</v>
      </c>
      <c r="I665">
        <v>1</v>
      </c>
      <c r="J665">
        <v>1</v>
      </c>
      <c r="K665" t="s">
        <v>72</v>
      </c>
      <c r="L665" t="s">
        <v>73</v>
      </c>
      <c r="M665" s="4">
        <v>438700000</v>
      </c>
      <c r="N665">
        <v>0</v>
      </c>
      <c r="O665">
        <v>4.6217503999999998</v>
      </c>
      <c r="P665">
        <v>-74.109700000000004</v>
      </c>
      <c r="Q665" t="s">
        <v>1403</v>
      </c>
      <c r="R665">
        <v>8004013.8660000004</v>
      </c>
      <c r="S665">
        <v>0</v>
      </c>
      <c r="T665" t="s">
        <v>88</v>
      </c>
      <c r="U665" t="s">
        <v>89</v>
      </c>
      <c r="V665" t="s">
        <v>77</v>
      </c>
      <c r="W665" t="s">
        <v>88</v>
      </c>
      <c r="X665" t="s">
        <v>90</v>
      </c>
      <c r="Y665">
        <v>1.41034236313207</v>
      </c>
      <c r="Z665">
        <v>1410.34236313207</v>
      </c>
      <c r="AA665">
        <v>4.6317666666666701</v>
      </c>
      <c r="AB665">
        <v>-74.117483333333297</v>
      </c>
      <c r="AC665">
        <v>2590</v>
      </c>
      <c r="AD665">
        <v>10</v>
      </c>
      <c r="AE665" t="s">
        <v>80</v>
      </c>
      <c r="AF665" t="s">
        <v>91</v>
      </c>
      <c r="AG665" t="s">
        <v>82</v>
      </c>
      <c r="AH665" t="s">
        <v>83</v>
      </c>
      <c r="AI665" t="s">
        <v>288</v>
      </c>
      <c r="AJ665">
        <v>0.70573106363599802</v>
      </c>
      <c r="AK665">
        <v>5.1364967079326798</v>
      </c>
      <c r="AL665">
        <v>2.55170292907937</v>
      </c>
      <c r="AM665">
        <v>0.35621134260336301</v>
      </c>
      <c r="AN665">
        <v>0.89861101942435895</v>
      </c>
      <c r="AO665">
        <v>0.44431420857394799</v>
      </c>
      <c r="AP665">
        <v>0.44431420857394799</v>
      </c>
      <c r="AQ665">
        <v>0</v>
      </c>
      <c r="AR665">
        <v>3</v>
      </c>
      <c r="AS665">
        <v>0</v>
      </c>
      <c r="AT665">
        <v>0</v>
      </c>
      <c r="AU665">
        <v>0</v>
      </c>
      <c r="AV665">
        <v>14</v>
      </c>
      <c r="AW665">
        <v>1</v>
      </c>
      <c r="AX665">
        <v>0</v>
      </c>
      <c r="AY665">
        <v>16.600000000000001</v>
      </c>
      <c r="AZ665">
        <v>101.7</v>
      </c>
      <c r="BA665">
        <v>19.899999999999999</v>
      </c>
      <c r="BB665">
        <v>564</v>
      </c>
      <c r="BC665">
        <v>71</v>
      </c>
      <c r="BD665">
        <v>1.7</v>
      </c>
      <c r="BE665">
        <v>185</v>
      </c>
      <c r="BF665">
        <v>0.8</v>
      </c>
      <c r="BG665">
        <v>162</v>
      </c>
      <c r="BH665">
        <v>19.5</v>
      </c>
      <c r="BI665">
        <v>15.6</v>
      </c>
      <c r="BJ665">
        <v>35</v>
      </c>
      <c r="BK665">
        <v>0.68</v>
      </c>
      <c r="BL665">
        <v>5.4</v>
      </c>
      <c r="BM665">
        <v>0.9</v>
      </c>
      <c r="BN665">
        <v>4.5999999999999996</v>
      </c>
      <c r="BO665">
        <v>2.1</v>
      </c>
      <c r="BP665">
        <f t="shared" si="20"/>
        <v>94.842285186165228</v>
      </c>
      <c r="BQ665">
        <f t="shared" si="21"/>
        <v>19.237692680884678</v>
      </c>
    </row>
    <row r="666" spans="1:69" hidden="1" x14ac:dyDescent="0.2">
      <c r="A666" t="s">
        <v>300</v>
      </c>
      <c r="B666" t="s">
        <v>68</v>
      </c>
      <c r="C666" t="s">
        <v>69</v>
      </c>
      <c r="D666" t="s">
        <v>70</v>
      </c>
      <c r="E666" t="s">
        <v>301</v>
      </c>
      <c r="F666">
        <v>3</v>
      </c>
      <c r="G666">
        <v>53.94</v>
      </c>
      <c r="H666">
        <v>2</v>
      </c>
      <c r="I666">
        <v>1</v>
      </c>
      <c r="J666">
        <v>1</v>
      </c>
      <c r="K666" t="s">
        <v>72</v>
      </c>
      <c r="L666" t="s">
        <v>73</v>
      </c>
      <c r="M666" s="4">
        <v>423000000</v>
      </c>
      <c r="N666">
        <v>0</v>
      </c>
      <c r="O666">
        <v>4.6217503999999998</v>
      </c>
      <c r="P666">
        <v>-74.109700000000004</v>
      </c>
      <c r="Q666" t="s">
        <v>302</v>
      </c>
      <c r="R666">
        <v>7842046.7189999996</v>
      </c>
      <c r="S666">
        <v>0</v>
      </c>
      <c r="T666" t="s">
        <v>88</v>
      </c>
      <c r="U666" t="s">
        <v>89</v>
      </c>
      <c r="V666" t="s">
        <v>77</v>
      </c>
      <c r="W666" t="s">
        <v>88</v>
      </c>
      <c r="X666" t="s">
        <v>90</v>
      </c>
      <c r="Y666">
        <v>1.41034236313207</v>
      </c>
      <c r="Z666">
        <v>1410.34236313207</v>
      </c>
      <c r="AA666">
        <v>4.6317666666666701</v>
      </c>
      <c r="AB666">
        <v>-74.117483333333297</v>
      </c>
      <c r="AC666">
        <v>2590</v>
      </c>
      <c r="AD666">
        <v>10</v>
      </c>
      <c r="AE666" t="s">
        <v>80</v>
      </c>
      <c r="AF666" t="s">
        <v>91</v>
      </c>
      <c r="AG666" t="s">
        <v>82</v>
      </c>
      <c r="AH666" t="s">
        <v>83</v>
      </c>
      <c r="AI666" t="s">
        <v>288</v>
      </c>
      <c r="AJ666">
        <v>0.70573106363599802</v>
      </c>
      <c r="AK666">
        <v>5.1364967079326798</v>
      </c>
      <c r="AL666">
        <v>2.55170292907937</v>
      </c>
      <c r="AM666">
        <v>0.35621134260336301</v>
      </c>
      <c r="AN666">
        <v>0.89861101942435895</v>
      </c>
      <c r="AO666">
        <v>0.44431420857394799</v>
      </c>
      <c r="AP666">
        <v>0.44431420857394799</v>
      </c>
      <c r="AQ666">
        <v>0</v>
      </c>
      <c r="AR666">
        <v>3</v>
      </c>
      <c r="AS666">
        <v>0</v>
      </c>
      <c r="AT666">
        <v>0</v>
      </c>
      <c r="AU666">
        <v>0</v>
      </c>
      <c r="AV666">
        <v>14</v>
      </c>
      <c r="AW666">
        <v>1</v>
      </c>
      <c r="AX666">
        <v>0</v>
      </c>
      <c r="AY666">
        <v>16.600000000000001</v>
      </c>
      <c r="AZ666">
        <v>101.7</v>
      </c>
      <c r="BA666">
        <v>19.899999999999999</v>
      </c>
      <c r="BB666">
        <v>564</v>
      </c>
      <c r="BC666">
        <v>71</v>
      </c>
      <c r="BD666">
        <v>1.7</v>
      </c>
      <c r="BE666">
        <v>185</v>
      </c>
      <c r="BF666">
        <v>0.8</v>
      </c>
      <c r="BG666">
        <v>162</v>
      </c>
      <c r="BH666">
        <v>19.5</v>
      </c>
      <c r="BI666">
        <v>15.6</v>
      </c>
      <c r="BJ666">
        <v>35</v>
      </c>
      <c r="BK666">
        <v>0.68</v>
      </c>
      <c r="BL666">
        <v>5.4</v>
      </c>
      <c r="BM666">
        <v>0.9</v>
      </c>
      <c r="BN666">
        <v>4.5999999999999996</v>
      </c>
      <c r="BO666">
        <v>2.1</v>
      </c>
      <c r="BP666">
        <f t="shared" si="20"/>
        <v>94.842285186165228</v>
      </c>
      <c r="BQ666">
        <f t="shared" si="21"/>
        <v>19.237692680884678</v>
      </c>
    </row>
    <row r="667" spans="1:69" hidden="1" x14ac:dyDescent="0.2">
      <c r="A667" t="s">
        <v>1266</v>
      </c>
      <c r="B667" t="s">
        <v>68</v>
      </c>
      <c r="C667" t="s">
        <v>69</v>
      </c>
      <c r="D667" t="s">
        <v>70</v>
      </c>
      <c r="E667" t="s">
        <v>1267</v>
      </c>
      <c r="F667">
        <v>3</v>
      </c>
      <c r="G667">
        <v>53.83</v>
      </c>
      <c r="H667">
        <v>2</v>
      </c>
      <c r="I667">
        <v>1</v>
      </c>
      <c r="J667">
        <v>1</v>
      </c>
      <c r="K667" t="s">
        <v>110</v>
      </c>
      <c r="L667" t="s">
        <v>111</v>
      </c>
      <c r="M667" s="4">
        <v>352000000</v>
      </c>
      <c r="N667">
        <v>0</v>
      </c>
      <c r="O667">
        <v>4.6002860070000002</v>
      </c>
      <c r="P667">
        <v>-74.115989690000006</v>
      </c>
      <c r="Q667" t="s">
        <v>1268</v>
      </c>
      <c r="R667">
        <v>6539104.5889999997</v>
      </c>
      <c r="S667">
        <v>0</v>
      </c>
      <c r="T667" t="s">
        <v>504</v>
      </c>
      <c r="U667" t="s">
        <v>505</v>
      </c>
      <c r="V667" t="s">
        <v>77</v>
      </c>
      <c r="W667" t="s">
        <v>88</v>
      </c>
      <c r="X667" t="s">
        <v>506</v>
      </c>
      <c r="Y667">
        <v>0.921703730078411</v>
      </c>
      <c r="Z667">
        <v>921.70373007841101</v>
      </c>
      <c r="AA667">
        <v>4.6085000000000003</v>
      </c>
      <c r="AB667">
        <v>-74.114944444444404</v>
      </c>
      <c r="AC667">
        <v>2559</v>
      </c>
      <c r="AD667">
        <v>0</v>
      </c>
      <c r="AE667" t="s">
        <v>80</v>
      </c>
      <c r="AF667" t="s">
        <v>507</v>
      </c>
      <c r="AG667" t="s">
        <v>82</v>
      </c>
      <c r="AH667" t="s">
        <v>83</v>
      </c>
      <c r="AI667" t="s">
        <v>288</v>
      </c>
      <c r="AJ667">
        <v>0.64168519057722595</v>
      </c>
      <c r="AK667">
        <v>5.3880085143120802</v>
      </c>
      <c r="AL667">
        <v>2.30454282140927</v>
      </c>
      <c r="AM667">
        <v>0.26848072445350202</v>
      </c>
      <c r="AN667">
        <v>1.75372487263562</v>
      </c>
      <c r="AO667">
        <v>1.7076148037051601E-2</v>
      </c>
      <c r="AP667">
        <v>1.7076148037051601E-2</v>
      </c>
      <c r="AQ667">
        <v>0</v>
      </c>
      <c r="AR667">
        <v>2</v>
      </c>
      <c r="AS667">
        <v>0</v>
      </c>
      <c r="AT667">
        <v>0</v>
      </c>
      <c r="AU667">
        <v>0</v>
      </c>
      <c r="AV667">
        <v>15</v>
      </c>
      <c r="AW667">
        <v>0</v>
      </c>
      <c r="AX667">
        <v>0</v>
      </c>
      <c r="AY667">
        <v>16.600000000000001</v>
      </c>
      <c r="AZ667">
        <v>101.7</v>
      </c>
      <c r="BA667">
        <v>19.899999999999999</v>
      </c>
      <c r="BB667">
        <v>564</v>
      </c>
      <c r="BC667">
        <v>71</v>
      </c>
      <c r="BD667">
        <v>1.7</v>
      </c>
      <c r="BE667">
        <v>185</v>
      </c>
      <c r="BF667">
        <v>0.8</v>
      </c>
      <c r="BG667">
        <v>162</v>
      </c>
      <c r="BH667">
        <v>19.5</v>
      </c>
      <c r="BI667">
        <v>15.6</v>
      </c>
      <c r="BJ667">
        <v>35</v>
      </c>
      <c r="BK667">
        <v>0.68</v>
      </c>
      <c r="BL667">
        <v>5.4</v>
      </c>
      <c r="BM667">
        <v>0.9</v>
      </c>
      <c r="BN667">
        <v>4.5999999999999996</v>
      </c>
      <c r="BO667">
        <v>2.1</v>
      </c>
      <c r="BP667">
        <f t="shared" si="20"/>
        <v>97.164261947079154</v>
      </c>
      <c r="BQ667">
        <f t="shared" si="21"/>
        <v>19.464627465774676</v>
      </c>
    </row>
    <row r="668" spans="1:69" hidden="1" x14ac:dyDescent="0.2">
      <c r="A668" t="s">
        <v>480</v>
      </c>
      <c r="B668" t="s">
        <v>68</v>
      </c>
      <c r="C668" t="s">
        <v>69</v>
      </c>
      <c r="D668" t="s">
        <v>70</v>
      </c>
      <c r="E668" t="s">
        <v>301</v>
      </c>
      <c r="F668">
        <v>3</v>
      </c>
      <c r="G668">
        <v>51.86</v>
      </c>
      <c r="H668">
        <v>2</v>
      </c>
      <c r="I668">
        <v>1</v>
      </c>
      <c r="J668">
        <v>1</v>
      </c>
      <c r="K668" t="s">
        <v>72</v>
      </c>
      <c r="L668" t="s">
        <v>73</v>
      </c>
      <c r="M668" s="4">
        <v>414000000</v>
      </c>
      <c r="N668">
        <v>0</v>
      </c>
      <c r="O668">
        <v>4.6217503999999998</v>
      </c>
      <c r="P668">
        <v>-74.109700000000004</v>
      </c>
      <c r="Q668" t="s">
        <v>481</v>
      </c>
      <c r="R668">
        <v>7983031.2379999999</v>
      </c>
      <c r="S668">
        <v>0</v>
      </c>
      <c r="T668" t="s">
        <v>88</v>
      </c>
      <c r="U668" t="s">
        <v>89</v>
      </c>
      <c r="V668" t="s">
        <v>77</v>
      </c>
      <c r="W668" t="s">
        <v>88</v>
      </c>
      <c r="X668" t="s">
        <v>90</v>
      </c>
      <c r="Y668">
        <v>1.41034236313207</v>
      </c>
      <c r="Z668">
        <v>1410.34236313207</v>
      </c>
      <c r="AA668">
        <v>4.6317666666666701</v>
      </c>
      <c r="AB668">
        <v>-74.117483333333297</v>
      </c>
      <c r="AC668">
        <v>2590</v>
      </c>
      <c r="AD668">
        <v>10</v>
      </c>
      <c r="AE668" t="s">
        <v>80</v>
      </c>
      <c r="AF668" t="s">
        <v>91</v>
      </c>
      <c r="AG668" t="s">
        <v>82</v>
      </c>
      <c r="AH668" t="s">
        <v>83</v>
      </c>
      <c r="AI668" t="s">
        <v>288</v>
      </c>
      <c r="AJ668">
        <v>0.70573106363599802</v>
      </c>
      <c r="AK668">
        <v>5.1364967079326798</v>
      </c>
      <c r="AL668">
        <v>2.55170292907937</v>
      </c>
      <c r="AM668">
        <v>0.35621134260336301</v>
      </c>
      <c r="AN668">
        <v>0.89861101942435895</v>
      </c>
      <c r="AO668">
        <v>0.44431420857394799</v>
      </c>
      <c r="AP668">
        <v>0.44431420857394799</v>
      </c>
      <c r="AQ668">
        <v>0</v>
      </c>
      <c r="AR668">
        <v>3</v>
      </c>
      <c r="AS668">
        <v>0</v>
      </c>
      <c r="AT668">
        <v>0</v>
      </c>
      <c r="AU668">
        <v>0</v>
      </c>
      <c r="AV668">
        <v>14</v>
      </c>
      <c r="AW668">
        <v>1</v>
      </c>
      <c r="AX668">
        <v>0</v>
      </c>
      <c r="AY668">
        <v>16.600000000000001</v>
      </c>
      <c r="AZ668">
        <v>101.7</v>
      </c>
      <c r="BA668">
        <v>19.899999999999999</v>
      </c>
      <c r="BB668">
        <v>564</v>
      </c>
      <c r="BC668">
        <v>71</v>
      </c>
      <c r="BD668">
        <v>1.7</v>
      </c>
      <c r="BE668">
        <v>185</v>
      </c>
      <c r="BF668">
        <v>0.8</v>
      </c>
      <c r="BG668">
        <v>162</v>
      </c>
      <c r="BH668">
        <v>19.5</v>
      </c>
      <c r="BI668">
        <v>15.6</v>
      </c>
      <c r="BJ668">
        <v>35</v>
      </c>
      <c r="BK668">
        <v>0.68</v>
      </c>
      <c r="BL668">
        <v>5.4</v>
      </c>
      <c r="BM668">
        <v>0.9</v>
      </c>
      <c r="BN668">
        <v>4.5999999999999996</v>
      </c>
      <c r="BO668">
        <v>2.1</v>
      </c>
      <c r="BP668">
        <f t="shared" si="20"/>
        <v>94.842285186165228</v>
      </c>
      <c r="BQ668">
        <f t="shared" si="21"/>
        <v>19.237692680884678</v>
      </c>
    </row>
    <row r="669" spans="1:69" hidden="1" x14ac:dyDescent="0.2">
      <c r="A669" t="s">
        <v>295</v>
      </c>
      <c r="B669" t="s">
        <v>68</v>
      </c>
      <c r="C669" t="s">
        <v>69</v>
      </c>
      <c r="D669" t="s">
        <v>70</v>
      </c>
      <c r="E669" t="s">
        <v>296</v>
      </c>
      <c r="F669">
        <v>4</v>
      </c>
      <c r="G669">
        <v>51.27</v>
      </c>
      <c r="H669">
        <v>2</v>
      </c>
      <c r="I669">
        <v>2</v>
      </c>
      <c r="J669">
        <v>1</v>
      </c>
      <c r="K669" t="s">
        <v>72</v>
      </c>
      <c r="L669" t="s">
        <v>73</v>
      </c>
      <c r="M669" s="4">
        <v>474750502</v>
      </c>
      <c r="N669">
        <v>0</v>
      </c>
      <c r="O669">
        <v>4.6455397999999999</v>
      </c>
      <c r="P669">
        <v>-74.124979999999994</v>
      </c>
      <c r="Q669" t="s">
        <v>297</v>
      </c>
      <c r="R669">
        <v>9259810.8450000007</v>
      </c>
      <c r="S669">
        <v>0</v>
      </c>
      <c r="T669" t="s">
        <v>88</v>
      </c>
      <c r="U669" t="s">
        <v>89</v>
      </c>
      <c r="V669" t="s">
        <v>77</v>
      </c>
      <c r="W669" t="s">
        <v>88</v>
      </c>
      <c r="X669" t="s">
        <v>90</v>
      </c>
      <c r="Y669">
        <v>1.7443151642725301</v>
      </c>
      <c r="Z669">
        <v>1744.31516427253</v>
      </c>
      <c r="AA669">
        <v>4.6317666666666701</v>
      </c>
      <c r="AB669">
        <v>-74.117483333333297</v>
      </c>
      <c r="AC669">
        <v>2590</v>
      </c>
      <c r="AD669">
        <v>10</v>
      </c>
      <c r="AE669" t="s">
        <v>80</v>
      </c>
      <c r="AF669" t="s">
        <v>91</v>
      </c>
      <c r="AG669" t="s">
        <v>82</v>
      </c>
      <c r="AH669" t="s">
        <v>83</v>
      </c>
      <c r="AI669" t="s">
        <v>92</v>
      </c>
      <c r="AJ669">
        <v>1.84488475579095</v>
      </c>
      <c r="AK669">
        <v>3.9776146963822301</v>
      </c>
      <c r="AL669">
        <v>0.57825767745824197</v>
      </c>
      <c r="AM669">
        <v>0.20112158476043501</v>
      </c>
      <c r="AN669">
        <v>1.31220652562471</v>
      </c>
      <c r="AO669">
        <v>3.8607558916069502E-3</v>
      </c>
      <c r="AP669">
        <v>3.8607558916069502E-3</v>
      </c>
      <c r="AQ669">
        <v>0</v>
      </c>
      <c r="AR669">
        <v>0</v>
      </c>
      <c r="AS669">
        <v>0</v>
      </c>
      <c r="AT669">
        <v>0</v>
      </c>
      <c r="AU669">
        <v>1</v>
      </c>
      <c r="AV669">
        <v>14</v>
      </c>
      <c r="AW669">
        <v>0</v>
      </c>
      <c r="AX669">
        <v>0</v>
      </c>
      <c r="AY669">
        <v>16.600000000000001</v>
      </c>
      <c r="AZ669">
        <v>101.7</v>
      </c>
      <c r="BA669">
        <v>19.899999999999999</v>
      </c>
      <c r="BB669">
        <v>564</v>
      </c>
      <c r="BC669">
        <v>71</v>
      </c>
      <c r="BD669">
        <v>1.7</v>
      </c>
      <c r="BE669">
        <v>185</v>
      </c>
      <c r="BF669">
        <v>0.8</v>
      </c>
      <c r="BG669">
        <v>162</v>
      </c>
      <c r="BH669">
        <v>19.5</v>
      </c>
      <c r="BI669">
        <v>15.6</v>
      </c>
      <c r="BJ669">
        <v>35</v>
      </c>
      <c r="BK669">
        <v>0.68</v>
      </c>
      <c r="BL669">
        <v>5.4</v>
      </c>
      <c r="BM669">
        <v>0.9</v>
      </c>
      <c r="BN669">
        <v>4.5999999999999996</v>
      </c>
      <c r="BO669">
        <v>2.1</v>
      </c>
      <c r="BP669">
        <f t="shared" si="20"/>
        <v>93.287274241306449</v>
      </c>
      <c r="BQ669">
        <f t="shared" si="21"/>
        <v>19.084112216808048</v>
      </c>
    </row>
    <row r="670" spans="1:69" hidden="1" x14ac:dyDescent="0.2">
      <c r="A670" t="s">
        <v>940</v>
      </c>
      <c r="B670" t="s">
        <v>68</v>
      </c>
      <c r="C670" t="s">
        <v>69</v>
      </c>
      <c r="D670" t="s">
        <v>70</v>
      </c>
      <c r="E670" t="s">
        <v>301</v>
      </c>
      <c r="F670">
        <v>3</v>
      </c>
      <c r="G670">
        <v>47.24</v>
      </c>
      <c r="H670">
        <v>1</v>
      </c>
      <c r="I670">
        <v>1</v>
      </c>
      <c r="J670">
        <v>1</v>
      </c>
      <c r="K670" t="s">
        <v>72</v>
      </c>
      <c r="L670" t="s">
        <v>73</v>
      </c>
      <c r="M670" s="4">
        <v>371000000</v>
      </c>
      <c r="N670">
        <v>0</v>
      </c>
      <c r="O670">
        <v>4.6217503999999998</v>
      </c>
      <c r="P670">
        <v>-74.109700000000004</v>
      </c>
      <c r="Q670" t="s">
        <v>941</v>
      </c>
      <c r="R670">
        <v>7853513.9709999999</v>
      </c>
      <c r="S670">
        <v>0</v>
      </c>
      <c r="T670" t="s">
        <v>88</v>
      </c>
      <c r="U670" t="s">
        <v>89</v>
      </c>
      <c r="V670" t="s">
        <v>77</v>
      </c>
      <c r="W670" t="s">
        <v>88</v>
      </c>
      <c r="X670" t="s">
        <v>90</v>
      </c>
      <c r="Y670">
        <v>1.41034236313207</v>
      </c>
      <c r="Z670">
        <v>1410.34236313207</v>
      </c>
      <c r="AA670">
        <v>4.6317666666666701</v>
      </c>
      <c r="AB670">
        <v>-74.117483333333297</v>
      </c>
      <c r="AC670">
        <v>2590</v>
      </c>
      <c r="AD670">
        <v>10</v>
      </c>
      <c r="AE670" t="s">
        <v>80</v>
      </c>
      <c r="AF670" t="s">
        <v>91</v>
      </c>
      <c r="AG670" t="s">
        <v>82</v>
      </c>
      <c r="AH670" t="s">
        <v>83</v>
      </c>
      <c r="AI670" t="s">
        <v>288</v>
      </c>
      <c r="AJ670">
        <v>0.70573106363599802</v>
      </c>
      <c r="AK670">
        <v>5.1364967079326798</v>
      </c>
      <c r="AL670">
        <v>2.55170292907937</v>
      </c>
      <c r="AM670">
        <v>0.35621134260336301</v>
      </c>
      <c r="AN670">
        <v>0.89861101942435895</v>
      </c>
      <c r="AO670">
        <v>0.44431420857394799</v>
      </c>
      <c r="AP670">
        <v>0.44431420857394799</v>
      </c>
      <c r="AQ670">
        <v>0</v>
      </c>
      <c r="AR670">
        <v>3</v>
      </c>
      <c r="AS670">
        <v>0</v>
      </c>
      <c r="AT670">
        <v>0</v>
      </c>
      <c r="AU670">
        <v>0</v>
      </c>
      <c r="AV670">
        <v>14</v>
      </c>
      <c r="AW670">
        <v>1</v>
      </c>
      <c r="AX670">
        <v>0</v>
      </c>
      <c r="AY670">
        <v>16.600000000000001</v>
      </c>
      <c r="AZ670">
        <v>101.7</v>
      </c>
      <c r="BA670">
        <v>19.899999999999999</v>
      </c>
      <c r="BB670">
        <v>564</v>
      </c>
      <c r="BC670">
        <v>71</v>
      </c>
      <c r="BD670">
        <v>1.7</v>
      </c>
      <c r="BE670">
        <v>185</v>
      </c>
      <c r="BF670">
        <v>0.8</v>
      </c>
      <c r="BG670">
        <v>162</v>
      </c>
      <c r="BH670">
        <v>19.5</v>
      </c>
      <c r="BI670">
        <v>15.6</v>
      </c>
      <c r="BJ670">
        <v>35</v>
      </c>
      <c r="BK670">
        <v>0.68</v>
      </c>
      <c r="BL670">
        <v>5.4</v>
      </c>
      <c r="BM670">
        <v>0.9</v>
      </c>
      <c r="BN670">
        <v>4.5999999999999996</v>
      </c>
      <c r="BO670">
        <v>2.1</v>
      </c>
      <c r="BP670">
        <f t="shared" si="20"/>
        <v>94.842285186165228</v>
      </c>
      <c r="BQ670">
        <f t="shared" si="21"/>
        <v>19.237692680884678</v>
      </c>
    </row>
    <row r="671" spans="1:69" hidden="1" x14ac:dyDescent="0.2">
      <c r="A671" t="s">
        <v>644</v>
      </c>
      <c r="B671" t="s">
        <v>68</v>
      </c>
      <c r="C671" t="s">
        <v>69</v>
      </c>
      <c r="D671" t="s">
        <v>70</v>
      </c>
      <c r="E671" t="s">
        <v>301</v>
      </c>
      <c r="F671">
        <v>3</v>
      </c>
      <c r="G671">
        <v>47.24</v>
      </c>
      <c r="H671">
        <v>1</v>
      </c>
      <c r="I671">
        <v>1</v>
      </c>
      <c r="J671">
        <v>1</v>
      </c>
      <c r="K671" t="s">
        <v>72</v>
      </c>
      <c r="L671" t="s">
        <v>73</v>
      </c>
      <c r="M671" s="4">
        <v>366000000</v>
      </c>
      <c r="N671">
        <v>0</v>
      </c>
      <c r="O671">
        <v>4.6217503999999998</v>
      </c>
      <c r="P671">
        <v>-74.109700000000004</v>
      </c>
      <c r="Q671" t="s">
        <v>645</v>
      </c>
      <c r="R671">
        <v>7747671.4649999999</v>
      </c>
      <c r="S671">
        <v>0</v>
      </c>
      <c r="T671" t="s">
        <v>88</v>
      </c>
      <c r="U671" t="s">
        <v>89</v>
      </c>
      <c r="V671" t="s">
        <v>77</v>
      </c>
      <c r="W671" t="s">
        <v>88</v>
      </c>
      <c r="X671" t="s">
        <v>90</v>
      </c>
      <c r="Y671">
        <v>1.41034236313207</v>
      </c>
      <c r="Z671">
        <v>1410.34236313207</v>
      </c>
      <c r="AA671">
        <v>4.6317666666666701</v>
      </c>
      <c r="AB671">
        <v>-74.117483333333297</v>
      </c>
      <c r="AC671">
        <v>2590</v>
      </c>
      <c r="AD671">
        <v>10</v>
      </c>
      <c r="AE671" t="s">
        <v>80</v>
      </c>
      <c r="AF671" t="s">
        <v>91</v>
      </c>
      <c r="AG671" t="s">
        <v>82</v>
      </c>
      <c r="AH671" t="s">
        <v>83</v>
      </c>
      <c r="AI671" t="s">
        <v>288</v>
      </c>
      <c r="AJ671">
        <v>0.70573106363599802</v>
      </c>
      <c r="AK671">
        <v>5.1364967079326798</v>
      </c>
      <c r="AL671">
        <v>2.55170292907937</v>
      </c>
      <c r="AM671">
        <v>0.35621134260336301</v>
      </c>
      <c r="AN671">
        <v>0.89861101942435895</v>
      </c>
      <c r="AO671">
        <v>0.44431420857394799</v>
      </c>
      <c r="AP671">
        <v>0.44431420857394799</v>
      </c>
      <c r="AQ671">
        <v>0</v>
      </c>
      <c r="AR671">
        <v>3</v>
      </c>
      <c r="AS671">
        <v>0</v>
      </c>
      <c r="AT671">
        <v>0</v>
      </c>
      <c r="AU671">
        <v>0</v>
      </c>
      <c r="AV671">
        <v>14</v>
      </c>
      <c r="AW671">
        <v>1</v>
      </c>
      <c r="AX671">
        <v>0</v>
      </c>
      <c r="AY671">
        <v>16.600000000000001</v>
      </c>
      <c r="AZ671">
        <v>101.7</v>
      </c>
      <c r="BA671">
        <v>19.899999999999999</v>
      </c>
      <c r="BB671">
        <v>564</v>
      </c>
      <c r="BC671">
        <v>71</v>
      </c>
      <c r="BD671">
        <v>1.7</v>
      </c>
      <c r="BE671">
        <v>185</v>
      </c>
      <c r="BF671">
        <v>0.8</v>
      </c>
      <c r="BG671">
        <v>162</v>
      </c>
      <c r="BH671">
        <v>19.5</v>
      </c>
      <c r="BI671">
        <v>15.6</v>
      </c>
      <c r="BJ671">
        <v>35</v>
      </c>
      <c r="BK671">
        <v>0.68</v>
      </c>
      <c r="BL671">
        <v>5.4</v>
      </c>
      <c r="BM671">
        <v>0.9</v>
      </c>
      <c r="BN671">
        <v>4.5999999999999996</v>
      </c>
      <c r="BO671">
        <v>2.1</v>
      </c>
      <c r="BP671">
        <f t="shared" si="20"/>
        <v>94.842285186165228</v>
      </c>
      <c r="BQ671">
        <f t="shared" si="21"/>
        <v>19.237692680884678</v>
      </c>
    </row>
    <row r="672" spans="1:69" hidden="1" x14ac:dyDescent="0.2">
      <c r="A672" t="s">
        <v>4667</v>
      </c>
      <c r="B672" t="s">
        <v>68</v>
      </c>
      <c r="C672" t="s">
        <v>3294</v>
      </c>
      <c r="D672" t="s">
        <v>70</v>
      </c>
      <c r="E672" t="s">
        <v>168</v>
      </c>
      <c r="F672">
        <v>4</v>
      </c>
      <c r="G672">
        <v>45</v>
      </c>
      <c r="H672">
        <v>2</v>
      </c>
      <c r="I672">
        <v>1</v>
      </c>
      <c r="J672">
        <v>1</v>
      </c>
      <c r="K672" t="s">
        <v>110</v>
      </c>
      <c r="L672" t="s">
        <v>133</v>
      </c>
      <c r="M672" s="4">
        <v>420000000</v>
      </c>
      <c r="N672">
        <v>0</v>
      </c>
      <c r="O672">
        <v>4.6326980000000004</v>
      </c>
      <c r="P672">
        <v>-74.095579999999998</v>
      </c>
      <c r="Q672" t="s">
        <v>4668</v>
      </c>
      <c r="R672">
        <v>9333333.3330000006</v>
      </c>
      <c r="S672">
        <v>0</v>
      </c>
      <c r="T672" t="s">
        <v>88</v>
      </c>
      <c r="U672" t="s">
        <v>89</v>
      </c>
      <c r="V672" t="s">
        <v>77</v>
      </c>
      <c r="W672" t="s">
        <v>88</v>
      </c>
      <c r="X672" t="s">
        <v>90</v>
      </c>
      <c r="Y672">
        <v>2.4325139334704402</v>
      </c>
      <c r="Z672">
        <v>2432.51393347044</v>
      </c>
      <c r="AA672">
        <v>4.6317666666666701</v>
      </c>
      <c r="AB672">
        <v>-74.117483333333297</v>
      </c>
      <c r="AC672">
        <v>2590</v>
      </c>
      <c r="AD672">
        <v>10</v>
      </c>
      <c r="AE672" t="s">
        <v>80</v>
      </c>
      <c r="AF672" t="s">
        <v>91</v>
      </c>
      <c r="AG672" t="s">
        <v>82</v>
      </c>
      <c r="AH672" t="s">
        <v>83</v>
      </c>
      <c r="AI672" t="s">
        <v>84</v>
      </c>
      <c r="AJ672">
        <v>0.59641686886103595</v>
      </c>
      <c r="AK672">
        <v>3.8624241826482599</v>
      </c>
      <c r="AL672">
        <v>0.98007540635996404</v>
      </c>
      <c r="AM672">
        <v>9.6040692947989004E-2</v>
      </c>
      <c r="AN672">
        <v>1.85329593191723</v>
      </c>
      <c r="AO672">
        <v>0.48669433850770799</v>
      </c>
      <c r="AP672">
        <v>0.48669433850770799</v>
      </c>
      <c r="AQ672">
        <v>0</v>
      </c>
      <c r="AR672">
        <v>2</v>
      </c>
      <c r="AS672">
        <v>0</v>
      </c>
      <c r="AT672">
        <v>0</v>
      </c>
      <c r="AU672">
        <v>1</v>
      </c>
      <c r="AV672">
        <v>17</v>
      </c>
      <c r="AW672">
        <v>0</v>
      </c>
      <c r="AX672">
        <v>0</v>
      </c>
      <c r="AY672">
        <v>16.600000000000001</v>
      </c>
      <c r="AZ672">
        <v>101.7</v>
      </c>
      <c r="BA672">
        <v>19.899999999999999</v>
      </c>
      <c r="BB672">
        <v>564</v>
      </c>
      <c r="BC672">
        <v>71</v>
      </c>
      <c r="BD672">
        <v>1.7</v>
      </c>
      <c r="BE672">
        <v>185</v>
      </c>
      <c r="BF672">
        <v>0.8</v>
      </c>
      <c r="BG672">
        <v>162</v>
      </c>
      <c r="BH672">
        <v>19.5</v>
      </c>
      <c r="BI672">
        <v>15.6</v>
      </c>
      <c r="BJ672">
        <v>35</v>
      </c>
      <c r="BK672">
        <v>0.68</v>
      </c>
      <c r="BL672">
        <v>5.4</v>
      </c>
      <c r="BM672">
        <v>0.9</v>
      </c>
      <c r="BN672">
        <v>4.5999999999999996</v>
      </c>
      <c r="BO672">
        <v>2.1</v>
      </c>
      <c r="BP672">
        <f t="shared" si="20"/>
        <v>90.162884590581186</v>
      </c>
      <c r="BQ672">
        <f t="shared" si="21"/>
        <v>18.771493151485295</v>
      </c>
    </row>
    <row r="673" spans="1:69" hidden="1" x14ac:dyDescent="0.2">
      <c r="A673" t="s">
        <v>473</v>
      </c>
      <c r="B673" t="s">
        <v>68</v>
      </c>
      <c r="C673" t="s">
        <v>69</v>
      </c>
      <c r="D673" t="s">
        <v>70</v>
      </c>
      <c r="E673" t="s">
        <v>296</v>
      </c>
      <c r="F673">
        <v>4</v>
      </c>
      <c r="G673">
        <v>44.35</v>
      </c>
      <c r="H673">
        <v>2</v>
      </c>
      <c r="I673">
        <v>2</v>
      </c>
      <c r="J673">
        <v>1</v>
      </c>
      <c r="K673" t="s">
        <v>72</v>
      </c>
      <c r="L673" t="s">
        <v>73</v>
      </c>
      <c r="M673" s="4">
        <v>424065140</v>
      </c>
      <c r="N673">
        <v>0</v>
      </c>
      <c r="O673">
        <v>4.6455397999999999</v>
      </c>
      <c r="P673">
        <v>-74.124979999999994</v>
      </c>
      <c r="Q673" t="s">
        <v>474</v>
      </c>
      <c r="R673">
        <v>9561784.4419999998</v>
      </c>
      <c r="S673">
        <v>0</v>
      </c>
      <c r="T673" t="s">
        <v>88</v>
      </c>
      <c r="U673" t="s">
        <v>89</v>
      </c>
      <c r="V673" t="s">
        <v>77</v>
      </c>
      <c r="W673" t="s">
        <v>88</v>
      </c>
      <c r="X673" t="s">
        <v>90</v>
      </c>
      <c r="Y673">
        <v>1.7443151642725301</v>
      </c>
      <c r="Z673">
        <v>1744.31516427253</v>
      </c>
      <c r="AA673">
        <v>4.6317666666666701</v>
      </c>
      <c r="AB673">
        <v>-74.117483333333297</v>
      </c>
      <c r="AC673">
        <v>2590</v>
      </c>
      <c r="AD673">
        <v>10</v>
      </c>
      <c r="AE673" t="s">
        <v>80</v>
      </c>
      <c r="AF673" t="s">
        <v>91</v>
      </c>
      <c r="AG673" t="s">
        <v>82</v>
      </c>
      <c r="AH673" t="s">
        <v>83</v>
      </c>
      <c r="AI673" t="s">
        <v>92</v>
      </c>
      <c r="AJ673">
        <v>1.84488475579095</v>
      </c>
      <c r="AK673">
        <v>3.9776146963822301</v>
      </c>
      <c r="AL673">
        <v>0.57825767745824197</v>
      </c>
      <c r="AM673">
        <v>0.20112158476043501</v>
      </c>
      <c r="AN673">
        <v>1.31220652562471</v>
      </c>
      <c r="AO673">
        <v>3.8607558916069502E-3</v>
      </c>
      <c r="AP673">
        <v>3.8607558916069502E-3</v>
      </c>
      <c r="AQ673">
        <v>0</v>
      </c>
      <c r="AR673">
        <v>0</v>
      </c>
      <c r="AS673">
        <v>0</v>
      </c>
      <c r="AT673">
        <v>0</v>
      </c>
      <c r="AU673">
        <v>1</v>
      </c>
      <c r="AV673">
        <v>14</v>
      </c>
      <c r="AW673">
        <v>0</v>
      </c>
      <c r="AX673">
        <v>0</v>
      </c>
      <c r="AY673">
        <v>16.600000000000001</v>
      </c>
      <c r="AZ673">
        <v>101.7</v>
      </c>
      <c r="BA673">
        <v>19.899999999999999</v>
      </c>
      <c r="BB673">
        <v>564</v>
      </c>
      <c r="BC673">
        <v>71</v>
      </c>
      <c r="BD673">
        <v>1.7</v>
      </c>
      <c r="BE673">
        <v>185</v>
      </c>
      <c r="BF673">
        <v>0.8</v>
      </c>
      <c r="BG673">
        <v>162</v>
      </c>
      <c r="BH673">
        <v>19.5</v>
      </c>
      <c r="BI673">
        <v>15.6</v>
      </c>
      <c r="BJ673">
        <v>35</v>
      </c>
      <c r="BK673">
        <v>0.68</v>
      </c>
      <c r="BL673">
        <v>5.4</v>
      </c>
      <c r="BM673">
        <v>0.9</v>
      </c>
      <c r="BN673">
        <v>4.5999999999999996</v>
      </c>
      <c r="BO673">
        <v>2.1</v>
      </c>
      <c r="BP673">
        <f t="shared" si="20"/>
        <v>93.287274241306449</v>
      </c>
      <c r="BQ673">
        <f t="shared" si="21"/>
        <v>19.084112216808048</v>
      </c>
    </row>
    <row r="674" spans="1:69" hidden="1" x14ac:dyDescent="0.2">
      <c r="A674" t="s">
        <v>1198</v>
      </c>
      <c r="B674" t="s">
        <v>68</v>
      </c>
      <c r="C674" t="s">
        <v>69</v>
      </c>
      <c r="D674" t="s">
        <v>70</v>
      </c>
      <c r="E674" t="s">
        <v>1109</v>
      </c>
      <c r="F674">
        <v>3</v>
      </c>
      <c r="G674">
        <v>43.8</v>
      </c>
      <c r="H674">
        <v>2</v>
      </c>
      <c r="I674">
        <v>1</v>
      </c>
      <c r="J674">
        <v>0</v>
      </c>
      <c r="K674" t="s">
        <v>110</v>
      </c>
      <c r="L674" t="s">
        <v>111</v>
      </c>
      <c r="M674" s="4">
        <v>255000000</v>
      </c>
      <c r="N674">
        <v>0</v>
      </c>
      <c r="O674">
        <v>4.6305880000000004</v>
      </c>
      <c r="P674">
        <v>-74.119608439999993</v>
      </c>
      <c r="Q674" t="s">
        <v>1199</v>
      </c>
      <c r="R674">
        <v>5821917.8080000002</v>
      </c>
      <c r="S674">
        <v>0</v>
      </c>
      <c r="T674" t="s">
        <v>88</v>
      </c>
      <c r="U674" t="s">
        <v>89</v>
      </c>
      <c r="V674" t="s">
        <v>77</v>
      </c>
      <c r="W674" t="s">
        <v>88</v>
      </c>
      <c r="X674" t="s">
        <v>90</v>
      </c>
      <c r="Y674">
        <v>0.26984111900369601</v>
      </c>
      <c r="Z674">
        <v>269.84111900369601</v>
      </c>
      <c r="AA674">
        <v>4.6317666666666701</v>
      </c>
      <c r="AB674">
        <v>-74.117483333333297</v>
      </c>
      <c r="AC674">
        <v>2590</v>
      </c>
      <c r="AD674">
        <v>10</v>
      </c>
      <c r="AE674" t="s">
        <v>80</v>
      </c>
      <c r="AF674" t="s">
        <v>91</v>
      </c>
      <c r="AG674" t="s">
        <v>82</v>
      </c>
      <c r="AH674" t="s">
        <v>83</v>
      </c>
      <c r="AI674" t="s">
        <v>288</v>
      </c>
      <c r="AJ674">
        <v>0.25215761656691099</v>
      </c>
      <c r="AK674">
        <v>5.3363056658121897</v>
      </c>
      <c r="AL674">
        <v>1.1875996198465899</v>
      </c>
      <c r="AM674">
        <v>1.6477288322511399E-2</v>
      </c>
      <c r="AN674">
        <v>2.3387778660861001</v>
      </c>
      <c r="AO674">
        <v>0.127659249970766</v>
      </c>
      <c r="AP674">
        <v>0.127659249970766</v>
      </c>
      <c r="AQ674">
        <v>1</v>
      </c>
      <c r="AR674">
        <v>2</v>
      </c>
      <c r="AS674">
        <v>0</v>
      </c>
      <c r="AT674">
        <v>0</v>
      </c>
      <c r="AU674">
        <v>0</v>
      </c>
      <c r="AV674">
        <v>47</v>
      </c>
      <c r="AW674">
        <v>0</v>
      </c>
      <c r="AX674">
        <v>0</v>
      </c>
      <c r="AY674">
        <v>16.600000000000001</v>
      </c>
      <c r="AZ674">
        <v>101.7</v>
      </c>
      <c r="BA674">
        <v>19.899999999999999</v>
      </c>
      <c r="BB674">
        <v>564</v>
      </c>
      <c r="BC674">
        <v>71</v>
      </c>
      <c r="BD674">
        <v>1.7</v>
      </c>
      <c r="BE674">
        <v>185</v>
      </c>
      <c r="BF674">
        <v>0.8</v>
      </c>
      <c r="BG674">
        <v>162</v>
      </c>
      <c r="BH674">
        <v>19.5</v>
      </c>
      <c r="BI674">
        <v>15.6</v>
      </c>
      <c r="BJ674">
        <v>35</v>
      </c>
      <c r="BK674">
        <v>0.68</v>
      </c>
      <c r="BL674">
        <v>5.4</v>
      </c>
      <c r="BM674">
        <v>0.9</v>
      </c>
      <c r="BN674">
        <v>4.5999999999999996</v>
      </c>
      <c r="BO674">
        <v>2.1</v>
      </c>
      <c r="BP674">
        <f t="shared" si="20"/>
        <v>100.35061137635832</v>
      </c>
      <c r="BQ674">
        <f t="shared" si="21"/>
        <v>19.771540295067165</v>
      </c>
    </row>
    <row r="675" spans="1:69" hidden="1" x14ac:dyDescent="0.2">
      <c r="A675" t="s">
        <v>1690</v>
      </c>
      <c r="B675" t="s">
        <v>68</v>
      </c>
      <c r="C675" t="s">
        <v>69</v>
      </c>
      <c r="D675" t="s">
        <v>70</v>
      </c>
      <c r="E675" t="s">
        <v>1055</v>
      </c>
      <c r="F675">
        <v>3</v>
      </c>
      <c r="G675">
        <v>43.42</v>
      </c>
      <c r="H675">
        <v>2</v>
      </c>
      <c r="I675">
        <v>1</v>
      </c>
      <c r="J675">
        <v>0</v>
      </c>
      <c r="K675" t="s">
        <v>110</v>
      </c>
      <c r="L675" t="s">
        <v>111</v>
      </c>
      <c r="M675" s="4">
        <v>310000000</v>
      </c>
      <c r="N675">
        <v>0</v>
      </c>
      <c r="O675">
        <v>4.5942419680000004</v>
      </c>
      <c r="P675">
        <v>-74.110658169999994</v>
      </c>
      <c r="Q675" t="s">
        <v>1691</v>
      </c>
      <c r="R675">
        <v>7139567.0199999996</v>
      </c>
      <c r="S675">
        <v>0</v>
      </c>
      <c r="T675" t="s">
        <v>504</v>
      </c>
      <c r="U675" t="s">
        <v>505</v>
      </c>
      <c r="V675" t="s">
        <v>77</v>
      </c>
      <c r="W675" t="s">
        <v>88</v>
      </c>
      <c r="X675" t="s">
        <v>506</v>
      </c>
      <c r="Y675">
        <v>1.6569239190673299</v>
      </c>
      <c r="Z675">
        <v>1656.92391906733</v>
      </c>
      <c r="AA675">
        <v>4.6085000000000003</v>
      </c>
      <c r="AB675">
        <v>-74.114944444444404</v>
      </c>
      <c r="AC675">
        <v>2559</v>
      </c>
      <c r="AD675">
        <v>0</v>
      </c>
      <c r="AE675" t="s">
        <v>80</v>
      </c>
      <c r="AF675" t="s">
        <v>507</v>
      </c>
      <c r="AG675" t="s">
        <v>82</v>
      </c>
      <c r="AH675" t="s">
        <v>83</v>
      </c>
      <c r="AI675" t="s">
        <v>987</v>
      </c>
      <c r="AJ675">
        <v>0.34575121529525199</v>
      </c>
      <c r="AK675">
        <v>4.5439762649475997</v>
      </c>
      <c r="AL675">
        <v>1.8174060788754001</v>
      </c>
      <c r="AM675">
        <v>9.0234538885487103E-2</v>
      </c>
      <c r="AN675">
        <v>0.979079817634389</v>
      </c>
      <c r="AO675">
        <v>0.20957301889443899</v>
      </c>
      <c r="AP675">
        <v>0.20957301889443899</v>
      </c>
      <c r="AQ675">
        <v>1</v>
      </c>
      <c r="AR675">
        <v>2</v>
      </c>
      <c r="AS675">
        <v>0</v>
      </c>
      <c r="AT675">
        <v>0</v>
      </c>
      <c r="AU675">
        <v>0</v>
      </c>
      <c r="AV675">
        <v>17</v>
      </c>
      <c r="AW675">
        <v>1</v>
      </c>
      <c r="AX675">
        <v>0</v>
      </c>
      <c r="AY675">
        <v>16.600000000000001</v>
      </c>
      <c r="AZ675">
        <v>101.7</v>
      </c>
      <c r="BA675">
        <v>19.899999999999999</v>
      </c>
      <c r="BB675">
        <v>564</v>
      </c>
      <c r="BC675">
        <v>71</v>
      </c>
      <c r="BD675">
        <v>1.7</v>
      </c>
      <c r="BE675">
        <v>185</v>
      </c>
      <c r="BF675">
        <v>0.8</v>
      </c>
      <c r="BG675">
        <v>162</v>
      </c>
      <c r="BH675">
        <v>19.5</v>
      </c>
      <c r="BI675">
        <v>15.6</v>
      </c>
      <c r="BJ675">
        <v>35</v>
      </c>
      <c r="BK675">
        <v>0.68</v>
      </c>
      <c r="BL675">
        <v>5.4</v>
      </c>
      <c r="BM675">
        <v>0.9</v>
      </c>
      <c r="BN675">
        <v>4.5999999999999996</v>
      </c>
      <c r="BO675">
        <v>2.1</v>
      </c>
      <c r="BP675">
        <f t="shared" si="20"/>
        <v>93.691696656715109</v>
      </c>
      <c r="BQ675">
        <f t="shared" si="21"/>
        <v>19.124181046024187</v>
      </c>
    </row>
    <row r="676" spans="1:69" hidden="1" x14ac:dyDescent="0.2">
      <c r="A676" t="s">
        <v>713</v>
      </c>
      <c r="B676" t="s">
        <v>68</v>
      </c>
      <c r="C676" t="s">
        <v>69</v>
      </c>
      <c r="D676" t="s">
        <v>70</v>
      </c>
      <c r="E676" t="s">
        <v>296</v>
      </c>
      <c r="F676">
        <v>3</v>
      </c>
      <c r="G676">
        <v>43</v>
      </c>
      <c r="H676">
        <v>2</v>
      </c>
      <c r="I676">
        <v>1</v>
      </c>
      <c r="J676">
        <v>0</v>
      </c>
      <c r="K676" t="s">
        <v>110</v>
      </c>
      <c r="L676" t="s">
        <v>111</v>
      </c>
      <c r="M676" s="4">
        <v>335000000</v>
      </c>
      <c r="N676">
        <v>0</v>
      </c>
      <c r="O676">
        <v>4.6487340929999998</v>
      </c>
      <c r="P676">
        <v>-74.116920469999997</v>
      </c>
      <c r="Q676" t="s">
        <v>714</v>
      </c>
      <c r="R676">
        <v>7790697.6739999996</v>
      </c>
      <c r="S676">
        <v>0</v>
      </c>
      <c r="T676" t="s">
        <v>88</v>
      </c>
      <c r="U676" t="s">
        <v>89</v>
      </c>
      <c r="V676" t="s">
        <v>77</v>
      </c>
      <c r="W676" t="s">
        <v>88</v>
      </c>
      <c r="X676" t="s">
        <v>90</v>
      </c>
      <c r="Y676">
        <v>1.88983745235687</v>
      </c>
      <c r="Z676">
        <v>1889.83745235687</v>
      </c>
      <c r="AA676">
        <v>4.6317666666666701</v>
      </c>
      <c r="AB676">
        <v>-74.117483333333297</v>
      </c>
      <c r="AC676">
        <v>2590</v>
      </c>
      <c r="AD676">
        <v>10</v>
      </c>
      <c r="AE676" t="s">
        <v>80</v>
      </c>
      <c r="AF676" t="s">
        <v>91</v>
      </c>
      <c r="AG676" t="s">
        <v>82</v>
      </c>
      <c r="AH676" t="s">
        <v>83</v>
      </c>
      <c r="AI676" t="s">
        <v>92</v>
      </c>
      <c r="AJ676">
        <v>1.5526984292050701</v>
      </c>
      <c r="AK676">
        <v>4.7068324225197404</v>
      </c>
      <c r="AL676">
        <v>1.06165248879336</v>
      </c>
      <c r="AM676">
        <v>0.52870516141198398</v>
      </c>
      <c r="AN676">
        <v>0.37390603246318399</v>
      </c>
      <c r="AO676">
        <v>0.26314763129002</v>
      </c>
      <c r="AP676">
        <v>0.26314763129002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21</v>
      </c>
      <c r="AW676">
        <v>1</v>
      </c>
      <c r="AX676">
        <v>0</v>
      </c>
      <c r="AY676">
        <v>16.600000000000001</v>
      </c>
      <c r="AZ676">
        <v>101.7</v>
      </c>
      <c r="BA676">
        <v>19.899999999999999</v>
      </c>
      <c r="BB676">
        <v>564</v>
      </c>
      <c r="BC676">
        <v>71</v>
      </c>
      <c r="BD676">
        <v>1.7</v>
      </c>
      <c r="BE676">
        <v>185</v>
      </c>
      <c r="BF676">
        <v>0.8</v>
      </c>
      <c r="BG676">
        <v>162</v>
      </c>
      <c r="BH676">
        <v>19.5</v>
      </c>
      <c r="BI676">
        <v>15.6</v>
      </c>
      <c r="BJ676">
        <v>35</v>
      </c>
      <c r="BK676">
        <v>0.68</v>
      </c>
      <c r="BL676">
        <v>5.4</v>
      </c>
      <c r="BM676">
        <v>0.9</v>
      </c>
      <c r="BN676">
        <v>4.5999999999999996</v>
      </c>
      <c r="BO676">
        <v>2.1</v>
      </c>
      <c r="BP676">
        <f t="shared" si="20"/>
        <v>92.617707508342605</v>
      </c>
      <c r="BQ676">
        <f t="shared" si="21"/>
        <v>19.017576545297963</v>
      </c>
    </row>
    <row r="677" spans="1:69" hidden="1" x14ac:dyDescent="0.2">
      <c r="A677" t="s">
        <v>1980</v>
      </c>
      <c r="B677" t="s">
        <v>68</v>
      </c>
      <c r="C677" t="s">
        <v>1956</v>
      </c>
      <c r="D677" t="s">
        <v>70</v>
      </c>
      <c r="E677" t="s">
        <v>1981</v>
      </c>
      <c r="F677">
        <v>3</v>
      </c>
      <c r="G677">
        <v>42.49</v>
      </c>
      <c r="H677">
        <v>4</v>
      </c>
      <c r="I677">
        <v>2</v>
      </c>
      <c r="J677">
        <v>0</v>
      </c>
      <c r="K677" t="s">
        <v>110</v>
      </c>
      <c r="L677" t="s">
        <v>124</v>
      </c>
      <c r="M677" s="4">
        <v>350000000</v>
      </c>
      <c r="N677">
        <v>0</v>
      </c>
      <c r="O677">
        <v>4.6403699999999999</v>
      </c>
      <c r="P677">
        <v>-74.12764</v>
      </c>
      <c r="Q677" t="s">
        <v>1982</v>
      </c>
      <c r="R677">
        <v>8237232.29</v>
      </c>
      <c r="S677">
        <v>0</v>
      </c>
      <c r="T677" t="s">
        <v>88</v>
      </c>
      <c r="U677" t="s">
        <v>89</v>
      </c>
      <c r="V677" t="s">
        <v>77</v>
      </c>
      <c r="W677" t="s">
        <v>88</v>
      </c>
      <c r="X677" t="s">
        <v>90</v>
      </c>
      <c r="Y677">
        <v>1.47892165113067</v>
      </c>
      <c r="Z677">
        <v>1478.9216511306699</v>
      </c>
      <c r="AA677">
        <v>4.6317666666666701</v>
      </c>
      <c r="AB677">
        <v>-74.117483333333297</v>
      </c>
      <c r="AC677">
        <v>2590</v>
      </c>
      <c r="AD677">
        <v>10</v>
      </c>
      <c r="AE677" t="s">
        <v>80</v>
      </c>
      <c r="AF677" t="s">
        <v>91</v>
      </c>
      <c r="AG677" t="s">
        <v>82</v>
      </c>
      <c r="AH677" t="s">
        <v>83</v>
      </c>
      <c r="AI677" t="s">
        <v>221</v>
      </c>
      <c r="AJ677">
        <v>1.2143958722755399</v>
      </c>
      <c r="AK677">
        <v>3.9857819309959899</v>
      </c>
      <c r="AL677">
        <v>0.57253571717271001</v>
      </c>
      <c r="AM677">
        <v>0.57309584923849</v>
      </c>
      <c r="AN677">
        <v>1.87730441507968</v>
      </c>
      <c r="AO677">
        <v>5.5692549904330202E-2</v>
      </c>
      <c r="AP677">
        <v>5.5692549904330202E-2</v>
      </c>
      <c r="AQ677">
        <v>0</v>
      </c>
      <c r="AR677">
        <v>0</v>
      </c>
      <c r="AS677">
        <v>0</v>
      </c>
      <c r="AT677">
        <v>0</v>
      </c>
      <c r="AU677">
        <v>1</v>
      </c>
      <c r="AV677">
        <v>8</v>
      </c>
      <c r="AW677">
        <v>0</v>
      </c>
      <c r="AX677">
        <v>0</v>
      </c>
      <c r="AY677">
        <v>16.600000000000001</v>
      </c>
      <c r="AZ677">
        <v>101.7</v>
      </c>
      <c r="BA677">
        <v>19.899999999999999</v>
      </c>
      <c r="BB677">
        <v>564</v>
      </c>
      <c r="BC677">
        <v>71</v>
      </c>
      <c r="BD677">
        <v>1.7</v>
      </c>
      <c r="BE677">
        <v>185</v>
      </c>
      <c r="BF677">
        <v>0.8</v>
      </c>
      <c r="BG677">
        <v>162</v>
      </c>
      <c r="BH677">
        <v>19.5</v>
      </c>
      <c r="BI677">
        <v>15.6</v>
      </c>
      <c r="BJ677">
        <v>35</v>
      </c>
      <c r="BK677">
        <v>0.68</v>
      </c>
      <c r="BL677">
        <v>5.4</v>
      </c>
      <c r="BM677">
        <v>0.9</v>
      </c>
      <c r="BN677">
        <v>4.5999999999999996</v>
      </c>
      <c r="BO677">
        <v>2.1</v>
      </c>
      <c r="BP677">
        <f t="shared" si="20"/>
        <v>94.520872329562749</v>
      </c>
      <c r="BQ677">
        <f t="shared" si="21"/>
        <v>19.206055349611649</v>
      </c>
    </row>
    <row r="678" spans="1:69" hidden="1" x14ac:dyDescent="0.2">
      <c r="A678" t="s">
        <v>1193</v>
      </c>
      <c r="B678" t="s">
        <v>68</v>
      </c>
      <c r="C678" t="s">
        <v>69</v>
      </c>
      <c r="D678" t="s">
        <v>70</v>
      </c>
      <c r="E678" t="s">
        <v>1109</v>
      </c>
      <c r="F678">
        <v>3</v>
      </c>
      <c r="G678">
        <v>42.26</v>
      </c>
      <c r="H678">
        <v>2</v>
      </c>
      <c r="I678">
        <v>1</v>
      </c>
      <c r="J678">
        <v>0</v>
      </c>
      <c r="K678" t="s">
        <v>110</v>
      </c>
      <c r="L678" t="s">
        <v>111</v>
      </c>
      <c r="M678" s="4">
        <v>245000000</v>
      </c>
      <c r="N678">
        <v>0</v>
      </c>
      <c r="O678">
        <v>4.6305880000000004</v>
      </c>
      <c r="P678">
        <v>-74.119608439999993</v>
      </c>
      <c r="Q678" t="s">
        <v>1194</v>
      </c>
      <c r="R678">
        <v>5797444.392</v>
      </c>
      <c r="S678">
        <v>0</v>
      </c>
      <c r="T678" t="s">
        <v>88</v>
      </c>
      <c r="U678" t="s">
        <v>89</v>
      </c>
      <c r="V678" t="s">
        <v>77</v>
      </c>
      <c r="W678" t="s">
        <v>88</v>
      </c>
      <c r="X678" t="s">
        <v>90</v>
      </c>
      <c r="Y678">
        <v>0.26984111900369601</v>
      </c>
      <c r="Z678">
        <v>269.84111900369601</v>
      </c>
      <c r="AA678">
        <v>4.6317666666666701</v>
      </c>
      <c r="AB678">
        <v>-74.117483333333297</v>
      </c>
      <c r="AC678">
        <v>2590</v>
      </c>
      <c r="AD678">
        <v>10</v>
      </c>
      <c r="AE678" t="s">
        <v>80</v>
      </c>
      <c r="AF678" t="s">
        <v>91</v>
      </c>
      <c r="AG678" t="s">
        <v>82</v>
      </c>
      <c r="AH678" t="s">
        <v>83</v>
      </c>
      <c r="AI678" t="s">
        <v>288</v>
      </c>
      <c r="AJ678">
        <v>0.25215761656691099</v>
      </c>
      <c r="AK678">
        <v>5.3363056658121897</v>
      </c>
      <c r="AL678">
        <v>1.1875996198465899</v>
      </c>
      <c r="AM678">
        <v>1.6477288322511399E-2</v>
      </c>
      <c r="AN678">
        <v>2.3387778660861001</v>
      </c>
      <c r="AO678">
        <v>0.127659249970766</v>
      </c>
      <c r="AP678">
        <v>0.127659249970766</v>
      </c>
      <c r="AQ678">
        <v>1</v>
      </c>
      <c r="AR678">
        <v>2</v>
      </c>
      <c r="AS678">
        <v>0</v>
      </c>
      <c r="AT678">
        <v>0</v>
      </c>
      <c r="AU678">
        <v>0</v>
      </c>
      <c r="AV678">
        <v>47</v>
      </c>
      <c r="AW678">
        <v>0</v>
      </c>
      <c r="AX678">
        <v>0</v>
      </c>
      <c r="AY678">
        <v>16.600000000000001</v>
      </c>
      <c r="AZ678">
        <v>101.7</v>
      </c>
      <c r="BA678">
        <v>19.899999999999999</v>
      </c>
      <c r="BB678">
        <v>564</v>
      </c>
      <c r="BC678">
        <v>71</v>
      </c>
      <c r="BD678">
        <v>1.7</v>
      </c>
      <c r="BE678">
        <v>185</v>
      </c>
      <c r="BF678">
        <v>0.8</v>
      </c>
      <c r="BG678">
        <v>162</v>
      </c>
      <c r="BH678">
        <v>19.5</v>
      </c>
      <c r="BI678">
        <v>15.6</v>
      </c>
      <c r="BJ678">
        <v>35</v>
      </c>
      <c r="BK678">
        <v>0.68</v>
      </c>
      <c r="BL678">
        <v>5.4</v>
      </c>
      <c r="BM678">
        <v>0.9</v>
      </c>
      <c r="BN678">
        <v>4.5999999999999996</v>
      </c>
      <c r="BO678">
        <v>2.1</v>
      </c>
      <c r="BP678">
        <f t="shared" si="20"/>
        <v>100.35061137635832</v>
      </c>
      <c r="BQ678">
        <f t="shared" si="21"/>
        <v>19.771540295067165</v>
      </c>
    </row>
    <row r="679" spans="1:69" hidden="1" x14ac:dyDescent="0.2">
      <c r="A679" t="s">
        <v>3525</v>
      </c>
      <c r="B679" t="s">
        <v>68</v>
      </c>
      <c r="C679" t="s">
        <v>3294</v>
      </c>
      <c r="D679" t="s">
        <v>70</v>
      </c>
      <c r="E679" t="s">
        <v>3526</v>
      </c>
      <c r="F679">
        <v>4</v>
      </c>
      <c r="G679">
        <v>41</v>
      </c>
      <c r="H679">
        <v>1</v>
      </c>
      <c r="I679">
        <v>1</v>
      </c>
      <c r="J679">
        <v>0</v>
      </c>
      <c r="K679" t="s">
        <v>110</v>
      </c>
      <c r="L679" t="s">
        <v>111</v>
      </c>
      <c r="M679" s="4">
        <v>326300000</v>
      </c>
      <c r="N679">
        <v>0</v>
      </c>
      <c r="O679">
        <v>4.6471898210000004</v>
      </c>
      <c r="P679">
        <v>-74.118206830000005</v>
      </c>
      <c r="Q679" t="s">
        <v>3527</v>
      </c>
      <c r="R679">
        <v>7958536.585</v>
      </c>
      <c r="S679">
        <v>0</v>
      </c>
      <c r="T679" t="s">
        <v>88</v>
      </c>
      <c r="U679" t="s">
        <v>89</v>
      </c>
      <c r="V679" t="s">
        <v>77</v>
      </c>
      <c r="W679" t="s">
        <v>88</v>
      </c>
      <c r="X679" t="s">
        <v>90</v>
      </c>
      <c r="Y679">
        <v>1.71877334289316</v>
      </c>
      <c r="Z679">
        <v>1718.7733428931599</v>
      </c>
      <c r="AA679">
        <v>4.6317666666666701</v>
      </c>
      <c r="AB679">
        <v>-74.117483333333297</v>
      </c>
      <c r="AC679">
        <v>2590</v>
      </c>
      <c r="AD679">
        <v>10</v>
      </c>
      <c r="AE679" t="s">
        <v>80</v>
      </c>
      <c r="AF679" t="s">
        <v>91</v>
      </c>
      <c r="AG679" t="s">
        <v>82</v>
      </c>
      <c r="AH679" t="s">
        <v>83</v>
      </c>
      <c r="AI679" t="s">
        <v>92</v>
      </c>
      <c r="AJ679">
        <v>1.7695529067048399</v>
      </c>
      <c r="AK679">
        <v>4.6180188959193504</v>
      </c>
      <c r="AL679">
        <v>0.83997835854626401</v>
      </c>
      <c r="AM679">
        <v>0.34819435820965</v>
      </c>
      <c r="AN679">
        <v>0.59579786283151304</v>
      </c>
      <c r="AO679">
        <v>0.26325357673023397</v>
      </c>
      <c r="AP679">
        <v>0.26325357673023397</v>
      </c>
      <c r="AQ679">
        <v>0</v>
      </c>
      <c r="AR679">
        <v>0</v>
      </c>
      <c r="AS679">
        <v>0</v>
      </c>
      <c r="AT679">
        <v>0</v>
      </c>
      <c r="AU679">
        <v>1</v>
      </c>
      <c r="AV679">
        <v>16</v>
      </c>
      <c r="AW679">
        <v>1</v>
      </c>
      <c r="AX679">
        <v>0</v>
      </c>
      <c r="AY679">
        <v>16.600000000000001</v>
      </c>
      <c r="AZ679">
        <v>101.7</v>
      </c>
      <c r="BA679">
        <v>19.899999999999999</v>
      </c>
      <c r="BB679">
        <v>564</v>
      </c>
      <c r="BC679">
        <v>71</v>
      </c>
      <c r="BD679">
        <v>1.7</v>
      </c>
      <c r="BE679">
        <v>185</v>
      </c>
      <c r="BF679">
        <v>0.8</v>
      </c>
      <c r="BG679">
        <v>162</v>
      </c>
      <c r="BH679">
        <v>19.5</v>
      </c>
      <c r="BI679">
        <v>15.6</v>
      </c>
      <c r="BJ679">
        <v>35</v>
      </c>
      <c r="BK679">
        <v>0.68</v>
      </c>
      <c r="BL679">
        <v>5.4</v>
      </c>
      <c r="BM679">
        <v>0.9</v>
      </c>
      <c r="BN679">
        <v>4.5999999999999996</v>
      </c>
      <c r="BO679">
        <v>2.1</v>
      </c>
      <c r="BP679">
        <f t="shared" si="20"/>
        <v>93.405293814181917</v>
      </c>
      <c r="BQ679">
        <f t="shared" si="21"/>
        <v>19.095814434843366</v>
      </c>
    </row>
    <row r="680" spans="1:69" hidden="1" x14ac:dyDescent="0.2">
      <c r="A680" t="s">
        <v>3718</v>
      </c>
      <c r="B680" t="s">
        <v>68</v>
      </c>
      <c r="C680" t="s">
        <v>3294</v>
      </c>
      <c r="D680" t="s">
        <v>70</v>
      </c>
      <c r="E680" t="s">
        <v>199</v>
      </c>
      <c r="F680">
        <v>3</v>
      </c>
      <c r="G680">
        <v>41</v>
      </c>
      <c r="H680">
        <v>1</v>
      </c>
      <c r="I680">
        <v>1</v>
      </c>
      <c r="J680">
        <v>0</v>
      </c>
      <c r="K680" t="s">
        <v>110</v>
      </c>
      <c r="L680" t="s">
        <v>111</v>
      </c>
      <c r="M680" s="4">
        <v>320000000</v>
      </c>
      <c r="N680">
        <v>0</v>
      </c>
      <c r="O680">
        <v>4.6480967409999998</v>
      </c>
      <c r="P680">
        <v>-74.117910859999995</v>
      </c>
      <c r="Q680" t="s">
        <v>3719</v>
      </c>
      <c r="R680">
        <v>7804878.0489999996</v>
      </c>
      <c r="S680">
        <v>0</v>
      </c>
      <c r="T680" t="s">
        <v>88</v>
      </c>
      <c r="U680" t="s">
        <v>89</v>
      </c>
      <c r="V680" t="s">
        <v>77</v>
      </c>
      <c r="W680" t="s">
        <v>88</v>
      </c>
      <c r="X680" t="s">
        <v>90</v>
      </c>
      <c r="Y680">
        <v>1.8184743650841599</v>
      </c>
      <c r="Z680">
        <v>1818.4743650841599</v>
      </c>
      <c r="AA680">
        <v>4.6317666666666701</v>
      </c>
      <c r="AB680">
        <v>-74.117483333333297</v>
      </c>
      <c r="AC680">
        <v>2590</v>
      </c>
      <c r="AD680">
        <v>10</v>
      </c>
      <c r="AE680" t="s">
        <v>80</v>
      </c>
      <c r="AF680" t="s">
        <v>91</v>
      </c>
      <c r="AG680" t="s">
        <v>82</v>
      </c>
      <c r="AH680" t="s">
        <v>83</v>
      </c>
      <c r="AI680" t="s">
        <v>92</v>
      </c>
      <c r="AJ680">
        <v>1.6829165069984</v>
      </c>
      <c r="AK680">
        <v>4.6201744202477704</v>
      </c>
      <c r="AL680">
        <v>0.94159367036971497</v>
      </c>
      <c r="AM680">
        <v>0.44683003643996499</v>
      </c>
      <c r="AN680">
        <v>0.50210492570613696</v>
      </c>
      <c r="AO680">
        <v>0.22294483401401999</v>
      </c>
      <c r="AP680">
        <v>0.22294483401401999</v>
      </c>
      <c r="AQ680">
        <v>0</v>
      </c>
      <c r="AR680">
        <v>0</v>
      </c>
      <c r="AS680">
        <v>0</v>
      </c>
      <c r="AT680">
        <v>0</v>
      </c>
      <c r="AU680">
        <v>1</v>
      </c>
      <c r="AV680">
        <v>18</v>
      </c>
      <c r="AW680">
        <v>1</v>
      </c>
      <c r="AX680">
        <v>0</v>
      </c>
      <c r="AY680">
        <v>16.600000000000001</v>
      </c>
      <c r="AZ680">
        <v>101.7</v>
      </c>
      <c r="BA680">
        <v>19.899999999999999</v>
      </c>
      <c r="BB680">
        <v>564</v>
      </c>
      <c r="BC680">
        <v>71</v>
      </c>
      <c r="BD680">
        <v>1.7</v>
      </c>
      <c r="BE680">
        <v>185</v>
      </c>
      <c r="BF680">
        <v>0.8</v>
      </c>
      <c r="BG680">
        <v>162</v>
      </c>
      <c r="BH680">
        <v>19.5</v>
      </c>
      <c r="BI680">
        <v>15.6</v>
      </c>
      <c r="BJ680">
        <v>35</v>
      </c>
      <c r="BK680">
        <v>0.68</v>
      </c>
      <c r="BL680">
        <v>5.4</v>
      </c>
      <c r="BM680">
        <v>0.9</v>
      </c>
      <c r="BN680">
        <v>4.5999999999999996</v>
      </c>
      <c r="BO680">
        <v>2.1</v>
      </c>
      <c r="BP680">
        <f t="shared" si="20"/>
        <v>92.94545558253516</v>
      </c>
      <c r="BQ680">
        <f t="shared" si="21"/>
        <v>19.050176125602579</v>
      </c>
    </row>
    <row r="681" spans="1:69" hidden="1" x14ac:dyDescent="0.2">
      <c r="A681" t="s">
        <v>938</v>
      </c>
      <c r="B681" t="s">
        <v>68</v>
      </c>
      <c r="C681" t="s">
        <v>69</v>
      </c>
      <c r="D681" t="s">
        <v>70</v>
      </c>
      <c r="E681" t="s">
        <v>288</v>
      </c>
      <c r="F681">
        <v>3</v>
      </c>
      <c r="G681">
        <v>39.69</v>
      </c>
      <c r="H681">
        <v>1</v>
      </c>
      <c r="I681">
        <v>1</v>
      </c>
      <c r="J681">
        <v>0</v>
      </c>
      <c r="K681" t="s">
        <v>72</v>
      </c>
      <c r="L681" t="s">
        <v>73</v>
      </c>
      <c r="M681" s="4">
        <v>276739000</v>
      </c>
      <c r="N681">
        <v>0</v>
      </c>
      <c r="O681">
        <v>4.6257004999999998</v>
      </c>
      <c r="P681">
        <v>-74.109099999999998</v>
      </c>
      <c r="Q681" t="s">
        <v>939</v>
      </c>
      <c r="R681">
        <v>6972511.9680000003</v>
      </c>
      <c r="S681">
        <v>0</v>
      </c>
      <c r="T681" t="s">
        <v>88</v>
      </c>
      <c r="U681" t="s">
        <v>89</v>
      </c>
      <c r="V681" t="s">
        <v>77</v>
      </c>
      <c r="W681" t="s">
        <v>88</v>
      </c>
      <c r="X681" t="s">
        <v>90</v>
      </c>
      <c r="Y681">
        <v>1.14945645985316</v>
      </c>
      <c r="Z681">
        <v>1149.4564598531599</v>
      </c>
      <c r="AA681">
        <v>4.6317666666666701</v>
      </c>
      <c r="AB681">
        <v>-74.117483333333297</v>
      </c>
      <c r="AC681">
        <v>2590</v>
      </c>
      <c r="AD681">
        <v>10</v>
      </c>
      <c r="AE681" t="s">
        <v>80</v>
      </c>
      <c r="AF681" t="s">
        <v>91</v>
      </c>
      <c r="AG681" t="s">
        <v>82</v>
      </c>
      <c r="AH681" t="s">
        <v>83</v>
      </c>
      <c r="AI681" t="s">
        <v>288</v>
      </c>
      <c r="AJ681">
        <v>0.36374906044271299</v>
      </c>
      <c r="AK681">
        <v>5.1584968977881198</v>
      </c>
      <c r="AL681">
        <v>2.2459465802415601</v>
      </c>
      <c r="AM681">
        <v>8.5962718635282306E-2</v>
      </c>
      <c r="AN681">
        <v>1.1423473969882101</v>
      </c>
      <c r="AO681">
        <v>0.46258128850125502</v>
      </c>
      <c r="AP681">
        <v>0.46258128850125502</v>
      </c>
      <c r="AQ681">
        <v>2</v>
      </c>
      <c r="AR681">
        <v>3</v>
      </c>
      <c r="AS681">
        <v>0</v>
      </c>
      <c r="AT681">
        <v>0</v>
      </c>
      <c r="AU681">
        <v>0</v>
      </c>
      <c r="AV681">
        <v>19</v>
      </c>
      <c r="AW681">
        <v>0</v>
      </c>
      <c r="AX681">
        <v>0</v>
      </c>
      <c r="AY681">
        <v>16.600000000000001</v>
      </c>
      <c r="AZ681">
        <v>101.7</v>
      </c>
      <c r="BA681">
        <v>19.899999999999999</v>
      </c>
      <c r="BB681">
        <v>564</v>
      </c>
      <c r="BC681">
        <v>71</v>
      </c>
      <c r="BD681">
        <v>1.7</v>
      </c>
      <c r="BE681">
        <v>185</v>
      </c>
      <c r="BF681">
        <v>0.8</v>
      </c>
      <c r="BG681">
        <v>162</v>
      </c>
      <c r="BH681">
        <v>19.5</v>
      </c>
      <c r="BI681">
        <v>15.6</v>
      </c>
      <c r="BJ681">
        <v>35</v>
      </c>
      <c r="BK681">
        <v>0.68</v>
      </c>
      <c r="BL681">
        <v>5.4</v>
      </c>
      <c r="BM681">
        <v>0.9</v>
      </c>
      <c r="BN681">
        <v>4.5999999999999996</v>
      </c>
      <c r="BO681">
        <v>2.1</v>
      </c>
      <c r="BP681">
        <f t="shared" si="20"/>
        <v>96.075006902112335</v>
      </c>
      <c r="BQ681">
        <f t="shared" si="21"/>
        <v>19.358522788569793</v>
      </c>
    </row>
    <row r="682" spans="1:69" hidden="1" x14ac:dyDescent="0.2">
      <c r="A682" t="s">
        <v>1147</v>
      </c>
      <c r="B682" t="s">
        <v>68</v>
      </c>
      <c r="C682" t="s">
        <v>69</v>
      </c>
      <c r="D682" t="s">
        <v>70</v>
      </c>
      <c r="E682" t="s">
        <v>502</v>
      </c>
      <c r="F682">
        <v>3</v>
      </c>
      <c r="G682">
        <v>38</v>
      </c>
      <c r="H682">
        <v>2</v>
      </c>
      <c r="I682">
        <v>1</v>
      </c>
      <c r="J682">
        <v>0</v>
      </c>
      <c r="K682" t="s">
        <v>110</v>
      </c>
      <c r="L682" t="s">
        <v>111</v>
      </c>
      <c r="M682" s="4">
        <v>245000000</v>
      </c>
      <c r="N682">
        <v>0</v>
      </c>
      <c r="O682">
        <v>4.6090730000000004</v>
      </c>
      <c r="P682">
        <v>-74.104518900000002</v>
      </c>
      <c r="Q682" t="s">
        <v>1148</v>
      </c>
      <c r="R682">
        <v>6447368.4210000001</v>
      </c>
      <c r="S682">
        <v>0</v>
      </c>
      <c r="T682" t="s">
        <v>504</v>
      </c>
      <c r="U682" t="s">
        <v>505</v>
      </c>
      <c r="V682" t="s">
        <v>77</v>
      </c>
      <c r="W682" t="s">
        <v>88</v>
      </c>
      <c r="X682" t="s">
        <v>506</v>
      </c>
      <c r="Y682">
        <v>1.15857091618799</v>
      </c>
      <c r="Z682">
        <v>1158.57091618799</v>
      </c>
      <c r="AA682">
        <v>4.6085000000000003</v>
      </c>
      <c r="AB682">
        <v>-74.114944444444404</v>
      </c>
      <c r="AC682">
        <v>2559</v>
      </c>
      <c r="AD682">
        <v>0</v>
      </c>
      <c r="AE682" t="s">
        <v>80</v>
      </c>
      <c r="AF682" t="s">
        <v>507</v>
      </c>
      <c r="AG682" t="s">
        <v>82</v>
      </c>
      <c r="AH682" t="s">
        <v>83</v>
      </c>
      <c r="AI682" t="s">
        <v>288</v>
      </c>
      <c r="AJ682">
        <v>0.74220098852403404</v>
      </c>
      <c r="AK682">
        <v>4.3970103337315702</v>
      </c>
      <c r="AL682">
        <v>2.0003490245584898</v>
      </c>
      <c r="AM682">
        <v>0.46606840628753998</v>
      </c>
      <c r="AN682">
        <v>0.95737827285423505</v>
      </c>
      <c r="AO682">
        <v>0.57405051800932905</v>
      </c>
      <c r="AP682">
        <v>0.57405051800932905</v>
      </c>
      <c r="AQ682">
        <v>0</v>
      </c>
      <c r="AR682">
        <v>2</v>
      </c>
      <c r="AS682">
        <v>0</v>
      </c>
      <c r="AT682">
        <v>0</v>
      </c>
      <c r="AU682">
        <v>0</v>
      </c>
      <c r="AV682">
        <v>14</v>
      </c>
      <c r="AW682">
        <v>1</v>
      </c>
      <c r="AX682">
        <v>0</v>
      </c>
      <c r="AY682">
        <v>16.600000000000001</v>
      </c>
      <c r="AZ682">
        <v>101.7</v>
      </c>
      <c r="BA682">
        <v>19.899999999999999</v>
      </c>
      <c r="BB682">
        <v>564</v>
      </c>
      <c r="BC682">
        <v>71</v>
      </c>
      <c r="BD682">
        <v>1.7</v>
      </c>
      <c r="BE682">
        <v>185</v>
      </c>
      <c r="BF682">
        <v>0.8</v>
      </c>
      <c r="BG682">
        <v>162</v>
      </c>
      <c r="BH682">
        <v>19.5</v>
      </c>
      <c r="BI682">
        <v>15.6</v>
      </c>
      <c r="BJ682">
        <v>35</v>
      </c>
      <c r="BK682">
        <v>0.68</v>
      </c>
      <c r="BL682">
        <v>5.4</v>
      </c>
      <c r="BM682">
        <v>0.9</v>
      </c>
      <c r="BN682">
        <v>4.5999999999999996</v>
      </c>
      <c r="BO682">
        <v>2.1</v>
      </c>
      <c r="BP682">
        <f t="shared" si="20"/>
        <v>96.031670941658234</v>
      </c>
      <c r="BQ682">
        <f t="shared" si="21"/>
        <v>19.35428863383498</v>
      </c>
    </row>
    <row r="683" spans="1:69" hidden="1" x14ac:dyDescent="0.2">
      <c r="A683" t="s">
        <v>3528</v>
      </c>
      <c r="B683" t="s">
        <v>68</v>
      </c>
      <c r="C683" t="s">
        <v>3294</v>
      </c>
      <c r="D683" t="s">
        <v>70</v>
      </c>
      <c r="E683" t="s">
        <v>3529</v>
      </c>
      <c r="F683">
        <v>3</v>
      </c>
      <c r="G683">
        <v>37</v>
      </c>
      <c r="H683">
        <v>1</v>
      </c>
      <c r="I683">
        <v>1</v>
      </c>
      <c r="J683">
        <v>0</v>
      </c>
      <c r="K683" t="s">
        <v>110</v>
      </c>
      <c r="L683" t="s">
        <v>111</v>
      </c>
      <c r="M683" s="4">
        <v>222000000</v>
      </c>
      <c r="N683">
        <v>0</v>
      </c>
      <c r="O683">
        <v>4.6473699999999996</v>
      </c>
      <c r="P683">
        <v>-74.135239999999996</v>
      </c>
      <c r="Q683" t="s">
        <v>3530</v>
      </c>
      <c r="R683">
        <v>6000000</v>
      </c>
      <c r="S683">
        <v>0</v>
      </c>
      <c r="T683" t="s">
        <v>88</v>
      </c>
      <c r="U683" t="s">
        <v>89</v>
      </c>
      <c r="V683" t="s">
        <v>77</v>
      </c>
      <c r="W683" t="s">
        <v>88</v>
      </c>
      <c r="X683" t="s">
        <v>90</v>
      </c>
      <c r="Y683">
        <v>2.62652740823758</v>
      </c>
      <c r="Z683">
        <v>2626.5274082375799</v>
      </c>
      <c r="AA683">
        <v>4.6317666666666701</v>
      </c>
      <c r="AB683">
        <v>-74.117483333333297</v>
      </c>
      <c r="AC683">
        <v>2590</v>
      </c>
      <c r="AD683">
        <v>10</v>
      </c>
      <c r="AE683" t="s">
        <v>80</v>
      </c>
      <c r="AF683" t="s">
        <v>91</v>
      </c>
      <c r="AG683" t="s">
        <v>82</v>
      </c>
      <c r="AH683" t="s">
        <v>83</v>
      </c>
      <c r="AI683" t="s">
        <v>221</v>
      </c>
      <c r="AJ683">
        <v>1.9099448211557699</v>
      </c>
      <c r="AK683">
        <v>2.8655322729914401</v>
      </c>
      <c r="AL683">
        <v>1.58099370444333</v>
      </c>
      <c r="AM683">
        <v>0.35621441395019499</v>
      </c>
      <c r="AN683">
        <v>2.33267442886322</v>
      </c>
      <c r="AO683">
        <v>7.6575781450120397E-3</v>
      </c>
      <c r="AP683">
        <v>7.6575781450120397E-3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14</v>
      </c>
      <c r="AW683">
        <v>0</v>
      </c>
      <c r="AX683">
        <v>0</v>
      </c>
      <c r="AY683">
        <v>16.600000000000001</v>
      </c>
      <c r="AZ683">
        <v>101.7</v>
      </c>
      <c r="BA683">
        <v>19.899999999999999</v>
      </c>
      <c r="BB683">
        <v>564</v>
      </c>
      <c r="BC683">
        <v>71</v>
      </c>
      <c r="BD683">
        <v>1.7</v>
      </c>
      <c r="BE683">
        <v>185</v>
      </c>
      <c r="BF683">
        <v>0.8</v>
      </c>
      <c r="BG683">
        <v>162</v>
      </c>
      <c r="BH683">
        <v>19.5</v>
      </c>
      <c r="BI683">
        <v>15.6</v>
      </c>
      <c r="BJ683">
        <v>35</v>
      </c>
      <c r="BK683">
        <v>0.68</v>
      </c>
      <c r="BL683">
        <v>5.4</v>
      </c>
      <c r="BM683">
        <v>0.9</v>
      </c>
      <c r="BN683">
        <v>4.5999999999999996</v>
      </c>
      <c r="BO683">
        <v>2.1</v>
      </c>
      <c r="BP683">
        <f t="shared" si="20"/>
        <v>89.301134873073281</v>
      </c>
      <c r="BQ683">
        <f t="shared" si="21"/>
        <v>18.684290188929729</v>
      </c>
    </row>
    <row r="684" spans="1:69" hidden="1" x14ac:dyDescent="0.2">
      <c r="A684" t="s">
        <v>3976</v>
      </c>
      <c r="B684" t="s">
        <v>68</v>
      </c>
      <c r="C684" t="s">
        <v>3294</v>
      </c>
      <c r="D684" t="s">
        <v>70</v>
      </c>
      <c r="E684" t="s">
        <v>3977</v>
      </c>
      <c r="F684">
        <v>3</v>
      </c>
      <c r="G684">
        <v>36</v>
      </c>
      <c r="H684">
        <v>1</v>
      </c>
      <c r="I684">
        <v>1</v>
      </c>
      <c r="J684">
        <v>1</v>
      </c>
      <c r="K684" t="s">
        <v>110</v>
      </c>
      <c r="L684" t="s">
        <v>111</v>
      </c>
      <c r="M684" s="4">
        <v>425000000</v>
      </c>
      <c r="N684">
        <v>0</v>
      </c>
      <c r="O684">
        <v>4.6001262660000002</v>
      </c>
      <c r="P684">
        <v>-74.091636660000006</v>
      </c>
      <c r="Q684" t="s">
        <v>3978</v>
      </c>
      <c r="R684">
        <v>11805555.560000001</v>
      </c>
      <c r="S684">
        <v>0</v>
      </c>
      <c r="T684" t="s">
        <v>504</v>
      </c>
      <c r="U684" t="s">
        <v>505</v>
      </c>
      <c r="V684" t="s">
        <v>77</v>
      </c>
      <c r="W684" t="s">
        <v>88</v>
      </c>
      <c r="X684" t="s">
        <v>506</v>
      </c>
      <c r="Y684">
        <v>2.7490991486681802</v>
      </c>
      <c r="Z684">
        <v>2749.0991486681801</v>
      </c>
      <c r="AA684">
        <v>4.6085000000000003</v>
      </c>
      <c r="AB684">
        <v>-74.114944444444404</v>
      </c>
      <c r="AC684">
        <v>2559</v>
      </c>
      <c r="AD684">
        <v>0</v>
      </c>
      <c r="AE684" t="s">
        <v>80</v>
      </c>
      <c r="AF684" t="s">
        <v>507</v>
      </c>
      <c r="AG684" t="s">
        <v>82</v>
      </c>
      <c r="AH684" t="s">
        <v>83</v>
      </c>
      <c r="AI684" t="s">
        <v>308</v>
      </c>
      <c r="AJ684">
        <v>0.32104607943653002</v>
      </c>
      <c r="AK684">
        <v>2.8330272685354698</v>
      </c>
      <c r="AL684">
        <v>0.56712203288832996</v>
      </c>
      <c r="AM684">
        <v>0.43982669578281502</v>
      </c>
      <c r="AN684">
        <v>1.02839015191562</v>
      </c>
      <c r="AO684">
        <v>0.27083825596772998</v>
      </c>
      <c r="AP684">
        <v>0.27083825596772998</v>
      </c>
      <c r="AQ684">
        <v>1</v>
      </c>
      <c r="AR684">
        <v>4</v>
      </c>
      <c r="AS684">
        <v>0</v>
      </c>
      <c r="AT684">
        <v>0</v>
      </c>
      <c r="AU684">
        <v>1</v>
      </c>
      <c r="AV684">
        <v>18</v>
      </c>
      <c r="AW684">
        <v>0</v>
      </c>
      <c r="AX684">
        <v>0</v>
      </c>
      <c r="AY684">
        <v>16.600000000000001</v>
      </c>
      <c r="AZ684">
        <v>101.7</v>
      </c>
      <c r="BA684">
        <v>19.899999999999999</v>
      </c>
      <c r="BB684">
        <v>564</v>
      </c>
      <c r="BC684">
        <v>71</v>
      </c>
      <c r="BD684">
        <v>1.7</v>
      </c>
      <c r="BE684">
        <v>185</v>
      </c>
      <c r="BF684">
        <v>0.8</v>
      </c>
      <c r="BG684">
        <v>162</v>
      </c>
      <c r="BH684">
        <v>19.5</v>
      </c>
      <c r="BI684">
        <v>15.6</v>
      </c>
      <c r="BJ684">
        <v>35</v>
      </c>
      <c r="BK684">
        <v>0.68</v>
      </c>
      <c r="BL684">
        <v>5.4</v>
      </c>
      <c r="BM684">
        <v>0.9</v>
      </c>
      <c r="BN684">
        <v>4.5999999999999996</v>
      </c>
      <c r="BO684">
        <v>2.1</v>
      </c>
      <c r="BP684">
        <f t="shared" si="20"/>
        <v>88.760958358525414</v>
      </c>
      <c r="BQ684">
        <f t="shared" si="21"/>
        <v>18.629406970875088</v>
      </c>
    </row>
    <row r="685" spans="1:69" hidden="1" x14ac:dyDescent="0.2">
      <c r="A685" t="s">
        <v>3547</v>
      </c>
      <c r="B685" t="s">
        <v>68</v>
      </c>
      <c r="C685" t="s">
        <v>3294</v>
      </c>
      <c r="D685" t="s">
        <v>70</v>
      </c>
      <c r="E685" t="s">
        <v>3548</v>
      </c>
      <c r="F685">
        <v>3</v>
      </c>
      <c r="G685">
        <v>36</v>
      </c>
      <c r="H685">
        <v>1</v>
      </c>
      <c r="I685">
        <v>1</v>
      </c>
      <c r="J685">
        <v>0</v>
      </c>
      <c r="K685" t="s">
        <v>110</v>
      </c>
      <c r="L685" t="s">
        <v>111</v>
      </c>
      <c r="M685" s="4">
        <v>240100000</v>
      </c>
      <c r="N685">
        <v>0</v>
      </c>
      <c r="O685">
        <v>4.6132999999999997</v>
      </c>
      <c r="P685">
        <v>-74.105170000000001</v>
      </c>
      <c r="Q685" t="s">
        <v>3549</v>
      </c>
      <c r="R685">
        <v>6669444.4440000001</v>
      </c>
      <c r="S685">
        <v>0</v>
      </c>
      <c r="T685" t="s">
        <v>504</v>
      </c>
      <c r="U685" t="s">
        <v>505</v>
      </c>
      <c r="V685" t="s">
        <v>77</v>
      </c>
      <c r="W685" t="s">
        <v>88</v>
      </c>
      <c r="X685" t="s">
        <v>506</v>
      </c>
      <c r="Y685">
        <v>1.2090462920232701</v>
      </c>
      <c r="Z685">
        <v>1209.0462920232701</v>
      </c>
      <c r="AA685">
        <v>4.6085000000000003</v>
      </c>
      <c r="AB685">
        <v>-74.114944444444404</v>
      </c>
      <c r="AC685">
        <v>2559</v>
      </c>
      <c r="AD685">
        <v>0</v>
      </c>
      <c r="AE685" t="s">
        <v>80</v>
      </c>
      <c r="AF685" t="s">
        <v>507</v>
      </c>
      <c r="AG685" t="s">
        <v>82</v>
      </c>
      <c r="AH685" t="s">
        <v>83</v>
      </c>
      <c r="AI685" t="s">
        <v>288</v>
      </c>
      <c r="AJ685">
        <v>1.0581854580083401</v>
      </c>
      <c r="AK685">
        <v>4.5066358403461804</v>
      </c>
      <c r="AL685">
        <v>2.2610084136458002</v>
      </c>
      <c r="AM685">
        <v>0.65605832625475502</v>
      </c>
      <c r="AN685">
        <v>0.54084103844988296</v>
      </c>
      <c r="AO685">
        <v>0.13157206227137699</v>
      </c>
      <c r="AP685">
        <v>0.13157206227137699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4</v>
      </c>
      <c r="AW685">
        <v>1</v>
      </c>
      <c r="AX685">
        <v>0</v>
      </c>
      <c r="AY685">
        <v>16.600000000000001</v>
      </c>
      <c r="AZ685">
        <v>101.7</v>
      </c>
      <c r="BA685">
        <v>19.899999999999999</v>
      </c>
      <c r="BB685">
        <v>564</v>
      </c>
      <c r="BC685">
        <v>71</v>
      </c>
      <c r="BD685">
        <v>1.7</v>
      </c>
      <c r="BE685">
        <v>185</v>
      </c>
      <c r="BF685">
        <v>0.8</v>
      </c>
      <c r="BG685">
        <v>162</v>
      </c>
      <c r="BH685">
        <v>19.5</v>
      </c>
      <c r="BI685">
        <v>15.6</v>
      </c>
      <c r="BJ685">
        <v>35</v>
      </c>
      <c r="BK685">
        <v>0.68</v>
      </c>
      <c r="BL685">
        <v>5.4</v>
      </c>
      <c r="BM685">
        <v>0.9</v>
      </c>
      <c r="BN685">
        <v>4.5999999999999996</v>
      </c>
      <c r="BO685">
        <v>2.1</v>
      </c>
      <c r="BP685">
        <f t="shared" si="20"/>
        <v>95.792032321793997</v>
      </c>
      <c r="BQ685">
        <f t="shared" si="21"/>
        <v>19.330856869598172</v>
      </c>
    </row>
    <row r="686" spans="1:69" hidden="1" x14ac:dyDescent="0.2">
      <c r="A686" t="s">
        <v>4181</v>
      </c>
      <c r="B686" t="s">
        <v>68</v>
      </c>
      <c r="C686" t="s">
        <v>3294</v>
      </c>
      <c r="D686" t="s">
        <v>70</v>
      </c>
      <c r="E686" t="s">
        <v>1674</v>
      </c>
      <c r="F686">
        <v>3</v>
      </c>
      <c r="G686">
        <v>36</v>
      </c>
      <c r="H686">
        <v>1</v>
      </c>
      <c r="I686">
        <v>1</v>
      </c>
      <c r="J686">
        <v>1</v>
      </c>
      <c r="K686" t="s">
        <v>110</v>
      </c>
      <c r="L686" t="s">
        <v>111</v>
      </c>
      <c r="M686" s="4">
        <v>240000000</v>
      </c>
      <c r="N686">
        <v>0</v>
      </c>
      <c r="O686">
        <v>4.6137456889999999</v>
      </c>
      <c r="P686">
        <v>-74.10749817</v>
      </c>
      <c r="Q686" t="s">
        <v>4182</v>
      </c>
      <c r="R686">
        <v>6666666.6670000004</v>
      </c>
      <c r="S686">
        <v>0</v>
      </c>
      <c r="T686" t="s">
        <v>504</v>
      </c>
      <c r="U686" t="s">
        <v>505</v>
      </c>
      <c r="V686" t="s">
        <v>77</v>
      </c>
      <c r="W686" t="s">
        <v>88</v>
      </c>
      <c r="X686" t="s">
        <v>506</v>
      </c>
      <c r="Y686">
        <v>1.01175826029492</v>
      </c>
      <c r="Z686">
        <v>1011.75826029492</v>
      </c>
      <c r="AA686">
        <v>4.6085000000000003</v>
      </c>
      <c r="AB686">
        <v>-74.114944444444404</v>
      </c>
      <c r="AC686">
        <v>2559</v>
      </c>
      <c r="AD686">
        <v>0</v>
      </c>
      <c r="AE686" t="s">
        <v>80</v>
      </c>
      <c r="AF686" t="s">
        <v>507</v>
      </c>
      <c r="AG686" t="s">
        <v>82</v>
      </c>
      <c r="AH686" t="s">
        <v>83</v>
      </c>
      <c r="AI686" t="s">
        <v>288</v>
      </c>
      <c r="AJ686">
        <v>1.2036638889004401</v>
      </c>
      <c r="AK686">
        <v>4.7686217066441596</v>
      </c>
      <c r="AL686">
        <v>2.5109346472595999</v>
      </c>
      <c r="AM686">
        <v>0.475084335505431</v>
      </c>
      <c r="AN686">
        <v>0.67329839990805995</v>
      </c>
      <c r="AO686">
        <v>0.20474229328417101</v>
      </c>
      <c r="AP686">
        <v>0.20474229328417101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2</v>
      </c>
      <c r="AW686">
        <v>1</v>
      </c>
      <c r="AX686">
        <v>0</v>
      </c>
      <c r="AY686">
        <v>16.600000000000001</v>
      </c>
      <c r="AZ686">
        <v>101.7</v>
      </c>
      <c r="BA686">
        <v>19.899999999999999</v>
      </c>
      <c r="BB686">
        <v>564</v>
      </c>
      <c r="BC686">
        <v>71</v>
      </c>
      <c r="BD686">
        <v>1.7</v>
      </c>
      <c r="BE686">
        <v>185</v>
      </c>
      <c r="BF686">
        <v>0.8</v>
      </c>
      <c r="BG686">
        <v>162</v>
      </c>
      <c r="BH686">
        <v>19.5</v>
      </c>
      <c r="BI686">
        <v>15.6</v>
      </c>
      <c r="BJ686">
        <v>35</v>
      </c>
      <c r="BK686">
        <v>0.68</v>
      </c>
      <c r="BL686">
        <v>5.4</v>
      </c>
      <c r="BM686">
        <v>0.9</v>
      </c>
      <c r="BN686">
        <v>4.5999999999999996</v>
      </c>
      <c r="BO686">
        <v>2.1</v>
      </c>
      <c r="BP686">
        <f t="shared" si="20"/>
        <v>96.732096836562718</v>
      </c>
      <c r="BQ686">
        <f t="shared" si="21"/>
        <v>19.422603825988467</v>
      </c>
    </row>
    <row r="687" spans="1:69" hidden="1" x14ac:dyDescent="0.2">
      <c r="A687" t="s">
        <v>4256</v>
      </c>
      <c r="B687" t="s">
        <v>68</v>
      </c>
      <c r="C687" t="s">
        <v>3294</v>
      </c>
      <c r="D687" t="s">
        <v>70</v>
      </c>
      <c r="E687" t="s">
        <v>94</v>
      </c>
      <c r="F687">
        <v>4</v>
      </c>
      <c r="G687">
        <v>35</v>
      </c>
      <c r="H687">
        <v>1</v>
      </c>
      <c r="I687">
        <v>1</v>
      </c>
      <c r="J687">
        <v>0</v>
      </c>
      <c r="K687" t="s">
        <v>110</v>
      </c>
      <c r="L687" t="s">
        <v>111</v>
      </c>
      <c r="M687" s="4">
        <v>265000000</v>
      </c>
      <c r="N687">
        <v>0</v>
      </c>
      <c r="O687">
        <v>4.6570168000000001</v>
      </c>
      <c r="P687">
        <v>-74.124520000000004</v>
      </c>
      <c r="Q687" t="s">
        <v>4257</v>
      </c>
      <c r="R687">
        <v>7571428.5710000005</v>
      </c>
      <c r="S687">
        <v>0</v>
      </c>
      <c r="T687" t="s">
        <v>88</v>
      </c>
      <c r="U687" t="s">
        <v>89</v>
      </c>
      <c r="V687" t="s">
        <v>77</v>
      </c>
      <c r="W687" t="s">
        <v>88</v>
      </c>
      <c r="X687" t="s">
        <v>90</v>
      </c>
      <c r="Y687">
        <v>2.9172488546870698</v>
      </c>
      <c r="Z687">
        <v>2917.24885468707</v>
      </c>
      <c r="AA687">
        <v>4.6317666666666701</v>
      </c>
      <c r="AB687">
        <v>-74.117483333333297</v>
      </c>
      <c r="AC687">
        <v>2590</v>
      </c>
      <c r="AD687">
        <v>10</v>
      </c>
      <c r="AE687" t="s">
        <v>80</v>
      </c>
      <c r="AF687" t="s">
        <v>91</v>
      </c>
      <c r="AG687" t="s">
        <v>82</v>
      </c>
      <c r="AH687" t="s">
        <v>83</v>
      </c>
      <c r="AI687" t="s">
        <v>92</v>
      </c>
      <c r="AJ687">
        <v>1.81927113122011</v>
      </c>
      <c r="AK687">
        <v>3.7145406586442098</v>
      </c>
      <c r="AL687">
        <v>1.7914529659768801</v>
      </c>
      <c r="AM687">
        <v>0.53978783834276001</v>
      </c>
      <c r="AN687">
        <v>1.2836536860885699</v>
      </c>
      <c r="AO687">
        <v>0.29419366297365501</v>
      </c>
      <c r="AP687">
        <v>0.29419366297365501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20</v>
      </c>
      <c r="AW687">
        <v>0</v>
      </c>
      <c r="AX687">
        <v>0</v>
      </c>
      <c r="AY687">
        <v>16.600000000000001</v>
      </c>
      <c r="AZ687">
        <v>101.7</v>
      </c>
      <c r="BA687">
        <v>19.899999999999999</v>
      </c>
      <c r="BB687">
        <v>564</v>
      </c>
      <c r="BC687">
        <v>71</v>
      </c>
      <c r="BD687">
        <v>1.7</v>
      </c>
      <c r="BE687">
        <v>185</v>
      </c>
      <c r="BF687">
        <v>0.8</v>
      </c>
      <c r="BG687">
        <v>162</v>
      </c>
      <c r="BH687">
        <v>19.5</v>
      </c>
      <c r="BI687">
        <v>15.6</v>
      </c>
      <c r="BJ687">
        <v>35</v>
      </c>
      <c r="BK687">
        <v>0.68</v>
      </c>
      <c r="BL687">
        <v>5.4</v>
      </c>
      <c r="BM687">
        <v>0.9</v>
      </c>
      <c r="BN687">
        <v>4.5999999999999996</v>
      </c>
      <c r="BO687">
        <v>2.1</v>
      </c>
      <c r="BP687">
        <f t="shared" si="20"/>
        <v>88.02523059995687</v>
      </c>
      <c r="BQ687">
        <f t="shared" si="21"/>
        <v>18.554377763042133</v>
      </c>
    </row>
    <row r="688" spans="1:69" hidden="1" x14ac:dyDescent="0.2">
      <c r="A688" t="s">
        <v>1348</v>
      </c>
      <c r="B688" t="s">
        <v>68</v>
      </c>
      <c r="C688" t="s">
        <v>69</v>
      </c>
      <c r="D688" t="s">
        <v>70</v>
      </c>
      <c r="E688" t="s">
        <v>1208</v>
      </c>
      <c r="F688">
        <v>3</v>
      </c>
      <c r="G688">
        <v>35</v>
      </c>
      <c r="H688">
        <v>2</v>
      </c>
      <c r="I688">
        <v>1</v>
      </c>
      <c r="J688">
        <v>0</v>
      </c>
      <c r="K688" t="s">
        <v>110</v>
      </c>
      <c r="L688" t="s">
        <v>111</v>
      </c>
      <c r="M688" s="4">
        <v>225500000</v>
      </c>
      <c r="N688">
        <v>0</v>
      </c>
      <c r="O688">
        <v>4.6094748000000001</v>
      </c>
      <c r="P688">
        <v>-74.089981300000005</v>
      </c>
      <c r="Q688" t="s">
        <v>1349</v>
      </c>
      <c r="R688">
        <v>6442857.1430000002</v>
      </c>
      <c r="S688">
        <v>0</v>
      </c>
      <c r="T688" t="s">
        <v>504</v>
      </c>
      <c r="U688" t="s">
        <v>505</v>
      </c>
      <c r="V688" t="s">
        <v>77</v>
      </c>
      <c r="W688" t="s">
        <v>88</v>
      </c>
      <c r="X688" t="s">
        <v>506</v>
      </c>
      <c r="Y688">
        <v>2.77202318643914</v>
      </c>
      <c r="Z688">
        <v>2772.0231864391399</v>
      </c>
      <c r="AA688">
        <v>4.6085000000000003</v>
      </c>
      <c r="AB688">
        <v>-74.114944444444404</v>
      </c>
      <c r="AC688">
        <v>2559</v>
      </c>
      <c r="AD688">
        <v>0</v>
      </c>
      <c r="AE688" t="s">
        <v>80</v>
      </c>
      <c r="AF688" t="s">
        <v>507</v>
      </c>
      <c r="AG688" t="s">
        <v>82</v>
      </c>
      <c r="AH688" t="s">
        <v>83</v>
      </c>
      <c r="AI688" t="s">
        <v>308</v>
      </c>
      <c r="AJ688">
        <v>0.35453272978192701</v>
      </c>
      <c r="AK688">
        <v>2.7884234813280302</v>
      </c>
      <c r="AL688">
        <v>0.75483800661564804</v>
      </c>
      <c r="AM688">
        <v>0.204401064184974</v>
      </c>
      <c r="AN688">
        <v>0.161958138777135</v>
      </c>
      <c r="AO688">
        <v>0.108849502217195</v>
      </c>
      <c r="AP688">
        <v>0.108849502217195</v>
      </c>
      <c r="AQ688">
        <v>3</v>
      </c>
      <c r="AR688">
        <v>6</v>
      </c>
      <c r="AS688">
        <v>0</v>
      </c>
      <c r="AT688">
        <v>0</v>
      </c>
      <c r="AU688">
        <v>2</v>
      </c>
      <c r="AV688">
        <v>9</v>
      </c>
      <c r="AW688">
        <v>1</v>
      </c>
      <c r="AX688">
        <v>0</v>
      </c>
      <c r="AY688">
        <v>16.600000000000001</v>
      </c>
      <c r="AZ688">
        <v>101.7</v>
      </c>
      <c r="BA688">
        <v>19.899999999999999</v>
      </c>
      <c r="BB688">
        <v>564</v>
      </c>
      <c r="BC688">
        <v>71</v>
      </c>
      <c r="BD688">
        <v>1.7</v>
      </c>
      <c r="BE688">
        <v>185</v>
      </c>
      <c r="BF688">
        <v>0.8</v>
      </c>
      <c r="BG688">
        <v>162</v>
      </c>
      <c r="BH688">
        <v>19.5</v>
      </c>
      <c r="BI688">
        <v>15.6</v>
      </c>
      <c r="BJ688">
        <v>35</v>
      </c>
      <c r="BK688">
        <v>0.68</v>
      </c>
      <c r="BL688">
        <v>5.4</v>
      </c>
      <c r="BM688">
        <v>0.9</v>
      </c>
      <c r="BN688">
        <v>4.5999999999999996</v>
      </c>
      <c r="BO688">
        <v>2.1</v>
      </c>
      <c r="BP688">
        <f t="shared" si="20"/>
        <v>88.660294884436752</v>
      </c>
      <c r="BQ688">
        <f t="shared" si="21"/>
        <v>18.619160320371574</v>
      </c>
    </row>
    <row r="689" spans="1:69" hidden="1" x14ac:dyDescent="0.2">
      <c r="A689" t="s">
        <v>800</v>
      </c>
      <c r="B689" t="s">
        <v>68</v>
      </c>
      <c r="C689" t="s">
        <v>69</v>
      </c>
      <c r="D689" t="s">
        <v>70</v>
      </c>
      <c r="E689" t="s">
        <v>801</v>
      </c>
      <c r="F689">
        <v>4</v>
      </c>
      <c r="G689">
        <v>34</v>
      </c>
      <c r="H689">
        <v>2</v>
      </c>
      <c r="I689">
        <v>1</v>
      </c>
      <c r="J689">
        <v>0</v>
      </c>
      <c r="K689" t="s">
        <v>110</v>
      </c>
      <c r="L689" t="s">
        <v>111</v>
      </c>
      <c r="M689" s="4">
        <v>325000000</v>
      </c>
      <c r="N689">
        <v>0</v>
      </c>
      <c r="O689">
        <v>4.6158222999999996</v>
      </c>
      <c r="P689">
        <v>-74.090829999999997</v>
      </c>
      <c r="Q689" t="s">
        <v>802</v>
      </c>
      <c r="R689">
        <v>9558823.5289999992</v>
      </c>
      <c r="S689">
        <v>0</v>
      </c>
      <c r="T689" t="s">
        <v>504</v>
      </c>
      <c r="U689" t="s">
        <v>505</v>
      </c>
      <c r="V689" t="s">
        <v>77</v>
      </c>
      <c r="W689" t="s">
        <v>88</v>
      </c>
      <c r="X689" t="s">
        <v>506</v>
      </c>
      <c r="Y689">
        <v>2.7971169740046302</v>
      </c>
      <c r="Z689">
        <v>2797.1169740046298</v>
      </c>
      <c r="AA689">
        <v>4.6085000000000003</v>
      </c>
      <c r="AB689">
        <v>-74.114944444444404</v>
      </c>
      <c r="AC689">
        <v>2559</v>
      </c>
      <c r="AD689">
        <v>0</v>
      </c>
      <c r="AE689" t="s">
        <v>80</v>
      </c>
      <c r="AF689" t="s">
        <v>507</v>
      </c>
      <c r="AG689" t="s">
        <v>82</v>
      </c>
      <c r="AH689" t="s">
        <v>83</v>
      </c>
      <c r="AI689" t="s">
        <v>288</v>
      </c>
      <c r="AJ689">
        <v>0.18656290338899501</v>
      </c>
      <c r="AK689">
        <v>2.9837972013457699</v>
      </c>
      <c r="AL689">
        <v>1.4518916133764399</v>
      </c>
      <c r="AM689">
        <v>0.34244250814974397</v>
      </c>
      <c r="AN689">
        <v>0.80014686817988701</v>
      </c>
      <c r="AO689">
        <v>0.48378107999574699</v>
      </c>
      <c r="AP689">
        <v>0.48378107999574699</v>
      </c>
      <c r="AQ689">
        <v>3</v>
      </c>
      <c r="AR689">
        <v>5</v>
      </c>
      <c r="AS689">
        <v>0</v>
      </c>
      <c r="AT689">
        <v>0</v>
      </c>
      <c r="AU689">
        <v>0</v>
      </c>
      <c r="AV689">
        <v>11</v>
      </c>
      <c r="AW689">
        <v>1</v>
      </c>
      <c r="AX689">
        <v>0</v>
      </c>
      <c r="AY689">
        <v>16.600000000000001</v>
      </c>
      <c r="AZ689">
        <v>101.7</v>
      </c>
      <c r="BA689">
        <v>19.899999999999999</v>
      </c>
      <c r="BB689">
        <v>564</v>
      </c>
      <c r="BC689">
        <v>71</v>
      </c>
      <c r="BD689">
        <v>1.7</v>
      </c>
      <c r="BE689">
        <v>185</v>
      </c>
      <c r="BF689">
        <v>0.8</v>
      </c>
      <c r="BG689">
        <v>162</v>
      </c>
      <c r="BH689">
        <v>19.5</v>
      </c>
      <c r="BI689">
        <v>15.6</v>
      </c>
      <c r="BJ689">
        <v>35</v>
      </c>
      <c r="BK689">
        <v>0.68</v>
      </c>
      <c r="BL689">
        <v>5.4</v>
      </c>
      <c r="BM689">
        <v>0.9</v>
      </c>
      <c r="BN689">
        <v>4.5999999999999996</v>
      </c>
      <c r="BO689">
        <v>2.1</v>
      </c>
      <c r="BP689">
        <f t="shared" si="20"/>
        <v>88.550234534942376</v>
      </c>
      <c r="BQ689">
        <f t="shared" si="21"/>
        <v>18.607950290246322</v>
      </c>
    </row>
    <row r="690" spans="1:69" hidden="1" x14ac:dyDescent="0.2">
      <c r="A690" t="s">
        <v>1207</v>
      </c>
      <c r="B690" t="s">
        <v>68</v>
      </c>
      <c r="C690" t="s">
        <v>69</v>
      </c>
      <c r="D690" t="s">
        <v>70</v>
      </c>
      <c r="E690" t="s">
        <v>1208</v>
      </c>
      <c r="F690">
        <v>3</v>
      </c>
      <c r="G690">
        <v>34</v>
      </c>
      <c r="H690">
        <v>2</v>
      </c>
      <c r="I690">
        <v>1</v>
      </c>
      <c r="J690">
        <v>0</v>
      </c>
      <c r="K690" t="s">
        <v>110</v>
      </c>
      <c r="L690" t="s">
        <v>111</v>
      </c>
      <c r="M690" s="4">
        <v>240000000</v>
      </c>
      <c r="N690">
        <v>0</v>
      </c>
      <c r="O690">
        <v>4.6094748000000001</v>
      </c>
      <c r="P690">
        <v>-74.089981300000005</v>
      </c>
      <c r="Q690" t="s">
        <v>1209</v>
      </c>
      <c r="R690">
        <v>7058823.5290000001</v>
      </c>
      <c r="S690">
        <v>0</v>
      </c>
      <c r="T690" t="s">
        <v>504</v>
      </c>
      <c r="U690" t="s">
        <v>505</v>
      </c>
      <c r="V690" t="s">
        <v>77</v>
      </c>
      <c r="W690" t="s">
        <v>88</v>
      </c>
      <c r="X690" t="s">
        <v>506</v>
      </c>
      <c r="Y690">
        <v>2.77202318643914</v>
      </c>
      <c r="Z690">
        <v>2772.0231864391399</v>
      </c>
      <c r="AA690">
        <v>4.6085000000000003</v>
      </c>
      <c r="AB690">
        <v>-74.114944444444404</v>
      </c>
      <c r="AC690">
        <v>2559</v>
      </c>
      <c r="AD690">
        <v>0</v>
      </c>
      <c r="AE690" t="s">
        <v>80</v>
      </c>
      <c r="AF690" t="s">
        <v>507</v>
      </c>
      <c r="AG690" t="s">
        <v>82</v>
      </c>
      <c r="AH690" t="s">
        <v>83</v>
      </c>
      <c r="AI690" t="s">
        <v>308</v>
      </c>
      <c r="AJ690">
        <v>0.35453272978192701</v>
      </c>
      <c r="AK690">
        <v>2.7884234813280302</v>
      </c>
      <c r="AL690">
        <v>0.75483800661564804</v>
      </c>
      <c r="AM690">
        <v>0.204401064184974</v>
      </c>
      <c r="AN690">
        <v>0.161958138777135</v>
      </c>
      <c r="AO690">
        <v>0.108849502217195</v>
      </c>
      <c r="AP690">
        <v>0.108849502217195</v>
      </c>
      <c r="AQ690">
        <v>3</v>
      </c>
      <c r="AR690">
        <v>6</v>
      </c>
      <c r="AS690">
        <v>0</v>
      </c>
      <c r="AT690">
        <v>0</v>
      </c>
      <c r="AU690">
        <v>2</v>
      </c>
      <c r="AV690">
        <v>9</v>
      </c>
      <c r="AW690">
        <v>1</v>
      </c>
      <c r="AX690">
        <v>0</v>
      </c>
      <c r="AY690">
        <v>16.600000000000001</v>
      </c>
      <c r="AZ690">
        <v>101.7</v>
      </c>
      <c r="BA690">
        <v>19.899999999999999</v>
      </c>
      <c r="BB690">
        <v>564</v>
      </c>
      <c r="BC690">
        <v>71</v>
      </c>
      <c r="BD690">
        <v>1.7</v>
      </c>
      <c r="BE690">
        <v>185</v>
      </c>
      <c r="BF690">
        <v>0.8</v>
      </c>
      <c r="BG690">
        <v>162</v>
      </c>
      <c r="BH690">
        <v>19.5</v>
      </c>
      <c r="BI690">
        <v>15.6</v>
      </c>
      <c r="BJ690">
        <v>35</v>
      </c>
      <c r="BK690">
        <v>0.68</v>
      </c>
      <c r="BL690">
        <v>5.4</v>
      </c>
      <c r="BM690">
        <v>0.9</v>
      </c>
      <c r="BN690">
        <v>4.5999999999999996</v>
      </c>
      <c r="BO690">
        <v>2.1</v>
      </c>
      <c r="BP690">
        <f t="shared" si="20"/>
        <v>88.660294884436752</v>
      </c>
      <c r="BQ690">
        <f t="shared" si="21"/>
        <v>18.619160320371574</v>
      </c>
    </row>
    <row r="691" spans="1:69" hidden="1" x14ac:dyDescent="0.2">
      <c r="A691" t="s">
        <v>4413</v>
      </c>
      <c r="B691" t="s">
        <v>68</v>
      </c>
      <c r="C691" t="s">
        <v>3294</v>
      </c>
      <c r="D691" t="s">
        <v>70</v>
      </c>
      <c r="E691" t="s">
        <v>4414</v>
      </c>
      <c r="F691">
        <v>3</v>
      </c>
      <c r="G691">
        <v>34</v>
      </c>
      <c r="H691">
        <v>1</v>
      </c>
      <c r="I691">
        <v>1</v>
      </c>
      <c r="J691">
        <v>0</v>
      </c>
      <c r="K691" t="s">
        <v>110</v>
      </c>
      <c r="L691" t="s">
        <v>133</v>
      </c>
      <c r="M691" s="4">
        <v>200000000</v>
      </c>
      <c r="N691">
        <v>0</v>
      </c>
      <c r="O691">
        <v>4.5862188340000003</v>
      </c>
      <c r="P691">
        <v>-74.106361390000004</v>
      </c>
      <c r="Q691" t="s">
        <v>4415</v>
      </c>
      <c r="R691">
        <v>5882352.9409999996</v>
      </c>
      <c r="S691">
        <v>0</v>
      </c>
      <c r="T691" t="s">
        <v>504</v>
      </c>
      <c r="U691" t="s">
        <v>505</v>
      </c>
      <c r="V691" t="s">
        <v>77</v>
      </c>
      <c r="W691" t="s">
        <v>88</v>
      </c>
      <c r="X691" t="s">
        <v>506</v>
      </c>
      <c r="Y691">
        <v>2.6568907532186699</v>
      </c>
      <c r="Z691">
        <v>2656.8907532186699</v>
      </c>
      <c r="AA691">
        <v>4.6085000000000003</v>
      </c>
      <c r="AB691">
        <v>-74.114944444444404</v>
      </c>
      <c r="AC691">
        <v>2559</v>
      </c>
      <c r="AD691">
        <v>0</v>
      </c>
      <c r="AE691" t="s">
        <v>80</v>
      </c>
      <c r="AF691" t="s">
        <v>507</v>
      </c>
      <c r="AG691" t="s">
        <v>82</v>
      </c>
      <c r="AH691" t="s">
        <v>83</v>
      </c>
      <c r="AI691" t="s">
        <v>987</v>
      </c>
      <c r="AJ691">
        <v>0.72968168008626999</v>
      </c>
      <c r="AK691">
        <v>3.7460166720666201</v>
      </c>
      <c r="AL691">
        <v>1.0407687237525001</v>
      </c>
      <c r="AM691">
        <v>0.26815184031994399</v>
      </c>
      <c r="AN691">
        <v>0.36415961080834403</v>
      </c>
      <c r="AO691">
        <v>0.42234754703580502</v>
      </c>
      <c r="AP691">
        <v>0.42234754703580502</v>
      </c>
      <c r="AQ691">
        <v>0</v>
      </c>
      <c r="AR691">
        <v>3</v>
      </c>
      <c r="AS691">
        <v>0</v>
      </c>
      <c r="AT691">
        <v>0</v>
      </c>
      <c r="AU691">
        <v>0</v>
      </c>
      <c r="AV691">
        <v>81</v>
      </c>
      <c r="AW691">
        <v>2</v>
      </c>
      <c r="AX691">
        <v>0</v>
      </c>
      <c r="AY691">
        <v>16.600000000000001</v>
      </c>
      <c r="AZ691">
        <v>101.7</v>
      </c>
      <c r="BA691">
        <v>19.899999999999999</v>
      </c>
      <c r="BB691">
        <v>564</v>
      </c>
      <c r="BC691">
        <v>71</v>
      </c>
      <c r="BD691">
        <v>1.7</v>
      </c>
      <c r="BE691">
        <v>185</v>
      </c>
      <c r="BF691">
        <v>0.8</v>
      </c>
      <c r="BG691">
        <v>162</v>
      </c>
      <c r="BH691">
        <v>19.5</v>
      </c>
      <c r="BI691">
        <v>15.6</v>
      </c>
      <c r="BJ691">
        <v>35</v>
      </c>
      <c r="BK691">
        <v>0.68</v>
      </c>
      <c r="BL691">
        <v>5.4</v>
      </c>
      <c r="BM691">
        <v>0.9</v>
      </c>
      <c r="BN691">
        <v>4.5999999999999996</v>
      </c>
      <c r="BO691">
        <v>2.1</v>
      </c>
      <c r="BP691">
        <f t="shared" si="20"/>
        <v>89.167017368972608</v>
      </c>
      <c r="BQ691">
        <f t="shared" si="21"/>
        <v>18.670679527544923</v>
      </c>
    </row>
    <row r="692" spans="1:69" hidden="1" x14ac:dyDescent="0.2">
      <c r="A692" t="s">
        <v>3785</v>
      </c>
      <c r="B692" t="s">
        <v>68</v>
      </c>
      <c r="C692" t="s">
        <v>3294</v>
      </c>
      <c r="D692" t="s">
        <v>70</v>
      </c>
      <c r="E692" t="s">
        <v>102</v>
      </c>
      <c r="F692">
        <v>5</v>
      </c>
      <c r="G692">
        <v>32.950000000000003</v>
      </c>
      <c r="H692">
        <v>1</v>
      </c>
      <c r="I692">
        <v>1</v>
      </c>
      <c r="J692">
        <v>1</v>
      </c>
      <c r="K692" t="s">
        <v>110</v>
      </c>
      <c r="L692" t="s">
        <v>162</v>
      </c>
      <c r="M692" s="4">
        <v>350000000</v>
      </c>
      <c r="N692">
        <v>0</v>
      </c>
      <c r="O692">
        <v>4.6134465999999996</v>
      </c>
      <c r="P692">
        <v>-74.094748999999993</v>
      </c>
      <c r="Q692" t="s">
        <v>3786</v>
      </c>
      <c r="R692">
        <v>10622154.779999999</v>
      </c>
      <c r="S692">
        <v>0</v>
      </c>
      <c r="T692" t="s">
        <v>504</v>
      </c>
      <c r="U692" t="s">
        <v>505</v>
      </c>
      <c r="V692" t="s">
        <v>77</v>
      </c>
      <c r="W692" t="s">
        <v>88</v>
      </c>
      <c r="X692" t="s">
        <v>506</v>
      </c>
      <c r="Y692">
        <v>2.30753530047458</v>
      </c>
      <c r="Z692">
        <v>2307.5353004745798</v>
      </c>
      <c r="AA692">
        <v>4.6085000000000003</v>
      </c>
      <c r="AB692">
        <v>-74.114944444444404</v>
      </c>
      <c r="AC692">
        <v>2559</v>
      </c>
      <c r="AD692">
        <v>0</v>
      </c>
      <c r="AE692" t="s">
        <v>80</v>
      </c>
      <c r="AF692" t="s">
        <v>507</v>
      </c>
      <c r="AG692" t="s">
        <v>82</v>
      </c>
      <c r="AH692" t="s">
        <v>83</v>
      </c>
      <c r="AI692" t="s">
        <v>288</v>
      </c>
      <c r="AJ692">
        <v>0.21804062815622899</v>
      </c>
      <c r="AK692">
        <v>3.3620400069638601</v>
      </c>
      <c r="AL692">
        <v>1.39688223072769</v>
      </c>
      <c r="AM692">
        <v>0.304520844627369</v>
      </c>
      <c r="AN692">
        <v>0.84283046839257603</v>
      </c>
      <c r="AO692">
        <v>7.6674454561057395E-4</v>
      </c>
      <c r="AP692">
        <v>7.6674454561057395E-4</v>
      </c>
      <c r="AQ692">
        <v>3</v>
      </c>
      <c r="AR692">
        <v>6</v>
      </c>
      <c r="AS692">
        <v>0</v>
      </c>
      <c r="AT692">
        <v>0</v>
      </c>
      <c r="AU692">
        <v>0</v>
      </c>
      <c r="AV692">
        <v>8</v>
      </c>
      <c r="AW692">
        <v>2</v>
      </c>
      <c r="AX692">
        <v>0</v>
      </c>
      <c r="AY692">
        <v>16.600000000000001</v>
      </c>
      <c r="AZ692">
        <v>101.7</v>
      </c>
      <c r="BA692">
        <v>19.899999999999999</v>
      </c>
      <c r="BB692">
        <v>564</v>
      </c>
      <c r="BC692">
        <v>71</v>
      </c>
      <c r="BD692">
        <v>1.7</v>
      </c>
      <c r="BE692">
        <v>185</v>
      </c>
      <c r="BF692">
        <v>0.8</v>
      </c>
      <c r="BG692">
        <v>162</v>
      </c>
      <c r="BH692">
        <v>19.5</v>
      </c>
      <c r="BI692">
        <v>15.6</v>
      </c>
      <c r="BJ692">
        <v>35</v>
      </c>
      <c r="BK692">
        <v>0.68</v>
      </c>
      <c r="BL692">
        <v>5.4</v>
      </c>
      <c r="BM692">
        <v>0.9</v>
      </c>
      <c r="BN692">
        <v>4.5999999999999996</v>
      </c>
      <c r="BO692">
        <v>2.1</v>
      </c>
      <c r="BP692">
        <f t="shared" si="20"/>
        <v>90.722401000219335</v>
      </c>
      <c r="BQ692">
        <f t="shared" si="21"/>
        <v>18.827882532100912</v>
      </c>
    </row>
    <row r="693" spans="1:69" hidden="1" x14ac:dyDescent="0.2">
      <c r="A693" t="s">
        <v>3630</v>
      </c>
      <c r="B693" t="s">
        <v>68</v>
      </c>
      <c r="C693" t="s">
        <v>3294</v>
      </c>
      <c r="D693" t="s">
        <v>70</v>
      </c>
      <c r="E693" t="s">
        <v>2940</v>
      </c>
      <c r="F693">
        <v>3</v>
      </c>
      <c r="G693">
        <v>32.51</v>
      </c>
      <c r="H693">
        <v>1</v>
      </c>
      <c r="I693">
        <v>1</v>
      </c>
      <c r="J693">
        <v>1</v>
      </c>
      <c r="K693" t="s">
        <v>110</v>
      </c>
      <c r="L693" t="s">
        <v>133</v>
      </c>
      <c r="M693" s="4">
        <v>255000000</v>
      </c>
      <c r="N693">
        <v>0</v>
      </c>
      <c r="O693">
        <v>4.5963634999999998</v>
      </c>
      <c r="P693">
        <v>-74.102720000000005</v>
      </c>
      <c r="Q693" t="s">
        <v>3631</v>
      </c>
      <c r="R693">
        <v>7843740.3880000003</v>
      </c>
      <c r="S693">
        <v>0</v>
      </c>
      <c r="T693" t="s">
        <v>504</v>
      </c>
      <c r="U693" t="s">
        <v>505</v>
      </c>
      <c r="V693" t="s">
        <v>77</v>
      </c>
      <c r="W693" t="s">
        <v>88</v>
      </c>
      <c r="X693" t="s">
        <v>506</v>
      </c>
      <c r="Y693">
        <v>1.91446708816788</v>
      </c>
      <c r="Z693">
        <v>1914.4670881678801</v>
      </c>
      <c r="AA693">
        <v>4.6085000000000003</v>
      </c>
      <c r="AB693">
        <v>-74.114944444444404</v>
      </c>
      <c r="AC693">
        <v>2559</v>
      </c>
      <c r="AD693">
        <v>0</v>
      </c>
      <c r="AE693" t="s">
        <v>80</v>
      </c>
      <c r="AF693" t="s">
        <v>507</v>
      </c>
      <c r="AG693" t="s">
        <v>82</v>
      </c>
      <c r="AH693" t="s">
        <v>83</v>
      </c>
      <c r="AI693" t="s">
        <v>308</v>
      </c>
      <c r="AJ693">
        <v>0.58710479773959301</v>
      </c>
      <c r="AK693">
        <v>3.9243609781147502</v>
      </c>
      <c r="AL693">
        <v>1.3961671250883501</v>
      </c>
      <c r="AM693">
        <v>0.381924413066971</v>
      </c>
      <c r="AN693">
        <v>1.1895116059216799</v>
      </c>
      <c r="AO693">
        <v>0.64196684244731295</v>
      </c>
      <c r="AP693">
        <v>0.64196684244731295</v>
      </c>
      <c r="AQ693">
        <v>0</v>
      </c>
      <c r="AR693">
        <v>3</v>
      </c>
      <c r="AS693">
        <v>0</v>
      </c>
      <c r="AT693">
        <v>0</v>
      </c>
      <c r="AU693">
        <v>0</v>
      </c>
      <c r="AV693">
        <v>31</v>
      </c>
      <c r="AW693">
        <v>0</v>
      </c>
      <c r="AX693">
        <v>0</v>
      </c>
      <c r="AY693">
        <v>16.600000000000001</v>
      </c>
      <c r="AZ693">
        <v>101.7</v>
      </c>
      <c r="BA693">
        <v>19.899999999999999</v>
      </c>
      <c r="BB693">
        <v>564</v>
      </c>
      <c r="BC693">
        <v>71</v>
      </c>
      <c r="BD693">
        <v>1.7</v>
      </c>
      <c r="BE693">
        <v>185</v>
      </c>
      <c r="BF693">
        <v>0.8</v>
      </c>
      <c r="BG693">
        <v>162</v>
      </c>
      <c r="BH693">
        <v>19.5</v>
      </c>
      <c r="BI693">
        <v>15.6</v>
      </c>
      <c r="BJ693">
        <v>35</v>
      </c>
      <c r="BK693">
        <v>0.68</v>
      </c>
      <c r="BL693">
        <v>5.4</v>
      </c>
      <c r="BM693">
        <v>0.9</v>
      </c>
      <c r="BN693">
        <v>4.5999999999999996</v>
      </c>
      <c r="BO693">
        <v>2.1</v>
      </c>
      <c r="BP693">
        <f t="shared" si="20"/>
        <v>92.504859862305594</v>
      </c>
      <c r="BQ693">
        <f t="shared" si="21"/>
        <v>19.006338363509443</v>
      </c>
    </row>
    <row r="694" spans="1:69" hidden="1" x14ac:dyDescent="0.2">
      <c r="A694" t="s">
        <v>1673</v>
      </c>
      <c r="B694" t="s">
        <v>68</v>
      </c>
      <c r="C694" t="s">
        <v>69</v>
      </c>
      <c r="D694" t="s">
        <v>70</v>
      </c>
      <c r="E694" t="s">
        <v>1674</v>
      </c>
      <c r="F694">
        <v>3</v>
      </c>
      <c r="G694">
        <v>32.090000000000003</v>
      </c>
      <c r="H694">
        <v>2</v>
      </c>
      <c r="I694">
        <v>1</v>
      </c>
      <c r="J694">
        <v>0</v>
      </c>
      <c r="K694" t="s">
        <v>110</v>
      </c>
      <c r="L694" t="s">
        <v>111</v>
      </c>
      <c r="M694" s="4">
        <v>230000000</v>
      </c>
      <c r="N694">
        <v>0</v>
      </c>
      <c r="O694">
        <v>4.6145210270000003</v>
      </c>
      <c r="P694">
        <v>-74.106285099999994</v>
      </c>
      <c r="Q694" t="s">
        <v>1675</v>
      </c>
      <c r="R694">
        <v>7167341.8509999998</v>
      </c>
      <c r="S694">
        <v>0</v>
      </c>
      <c r="T694" t="s">
        <v>504</v>
      </c>
      <c r="U694" t="s">
        <v>505</v>
      </c>
      <c r="V694" t="s">
        <v>77</v>
      </c>
      <c r="W694" t="s">
        <v>88</v>
      </c>
      <c r="X694" t="s">
        <v>506</v>
      </c>
      <c r="Y694">
        <v>1.17151434759257</v>
      </c>
      <c r="Z694">
        <v>1171.5143475925699</v>
      </c>
      <c r="AA694">
        <v>4.6085000000000003</v>
      </c>
      <c r="AB694">
        <v>-74.114944444444404</v>
      </c>
      <c r="AC694">
        <v>2559</v>
      </c>
      <c r="AD694">
        <v>0</v>
      </c>
      <c r="AE694" t="s">
        <v>80</v>
      </c>
      <c r="AF694" t="s">
        <v>507</v>
      </c>
      <c r="AG694" t="s">
        <v>82</v>
      </c>
      <c r="AH694" t="s">
        <v>83</v>
      </c>
      <c r="AI694" t="s">
        <v>288</v>
      </c>
      <c r="AJ694">
        <v>1.05903055671974</v>
      </c>
      <c r="AK694">
        <v>4.6454341778547299</v>
      </c>
      <c r="AL694">
        <v>2.4360431884323299</v>
      </c>
      <c r="AM694">
        <v>0.58993344576526097</v>
      </c>
      <c r="AN694">
        <v>0.51502446637437505</v>
      </c>
      <c r="AO694">
        <v>0.17588149702575701</v>
      </c>
      <c r="AP694">
        <v>0.17588149702575701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2</v>
      </c>
      <c r="AW694">
        <v>1</v>
      </c>
      <c r="AX694">
        <v>0</v>
      </c>
      <c r="AY694">
        <v>16.600000000000001</v>
      </c>
      <c r="AZ694">
        <v>101.7</v>
      </c>
      <c r="BA694">
        <v>19.899999999999999</v>
      </c>
      <c r="BB694">
        <v>564</v>
      </c>
      <c r="BC694">
        <v>71</v>
      </c>
      <c r="BD694">
        <v>1.7</v>
      </c>
      <c r="BE694">
        <v>185</v>
      </c>
      <c r="BF694">
        <v>0.8</v>
      </c>
      <c r="BG694">
        <v>162</v>
      </c>
      <c r="BH694">
        <v>19.5</v>
      </c>
      <c r="BI694">
        <v>15.6</v>
      </c>
      <c r="BJ694">
        <v>35</v>
      </c>
      <c r="BK694">
        <v>0.68</v>
      </c>
      <c r="BL694">
        <v>5.4</v>
      </c>
      <c r="BM694">
        <v>0.9</v>
      </c>
      <c r="BN694">
        <v>4.5999999999999996</v>
      </c>
      <c r="BO694">
        <v>2.1</v>
      </c>
      <c r="BP694">
        <f t="shared" si="20"/>
        <v>95.970163170170125</v>
      </c>
      <c r="BQ694">
        <f t="shared" si="21"/>
        <v>19.348277305794269</v>
      </c>
    </row>
    <row r="695" spans="1:69" hidden="1" x14ac:dyDescent="0.2">
      <c r="A695" t="s">
        <v>3882</v>
      </c>
      <c r="B695" t="s">
        <v>68</v>
      </c>
      <c r="C695" t="s">
        <v>3294</v>
      </c>
      <c r="D695" t="s">
        <v>70</v>
      </c>
      <c r="E695" t="s">
        <v>1208</v>
      </c>
      <c r="F695">
        <v>3</v>
      </c>
      <c r="G695">
        <v>30.99</v>
      </c>
      <c r="H695">
        <v>1</v>
      </c>
      <c r="I695">
        <v>1</v>
      </c>
      <c r="J695">
        <v>0</v>
      </c>
      <c r="K695" t="s">
        <v>110</v>
      </c>
      <c r="L695" t="s">
        <v>111</v>
      </c>
      <c r="M695" s="4">
        <v>220000000</v>
      </c>
      <c r="N695">
        <v>0</v>
      </c>
      <c r="O695">
        <v>4.6060499999999998</v>
      </c>
      <c r="P695">
        <v>-74.096670000000003</v>
      </c>
      <c r="Q695" t="s">
        <v>3883</v>
      </c>
      <c r="R695">
        <v>7099064.2139999997</v>
      </c>
      <c r="S695">
        <v>0</v>
      </c>
      <c r="T695" t="s">
        <v>504</v>
      </c>
      <c r="U695" t="s">
        <v>505</v>
      </c>
      <c r="V695" t="s">
        <v>77</v>
      </c>
      <c r="W695" t="s">
        <v>88</v>
      </c>
      <c r="X695" t="s">
        <v>506</v>
      </c>
      <c r="Y695">
        <v>2.0459876724487498</v>
      </c>
      <c r="Z695">
        <v>2045.9876724487499</v>
      </c>
      <c r="AA695">
        <v>4.6085000000000003</v>
      </c>
      <c r="AB695">
        <v>-74.114944444444404</v>
      </c>
      <c r="AC695">
        <v>2559</v>
      </c>
      <c r="AD695">
        <v>0</v>
      </c>
      <c r="AE695" t="s">
        <v>80</v>
      </c>
      <c r="AF695" t="s">
        <v>507</v>
      </c>
      <c r="AG695" t="s">
        <v>82</v>
      </c>
      <c r="AH695" t="s">
        <v>83</v>
      </c>
      <c r="AI695" t="s">
        <v>308</v>
      </c>
      <c r="AJ695">
        <v>0.283227606724337</v>
      </c>
      <c r="AK695">
        <v>3.5265450448830702</v>
      </c>
      <c r="AL695">
        <v>1.06890322015136</v>
      </c>
      <c r="AM695">
        <v>0.273379514533442</v>
      </c>
      <c r="AN695">
        <v>0.94700011835684506</v>
      </c>
      <c r="AO695">
        <v>0.42298275420428499</v>
      </c>
      <c r="AP695">
        <v>0.42298275420428499</v>
      </c>
      <c r="AQ695">
        <v>2</v>
      </c>
      <c r="AR695">
        <v>4</v>
      </c>
      <c r="AS695">
        <v>0</v>
      </c>
      <c r="AT695">
        <v>0</v>
      </c>
      <c r="AU695">
        <v>0</v>
      </c>
      <c r="AV695">
        <v>21</v>
      </c>
      <c r="AW695">
        <v>1</v>
      </c>
      <c r="AX695">
        <v>0</v>
      </c>
      <c r="AY695">
        <v>16.600000000000001</v>
      </c>
      <c r="AZ695">
        <v>101.7</v>
      </c>
      <c r="BA695">
        <v>19.899999999999999</v>
      </c>
      <c r="BB695">
        <v>564</v>
      </c>
      <c r="BC695">
        <v>71</v>
      </c>
      <c r="BD695">
        <v>1.7</v>
      </c>
      <c r="BE695">
        <v>185</v>
      </c>
      <c r="BF695">
        <v>0.8</v>
      </c>
      <c r="BG695">
        <v>162</v>
      </c>
      <c r="BH695">
        <v>19.5</v>
      </c>
      <c r="BI695">
        <v>15.6</v>
      </c>
      <c r="BJ695">
        <v>35</v>
      </c>
      <c r="BK695">
        <v>0.68</v>
      </c>
      <c r="BL695">
        <v>5.4</v>
      </c>
      <c r="BM695">
        <v>0.9</v>
      </c>
      <c r="BN695">
        <v>4.5999999999999996</v>
      </c>
      <c r="BO695">
        <v>2.1</v>
      </c>
      <c r="BP695">
        <f t="shared" si="20"/>
        <v>91.904584445366098</v>
      </c>
      <c r="BQ695">
        <f t="shared" si="21"/>
        <v>18.946439554919721</v>
      </c>
    </row>
    <row r="696" spans="1:69" hidden="1" x14ac:dyDescent="0.2">
      <c r="A696" t="s">
        <v>4252</v>
      </c>
      <c r="B696" t="s">
        <v>68</v>
      </c>
      <c r="C696" t="s">
        <v>3294</v>
      </c>
      <c r="D696" t="s">
        <v>70</v>
      </c>
      <c r="E696" t="s">
        <v>4225</v>
      </c>
      <c r="F696">
        <v>3</v>
      </c>
      <c r="G696">
        <v>30</v>
      </c>
      <c r="H696">
        <v>1</v>
      </c>
      <c r="I696">
        <v>1</v>
      </c>
      <c r="J696">
        <v>0</v>
      </c>
      <c r="K696" t="s">
        <v>110</v>
      </c>
      <c r="L696" t="s">
        <v>111</v>
      </c>
      <c r="M696" s="4">
        <v>290000000</v>
      </c>
      <c r="N696">
        <v>0</v>
      </c>
      <c r="O696">
        <v>4.6209600000000002</v>
      </c>
      <c r="P696">
        <v>-74.097319999999996</v>
      </c>
      <c r="Q696" t="s">
        <v>4253</v>
      </c>
      <c r="R696">
        <v>9666666.6669999994</v>
      </c>
      <c r="S696">
        <v>0</v>
      </c>
      <c r="T696" t="s">
        <v>504</v>
      </c>
      <c r="U696" t="s">
        <v>505</v>
      </c>
      <c r="V696" t="s">
        <v>77</v>
      </c>
      <c r="W696" t="s">
        <v>88</v>
      </c>
      <c r="X696" t="s">
        <v>506</v>
      </c>
      <c r="Y696">
        <v>2.3975385536393001</v>
      </c>
      <c r="Z696">
        <v>2397.5385536393001</v>
      </c>
      <c r="AA696">
        <v>4.6085000000000003</v>
      </c>
      <c r="AB696">
        <v>-74.114944444444404</v>
      </c>
      <c r="AC696">
        <v>2559</v>
      </c>
      <c r="AD696">
        <v>0</v>
      </c>
      <c r="AE696" t="s">
        <v>80</v>
      </c>
      <c r="AF696" t="s">
        <v>507</v>
      </c>
      <c r="AG696" t="s">
        <v>82</v>
      </c>
      <c r="AH696" t="s">
        <v>83</v>
      </c>
      <c r="AI696" t="s">
        <v>288</v>
      </c>
      <c r="AJ696">
        <v>0.16694277602486299</v>
      </c>
      <c r="AK696">
        <v>3.7692821349278698</v>
      </c>
      <c r="AL696">
        <v>2.2033412529427201</v>
      </c>
      <c r="AM696">
        <v>0.385300793581074</v>
      </c>
      <c r="AN696">
        <v>0.71095502543294098</v>
      </c>
      <c r="AO696">
        <v>0.186315199705991</v>
      </c>
      <c r="AP696">
        <v>0.186315199705991</v>
      </c>
      <c r="AQ696">
        <v>2</v>
      </c>
      <c r="AR696">
        <v>5</v>
      </c>
      <c r="AS696">
        <v>0</v>
      </c>
      <c r="AT696">
        <v>0</v>
      </c>
      <c r="AU696">
        <v>0</v>
      </c>
      <c r="AV696">
        <v>11</v>
      </c>
      <c r="AW696">
        <v>1</v>
      </c>
      <c r="AX696">
        <v>0</v>
      </c>
      <c r="AY696">
        <v>16.600000000000001</v>
      </c>
      <c r="AZ696">
        <v>101.7</v>
      </c>
      <c r="BA696">
        <v>19.899999999999999</v>
      </c>
      <c r="BB696">
        <v>564</v>
      </c>
      <c r="BC696">
        <v>71</v>
      </c>
      <c r="BD696">
        <v>1.7</v>
      </c>
      <c r="BE696">
        <v>185</v>
      </c>
      <c r="BF696">
        <v>0.8</v>
      </c>
      <c r="BG696">
        <v>162</v>
      </c>
      <c r="BH696">
        <v>19.5</v>
      </c>
      <c r="BI696">
        <v>15.6</v>
      </c>
      <c r="BJ696">
        <v>35</v>
      </c>
      <c r="BK696">
        <v>0.68</v>
      </c>
      <c r="BL696">
        <v>5.4</v>
      </c>
      <c r="BM696">
        <v>0.9</v>
      </c>
      <c r="BN696">
        <v>4.5999999999999996</v>
      </c>
      <c r="BO696">
        <v>2.1</v>
      </c>
      <c r="BP696">
        <f t="shared" si="20"/>
        <v>90.319117108970374</v>
      </c>
      <c r="BQ696">
        <f t="shared" si="21"/>
        <v>18.787256729076365</v>
      </c>
    </row>
    <row r="697" spans="1:69" hidden="1" x14ac:dyDescent="0.2">
      <c r="A697" t="s">
        <v>4549</v>
      </c>
      <c r="B697" t="s">
        <v>68</v>
      </c>
      <c r="C697" t="s">
        <v>3294</v>
      </c>
      <c r="D697" t="s">
        <v>70</v>
      </c>
      <c r="E697" t="s">
        <v>288</v>
      </c>
      <c r="F697">
        <v>3</v>
      </c>
      <c r="G697">
        <v>30</v>
      </c>
      <c r="H697">
        <v>1</v>
      </c>
      <c r="I697">
        <v>1</v>
      </c>
      <c r="J697">
        <v>0</v>
      </c>
      <c r="K697" t="s">
        <v>110</v>
      </c>
      <c r="L697" t="s">
        <v>111</v>
      </c>
      <c r="M697" s="4">
        <v>285000000</v>
      </c>
      <c r="N697">
        <v>0</v>
      </c>
      <c r="O697">
        <v>4.6300410000000003</v>
      </c>
      <c r="P697">
        <v>-74.121403999999998</v>
      </c>
      <c r="Q697" t="s">
        <v>4550</v>
      </c>
      <c r="R697">
        <v>9500000</v>
      </c>
      <c r="S697">
        <v>0</v>
      </c>
      <c r="T697" t="s">
        <v>88</v>
      </c>
      <c r="U697" t="s">
        <v>89</v>
      </c>
      <c r="V697" t="s">
        <v>77</v>
      </c>
      <c r="W697" t="s">
        <v>88</v>
      </c>
      <c r="X697" t="s">
        <v>90</v>
      </c>
      <c r="Y697">
        <v>0.47554866011305602</v>
      </c>
      <c r="Z697">
        <v>475.54866011305597</v>
      </c>
      <c r="AA697">
        <v>4.6317666666666701</v>
      </c>
      <c r="AB697">
        <v>-74.117483333333297</v>
      </c>
      <c r="AC697">
        <v>2590</v>
      </c>
      <c r="AD697">
        <v>10</v>
      </c>
      <c r="AE697" t="s">
        <v>80</v>
      </c>
      <c r="AF697" t="s">
        <v>91</v>
      </c>
      <c r="AG697" t="s">
        <v>82</v>
      </c>
      <c r="AH697" t="s">
        <v>83</v>
      </c>
      <c r="AI697" t="s">
        <v>288</v>
      </c>
      <c r="AJ697">
        <v>0.346694523301528</v>
      </c>
      <c r="AK697">
        <v>5.2172165079142401</v>
      </c>
      <c r="AL697">
        <v>1.2099171004682401</v>
      </c>
      <c r="AM697">
        <v>0.19167162804572599</v>
      </c>
      <c r="AN697">
        <v>2.4518281834284501</v>
      </c>
      <c r="AO697">
        <v>0.185350989137644</v>
      </c>
      <c r="AP697">
        <v>0.185350989137644</v>
      </c>
      <c r="AQ697">
        <v>1</v>
      </c>
      <c r="AR697">
        <v>2</v>
      </c>
      <c r="AS697">
        <v>0</v>
      </c>
      <c r="AT697">
        <v>0</v>
      </c>
      <c r="AU697">
        <v>0</v>
      </c>
      <c r="AV697">
        <v>45</v>
      </c>
      <c r="AW697">
        <v>0</v>
      </c>
      <c r="AX697">
        <v>0</v>
      </c>
      <c r="AY697">
        <v>16.600000000000001</v>
      </c>
      <c r="AZ697">
        <v>101.7</v>
      </c>
      <c r="BA697">
        <v>19.899999999999999</v>
      </c>
      <c r="BB697">
        <v>564</v>
      </c>
      <c r="BC697">
        <v>71</v>
      </c>
      <c r="BD697">
        <v>1.7</v>
      </c>
      <c r="BE697">
        <v>185</v>
      </c>
      <c r="BF697">
        <v>0.8</v>
      </c>
      <c r="BG697">
        <v>162</v>
      </c>
      <c r="BH697">
        <v>19.5</v>
      </c>
      <c r="BI697">
        <v>15.6</v>
      </c>
      <c r="BJ697">
        <v>35</v>
      </c>
      <c r="BK697">
        <v>0.68</v>
      </c>
      <c r="BL697">
        <v>5.4</v>
      </c>
      <c r="BM697">
        <v>0.9</v>
      </c>
      <c r="BN697">
        <v>4.5999999999999996</v>
      </c>
      <c r="BO697">
        <v>2.1</v>
      </c>
      <c r="BP697">
        <f t="shared" si="20"/>
        <v>99.333973691865282</v>
      </c>
      <c r="BQ697">
        <f t="shared" si="21"/>
        <v>19.674169134114472</v>
      </c>
    </row>
    <row r="698" spans="1:69" hidden="1" x14ac:dyDescent="0.2">
      <c r="A698" t="s">
        <v>3859</v>
      </c>
      <c r="B698" t="s">
        <v>68</v>
      </c>
      <c r="C698" t="s">
        <v>3294</v>
      </c>
      <c r="D698" t="s">
        <v>70</v>
      </c>
      <c r="E698" t="s">
        <v>3860</v>
      </c>
      <c r="F698">
        <v>3</v>
      </c>
      <c r="G698">
        <v>30</v>
      </c>
      <c r="H698">
        <v>1</v>
      </c>
      <c r="I698">
        <v>1</v>
      </c>
      <c r="J698">
        <v>0</v>
      </c>
      <c r="K698" t="s">
        <v>110</v>
      </c>
      <c r="L698" t="s">
        <v>133</v>
      </c>
      <c r="M698" s="4">
        <v>173000000</v>
      </c>
      <c r="N698">
        <v>0</v>
      </c>
      <c r="O698">
        <v>4.6061399999999999</v>
      </c>
      <c r="P698">
        <v>-74.108360000000005</v>
      </c>
      <c r="Q698" t="s">
        <v>3861</v>
      </c>
      <c r="R698">
        <v>5766666.6670000004</v>
      </c>
      <c r="S698">
        <v>0</v>
      </c>
      <c r="T698" t="s">
        <v>504</v>
      </c>
      <c r="U698" t="s">
        <v>505</v>
      </c>
      <c r="V698" t="s">
        <v>77</v>
      </c>
      <c r="W698" t="s">
        <v>88</v>
      </c>
      <c r="X698" t="s">
        <v>506</v>
      </c>
      <c r="Y698">
        <v>0.77640671932656302</v>
      </c>
      <c r="Z698">
        <v>776.40671932656301</v>
      </c>
      <c r="AA698">
        <v>4.6085000000000003</v>
      </c>
      <c r="AB698">
        <v>-74.114944444444404</v>
      </c>
      <c r="AC698">
        <v>2559</v>
      </c>
      <c r="AD698">
        <v>0</v>
      </c>
      <c r="AE698" t="s">
        <v>80</v>
      </c>
      <c r="AF698" t="s">
        <v>507</v>
      </c>
      <c r="AG698" t="s">
        <v>82</v>
      </c>
      <c r="AH698" t="s">
        <v>83</v>
      </c>
      <c r="AI698" t="s">
        <v>288</v>
      </c>
      <c r="AJ698">
        <v>0.80560901363246595</v>
      </c>
      <c r="AK698">
        <v>4.7803840340352401</v>
      </c>
      <c r="AL698">
        <v>2.3389846220011399</v>
      </c>
      <c r="AM698">
        <v>0.36493195436348702</v>
      </c>
      <c r="AN698">
        <v>1.40603775205335</v>
      </c>
      <c r="AO698">
        <v>0.89568407142957496</v>
      </c>
      <c r="AP698">
        <v>0.89568407142957496</v>
      </c>
      <c r="AQ698">
        <v>0</v>
      </c>
      <c r="AR698">
        <v>2</v>
      </c>
      <c r="AS698">
        <v>0</v>
      </c>
      <c r="AT698">
        <v>0</v>
      </c>
      <c r="AU698">
        <v>0</v>
      </c>
      <c r="AV698">
        <v>14</v>
      </c>
      <c r="AW698">
        <v>0</v>
      </c>
      <c r="AX698">
        <v>0</v>
      </c>
      <c r="AY698">
        <v>16.600000000000001</v>
      </c>
      <c r="AZ698">
        <v>101.7</v>
      </c>
      <c r="BA698">
        <v>19.899999999999999</v>
      </c>
      <c r="BB698">
        <v>564</v>
      </c>
      <c r="BC698">
        <v>71</v>
      </c>
      <c r="BD698">
        <v>1.7</v>
      </c>
      <c r="BE698">
        <v>185</v>
      </c>
      <c r="BF698">
        <v>0.8</v>
      </c>
      <c r="BG698">
        <v>162</v>
      </c>
      <c r="BH698">
        <v>19.5</v>
      </c>
      <c r="BI698">
        <v>15.6</v>
      </c>
      <c r="BJ698">
        <v>35</v>
      </c>
      <c r="BK698">
        <v>0.68</v>
      </c>
      <c r="BL698">
        <v>5.4</v>
      </c>
      <c r="BM698">
        <v>0.9</v>
      </c>
      <c r="BN698">
        <v>4.5999999999999996</v>
      </c>
      <c r="BO698">
        <v>2.1</v>
      </c>
      <c r="BP698">
        <f t="shared" si="20"/>
        <v>97.86560603023932</v>
      </c>
      <c r="BQ698">
        <f t="shared" si="21"/>
        <v>19.53262160147781</v>
      </c>
    </row>
    <row r="699" spans="1:69" hidden="1" x14ac:dyDescent="0.2">
      <c r="A699" t="s">
        <v>4236</v>
      </c>
      <c r="B699" t="s">
        <v>68</v>
      </c>
      <c r="C699" t="s">
        <v>3294</v>
      </c>
      <c r="D699" t="s">
        <v>70</v>
      </c>
      <c r="E699" t="s">
        <v>3333</v>
      </c>
      <c r="F699">
        <v>3</v>
      </c>
      <c r="G699">
        <v>28</v>
      </c>
      <c r="H699">
        <v>1</v>
      </c>
      <c r="I699">
        <v>1</v>
      </c>
      <c r="J699">
        <v>0</v>
      </c>
      <c r="K699" t="s">
        <v>110</v>
      </c>
      <c r="L699" t="s">
        <v>111</v>
      </c>
      <c r="M699" s="4">
        <v>285000000</v>
      </c>
      <c r="N699">
        <v>0</v>
      </c>
      <c r="O699">
        <v>4.6548999999999996</v>
      </c>
      <c r="P699">
        <v>-74.117869999999996</v>
      </c>
      <c r="Q699" t="s">
        <v>4237</v>
      </c>
      <c r="R699">
        <v>10178571.43</v>
      </c>
      <c r="S699">
        <v>0</v>
      </c>
      <c r="T699" t="s">
        <v>88</v>
      </c>
      <c r="U699" t="s">
        <v>89</v>
      </c>
      <c r="V699" t="s">
        <v>77</v>
      </c>
      <c r="W699" t="s">
        <v>88</v>
      </c>
      <c r="X699" t="s">
        <v>90</v>
      </c>
      <c r="Y699">
        <v>2.5755482346260998</v>
      </c>
      <c r="Z699">
        <v>2575.5482346261001</v>
      </c>
      <c r="AA699">
        <v>4.6317666666666701</v>
      </c>
      <c r="AB699">
        <v>-74.117483333333297</v>
      </c>
      <c r="AC699">
        <v>2590</v>
      </c>
      <c r="AD699">
        <v>10</v>
      </c>
      <c r="AE699" t="s">
        <v>80</v>
      </c>
      <c r="AF699" t="s">
        <v>91</v>
      </c>
      <c r="AG699" t="s">
        <v>82</v>
      </c>
      <c r="AH699" t="s">
        <v>83</v>
      </c>
      <c r="AI699" t="s">
        <v>92</v>
      </c>
      <c r="AJ699">
        <v>1.2743011794272801</v>
      </c>
      <c r="AK699">
        <v>4.4722360459010497</v>
      </c>
      <c r="AL699">
        <v>1.27094407129919</v>
      </c>
      <c r="AM699">
        <v>0.37044015331984098</v>
      </c>
      <c r="AN699">
        <v>0.55664427708175801</v>
      </c>
      <c r="AO699">
        <v>0.33278610776345302</v>
      </c>
      <c r="AP699">
        <v>0.33278610776345302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18</v>
      </c>
      <c r="AW699">
        <v>1</v>
      </c>
      <c r="AX699">
        <v>0</v>
      </c>
      <c r="AY699">
        <v>16.600000000000001</v>
      </c>
      <c r="AZ699">
        <v>101.7</v>
      </c>
      <c r="BA699">
        <v>19.899999999999999</v>
      </c>
      <c r="BB699">
        <v>564</v>
      </c>
      <c r="BC699">
        <v>71</v>
      </c>
      <c r="BD699">
        <v>1.7</v>
      </c>
      <c r="BE699">
        <v>185</v>
      </c>
      <c r="BF699">
        <v>0.8</v>
      </c>
      <c r="BG699">
        <v>162</v>
      </c>
      <c r="BH699">
        <v>19.5</v>
      </c>
      <c r="BI699">
        <v>15.6</v>
      </c>
      <c r="BJ699">
        <v>35</v>
      </c>
      <c r="BK699">
        <v>0.68</v>
      </c>
      <c r="BL699">
        <v>5.4</v>
      </c>
      <c r="BM699">
        <v>0.9</v>
      </c>
      <c r="BN699">
        <v>4.5999999999999996</v>
      </c>
      <c r="BO699">
        <v>2.1</v>
      </c>
      <c r="BP699">
        <f t="shared" si="20"/>
        <v>89.526768096462717</v>
      </c>
      <c r="BQ699">
        <f t="shared" si="21"/>
        <v>18.70716441154422</v>
      </c>
    </row>
    <row r="700" spans="1:69" hidden="1" x14ac:dyDescent="0.2">
      <c r="A700" t="s">
        <v>3309</v>
      </c>
      <c r="B700" t="s">
        <v>68</v>
      </c>
      <c r="C700" t="s">
        <v>3294</v>
      </c>
      <c r="D700" t="s">
        <v>70</v>
      </c>
      <c r="E700" t="s">
        <v>3310</v>
      </c>
      <c r="F700">
        <v>3</v>
      </c>
      <c r="G700">
        <v>28</v>
      </c>
      <c r="H700">
        <v>1</v>
      </c>
      <c r="I700">
        <v>1</v>
      </c>
      <c r="J700">
        <v>0</v>
      </c>
      <c r="K700" t="s">
        <v>110</v>
      </c>
      <c r="L700" t="s">
        <v>111</v>
      </c>
      <c r="M700" s="4">
        <v>275000000</v>
      </c>
      <c r="N700">
        <v>0</v>
      </c>
      <c r="O700">
        <v>4.6524725</v>
      </c>
      <c r="P700">
        <v>-74.114769999999993</v>
      </c>
      <c r="Q700" t="s">
        <v>3311</v>
      </c>
      <c r="R700">
        <v>9821428.5710000005</v>
      </c>
      <c r="S700">
        <v>0</v>
      </c>
      <c r="T700" t="s">
        <v>88</v>
      </c>
      <c r="U700" t="s">
        <v>89</v>
      </c>
      <c r="V700" t="s">
        <v>77</v>
      </c>
      <c r="W700" t="s">
        <v>88</v>
      </c>
      <c r="X700" t="s">
        <v>90</v>
      </c>
      <c r="Y700">
        <v>2.3245404642750702</v>
      </c>
      <c r="Z700">
        <v>2324.54046427507</v>
      </c>
      <c r="AA700">
        <v>4.6317666666666701</v>
      </c>
      <c r="AB700">
        <v>-74.117483333333297</v>
      </c>
      <c r="AC700">
        <v>2590</v>
      </c>
      <c r="AD700">
        <v>10</v>
      </c>
      <c r="AE700" t="s">
        <v>80</v>
      </c>
      <c r="AF700" t="s">
        <v>91</v>
      </c>
      <c r="AG700" t="s">
        <v>82</v>
      </c>
      <c r="AH700" t="s">
        <v>83</v>
      </c>
      <c r="AI700" t="s">
        <v>92</v>
      </c>
      <c r="AJ700">
        <v>1.13193371180297</v>
      </c>
      <c r="AK700">
        <v>4.8513249352361401</v>
      </c>
      <c r="AL700">
        <v>1.0653099201926599</v>
      </c>
      <c r="AM700">
        <v>0.31484282038205502</v>
      </c>
      <c r="AN700">
        <v>0.15046646864369201</v>
      </c>
      <c r="AO700">
        <v>0.113057707802848</v>
      </c>
      <c r="AP700">
        <v>0.113057707802848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28</v>
      </c>
      <c r="AW700">
        <v>1</v>
      </c>
      <c r="AX700">
        <v>0</v>
      </c>
      <c r="AY700">
        <v>16.600000000000001</v>
      </c>
      <c r="AZ700">
        <v>101.7</v>
      </c>
      <c r="BA700">
        <v>19.899999999999999</v>
      </c>
      <c r="BB700">
        <v>564</v>
      </c>
      <c r="BC700">
        <v>71</v>
      </c>
      <c r="BD700">
        <v>1.7</v>
      </c>
      <c r="BE700">
        <v>185</v>
      </c>
      <c r="BF700">
        <v>0.8</v>
      </c>
      <c r="BG700">
        <v>162</v>
      </c>
      <c r="BH700">
        <v>19.5</v>
      </c>
      <c r="BI700">
        <v>15.6</v>
      </c>
      <c r="BJ700">
        <v>35</v>
      </c>
      <c r="BK700">
        <v>0.68</v>
      </c>
      <c r="BL700">
        <v>5.4</v>
      </c>
      <c r="BM700">
        <v>0.9</v>
      </c>
      <c r="BN700">
        <v>4.5999999999999996</v>
      </c>
      <c r="BO700">
        <v>2.1</v>
      </c>
      <c r="BP700">
        <f t="shared" si="20"/>
        <v>90.646067042170756</v>
      </c>
      <c r="BQ700">
        <f t="shared" si="21"/>
        <v>18.820199990486696</v>
      </c>
    </row>
    <row r="701" spans="1:69" hidden="1" x14ac:dyDescent="0.2">
      <c r="A701" t="s">
        <v>3483</v>
      </c>
      <c r="B701" t="s">
        <v>68</v>
      </c>
      <c r="C701" t="s">
        <v>3294</v>
      </c>
      <c r="D701" t="s">
        <v>70</v>
      </c>
      <c r="E701" t="s">
        <v>1674</v>
      </c>
      <c r="F701">
        <v>3</v>
      </c>
      <c r="G701">
        <v>27</v>
      </c>
      <c r="H701">
        <v>1</v>
      </c>
      <c r="I701">
        <v>1</v>
      </c>
      <c r="J701">
        <v>1</v>
      </c>
      <c r="K701" t="s">
        <v>110</v>
      </c>
      <c r="L701" t="s">
        <v>111</v>
      </c>
      <c r="M701" s="4">
        <v>195000000</v>
      </c>
      <c r="N701">
        <v>0</v>
      </c>
      <c r="O701">
        <v>4.6149020199999997</v>
      </c>
      <c r="P701">
        <v>-74.114097599999994</v>
      </c>
      <c r="Q701" t="s">
        <v>3484</v>
      </c>
      <c r="R701">
        <v>7222222.2220000001</v>
      </c>
      <c r="S701">
        <v>0</v>
      </c>
      <c r="T701" t="s">
        <v>504</v>
      </c>
      <c r="U701" t="s">
        <v>505</v>
      </c>
      <c r="V701" t="s">
        <v>77</v>
      </c>
      <c r="W701" t="s">
        <v>88</v>
      </c>
      <c r="X701" t="s">
        <v>506</v>
      </c>
      <c r="Y701">
        <v>0.71883753807395101</v>
      </c>
      <c r="Z701">
        <v>718.83753807395101</v>
      </c>
      <c r="AA701">
        <v>4.6085000000000003</v>
      </c>
      <c r="AB701">
        <v>-74.114944444444404</v>
      </c>
      <c r="AC701">
        <v>2559</v>
      </c>
      <c r="AD701">
        <v>0</v>
      </c>
      <c r="AE701" t="s">
        <v>80</v>
      </c>
      <c r="AF701" t="s">
        <v>507</v>
      </c>
      <c r="AG701" t="s">
        <v>82</v>
      </c>
      <c r="AH701" t="s">
        <v>83</v>
      </c>
      <c r="AI701" t="s">
        <v>288</v>
      </c>
      <c r="AJ701">
        <v>1.4578296537306401</v>
      </c>
      <c r="AK701">
        <v>5.5102716624155299</v>
      </c>
      <c r="AL701">
        <v>3.0241666710869102</v>
      </c>
      <c r="AM701">
        <v>0.27993196438872098</v>
      </c>
      <c r="AN701">
        <v>1.2910748428949901</v>
      </c>
      <c r="AO701">
        <v>0.21791078866764799</v>
      </c>
      <c r="AP701">
        <v>0.21791078866764799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5</v>
      </c>
      <c r="AW701">
        <v>0</v>
      </c>
      <c r="AX701">
        <v>0</v>
      </c>
      <c r="AY701">
        <v>16.600000000000001</v>
      </c>
      <c r="AZ701">
        <v>101.7</v>
      </c>
      <c r="BA701">
        <v>19.899999999999999</v>
      </c>
      <c r="BB701">
        <v>564</v>
      </c>
      <c r="BC701">
        <v>71</v>
      </c>
      <c r="BD701">
        <v>1.7</v>
      </c>
      <c r="BE701">
        <v>185</v>
      </c>
      <c r="BF701">
        <v>0.8</v>
      </c>
      <c r="BG701">
        <v>162</v>
      </c>
      <c r="BH701">
        <v>19.5</v>
      </c>
      <c r="BI701">
        <v>15.6</v>
      </c>
      <c r="BJ701">
        <v>35</v>
      </c>
      <c r="BK701">
        <v>0.68</v>
      </c>
      <c r="BL701">
        <v>5.4</v>
      </c>
      <c r="BM701">
        <v>0.9</v>
      </c>
      <c r="BN701">
        <v>4.5999999999999996</v>
      </c>
      <c r="BO701">
        <v>2.1</v>
      </c>
      <c r="BP701">
        <f t="shared" si="20"/>
        <v>98.144888893056859</v>
      </c>
      <c r="BQ701">
        <f t="shared" si="21"/>
        <v>19.559627702610737</v>
      </c>
    </row>
    <row r="702" spans="1:69" hidden="1" x14ac:dyDescent="0.2">
      <c r="A702" t="s">
        <v>4224</v>
      </c>
      <c r="B702" t="s">
        <v>68</v>
      </c>
      <c r="C702" t="s">
        <v>3294</v>
      </c>
      <c r="D702" t="s">
        <v>70</v>
      </c>
      <c r="E702" t="s">
        <v>4225</v>
      </c>
      <c r="F702">
        <v>3</v>
      </c>
      <c r="G702">
        <v>26.62</v>
      </c>
      <c r="H702">
        <v>1</v>
      </c>
      <c r="I702">
        <v>1</v>
      </c>
      <c r="J702">
        <v>0</v>
      </c>
      <c r="K702" t="s">
        <v>110</v>
      </c>
      <c r="L702" t="s">
        <v>111</v>
      </c>
      <c r="M702" s="4">
        <v>295000000</v>
      </c>
      <c r="N702">
        <v>0</v>
      </c>
      <c r="O702">
        <v>4.6205811499999996</v>
      </c>
      <c r="P702">
        <v>-74.0981369</v>
      </c>
      <c r="Q702" t="s">
        <v>4226</v>
      </c>
      <c r="R702">
        <v>11081893.310000001</v>
      </c>
      <c r="S702">
        <v>0</v>
      </c>
      <c r="T702" t="s">
        <v>504</v>
      </c>
      <c r="U702" t="s">
        <v>505</v>
      </c>
      <c r="V702" t="s">
        <v>77</v>
      </c>
      <c r="W702" t="s">
        <v>88</v>
      </c>
      <c r="X702" t="s">
        <v>506</v>
      </c>
      <c r="Y702">
        <v>2.2992778579692801</v>
      </c>
      <c r="Z702">
        <v>2299.2778579692799</v>
      </c>
      <c r="AA702">
        <v>4.6085000000000003</v>
      </c>
      <c r="AB702">
        <v>-74.114944444444404</v>
      </c>
      <c r="AC702">
        <v>2559</v>
      </c>
      <c r="AD702">
        <v>0</v>
      </c>
      <c r="AE702" t="s">
        <v>80</v>
      </c>
      <c r="AF702" t="s">
        <v>507</v>
      </c>
      <c r="AG702" t="s">
        <v>82</v>
      </c>
      <c r="AH702" t="s">
        <v>83</v>
      </c>
      <c r="AI702" t="s">
        <v>288</v>
      </c>
      <c r="AJ702">
        <v>6.7148026834992797E-2</v>
      </c>
      <c r="AK702">
        <v>3.8506174629754599</v>
      </c>
      <c r="AL702">
        <v>2.2625055241488199</v>
      </c>
      <c r="AM702">
        <v>0.40456375709284897</v>
      </c>
      <c r="AN702">
        <v>0.61206504604721301</v>
      </c>
      <c r="AO702">
        <v>8.7824911363001898E-2</v>
      </c>
      <c r="AP702">
        <v>8.7824911363001898E-2</v>
      </c>
      <c r="AQ702">
        <v>2</v>
      </c>
      <c r="AR702">
        <v>4</v>
      </c>
      <c r="AS702">
        <v>0</v>
      </c>
      <c r="AT702">
        <v>0</v>
      </c>
      <c r="AU702">
        <v>0</v>
      </c>
      <c r="AV702">
        <v>9</v>
      </c>
      <c r="AW702">
        <v>1</v>
      </c>
      <c r="AX702">
        <v>0</v>
      </c>
      <c r="AY702">
        <v>16.600000000000001</v>
      </c>
      <c r="AZ702">
        <v>101.7</v>
      </c>
      <c r="BA702">
        <v>19.899999999999999</v>
      </c>
      <c r="BB702">
        <v>564</v>
      </c>
      <c r="BC702">
        <v>71</v>
      </c>
      <c r="BD702">
        <v>1.7</v>
      </c>
      <c r="BE702">
        <v>185</v>
      </c>
      <c r="BF702">
        <v>0.8</v>
      </c>
      <c r="BG702">
        <v>162</v>
      </c>
      <c r="BH702">
        <v>19.5</v>
      </c>
      <c r="BI702">
        <v>15.6</v>
      </c>
      <c r="BJ702">
        <v>35</v>
      </c>
      <c r="BK702">
        <v>0.68</v>
      </c>
      <c r="BL702">
        <v>5.4</v>
      </c>
      <c r="BM702">
        <v>0.9</v>
      </c>
      <c r="BN702">
        <v>4.5999999999999996</v>
      </c>
      <c r="BO702">
        <v>2.1</v>
      </c>
      <c r="BP702">
        <f t="shared" si="20"/>
        <v>90.759490762805854</v>
      </c>
      <c r="BQ702">
        <f t="shared" si="21"/>
        <v>18.8316141856358</v>
      </c>
    </row>
    <row r="703" spans="1:69" hidden="1" x14ac:dyDescent="0.2">
      <c r="A703" t="s">
        <v>4640</v>
      </c>
      <c r="B703" t="s">
        <v>68</v>
      </c>
      <c r="C703" t="s">
        <v>3294</v>
      </c>
      <c r="D703" t="s">
        <v>70</v>
      </c>
      <c r="E703" t="s">
        <v>4641</v>
      </c>
      <c r="F703">
        <v>3</v>
      </c>
      <c r="G703">
        <v>26.62</v>
      </c>
      <c r="H703">
        <v>1</v>
      </c>
      <c r="I703">
        <v>1</v>
      </c>
      <c r="J703">
        <v>0</v>
      </c>
      <c r="K703" t="s">
        <v>110</v>
      </c>
      <c r="L703" t="s">
        <v>111</v>
      </c>
      <c r="M703" s="4">
        <v>295000000</v>
      </c>
      <c r="N703">
        <v>0</v>
      </c>
      <c r="O703">
        <v>4.6199946399999998</v>
      </c>
      <c r="P703">
        <v>-74.099670410000002</v>
      </c>
      <c r="Q703" t="s">
        <v>4642</v>
      </c>
      <c r="R703">
        <v>11081893.310000001</v>
      </c>
      <c r="S703">
        <v>0</v>
      </c>
      <c r="T703" t="s">
        <v>504</v>
      </c>
      <c r="U703" t="s">
        <v>505</v>
      </c>
      <c r="V703" t="s">
        <v>77</v>
      </c>
      <c r="W703" t="s">
        <v>88</v>
      </c>
      <c r="X703" t="s">
        <v>506</v>
      </c>
      <c r="Y703">
        <v>2.1235868637799298</v>
      </c>
      <c r="Z703">
        <v>2123.5868637799299</v>
      </c>
      <c r="AA703">
        <v>4.6085000000000003</v>
      </c>
      <c r="AB703">
        <v>-74.114944444444404</v>
      </c>
      <c r="AC703">
        <v>2559</v>
      </c>
      <c r="AD703">
        <v>0</v>
      </c>
      <c r="AE703" t="s">
        <v>80</v>
      </c>
      <c r="AF703" t="s">
        <v>507</v>
      </c>
      <c r="AG703" t="s">
        <v>82</v>
      </c>
      <c r="AH703" t="s">
        <v>83</v>
      </c>
      <c r="AI703" t="s">
        <v>288</v>
      </c>
      <c r="AJ703">
        <v>0.11510411100667201</v>
      </c>
      <c r="AK703">
        <v>4.0076499358316902</v>
      </c>
      <c r="AL703">
        <v>2.3029788723361699</v>
      </c>
      <c r="AM703">
        <v>0.466398623509931</v>
      </c>
      <c r="AN703">
        <v>0.43595011600635403</v>
      </c>
      <c r="AO703">
        <v>5.8019667235574598E-2</v>
      </c>
      <c r="AP703">
        <v>5.8019667235574598E-2</v>
      </c>
      <c r="AQ703">
        <v>2</v>
      </c>
      <c r="AR703">
        <v>4</v>
      </c>
      <c r="AS703">
        <v>0</v>
      </c>
      <c r="AT703">
        <v>0</v>
      </c>
      <c r="AU703">
        <v>0</v>
      </c>
      <c r="AV703">
        <v>6</v>
      </c>
      <c r="AW703">
        <v>1</v>
      </c>
      <c r="AX703">
        <v>0</v>
      </c>
      <c r="AY703">
        <v>16.600000000000001</v>
      </c>
      <c r="AZ703">
        <v>101.7</v>
      </c>
      <c r="BA703">
        <v>19.899999999999999</v>
      </c>
      <c r="BB703">
        <v>564</v>
      </c>
      <c r="BC703">
        <v>71</v>
      </c>
      <c r="BD703">
        <v>1.7</v>
      </c>
      <c r="BE703">
        <v>185</v>
      </c>
      <c r="BF703">
        <v>0.8</v>
      </c>
      <c r="BG703">
        <v>162</v>
      </c>
      <c r="BH703">
        <v>19.5</v>
      </c>
      <c r="BI703">
        <v>15.6</v>
      </c>
      <c r="BJ703">
        <v>35</v>
      </c>
      <c r="BK703">
        <v>0.68</v>
      </c>
      <c r="BL703">
        <v>5.4</v>
      </c>
      <c r="BM703">
        <v>0.9</v>
      </c>
      <c r="BN703">
        <v>4.5999999999999996</v>
      </c>
      <c r="BO703">
        <v>2.1</v>
      </c>
      <c r="BP703">
        <f t="shared" si="20"/>
        <v>91.552241370730798</v>
      </c>
      <c r="BQ703">
        <f t="shared" si="21"/>
        <v>18.911186910715678</v>
      </c>
    </row>
    <row r="704" spans="1:69" hidden="1" x14ac:dyDescent="0.2">
      <c r="A704" t="s">
        <v>1108</v>
      </c>
      <c r="B704" t="s">
        <v>68</v>
      </c>
      <c r="C704" t="s">
        <v>69</v>
      </c>
      <c r="D704" t="s">
        <v>70</v>
      </c>
      <c r="E704" t="s">
        <v>1109</v>
      </c>
      <c r="F704">
        <v>3</v>
      </c>
      <c r="G704">
        <v>26</v>
      </c>
      <c r="H704">
        <v>1</v>
      </c>
      <c r="I704">
        <v>1</v>
      </c>
      <c r="J704">
        <v>0</v>
      </c>
      <c r="K704" t="s">
        <v>110</v>
      </c>
      <c r="L704" t="s">
        <v>111</v>
      </c>
      <c r="M704" s="4">
        <v>260000000</v>
      </c>
      <c r="N704">
        <v>0</v>
      </c>
      <c r="O704">
        <v>4.6294427000000002</v>
      </c>
      <c r="P704">
        <v>-74.121729999999999</v>
      </c>
      <c r="Q704" t="s">
        <v>1110</v>
      </c>
      <c r="R704">
        <v>10000000</v>
      </c>
      <c r="S704">
        <v>0</v>
      </c>
      <c r="T704" t="s">
        <v>88</v>
      </c>
      <c r="U704" t="s">
        <v>89</v>
      </c>
      <c r="V704" t="s">
        <v>77</v>
      </c>
      <c r="W704" t="s">
        <v>88</v>
      </c>
      <c r="X704" t="s">
        <v>90</v>
      </c>
      <c r="Y704">
        <v>0.53754129474474999</v>
      </c>
      <c r="Z704">
        <v>537.54129474474996</v>
      </c>
      <c r="AA704">
        <v>4.6317666666666701</v>
      </c>
      <c r="AB704">
        <v>-74.117483333333297</v>
      </c>
      <c r="AC704">
        <v>2590</v>
      </c>
      <c r="AD704">
        <v>10</v>
      </c>
      <c r="AE704" t="s">
        <v>80</v>
      </c>
      <c r="AF704" t="s">
        <v>91</v>
      </c>
      <c r="AG704" t="s">
        <v>82</v>
      </c>
      <c r="AH704" t="s">
        <v>83</v>
      </c>
      <c r="AI704" t="s">
        <v>288</v>
      </c>
      <c r="AJ704">
        <v>0.35399472938465898</v>
      </c>
      <c r="AK704">
        <v>5.2314287437130602</v>
      </c>
      <c r="AL704">
        <v>1.2727577125043701</v>
      </c>
      <c r="AM704">
        <v>0.154042461416878</v>
      </c>
      <c r="AN704">
        <v>2.48029832043416</v>
      </c>
      <c r="AO704">
        <v>0.25191701468262201</v>
      </c>
      <c r="AP704">
        <v>0.25191701468262201</v>
      </c>
      <c r="AQ704">
        <v>1</v>
      </c>
      <c r="AR704">
        <v>2</v>
      </c>
      <c r="AS704">
        <v>0</v>
      </c>
      <c r="AT704">
        <v>0</v>
      </c>
      <c r="AU704">
        <v>0</v>
      </c>
      <c r="AV704">
        <v>44</v>
      </c>
      <c r="AW704">
        <v>0</v>
      </c>
      <c r="AX704">
        <v>0</v>
      </c>
      <c r="AY704">
        <v>16.600000000000001</v>
      </c>
      <c r="AZ704">
        <v>101.7</v>
      </c>
      <c r="BA704">
        <v>19.899999999999999</v>
      </c>
      <c r="BB704">
        <v>564</v>
      </c>
      <c r="BC704">
        <v>71</v>
      </c>
      <c r="BD704">
        <v>1.7</v>
      </c>
      <c r="BE704">
        <v>185</v>
      </c>
      <c r="BF704">
        <v>0.8</v>
      </c>
      <c r="BG704">
        <v>162</v>
      </c>
      <c r="BH704">
        <v>19.5</v>
      </c>
      <c r="BI704">
        <v>15.6</v>
      </c>
      <c r="BJ704">
        <v>35</v>
      </c>
      <c r="BK704">
        <v>0.68</v>
      </c>
      <c r="BL704">
        <v>5.4</v>
      </c>
      <c r="BM704">
        <v>0.9</v>
      </c>
      <c r="BN704">
        <v>4.5999999999999996</v>
      </c>
      <c r="BO704">
        <v>2.1</v>
      </c>
      <c r="BP704">
        <f t="shared" si="20"/>
        <v>99.02962115466994</v>
      </c>
      <c r="BQ704">
        <f t="shared" si="21"/>
        <v>19.64491921297472</v>
      </c>
    </row>
    <row r="705" spans="1:69" hidden="1" x14ac:dyDescent="0.2">
      <c r="A705" t="s">
        <v>3746</v>
      </c>
      <c r="B705" t="s">
        <v>68</v>
      </c>
      <c r="C705" t="s">
        <v>3294</v>
      </c>
      <c r="D705" t="s">
        <v>70</v>
      </c>
      <c r="E705" t="s">
        <v>2986</v>
      </c>
      <c r="F705">
        <v>3</v>
      </c>
      <c r="G705">
        <v>24</v>
      </c>
      <c r="H705">
        <v>1</v>
      </c>
      <c r="I705">
        <v>1</v>
      </c>
      <c r="J705">
        <v>0</v>
      </c>
      <c r="K705" t="s">
        <v>110</v>
      </c>
      <c r="L705" t="s">
        <v>133</v>
      </c>
      <c r="M705" s="4">
        <v>185000000</v>
      </c>
      <c r="N705">
        <v>0</v>
      </c>
      <c r="O705">
        <v>4.6046699999999996</v>
      </c>
      <c r="P705">
        <v>-74.10078</v>
      </c>
      <c r="Q705" t="s">
        <v>3747</v>
      </c>
      <c r="R705">
        <v>7708333.3329999996</v>
      </c>
      <c r="S705">
        <v>0</v>
      </c>
      <c r="T705" t="s">
        <v>504</v>
      </c>
      <c r="U705" t="s">
        <v>505</v>
      </c>
      <c r="V705" t="s">
        <v>77</v>
      </c>
      <c r="W705" t="s">
        <v>88</v>
      </c>
      <c r="X705" t="s">
        <v>506</v>
      </c>
      <c r="Y705">
        <v>1.62848758390218</v>
      </c>
      <c r="Z705">
        <v>1628.4875839021799</v>
      </c>
      <c r="AA705">
        <v>4.6085000000000003</v>
      </c>
      <c r="AB705">
        <v>-74.114944444444404</v>
      </c>
      <c r="AC705">
        <v>2559</v>
      </c>
      <c r="AD705">
        <v>0</v>
      </c>
      <c r="AE705" t="s">
        <v>80</v>
      </c>
      <c r="AF705" t="s">
        <v>507</v>
      </c>
      <c r="AG705" t="s">
        <v>82</v>
      </c>
      <c r="AH705" t="s">
        <v>83</v>
      </c>
      <c r="AI705" t="s">
        <v>288</v>
      </c>
      <c r="AJ705">
        <v>0.11194744421722801</v>
      </c>
      <c r="AK705">
        <v>3.92494896469189</v>
      </c>
      <c r="AL705">
        <v>1.48439196490678</v>
      </c>
      <c r="AM705">
        <v>0.16231904282871201</v>
      </c>
      <c r="AN705">
        <v>1.4275523821191101</v>
      </c>
      <c r="AO705">
        <v>0.16453542357343601</v>
      </c>
      <c r="AP705">
        <v>0.16453542357343601</v>
      </c>
      <c r="AQ705">
        <v>2</v>
      </c>
      <c r="AR705">
        <v>3</v>
      </c>
      <c r="AS705">
        <v>0</v>
      </c>
      <c r="AT705">
        <v>0</v>
      </c>
      <c r="AU705">
        <v>0</v>
      </c>
      <c r="AV705">
        <v>23</v>
      </c>
      <c r="AW705">
        <v>0</v>
      </c>
      <c r="AX705">
        <v>0</v>
      </c>
      <c r="AY705">
        <v>16.600000000000001</v>
      </c>
      <c r="AZ705">
        <v>101.7</v>
      </c>
      <c r="BA705">
        <v>19.899999999999999</v>
      </c>
      <c r="BB705">
        <v>564</v>
      </c>
      <c r="BC705">
        <v>71</v>
      </c>
      <c r="BD705">
        <v>1.7</v>
      </c>
      <c r="BE705">
        <v>185</v>
      </c>
      <c r="BF705">
        <v>0.8</v>
      </c>
      <c r="BG705">
        <v>162</v>
      </c>
      <c r="BH705">
        <v>19.5</v>
      </c>
      <c r="BI705">
        <v>15.6</v>
      </c>
      <c r="BJ705">
        <v>35</v>
      </c>
      <c r="BK705">
        <v>0.68</v>
      </c>
      <c r="BL705">
        <v>5.4</v>
      </c>
      <c r="BM705">
        <v>0.9</v>
      </c>
      <c r="BN705">
        <v>4.5999999999999996</v>
      </c>
      <c r="BO705">
        <v>2.1</v>
      </c>
      <c r="BP705">
        <f t="shared" si="20"/>
        <v>93.823669817714517</v>
      </c>
      <c r="BQ705">
        <f t="shared" si="21"/>
        <v>19.137237219681793</v>
      </c>
    </row>
    <row r="706" spans="1:69" hidden="1" x14ac:dyDescent="0.2">
      <c r="A706" t="s">
        <v>3159</v>
      </c>
      <c r="B706" t="s">
        <v>68</v>
      </c>
      <c r="C706" t="s">
        <v>1956</v>
      </c>
      <c r="D706" t="s">
        <v>70</v>
      </c>
      <c r="E706" t="s">
        <v>1145</v>
      </c>
      <c r="F706">
        <v>4</v>
      </c>
      <c r="G706">
        <v>700</v>
      </c>
      <c r="H706">
        <v>5</v>
      </c>
      <c r="I706">
        <v>5</v>
      </c>
      <c r="J706">
        <v>3</v>
      </c>
      <c r="K706" t="s">
        <v>110</v>
      </c>
      <c r="L706" t="s">
        <v>162</v>
      </c>
      <c r="M706" s="4">
        <v>1700000000</v>
      </c>
      <c r="N706">
        <v>0</v>
      </c>
      <c r="O706">
        <v>4.6701545720000004</v>
      </c>
      <c r="P706">
        <v>-74.102630619999999</v>
      </c>
      <c r="Q706" t="s">
        <v>3160</v>
      </c>
      <c r="R706">
        <v>2428571.429</v>
      </c>
      <c r="S706">
        <v>0</v>
      </c>
      <c r="T706" t="s">
        <v>75</v>
      </c>
      <c r="U706" t="s">
        <v>76</v>
      </c>
      <c r="V706" t="s">
        <v>77</v>
      </c>
      <c r="W706" t="s">
        <v>78</v>
      </c>
      <c r="X706" t="s">
        <v>79</v>
      </c>
      <c r="Y706">
        <v>2.4456029259714702</v>
      </c>
      <c r="Z706">
        <v>2445.6029259714701</v>
      </c>
      <c r="AA706">
        <v>4.6584666666666701</v>
      </c>
      <c r="AB706">
        <v>-74.083966666666697</v>
      </c>
      <c r="AC706">
        <v>2552</v>
      </c>
      <c r="AD706">
        <v>0</v>
      </c>
      <c r="AE706" t="s">
        <v>80</v>
      </c>
      <c r="AF706" t="s">
        <v>81</v>
      </c>
      <c r="AG706" t="s">
        <v>82</v>
      </c>
      <c r="AH706" t="s">
        <v>83</v>
      </c>
      <c r="AI706" t="s">
        <v>412</v>
      </c>
      <c r="AJ706">
        <v>1.1344577194352301</v>
      </c>
      <c r="AK706">
        <v>5.9535298056065402</v>
      </c>
      <c r="AL706">
        <v>1.43709960104598</v>
      </c>
      <c r="AM706">
        <v>6.5734622516183894E-2</v>
      </c>
      <c r="AN706">
        <v>2.19441244635457</v>
      </c>
      <c r="AO706">
        <v>0.45176713435278198</v>
      </c>
      <c r="AP706">
        <v>0.45176713435278198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30</v>
      </c>
      <c r="AW706">
        <v>0</v>
      </c>
      <c r="AX706">
        <v>0</v>
      </c>
      <c r="AZ706">
        <v>6.8</v>
      </c>
      <c r="BA706">
        <v>19.899999999999999</v>
      </c>
      <c r="BB706">
        <v>564</v>
      </c>
      <c r="BC706">
        <v>68</v>
      </c>
      <c r="BD706">
        <v>1.5</v>
      </c>
      <c r="BE706">
        <v>135</v>
      </c>
      <c r="BF706">
        <v>0.8</v>
      </c>
      <c r="BG706">
        <v>162</v>
      </c>
      <c r="BH706">
        <v>9.1</v>
      </c>
      <c r="BI706">
        <v>9.1999999999999993</v>
      </c>
      <c r="BJ706">
        <v>18.3</v>
      </c>
      <c r="BK706">
        <v>0.34</v>
      </c>
      <c r="BL706">
        <v>7.3</v>
      </c>
      <c r="BM706">
        <v>0.9</v>
      </c>
      <c r="BN706">
        <v>7.5</v>
      </c>
      <c r="BO706">
        <v>2.9</v>
      </c>
      <c r="BP706">
        <f t="shared" ref="BP706:BP769" si="22">+AZ706*EXP(-0.0495*Y706)</f>
        <v>6.024685430729992</v>
      </c>
      <c r="BQ706">
        <f t="shared" ref="BQ706:BQ769" si="23">+BA706*EXP(-0.024*Y706)</f>
        <v>18.765597279191887</v>
      </c>
    </row>
    <row r="707" spans="1:69" hidden="1" x14ac:dyDescent="0.2">
      <c r="A707" t="s">
        <v>2174</v>
      </c>
      <c r="B707" t="s">
        <v>68</v>
      </c>
      <c r="C707" t="s">
        <v>1956</v>
      </c>
      <c r="D707" t="s">
        <v>70</v>
      </c>
      <c r="E707" t="s">
        <v>1191</v>
      </c>
      <c r="F707">
        <v>4</v>
      </c>
      <c r="G707">
        <v>680</v>
      </c>
      <c r="H707">
        <v>5</v>
      </c>
      <c r="I707">
        <v>5</v>
      </c>
      <c r="J707">
        <v>4</v>
      </c>
      <c r="K707" t="s">
        <v>110</v>
      </c>
      <c r="L707" t="s">
        <v>162</v>
      </c>
      <c r="M707" s="4">
        <v>2700000000</v>
      </c>
      <c r="N707">
        <v>0</v>
      </c>
      <c r="O707">
        <v>4.652211189</v>
      </c>
      <c r="P707">
        <v>-74.060714719999993</v>
      </c>
      <c r="Q707" t="s">
        <v>2175</v>
      </c>
      <c r="R707">
        <v>3970588.2349999999</v>
      </c>
      <c r="S707">
        <v>0</v>
      </c>
      <c r="T707" t="s">
        <v>75</v>
      </c>
      <c r="U707" t="s">
        <v>76</v>
      </c>
      <c r="V707" t="s">
        <v>77</v>
      </c>
      <c r="W707" t="s">
        <v>78</v>
      </c>
      <c r="X707" t="s">
        <v>79</v>
      </c>
      <c r="Y707">
        <v>2.6721840419879399</v>
      </c>
      <c r="Z707">
        <v>2672.18404198794</v>
      </c>
      <c r="AA707">
        <v>4.6584666666666701</v>
      </c>
      <c r="AB707">
        <v>-74.083966666666697</v>
      </c>
      <c r="AC707">
        <v>2552</v>
      </c>
      <c r="AD707">
        <v>0</v>
      </c>
      <c r="AE707" t="s">
        <v>80</v>
      </c>
      <c r="AF707" t="s">
        <v>81</v>
      </c>
      <c r="AG707" t="s">
        <v>82</v>
      </c>
      <c r="AH707" t="s">
        <v>83</v>
      </c>
      <c r="AI707" t="s">
        <v>130</v>
      </c>
      <c r="AJ707">
        <v>0.39143358827290398</v>
      </c>
      <c r="AK707">
        <v>1.1081952671976301</v>
      </c>
      <c r="AL707">
        <v>0.15887575705823101</v>
      </c>
      <c r="AM707">
        <v>4.2418293031545998E-2</v>
      </c>
      <c r="AN707">
        <v>1.1992845981124201</v>
      </c>
      <c r="AO707">
        <v>8.0737157147833492E-3</v>
      </c>
      <c r="AP707">
        <v>8.0737157147833492E-3</v>
      </c>
      <c r="AQ707">
        <v>1</v>
      </c>
      <c r="AR707">
        <v>3</v>
      </c>
      <c r="AS707">
        <v>0</v>
      </c>
      <c r="AT707">
        <v>0</v>
      </c>
      <c r="AU707">
        <v>21</v>
      </c>
      <c r="AV707">
        <v>79</v>
      </c>
      <c r="AW707">
        <v>0</v>
      </c>
      <c r="AX707">
        <v>0</v>
      </c>
      <c r="AZ707">
        <v>6.8</v>
      </c>
      <c r="BA707">
        <v>19.899999999999999</v>
      </c>
      <c r="BB707">
        <v>564</v>
      </c>
      <c r="BC707">
        <v>68</v>
      </c>
      <c r="BD707">
        <v>1.5</v>
      </c>
      <c r="BE707">
        <v>135</v>
      </c>
      <c r="BF707">
        <v>0.8</v>
      </c>
      <c r="BG707">
        <v>162</v>
      </c>
      <c r="BH707">
        <v>9.1</v>
      </c>
      <c r="BI707">
        <v>9.1999999999999993</v>
      </c>
      <c r="BJ707">
        <v>18.3</v>
      </c>
      <c r="BK707">
        <v>0.34</v>
      </c>
      <c r="BL707">
        <v>7.3</v>
      </c>
      <c r="BM707">
        <v>0.9</v>
      </c>
      <c r="BN707">
        <v>7.5</v>
      </c>
      <c r="BO707">
        <v>2.9</v>
      </c>
      <c r="BP707">
        <f t="shared" si="22"/>
        <v>5.9574914933686616</v>
      </c>
      <c r="BQ707">
        <f t="shared" si="23"/>
        <v>18.663827918780623</v>
      </c>
    </row>
    <row r="708" spans="1:69" hidden="1" x14ac:dyDescent="0.2">
      <c r="A708" t="s">
        <v>2279</v>
      </c>
      <c r="B708" t="s">
        <v>68</v>
      </c>
      <c r="C708" t="s">
        <v>1956</v>
      </c>
      <c r="D708" t="s">
        <v>70</v>
      </c>
      <c r="E708" t="s">
        <v>293</v>
      </c>
      <c r="F708">
        <v>3</v>
      </c>
      <c r="G708">
        <v>658</v>
      </c>
      <c r="H708">
        <v>5</v>
      </c>
      <c r="I708">
        <v>4</v>
      </c>
      <c r="J708">
        <v>2</v>
      </c>
      <c r="K708" t="s">
        <v>110</v>
      </c>
      <c r="L708" t="s">
        <v>162</v>
      </c>
      <c r="M708" s="4">
        <v>2800000000</v>
      </c>
      <c r="N708">
        <v>0</v>
      </c>
      <c r="O708">
        <v>4.6150215000000001</v>
      </c>
      <c r="P708">
        <v>-74.071764299999998</v>
      </c>
      <c r="Q708" t="s">
        <v>2280</v>
      </c>
      <c r="R708">
        <v>4255319.1490000002</v>
      </c>
      <c r="S708">
        <v>0</v>
      </c>
      <c r="T708" t="s">
        <v>126</v>
      </c>
      <c r="U708" t="s">
        <v>127</v>
      </c>
      <c r="V708" t="s">
        <v>77</v>
      </c>
      <c r="W708" t="s">
        <v>128</v>
      </c>
      <c r="X708" t="s">
        <v>129</v>
      </c>
      <c r="Y708">
        <v>1.28014419478371</v>
      </c>
      <c r="Z708">
        <v>1280.14419478371</v>
      </c>
      <c r="AA708">
        <v>4.6254861111111101</v>
      </c>
      <c r="AB708">
        <v>-74.066980555555503</v>
      </c>
      <c r="AC708">
        <v>2621</v>
      </c>
      <c r="AD708">
        <v>15</v>
      </c>
      <c r="AE708" t="s">
        <v>80</v>
      </c>
      <c r="AF708" t="s">
        <v>81</v>
      </c>
      <c r="AG708" t="s">
        <v>82</v>
      </c>
      <c r="AH708" t="s">
        <v>83</v>
      </c>
      <c r="AI708" t="s">
        <v>138</v>
      </c>
      <c r="AJ708">
        <v>0.18536733381345599</v>
      </c>
      <c r="AK708">
        <v>0.86806832905159104</v>
      </c>
      <c r="AL708">
        <v>0.249578023172773</v>
      </c>
      <c r="AM708">
        <v>0.106232067493285</v>
      </c>
      <c r="AN708">
        <v>0.59954422866162904</v>
      </c>
      <c r="AO708">
        <v>0.28065880158380202</v>
      </c>
      <c r="AP708">
        <v>0.28065880158380202</v>
      </c>
      <c r="AQ708">
        <v>3</v>
      </c>
      <c r="AR708">
        <v>7</v>
      </c>
      <c r="AS708">
        <v>0</v>
      </c>
      <c r="AT708">
        <v>1</v>
      </c>
      <c r="AU708">
        <v>8</v>
      </c>
      <c r="AV708">
        <v>67</v>
      </c>
      <c r="AW708">
        <v>1</v>
      </c>
      <c r="AX708">
        <v>4</v>
      </c>
      <c r="AZ708">
        <v>6.8</v>
      </c>
      <c r="BA708">
        <v>19.899999999999999</v>
      </c>
      <c r="BB708">
        <v>564</v>
      </c>
      <c r="BC708">
        <v>68</v>
      </c>
      <c r="BD708">
        <v>1.5</v>
      </c>
      <c r="BE708">
        <v>135</v>
      </c>
      <c r="BF708">
        <v>0.8</v>
      </c>
      <c r="BG708">
        <v>162</v>
      </c>
      <c r="BH708">
        <v>9.1</v>
      </c>
      <c r="BI708">
        <v>9.1999999999999993</v>
      </c>
      <c r="BJ708">
        <v>18.3</v>
      </c>
      <c r="BK708">
        <v>0.34</v>
      </c>
      <c r="BL708">
        <v>7.3</v>
      </c>
      <c r="BM708">
        <v>0.9</v>
      </c>
      <c r="BN708">
        <v>7.5</v>
      </c>
      <c r="BO708">
        <v>2.9</v>
      </c>
      <c r="BP708">
        <f t="shared" si="22"/>
        <v>6.3824719451878398</v>
      </c>
      <c r="BQ708">
        <f t="shared" si="23"/>
        <v>19.297899794573944</v>
      </c>
    </row>
    <row r="709" spans="1:69" hidden="1" x14ac:dyDescent="0.2">
      <c r="A709" t="s">
        <v>2404</v>
      </c>
      <c r="B709" t="s">
        <v>68</v>
      </c>
      <c r="C709" t="s">
        <v>1956</v>
      </c>
      <c r="D709" t="s">
        <v>70</v>
      </c>
      <c r="E709" t="s">
        <v>2405</v>
      </c>
      <c r="F709">
        <v>3</v>
      </c>
      <c r="G709">
        <v>560</v>
      </c>
      <c r="H709">
        <v>5</v>
      </c>
      <c r="I709">
        <v>5</v>
      </c>
      <c r="J709">
        <v>0</v>
      </c>
      <c r="K709" t="s">
        <v>110</v>
      </c>
      <c r="L709" t="s">
        <v>111</v>
      </c>
      <c r="M709" s="4">
        <v>3055000000</v>
      </c>
      <c r="N709">
        <v>0</v>
      </c>
      <c r="O709">
        <v>4.6548530000000001</v>
      </c>
      <c r="P709">
        <v>-74.066737000000003</v>
      </c>
      <c r="Q709" t="s">
        <v>2406</v>
      </c>
      <c r="R709">
        <v>5455357.1430000002</v>
      </c>
      <c r="S709">
        <v>0</v>
      </c>
      <c r="T709" t="s">
        <v>75</v>
      </c>
      <c r="U709" t="s">
        <v>76</v>
      </c>
      <c r="V709" t="s">
        <v>77</v>
      </c>
      <c r="W709" t="s">
        <v>78</v>
      </c>
      <c r="X709" t="s">
        <v>79</v>
      </c>
      <c r="Y709">
        <v>1.95353306843476</v>
      </c>
      <c r="Z709">
        <v>1953.53306843476</v>
      </c>
      <c r="AA709">
        <v>4.6584666666666701</v>
      </c>
      <c r="AB709">
        <v>-74.083966666666697</v>
      </c>
      <c r="AC709">
        <v>2552</v>
      </c>
      <c r="AD709">
        <v>0</v>
      </c>
      <c r="AE709" t="s">
        <v>80</v>
      </c>
      <c r="AF709" t="s">
        <v>81</v>
      </c>
      <c r="AG709" t="s">
        <v>82</v>
      </c>
      <c r="AH709" t="s">
        <v>83</v>
      </c>
      <c r="AI709" t="s">
        <v>342</v>
      </c>
      <c r="AJ709">
        <v>0.41340206733656898</v>
      </c>
      <c r="AK709">
        <v>1.83553149755685</v>
      </c>
      <c r="AL709">
        <v>0.26611012078056601</v>
      </c>
      <c r="AM709">
        <v>0.18810890223891999</v>
      </c>
      <c r="AN709">
        <v>1.73135888457756</v>
      </c>
      <c r="AO709">
        <v>1.00966899416601E-2</v>
      </c>
      <c r="AP709">
        <v>1.00966899416601E-2</v>
      </c>
      <c r="AQ709">
        <v>1</v>
      </c>
      <c r="AR709">
        <v>3</v>
      </c>
      <c r="AS709">
        <v>0</v>
      </c>
      <c r="AT709">
        <v>0</v>
      </c>
      <c r="AU709">
        <v>19</v>
      </c>
      <c r="AV709">
        <v>75</v>
      </c>
      <c r="AW709">
        <v>0</v>
      </c>
      <c r="AX709">
        <v>0</v>
      </c>
      <c r="AZ709">
        <v>6.8</v>
      </c>
      <c r="BA709">
        <v>19.899999999999999</v>
      </c>
      <c r="BB709">
        <v>564</v>
      </c>
      <c r="BC709">
        <v>68</v>
      </c>
      <c r="BD709">
        <v>1.5</v>
      </c>
      <c r="BE709">
        <v>135</v>
      </c>
      <c r="BF709">
        <v>0.8</v>
      </c>
      <c r="BG709">
        <v>162</v>
      </c>
      <c r="BH709">
        <v>9.1</v>
      </c>
      <c r="BI709">
        <v>9.1999999999999993</v>
      </c>
      <c r="BJ709">
        <v>18.3</v>
      </c>
      <c r="BK709">
        <v>0.34</v>
      </c>
      <c r="BL709">
        <v>7.3</v>
      </c>
      <c r="BM709">
        <v>0.9</v>
      </c>
      <c r="BN709">
        <v>7.5</v>
      </c>
      <c r="BO709">
        <v>2.9</v>
      </c>
      <c r="BP709">
        <f t="shared" si="22"/>
        <v>6.1732332319683545</v>
      </c>
      <c r="BQ709">
        <f t="shared" si="23"/>
        <v>18.988526685035492</v>
      </c>
    </row>
    <row r="710" spans="1:69" hidden="1" x14ac:dyDescent="0.2">
      <c r="A710" t="s">
        <v>2458</v>
      </c>
      <c r="B710" t="s">
        <v>68</v>
      </c>
      <c r="C710" t="s">
        <v>1956</v>
      </c>
      <c r="D710" t="s">
        <v>70</v>
      </c>
      <c r="E710" t="s">
        <v>130</v>
      </c>
      <c r="F710">
        <v>5</v>
      </c>
      <c r="G710">
        <v>523.70000000000005</v>
      </c>
      <c r="H710">
        <v>5</v>
      </c>
      <c r="I710">
        <v>5</v>
      </c>
      <c r="J710">
        <v>2</v>
      </c>
      <c r="K710" t="s">
        <v>110</v>
      </c>
      <c r="L710" t="s">
        <v>162</v>
      </c>
      <c r="M710" s="4">
        <v>2050000000</v>
      </c>
      <c r="N710">
        <v>0</v>
      </c>
      <c r="O710">
        <v>4.6285141000000003</v>
      </c>
      <c r="P710">
        <v>-74.067667999999998</v>
      </c>
      <c r="Q710" t="s">
        <v>2459</v>
      </c>
      <c r="R710">
        <v>3914454.841</v>
      </c>
      <c r="S710">
        <v>0</v>
      </c>
      <c r="T710" t="s">
        <v>126</v>
      </c>
      <c r="U710" t="s">
        <v>127</v>
      </c>
      <c r="V710" t="s">
        <v>77</v>
      </c>
      <c r="W710" t="s">
        <v>128</v>
      </c>
      <c r="X710" t="s">
        <v>129</v>
      </c>
      <c r="Y710">
        <v>0.34559675648635702</v>
      </c>
      <c r="Z710">
        <v>345.59675648635698</v>
      </c>
      <c r="AA710">
        <v>4.6254861111111101</v>
      </c>
      <c r="AB710">
        <v>-74.066980555555503</v>
      </c>
      <c r="AC710">
        <v>2621</v>
      </c>
      <c r="AD710">
        <v>15</v>
      </c>
      <c r="AE710" t="s">
        <v>80</v>
      </c>
      <c r="AF710" t="s">
        <v>81</v>
      </c>
      <c r="AG710" t="s">
        <v>82</v>
      </c>
      <c r="AH710" t="s">
        <v>83</v>
      </c>
      <c r="AI710" t="s">
        <v>130</v>
      </c>
      <c r="AJ710">
        <v>0.212001933779249</v>
      </c>
      <c r="AK710">
        <v>0.74680886920634304</v>
      </c>
      <c r="AL710">
        <v>0.164909424478553</v>
      </c>
      <c r="AM710">
        <v>9.1007391324608694E-2</v>
      </c>
      <c r="AN710">
        <v>0.159500188138884</v>
      </c>
      <c r="AO710">
        <v>0.102652309210954</v>
      </c>
      <c r="AP710">
        <v>0.102652309210954</v>
      </c>
      <c r="AQ710">
        <v>3</v>
      </c>
      <c r="AR710">
        <v>4</v>
      </c>
      <c r="AS710">
        <v>0</v>
      </c>
      <c r="AT710">
        <v>14</v>
      </c>
      <c r="AU710">
        <v>19</v>
      </c>
      <c r="AV710">
        <v>139</v>
      </c>
      <c r="AW710">
        <v>1</v>
      </c>
      <c r="AX710">
        <v>1</v>
      </c>
      <c r="AZ710">
        <v>6.8</v>
      </c>
      <c r="BA710">
        <v>19.899999999999999</v>
      </c>
      <c r="BB710">
        <v>564</v>
      </c>
      <c r="BC710">
        <v>68</v>
      </c>
      <c r="BD710">
        <v>1.5</v>
      </c>
      <c r="BE710">
        <v>135</v>
      </c>
      <c r="BF710">
        <v>0.8</v>
      </c>
      <c r="BG710">
        <v>162</v>
      </c>
      <c r="BH710">
        <v>9.1</v>
      </c>
      <c r="BI710">
        <v>9.1999999999999993</v>
      </c>
      <c r="BJ710">
        <v>18.3</v>
      </c>
      <c r="BK710">
        <v>0.34</v>
      </c>
      <c r="BL710">
        <v>7.3</v>
      </c>
      <c r="BM710">
        <v>0.9</v>
      </c>
      <c r="BN710">
        <v>7.5</v>
      </c>
      <c r="BO710">
        <v>2.9</v>
      </c>
      <c r="BP710">
        <f t="shared" si="22"/>
        <v>6.6846614947578598</v>
      </c>
      <c r="BQ710">
        <f t="shared" si="23"/>
        <v>19.735625618493525</v>
      </c>
    </row>
    <row r="711" spans="1:69" hidden="1" x14ac:dyDescent="0.2">
      <c r="A711" t="s">
        <v>2991</v>
      </c>
      <c r="B711" t="s">
        <v>68</v>
      </c>
      <c r="C711" t="s">
        <v>1956</v>
      </c>
      <c r="D711" t="s">
        <v>70</v>
      </c>
      <c r="E711" t="s">
        <v>2992</v>
      </c>
      <c r="F711">
        <v>3</v>
      </c>
      <c r="G711">
        <v>513.6</v>
      </c>
      <c r="H711">
        <v>5</v>
      </c>
      <c r="I711">
        <v>5</v>
      </c>
      <c r="J711">
        <v>2</v>
      </c>
      <c r="K711" t="s">
        <v>110</v>
      </c>
      <c r="L711" t="s">
        <v>162</v>
      </c>
      <c r="M711" s="4">
        <v>880000000</v>
      </c>
      <c r="N711">
        <v>0</v>
      </c>
      <c r="O711">
        <v>4.6799200000000001</v>
      </c>
      <c r="P711">
        <v>-74.08914</v>
      </c>
      <c r="Q711" t="s">
        <v>2993</v>
      </c>
      <c r="R711">
        <v>1713395.639</v>
      </c>
      <c r="S711">
        <v>0</v>
      </c>
      <c r="T711" t="s">
        <v>75</v>
      </c>
      <c r="U711" t="s">
        <v>76</v>
      </c>
      <c r="V711" t="s">
        <v>77</v>
      </c>
      <c r="W711" t="s">
        <v>78</v>
      </c>
      <c r="X711" t="s">
        <v>79</v>
      </c>
      <c r="Y711">
        <v>2.4561821241264199</v>
      </c>
      <c r="Z711">
        <v>2456.1821241264201</v>
      </c>
      <c r="AA711">
        <v>4.6584666666666701</v>
      </c>
      <c r="AB711">
        <v>-74.083966666666697</v>
      </c>
      <c r="AC711">
        <v>2552</v>
      </c>
      <c r="AD711">
        <v>0</v>
      </c>
      <c r="AE711" t="s">
        <v>80</v>
      </c>
      <c r="AF711" t="s">
        <v>81</v>
      </c>
      <c r="AG711" t="s">
        <v>82</v>
      </c>
      <c r="AH711" t="s">
        <v>83</v>
      </c>
      <c r="AI711" t="s">
        <v>412</v>
      </c>
      <c r="AJ711">
        <v>1.15279774250805</v>
      </c>
      <c r="AK711">
        <v>5.1577498219750098</v>
      </c>
      <c r="AL711">
        <v>1.7409819362213801</v>
      </c>
      <c r="AM711">
        <v>0.12780144398689899</v>
      </c>
      <c r="AN711">
        <v>1.0521101305499101</v>
      </c>
      <c r="AO711">
        <v>9.0081148816427304E-3</v>
      </c>
      <c r="AP711">
        <v>9.0081148816427304E-3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20</v>
      </c>
      <c r="AW711">
        <v>0</v>
      </c>
      <c r="AX711">
        <v>0</v>
      </c>
      <c r="AZ711">
        <v>6.8</v>
      </c>
      <c r="BA711">
        <v>19.899999999999999</v>
      </c>
      <c r="BB711">
        <v>564</v>
      </c>
      <c r="BC711">
        <v>68</v>
      </c>
      <c r="BD711">
        <v>1.5</v>
      </c>
      <c r="BE711">
        <v>135</v>
      </c>
      <c r="BF711">
        <v>0.8</v>
      </c>
      <c r="BG711">
        <v>162</v>
      </c>
      <c r="BH711">
        <v>9.1</v>
      </c>
      <c r="BI711">
        <v>9.1999999999999993</v>
      </c>
      <c r="BJ711">
        <v>18.3</v>
      </c>
      <c r="BK711">
        <v>0.34</v>
      </c>
      <c r="BL711">
        <v>7.3</v>
      </c>
      <c r="BM711">
        <v>0.9</v>
      </c>
      <c r="BN711">
        <v>7.5</v>
      </c>
      <c r="BO711">
        <v>2.9</v>
      </c>
      <c r="BP711">
        <f t="shared" si="22"/>
        <v>6.0215313077831913</v>
      </c>
      <c r="BQ711">
        <f t="shared" si="23"/>
        <v>18.760833284677684</v>
      </c>
    </row>
    <row r="712" spans="1:69" hidden="1" x14ac:dyDescent="0.2">
      <c r="A712" t="s">
        <v>2092</v>
      </c>
      <c r="B712" t="s">
        <v>68</v>
      </c>
      <c r="C712" t="s">
        <v>1956</v>
      </c>
      <c r="D712" t="s">
        <v>70</v>
      </c>
      <c r="E712" t="s">
        <v>2093</v>
      </c>
      <c r="F712">
        <v>4</v>
      </c>
      <c r="G712">
        <v>508</v>
      </c>
      <c r="H712">
        <v>5</v>
      </c>
      <c r="I712">
        <v>5</v>
      </c>
      <c r="J712">
        <v>4</v>
      </c>
      <c r="K712" t="s">
        <v>110</v>
      </c>
      <c r="L712" t="s">
        <v>162</v>
      </c>
      <c r="M712" s="4">
        <v>1750000000</v>
      </c>
      <c r="N712">
        <v>0</v>
      </c>
      <c r="O712">
        <v>4.6717901230000001</v>
      </c>
      <c r="P712">
        <v>-74.110977169999998</v>
      </c>
      <c r="Q712" t="s">
        <v>2094</v>
      </c>
      <c r="R712">
        <v>3444881.89</v>
      </c>
      <c r="S712">
        <v>0</v>
      </c>
      <c r="T712" t="s">
        <v>75</v>
      </c>
      <c r="U712" t="s">
        <v>76</v>
      </c>
      <c r="V712" t="s">
        <v>77</v>
      </c>
      <c r="W712" t="s">
        <v>78</v>
      </c>
      <c r="X712" t="s">
        <v>79</v>
      </c>
      <c r="Y712">
        <v>3.34376730023155</v>
      </c>
      <c r="Z712">
        <v>3343.7673002315501</v>
      </c>
      <c r="AA712">
        <v>4.6584666666666701</v>
      </c>
      <c r="AB712">
        <v>-74.083966666666697</v>
      </c>
      <c r="AC712">
        <v>2552</v>
      </c>
      <c r="AD712">
        <v>0</v>
      </c>
      <c r="AE712" t="s">
        <v>80</v>
      </c>
      <c r="AF712" t="s">
        <v>81</v>
      </c>
      <c r="AG712" t="s">
        <v>82</v>
      </c>
      <c r="AH712" t="s">
        <v>83</v>
      </c>
      <c r="AI712" t="s">
        <v>412</v>
      </c>
      <c r="AJ712">
        <v>0.39961463616695297</v>
      </c>
      <c r="AK712">
        <v>5.2169901758561199</v>
      </c>
      <c r="AL712">
        <v>1.61030822589427</v>
      </c>
      <c r="AM712">
        <v>0.20257162401083201</v>
      </c>
      <c r="AN712">
        <v>2.21405958111515</v>
      </c>
      <c r="AO712">
        <v>0.242322011841137</v>
      </c>
      <c r="AP712">
        <v>0.242322011841137</v>
      </c>
      <c r="AQ712">
        <v>1</v>
      </c>
      <c r="AR712">
        <v>2</v>
      </c>
      <c r="AS712">
        <v>0</v>
      </c>
      <c r="AT712">
        <v>0</v>
      </c>
      <c r="AU712">
        <v>0</v>
      </c>
      <c r="AV712">
        <v>34</v>
      </c>
      <c r="AW712">
        <v>0</v>
      </c>
      <c r="AX712">
        <v>0</v>
      </c>
      <c r="AZ712">
        <v>6.8</v>
      </c>
      <c r="BA712">
        <v>19.899999999999999</v>
      </c>
      <c r="BB712">
        <v>564</v>
      </c>
      <c r="BC712">
        <v>68</v>
      </c>
      <c r="BD712">
        <v>1.5</v>
      </c>
      <c r="BE712">
        <v>135</v>
      </c>
      <c r="BF712">
        <v>0.8</v>
      </c>
      <c r="BG712">
        <v>162</v>
      </c>
      <c r="BH712">
        <v>9.1</v>
      </c>
      <c r="BI712">
        <v>9.1999999999999993</v>
      </c>
      <c r="BJ712">
        <v>18.3</v>
      </c>
      <c r="BK712">
        <v>0.34</v>
      </c>
      <c r="BL712">
        <v>7.3</v>
      </c>
      <c r="BM712">
        <v>0.9</v>
      </c>
      <c r="BN712">
        <v>7.5</v>
      </c>
      <c r="BO712">
        <v>2.9</v>
      </c>
      <c r="BP712">
        <f t="shared" si="22"/>
        <v>5.7627000918675835</v>
      </c>
      <c r="BQ712">
        <f t="shared" si="23"/>
        <v>18.36541573786166</v>
      </c>
    </row>
    <row r="713" spans="1:69" hidden="1" x14ac:dyDescent="0.2">
      <c r="A713" t="s">
        <v>2910</v>
      </c>
      <c r="B713" t="s">
        <v>68</v>
      </c>
      <c r="C713" t="s">
        <v>1956</v>
      </c>
      <c r="D713" t="s">
        <v>70</v>
      </c>
      <c r="E713" t="s">
        <v>633</v>
      </c>
      <c r="F713">
        <v>4</v>
      </c>
      <c r="G713">
        <v>500</v>
      </c>
      <c r="H713">
        <v>5</v>
      </c>
      <c r="I713">
        <v>5</v>
      </c>
      <c r="J713">
        <v>2</v>
      </c>
      <c r="K713" t="s">
        <v>110</v>
      </c>
      <c r="L713" t="s">
        <v>162</v>
      </c>
      <c r="M713" s="4">
        <v>2500000000</v>
      </c>
      <c r="N713">
        <v>0</v>
      </c>
      <c r="O713">
        <v>4.6259100000000002</v>
      </c>
      <c r="P713">
        <v>-74.071089999999998</v>
      </c>
      <c r="Q713" t="s">
        <v>2911</v>
      </c>
      <c r="R713">
        <v>5000000</v>
      </c>
      <c r="S713">
        <v>0</v>
      </c>
      <c r="T713" t="s">
        <v>126</v>
      </c>
      <c r="U713" t="s">
        <v>127</v>
      </c>
      <c r="V713" t="s">
        <v>77</v>
      </c>
      <c r="W713" t="s">
        <v>128</v>
      </c>
      <c r="X713" t="s">
        <v>129</v>
      </c>
      <c r="Y713">
        <v>0.458406346821982</v>
      </c>
      <c r="Z713">
        <v>458.40634682198203</v>
      </c>
      <c r="AA713">
        <v>4.6254861111111101</v>
      </c>
      <c r="AB713">
        <v>-74.066980555555503</v>
      </c>
      <c r="AC713">
        <v>2621</v>
      </c>
      <c r="AD713">
        <v>15</v>
      </c>
      <c r="AE713" t="s">
        <v>80</v>
      </c>
      <c r="AF713" t="s">
        <v>81</v>
      </c>
      <c r="AG713" t="s">
        <v>82</v>
      </c>
      <c r="AH713" t="s">
        <v>83</v>
      </c>
      <c r="AI713" t="s">
        <v>84</v>
      </c>
      <c r="AJ713">
        <v>0.244119855042744</v>
      </c>
      <c r="AK713">
        <v>1.1247234569020199</v>
      </c>
      <c r="AL713">
        <v>0.127910796077675</v>
      </c>
      <c r="AM713">
        <v>5.99495520680123E-2</v>
      </c>
      <c r="AN713">
        <v>0.52346078318324796</v>
      </c>
      <c r="AO713">
        <v>0.13467407968062001</v>
      </c>
      <c r="AP713">
        <v>0.13467407968062001</v>
      </c>
      <c r="AQ713">
        <v>2</v>
      </c>
      <c r="AR713">
        <v>5</v>
      </c>
      <c r="AS713">
        <v>0</v>
      </c>
      <c r="AT713">
        <v>0</v>
      </c>
      <c r="AU713">
        <v>18</v>
      </c>
      <c r="AV713">
        <v>120</v>
      </c>
      <c r="AW713">
        <v>1</v>
      </c>
      <c r="AX713">
        <v>1</v>
      </c>
      <c r="AZ713">
        <v>6.8</v>
      </c>
      <c r="BA713">
        <v>19.899999999999999</v>
      </c>
      <c r="BB713">
        <v>564</v>
      </c>
      <c r="BC713">
        <v>68</v>
      </c>
      <c r="BD713">
        <v>1.5</v>
      </c>
      <c r="BE713">
        <v>135</v>
      </c>
      <c r="BF713">
        <v>0.8</v>
      </c>
      <c r="BG713">
        <v>162</v>
      </c>
      <c r="BH713">
        <v>9.1</v>
      </c>
      <c r="BI713">
        <v>9.1999999999999993</v>
      </c>
      <c r="BJ713">
        <v>18.3</v>
      </c>
      <c r="BK713">
        <v>0.34</v>
      </c>
      <c r="BL713">
        <v>7.3</v>
      </c>
      <c r="BM713">
        <v>0.9</v>
      </c>
      <c r="BN713">
        <v>7.5</v>
      </c>
      <c r="BO713">
        <v>2.9</v>
      </c>
      <c r="BP713">
        <f t="shared" si="22"/>
        <v>6.6474378719532083</v>
      </c>
      <c r="BQ713">
        <f t="shared" si="23"/>
        <v>19.682265057899542</v>
      </c>
    </row>
    <row r="714" spans="1:69" hidden="1" x14ac:dyDescent="0.2">
      <c r="A714" t="s">
        <v>2866</v>
      </c>
      <c r="B714" t="s">
        <v>68</v>
      </c>
      <c r="C714" t="s">
        <v>1956</v>
      </c>
      <c r="D714" t="s">
        <v>70</v>
      </c>
      <c r="E714" t="s">
        <v>84</v>
      </c>
      <c r="F714">
        <v>4</v>
      </c>
      <c r="G714">
        <v>500</v>
      </c>
      <c r="H714">
        <v>5</v>
      </c>
      <c r="I714">
        <v>5</v>
      </c>
      <c r="J714">
        <v>3</v>
      </c>
      <c r="K714" t="s">
        <v>110</v>
      </c>
      <c r="L714" t="s">
        <v>162</v>
      </c>
      <c r="M714" s="4">
        <v>1880000000</v>
      </c>
      <c r="N714">
        <v>0</v>
      </c>
      <c r="O714">
        <v>4.6292678199999999</v>
      </c>
      <c r="P714">
        <v>-74.070207769999996</v>
      </c>
      <c r="Q714" t="s">
        <v>2867</v>
      </c>
      <c r="R714">
        <v>3760000</v>
      </c>
      <c r="S714">
        <v>0</v>
      </c>
      <c r="T714" t="s">
        <v>126</v>
      </c>
      <c r="U714" t="s">
        <v>127</v>
      </c>
      <c r="V714" t="s">
        <v>77</v>
      </c>
      <c r="W714" t="s">
        <v>128</v>
      </c>
      <c r="X714" t="s">
        <v>129</v>
      </c>
      <c r="Y714">
        <v>0.55267016043369599</v>
      </c>
      <c r="Z714">
        <v>552.67016043369597</v>
      </c>
      <c r="AA714">
        <v>4.6254861111111101</v>
      </c>
      <c r="AB714">
        <v>-74.066980555555503</v>
      </c>
      <c r="AC714">
        <v>2621</v>
      </c>
      <c r="AD714">
        <v>15</v>
      </c>
      <c r="AE714" t="s">
        <v>80</v>
      </c>
      <c r="AF714" t="s">
        <v>81</v>
      </c>
      <c r="AG714" t="s">
        <v>82</v>
      </c>
      <c r="AH714" t="s">
        <v>83</v>
      </c>
      <c r="AI714" t="s">
        <v>84</v>
      </c>
      <c r="AJ714">
        <v>0.31098217996959998</v>
      </c>
      <c r="AK714">
        <v>1.02734485310915</v>
      </c>
      <c r="AL714">
        <v>3.9249289941335398E-2</v>
      </c>
      <c r="AM714">
        <v>7.5899565748374406E-2</v>
      </c>
      <c r="AN714">
        <v>0.44082898540346499</v>
      </c>
      <c r="AO714">
        <v>1.3178116957570499E-4</v>
      </c>
      <c r="AP714">
        <v>1.3178116957570499E-4</v>
      </c>
      <c r="AQ714">
        <v>3</v>
      </c>
      <c r="AR714">
        <v>6</v>
      </c>
      <c r="AS714">
        <v>0</v>
      </c>
      <c r="AT714">
        <v>0</v>
      </c>
      <c r="AU714">
        <v>19</v>
      </c>
      <c r="AV714">
        <v>161</v>
      </c>
      <c r="AW714">
        <v>1</v>
      </c>
      <c r="AX714">
        <v>1</v>
      </c>
      <c r="AZ714">
        <v>6.8</v>
      </c>
      <c r="BA714">
        <v>19.899999999999999</v>
      </c>
      <c r="BB714">
        <v>564</v>
      </c>
      <c r="BC714">
        <v>68</v>
      </c>
      <c r="BD714">
        <v>1.5</v>
      </c>
      <c r="BE714">
        <v>135</v>
      </c>
      <c r="BF714">
        <v>0.8</v>
      </c>
      <c r="BG714">
        <v>162</v>
      </c>
      <c r="BH714">
        <v>9.1</v>
      </c>
      <c r="BI714">
        <v>9.1999999999999993</v>
      </c>
      <c r="BJ714">
        <v>18.3</v>
      </c>
      <c r="BK714">
        <v>0.34</v>
      </c>
      <c r="BL714">
        <v>7.3</v>
      </c>
      <c r="BM714">
        <v>0.9</v>
      </c>
      <c r="BN714">
        <v>7.5</v>
      </c>
      <c r="BO714">
        <v>2.9</v>
      </c>
      <c r="BP714">
        <f t="shared" si="22"/>
        <v>6.6164927880826205</v>
      </c>
      <c r="BQ714">
        <f t="shared" si="23"/>
        <v>19.637787579513532</v>
      </c>
    </row>
    <row r="715" spans="1:69" hidden="1" x14ac:dyDescent="0.2">
      <c r="A715" t="s">
        <v>3249</v>
      </c>
      <c r="B715" t="s">
        <v>68</v>
      </c>
      <c r="C715" t="s">
        <v>1956</v>
      </c>
      <c r="D715" t="s">
        <v>70</v>
      </c>
      <c r="E715" t="s">
        <v>2183</v>
      </c>
      <c r="F715">
        <v>4</v>
      </c>
      <c r="G715">
        <v>481</v>
      </c>
      <c r="H715">
        <v>5</v>
      </c>
      <c r="I715">
        <v>5</v>
      </c>
      <c r="J715">
        <v>4</v>
      </c>
      <c r="K715" t="s">
        <v>110</v>
      </c>
      <c r="L715" t="s">
        <v>162</v>
      </c>
      <c r="M715" s="4">
        <v>2375000000</v>
      </c>
      <c r="N715">
        <v>0</v>
      </c>
      <c r="O715">
        <v>4.6307520870000003</v>
      </c>
      <c r="P715">
        <v>-74.067253109999996</v>
      </c>
      <c r="Q715" t="s">
        <v>3250</v>
      </c>
      <c r="R715">
        <v>4937629.9380000001</v>
      </c>
      <c r="S715">
        <v>0</v>
      </c>
      <c r="T715" t="s">
        <v>126</v>
      </c>
      <c r="U715" t="s">
        <v>127</v>
      </c>
      <c r="V715" t="s">
        <v>77</v>
      </c>
      <c r="W715" t="s">
        <v>128</v>
      </c>
      <c r="X715" t="s">
        <v>129</v>
      </c>
      <c r="Y715">
        <v>0.58698530356381895</v>
      </c>
      <c r="Z715">
        <v>586.985303563819</v>
      </c>
      <c r="AA715">
        <v>4.6254861111111101</v>
      </c>
      <c r="AB715">
        <v>-74.066980555555503</v>
      </c>
      <c r="AC715">
        <v>2621</v>
      </c>
      <c r="AD715">
        <v>15</v>
      </c>
      <c r="AE715" t="s">
        <v>80</v>
      </c>
      <c r="AF715" t="s">
        <v>81</v>
      </c>
      <c r="AG715" t="s">
        <v>82</v>
      </c>
      <c r="AH715" t="s">
        <v>83</v>
      </c>
      <c r="AI715" t="s">
        <v>130</v>
      </c>
      <c r="AJ715">
        <v>0.103935642824174</v>
      </c>
      <c r="AK715">
        <v>0.72657051122361305</v>
      </c>
      <c r="AL715">
        <v>9.3165920895006193E-2</v>
      </c>
      <c r="AM715">
        <v>5.0666652216638901E-2</v>
      </c>
      <c r="AN715">
        <v>0.36559859486227803</v>
      </c>
      <c r="AO715">
        <v>0.32465100238878603</v>
      </c>
      <c r="AP715">
        <v>0.32465100238878603</v>
      </c>
      <c r="AQ715">
        <v>2</v>
      </c>
      <c r="AR715">
        <v>5</v>
      </c>
      <c r="AS715">
        <v>0</v>
      </c>
      <c r="AT715">
        <v>16</v>
      </c>
      <c r="AU715">
        <v>19</v>
      </c>
      <c r="AV715">
        <v>177</v>
      </c>
      <c r="AW715">
        <v>1</v>
      </c>
      <c r="AX715">
        <v>1</v>
      </c>
      <c r="AZ715">
        <v>6.8</v>
      </c>
      <c r="BA715">
        <v>19.899999999999999</v>
      </c>
      <c r="BB715">
        <v>564</v>
      </c>
      <c r="BC715">
        <v>68</v>
      </c>
      <c r="BD715">
        <v>1.5</v>
      </c>
      <c r="BE715">
        <v>135</v>
      </c>
      <c r="BF715">
        <v>0.8</v>
      </c>
      <c r="BG715">
        <v>162</v>
      </c>
      <c r="BH715">
        <v>9.1</v>
      </c>
      <c r="BI715">
        <v>9.1999999999999993</v>
      </c>
      <c r="BJ715">
        <v>18.3</v>
      </c>
      <c r="BK715">
        <v>0.34</v>
      </c>
      <c r="BL715">
        <v>7.3</v>
      </c>
      <c r="BM715">
        <v>0.9</v>
      </c>
      <c r="BN715">
        <v>7.5</v>
      </c>
      <c r="BO715">
        <v>2.9</v>
      </c>
      <c r="BP715">
        <f t="shared" si="22"/>
        <v>6.6052635558635311</v>
      </c>
      <c r="BQ715">
        <f t="shared" si="23"/>
        <v>19.621621273619279</v>
      </c>
    </row>
    <row r="716" spans="1:69" hidden="1" x14ac:dyDescent="0.2">
      <c r="A716" t="s">
        <v>3004</v>
      </c>
      <c r="B716" t="s">
        <v>68</v>
      </c>
      <c r="C716" t="s">
        <v>1956</v>
      </c>
      <c r="D716" t="s">
        <v>70</v>
      </c>
      <c r="E716" t="s">
        <v>3005</v>
      </c>
      <c r="F716">
        <v>4</v>
      </c>
      <c r="G716">
        <v>479</v>
      </c>
      <c r="H716">
        <v>4</v>
      </c>
      <c r="I716">
        <v>4</v>
      </c>
      <c r="J716">
        <v>2</v>
      </c>
      <c r="K716" t="s">
        <v>110</v>
      </c>
      <c r="L716" t="s">
        <v>162</v>
      </c>
      <c r="M716" s="4">
        <v>1400000000</v>
      </c>
      <c r="N716">
        <v>0</v>
      </c>
      <c r="O716">
        <v>4.6545699999999997</v>
      </c>
      <c r="P716">
        <v>-74.098680000000002</v>
      </c>
      <c r="Q716" t="s">
        <v>3006</v>
      </c>
      <c r="R716">
        <v>2922755.7409999999</v>
      </c>
      <c r="S716">
        <v>0</v>
      </c>
      <c r="T716" t="s">
        <v>75</v>
      </c>
      <c r="U716" t="s">
        <v>76</v>
      </c>
      <c r="V716" t="s">
        <v>77</v>
      </c>
      <c r="W716" t="s">
        <v>78</v>
      </c>
      <c r="X716" t="s">
        <v>79</v>
      </c>
      <c r="Y716">
        <v>1.68912225819724</v>
      </c>
      <c r="Z716">
        <v>1689.1222581972399</v>
      </c>
      <c r="AA716">
        <v>4.6584666666666701</v>
      </c>
      <c r="AB716">
        <v>-74.083966666666697</v>
      </c>
      <c r="AC716">
        <v>2552</v>
      </c>
      <c r="AD716">
        <v>0</v>
      </c>
      <c r="AE716" t="s">
        <v>80</v>
      </c>
      <c r="AF716" t="s">
        <v>81</v>
      </c>
      <c r="AG716" t="s">
        <v>82</v>
      </c>
      <c r="AH716" t="s">
        <v>83</v>
      </c>
      <c r="AI716" t="s">
        <v>84</v>
      </c>
      <c r="AJ716">
        <v>0.52539707495071197</v>
      </c>
      <c r="AK716">
        <v>4.8040827685323002</v>
      </c>
      <c r="AL716">
        <v>0.96897906178416204</v>
      </c>
      <c r="AM716">
        <v>0.114191424094558</v>
      </c>
      <c r="AN716">
        <v>1.7993073249012099</v>
      </c>
      <c r="AO716">
        <v>0.59632376317445801</v>
      </c>
      <c r="AP716">
        <v>0.59632376317445801</v>
      </c>
      <c r="AQ716">
        <v>0</v>
      </c>
      <c r="AR716">
        <v>3</v>
      </c>
      <c r="AS716">
        <v>0</v>
      </c>
      <c r="AT716">
        <v>0</v>
      </c>
      <c r="AU716">
        <v>1</v>
      </c>
      <c r="AV716">
        <v>39</v>
      </c>
      <c r="AW716">
        <v>0</v>
      </c>
      <c r="AX716">
        <v>0</v>
      </c>
      <c r="AZ716">
        <v>6.8</v>
      </c>
      <c r="BA716">
        <v>19.899999999999999</v>
      </c>
      <c r="BB716">
        <v>564</v>
      </c>
      <c r="BC716">
        <v>68</v>
      </c>
      <c r="BD716">
        <v>1.5</v>
      </c>
      <c r="BE716">
        <v>135</v>
      </c>
      <c r="BF716">
        <v>0.8</v>
      </c>
      <c r="BG716">
        <v>162</v>
      </c>
      <c r="BH716">
        <v>9.1</v>
      </c>
      <c r="BI716">
        <v>9.1999999999999993</v>
      </c>
      <c r="BJ716">
        <v>18.3</v>
      </c>
      <c r="BK716">
        <v>0.34</v>
      </c>
      <c r="BL716">
        <v>7.3</v>
      </c>
      <c r="BM716">
        <v>0.9</v>
      </c>
      <c r="BN716">
        <v>7.5</v>
      </c>
      <c r="BO716">
        <v>2.9</v>
      </c>
      <c r="BP716">
        <f t="shared" si="22"/>
        <v>6.2545616429585378</v>
      </c>
      <c r="BQ716">
        <f t="shared" si="23"/>
        <v>19.109408349829067</v>
      </c>
    </row>
    <row r="717" spans="1:69" hidden="1" x14ac:dyDescent="0.2">
      <c r="A717" t="s">
        <v>1003</v>
      </c>
      <c r="B717" t="s">
        <v>68</v>
      </c>
      <c r="C717" t="s">
        <v>69</v>
      </c>
      <c r="D717" t="s">
        <v>70</v>
      </c>
      <c r="E717" t="s">
        <v>832</v>
      </c>
      <c r="F717">
        <v>6</v>
      </c>
      <c r="G717">
        <v>478.91</v>
      </c>
      <c r="H717">
        <v>5</v>
      </c>
      <c r="I717">
        <v>4</v>
      </c>
      <c r="J717">
        <v>4</v>
      </c>
      <c r="K717" t="s">
        <v>110</v>
      </c>
      <c r="L717" t="s">
        <v>162</v>
      </c>
      <c r="M717" s="4">
        <v>4000000000</v>
      </c>
      <c r="N717">
        <v>0</v>
      </c>
      <c r="O717">
        <v>4.6545249999999996</v>
      </c>
      <c r="P717">
        <v>-74.049301999999997</v>
      </c>
      <c r="Q717" t="s">
        <v>1004</v>
      </c>
      <c r="R717">
        <v>8352300.0149999997</v>
      </c>
      <c r="S717">
        <v>0</v>
      </c>
      <c r="T717" t="s">
        <v>126</v>
      </c>
      <c r="U717" t="s">
        <v>127</v>
      </c>
      <c r="V717" t="s">
        <v>77</v>
      </c>
      <c r="W717" t="s">
        <v>128</v>
      </c>
      <c r="X717" t="s">
        <v>129</v>
      </c>
      <c r="Y717">
        <v>3.7811663652202001</v>
      </c>
      <c r="Z717">
        <v>3781.1663652202001</v>
      </c>
      <c r="AA717">
        <v>4.6254861111111101</v>
      </c>
      <c r="AB717">
        <v>-74.066980555555503</v>
      </c>
      <c r="AC717">
        <v>2621</v>
      </c>
      <c r="AD717">
        <v>15</v>
      </c>
      <c r="AE717" t="s">
        <v>80</v>
      </c>
      <c r="AF717" t="s">
        <v>81</v>
      </c>
      <c r="AG717" t="s">
        <v>82</v>
      </c>
      <c r="AH717" t="s">
        <v>83</v>
      </c>
      <c r="AI717" t="s">
        <v>130</v>
      </c>
      <c r="AJ717">
        <v>1.4737963045637399</v>
      </c>
      <c r="AK717">
        <v>0.114969921885405</v>
      </c>
      <c r="AL717">
        <v>0.98117141715999001</v>
      </c>
      <c r="AM717">
        <v>0.56035660363158801</v>
      </c>
      <c r="AN717">
        <v>1.7469430851290999</v>
      </c>
      <c r="AO717">
        <v>0.259157172535178</v>
      </c>
      <c r="AP717">
        <v>0.259157172535178</v>
      </c>
      <c r="AQ717">
        <v>0</v>
      </c>
      <c r="AR717">
        <v>0</v>
      </c>
      <c r="AS717">
        <v>18</v>
      </c>
      <c r="AT717">
        <v>43</v>
      </c>
      <c r="AU717">
        <v>1</v>
      </c>
      <c r="AV717">
        <v>13</v>
      </c>
      <c r="AW717">
        <v>0</v>
      </c>
      <c r="AX717">
        <v>0</v>
      </c>
      <c r="AZ717">
        <v>6.8</v>
      </c>
      <c r="BA717">
        <v>19.899999999999999</v>
      </c>
      <c r="BB717">
        <v>564</v>
      </c>
      <c r="BC717">
        <v>68</v>
      </c>
      <c r="BD717">
        <v>1.5</v>
      </c>
      <c r="BE717">
        <v>135</v>
      </c>
      <c r="BF717">
        <v>0.8</v>
      </c>
      <c r="BG717">
        <v>162</v>
      </c>
      <c r="BH717">
        <v>9.1</v>
      </c>
      <c r="BI717">
        <v>9.1999999999999993</v>
      </c>
      <c r="BJ717">
        <v>18.3</v>
      </c>
      <c r="BK717">
        <v>0.34</v>
      </c>
      <c r="BL717">
        <v>7.3</v>
      </c>
      <c r="BM717">
        <v>0.9</v>
      </c>
      <c r="BN717">
        <v>7.5</v>
      </c>
      <c r="BO717">
        <v>2.9</v>
      </c>
      <c r="BP717">
        <f t="shared" si="22"/>
        <v>5.6392714244512012</v>
      </c>
      <c r="BQ717">
        <f t="shared" si="23"/>
        <v>18.173631756545269</v>
      </c>
    </row>
    <row r="718" spans="1:69" hidden="1" x14ac:dyDescent="0.2">
      <c r="A718" t="s">
        <v>2076</v>
      </c>
      <c r="B718" t="s">
        <v>68</v>
      </c>
      <c r="C718" t="s">
        <v>1956</v>
      </c>
      <c r="D718" t="s">
        <v>70</v>
      </c>
      <c r="E718" t="s">
        <v>694</v>
      </c>
      <c r="F718">
        <v>4</v>
      </c>
      <c r="G718">
        <v>458</v>
      </c>
      <c r="H718">
        <v>5</v>
      </c>
      <c r="I718">
        <v>5</v>
      </c>
      <c r="J718">
        <v>2</v>
      </c>
      <c r="K718" t="s">
        <v>110</v>
      </c>
      <c r="L718" t="s">
        <v>162</v>
      </c>
      <c r="M718" s="4">
        <v>2800000000</v>
      </c>
      <c r="N718">
        <v>0</v>
      </c>
      <c r="O718">
        <v>4.6442093849999999</v>
      </c>
      <c r="P718">
        <v>-74.061004639999993</v>
      </c>
      <c r="Q718" t="s">
        <v>2077</v>
      </c>
      <c r="R718">
        <v>6113537.1179999998</v>
      </c>
      <c r="S718">
        <v>0</v>
      </c>
      <c r="T718" t="s">
        <v>126</v>
      </c>
      <c r="U718" t="s">
        <v>127</v>
      </c>
      <c r="V718" t="s">
        <v>77</v>
      </c>
      <c r="W718" t="s">
        <v>128</v>
      </c>
      <c r="X718" t="s">
        <v>129</v>
      </c>
      <c r="Y718">
        <v>2.1871925216867898</v>
      </c>
      <c r="Z718">
        <v>2187.1925216867899</v>
      </c>
      <c r="AA718">
        <v>4.6254861111111101</v>
      </c>
      <c r="AB718">
        <v>-74.066980555555503</v>
      </c>
      <c r="AC718">
        <v>2621</v>
      </c>
      <c r="AD718">
        <v>15</v>
      </c>
      <c r="AE718" t="s">
        <v>80</v>
      </c>
      <c r="AF718" t="s">
        <v>81</v>
      </c>
      <c r="AG718" t="s">
        <v>82</v>
      </c>
      <c r="AH718" t="s">
        <v>83</v>
      </c>
      <c r="AI718" t="s">
        <v>130</v>
      </c>
      <c r="AJ718">
        <v>0.55181693209264604</v>
      </c>
      <c r="AK718">
        <v>0.52716220180092299</v>
      </c>
      <c r="AL718">
        <v>0.119495549060274</v>
      </c>
      <c r="AM718">
        <v>8.6531553935872502E-2</v>
      </c>
      <c r="AN718">
        <v>0.40790667439785</v>
      </c>
      <c r="AO718">
        <v>0.173922159925917</v>
      </c>
      <c r="AP718">
        <v>0.173922159925917</v>
      </c>
      <c r="AQ718">
        <v>0</v>
      </c>
      <c r="AR718">
        <v>4</v>
      </c>
      <c r="AS718">
        <v>0</v>
      </c>
      <c r="AT718">
        <v>23</v>
      </c>
      <c r="AU718">
        <v>10</v>
      </c>
      <c r="AV718">
        <v>110</v>
      </c>
      <c r="AW718">
        <v>1</v>
      </c>
      <c r="AX718">
        <v>0</v>
      </c>
      <c r="AZ718">
        <v>6.8</v>
      </c>
      <c r="BA718">
        <v>19.899999999999999</v>
      </c>
      <c r="BB718">
        <v>564</v>
      </c>
      <c r="BC718">
        <v>68</v>
      </c>
      <c r="BD718">
        <v>1.5</v>
      </c>
      <c r="BE718">
        <v>135</v>
      </c>
      <c r="BF718">
        <v>0.8</v>
      </c>
      <c r="BG718">
        <v>162</v>
      </c>
      <c r="BH718">
        <v>9.1</v>
      </c>
      <c r="BI718">
        <v>9.1999999999999993</v>
      </c>
      <c r="BJ718">
        <v>18.3</v>
      </c>
      <c r="BK718">
        <v>0.34</v>
      </c>
      <c r="BL718">
        <v>7.3</v>
      </c>
      <c r="BM718">
        <v>0.9</v>
      </c>
      <c r="BN718">
        <v>7.5</v>
      </c>
      <c r="BO718">
        <v>2.9</v>
      </c>
      <c r="BP718">
        <f t="shared" si="22"/>
        <v>6.1022440608637627</v>
      </c>
      <c r="BQ718">
        <f t="shared" si="23"/>
        <v>18.882340330340014</v>
      </c>
    </row>
    <row r="719" spans="1:69" hidden="1" x14ac:dyDescent="0.2">
      <c r="A719" t="s">
        <v>3058</v>
      </c>
      <c r="B719" t="s">
        <v>68</v>
      </c>
      <c r="C719" t="s">
        <v>1956</v>
      </c>
      <c r="D719" t="s">
        <v>70</v>
      </c>
      <c r="E719" t="s">
        <v>3059</v>
      </c>
      <c r="F719">
        <v>3</v>
      </c>
      <c r="G719">
        <v>458</v>
      </c>
      <c r="H719">
        <v>5</v>
      </c>
      <c r="I719">
        <v>4</v>
      </c>
      <c r="J719">
        <v>2</v>
      </c>
      <c r="K719" t="s">
        <v>110</v>
      </c>
      <c r="L719" t="s">
        <v>162</v>
      </c>
      <c r="M719" s="4">
        <v>1200000000</v>
      </c>
      <c r="N719">
        <v>0</v>
      </c>
      <c r="O719">
        <v>4.6528391840000003</v>
      </c>
      <c r="P719">
        <v>-74.069137569999995</v>
      </c>
      <c r="Q719" t="s">
        <v>3060</v>
      </c>
      <c r="R719">
        <v>2620087.3360000001</v>
      </c>
      <c r="S719">
        <v>0</v>
      </c>
      <c r="T719" t="s">
        <v>75</v>
      </c>
      <c r="U719" t="s">
        <v>76</v>
      </c>
      <c r="V719" t="s">
        <v>77</v>
      </c>
      <c r="W719" t="s">
        <v>78</v>
      </c>
      <c r="X719" t="s">
        <v>79</v>
      </c>
      <c r="Y719">
        <v>1.7605448737984499</v>
      </c>
      <c r="Z719">
        <v>1760.54487379845</v>
      </c>
      <c r="AA719">
        <v>4.6584666666666701</v>
      </c>
      <c r="AB719">
        <v>-74.083966666666697</v>
      </c>
      <c r="AC719">
        <v>2552</v>
      </c>
      <c r="AD719">
        <v>0</v>
      </c>
      <c r="AE719" t="s">
        <v>80</v>
      </c>
      <c r="AF719" t="s">
        <v>81</v>
      </c>
      <c r="AG719" t="s">
        <v>82</v>
      </c>
      <c r="AH719" t="s">
        <v>83</v>
      </c>
      <c r="AI719" t="s">
        <v>342</v>
      </c>
      <c r="AJ719">
        <v>0.68126163270392204</v>
      </c>
      <c r="AK719">
        <v>1.83818196686482</v>
      </c>
      <c r="AL719">
        <v>0.31995237933644199</v>
      </c>
      <c r="AM719">
        <v>5.5516919634495197E-2</v>
      </c>
      <c r="AN719">
        <v>1.7203053908197801</v>
      </c>
      <c r="AO719">
        <v>6.2398143272201596E-3</v>
      </c>
      <c r="AP719">
        <v>6.2398143272201596E-3</v>
      </c>
      <c r="AQ719">
        <v>0</v>
      </c>
      <c r="AR719">
        <v>3</v>
      </c>
      <c r="AS719">
        <v>0</v>
      </c>
      <c r="AT719">
        <v>0</v>
      </c>
      <c r="AU719">
        <v>15</v>
      </c>
      <c r="AV719">
        <v>65</v>
      </c>
      <c r="AW719">
        <v>0</v>
      </c>
      <c r="AX719">
        <v>0</v>
      </c>
      <c r="AZ719">
        <v>6.8</v>
      </c>
      <c r="BA719">
        <v>19.899999999999999</v>
      </c>
      <c r="BB719">
        <v>564</v>
      </c>
      <c r="BC719">
        <v>68</v>
      </c>
      <c r="BD719">
        <v>1.5</v>
      </c>
      <c r="BE719">
        <v>135</v>
      </c>
      <c r="BF719">
        <v>0.8</v>
      </c>
      <c r="BG719">
        <v>162</v>
      </c>
      <c r="BH719">
        <v>9.1</v>
      </c>
      <c r="BI719">
        <v>9.1999999999999993</v>
      </c>
      <c r="BJ719">
        <v>18.3</v>
      </c>
      <c r="BK719">
        <v>0.34</v>
      </c>
      <c r="BL719">
        <v>7.3</v>
      </c>
      <c r="BM719">
        <v>0.9</v>
      </c>
      <c r="BN719">
        <v>7.5</v>
      </c>
      <c r="BO719">
        <v>2.9</v>
      </c>
      <c r="BP719">
        <f t="shared" si="22"/>
        <v>6.2324881863913468</v>
      </c>
      <c r="BQ719">
        <f t="shared" si="23"/>
        <v>19.076680153996527</v>
      </c>
    </row>
    <row r="720" spans="1:69" hidden="1" x14ac:dyDescent="0.2">
      <c r="A720" t="s">
        <v>2640</v>
      </c>
      <c r="B720" t="s">
        <v>68</v>
      </c>
      <c r="C720" t="s">
        <v>1956</v>
      </c>
      <c r="D720" t="s">
        <v>70</v>
      </c>
      <c r="E720" t="s">
        <v>2641</v>
      </c>
      <c r="F720">
        <v>2</v>
      </c>
      <c r="G720">
        <v>457</v>
      </c>
      <c r="H720">
        <v>5</v>
      </c>
      <c r="I720">
        <v>5</v>
      </c>
      <c r="J720">
        <v>1</v>
      </c>
      <c r="K720" t="s">
        <v>110</v>
      </c>
      <c r="L720" t="s">
        <v>162</v>
      </c>
      <c r="M720" s="4">
        <v>550000000</v>
      </c>
      <c r="N720">
        <v>0</v>
      </c>
      <c r="O720">
        <v>4.6017380000000001</v>
      </c>
      <c r="P720">
        <v>-74.182875899999999</v>
      </c>
      <c r="Q720" t="s">
        <v>2642</v>
      </c>
      <c r="R720">
        <v>1203501.094</v>
      </c>
      <c r="S720">
        <v>0</v>
      </c>
      <c r="T720" t="s">
        <v>365</v>
      </c>
      <c r="U720" t="s">
        <v>366</v>
      </c>
      <c r="V720" t="s">
        <v>77</v>
      </c>
      <c r="W720" t="s">
        <v>365</v>
      </c>
      <c r="X720" t="s">
        <v>367</v>
      </c>
      <c r="Y720">
        <v>2.38932448988716</v>
      </c>
      <c r="Z720">
        <v>2389.3244898871599</v>
      </c>
      <c r="AA720">
        <v>4.6056111111111102</v>
      </c>
      <c r="AB720">
        <v>-74.204055555555598</v>
      </c>
      <c r="AC720">
        <v>2546</v>
      </c>
      <c r="AD720">
        <v>0</v>
      </c>
      <c r="AE720" t="s">
        <v>80</v>
      </c>
      <c r="AF720" t="s">
        <v>107</v>
      </c>
      <c r="AG720" t="s">
        <v>82</v>
      </c>
      <c r="AH720" t="s">
        <v>83</v>
      </c>
      <c r="AI720" t="s">
        <v>368</v>
      </c>
      <c r="AJ720">
        <v>0.56641558129384895</v>
      </c>
      <c r="AK720">
        <v>3.4002929910813902</v>
      </c>
      <c r="AL720">
        <v>4.98438292891068</v>
      </c>
      <c r="AM720">
        <v>0.13171291171280899</v>
      </c>
      <c r="AN720">
        <v>0.467646229004129</v>
      </c>
      <c r="AO720">
        <v>7.0594879443187805E-2</v>
      </c>
      <c r="AP720">
        <v>7.0594879443187805E-2</v>
      </c>
      <c r="AQ720">
        <v>0</v>
      </c>
      <c r="AR720">
        <v>2</v>
      </c>
      <c r="AS720">
        <v>0</v>
      </c>
      <c r="AT720">
        <v>0</v>
      </c>
      <c r="AU720">
        <v>0</v>
      </c>
      <c r="AV720">
        <v>20</v>
      </c>
      <c r="AW720">
        <v>1</v>
      </c>
      <c r="AX720">
        <v>0</v>
      </c>
      <c r="AZ720">
        <v>6.8</v>
      </c>
      <c r="BA720">
        <v>19.899999999999999</v>
      </c>
      <c r="BB720">
        <v>564</v>
      </c>
      <c r="BC720">
        <v>68</v>
      </c>
      <c r="BD720">
        <v>1.5</v>
      </c>
      <c r="BE720">
        <v>135</v>
      </c>
      <c r="BF720">
        <v>0.8</v>
      </c>
      <c r="BG720">
        <v>162</v>
      </c>
      <c r="BH720">
        <v>9.1</v>
      </c>
      <c r="BI720">
        <v>9.1999999999999993</v>
      </c>
      <c r="BJ720">
        <v>18.3</v>
      </c>
      <c r="BK720">
        <v>0.34</v>
      </c>
      <c r="BL720">
        <v>7.3</v>
      </c>
      <c r="BM720">
        <v>0.9</v>
      </c>
      <c r="BN720">
        <v>7.5</v>
      </c>
      <c r="BO720">
        <v>2.9</v>
      </c>
      <c r="BP720">
        <f t="shared" si="22"/>
        <v>6.0414922937540076</v>
      </c>
      <c r="BQ720">
        <f t="shared" si="23"/>
        <v>18.790960767554878</v>
      </c>
    </row>
    <row r="721" spans="1:69" hidden="1" x14ac:dyDescent="0.2">
      <c r="A721" t="s">
        <v>2552</v>
      </c>
      <c r="B721" t="s">
        <v>68</v>
      </c>
      <c r="C721" t="s">
        <v>1956</v>
      </c>
      <c r="D721" t="s">
        <v>70</v>
      </c>
      <c r="E721" t="s">
        <v>1191</v>
      </c>
      <c r="F721">
        <v>4</v>
      </c>
      <c r="G721">
        <v>450</v>
      </c>
      <c r="H721">
        <v>5</v>
      </c>
      <c r="I721">
        <v>3</v>
      </c>
      <c r="J721">
        <v>2</v>
      </c>
      <c r="K721" t="s">
        <v>110</v>
      </c>
      <c r="L721" t="s">
        <v>162</v>
      </c>
      <c r="M721" s="4">
        <v>2400000000</v>
      </c>
      <c r="N721">
        <v>0</v>
      </c>
      <c r="O721">
        <v>4.6538548469999999</v>
      </c>
      <c r="P721">
        <v>-74.061782840000006</v>
      </c>
      <c r="Q721" t="s">
        <v>2553</v>
      </c>
      <c r="R721">
        <v>5333333.3329999996</v>
      </c>
      <c r="S721">
        <v>0</v>
      </c>
      <c r="T721" t="s">
        <v>75</v>
      </c>
      <c r="U721" t="s">
        <v>76</v>
      </c>
      <c r="V721" t="s">
        <v>77</v>
      </c>
      <c r="W721" t="s">
        <v>78</v>
      </c>
      <c r="X721" t="s">
        <v>79</v>
      </c>
      <c r="Y721">
        <v>2.5143132677413398</v>
      </c>
      <c r="Z721">
        <v>2514.31326774134</v>
      </c>
      <c r="AA721">
        <v>4.6584666666666701</v>
      </c>
      <c r="AB721">
        <v>-74.083966666666697</v>
      </c>
      <c r="AC721">
        <v>2552</v>
      </c>
      <c r="AD721">
        <v>0</v>
      </c>
      <c r="AE721" t="s">
        <v>80</v>
      </c>
      <c r="AF721" t="s">
        <v>81</v>
      </c>
      <c r="AG721" t="s">
        <v>82</v>
      </c>
      <c r="AH721" t="s">
        <v>83</v>
      </c>
      <c r="AI721" t="s">
        <v>130</v>
      </c>
      <c r="AJ721">
        <v>0.17862573226859599</v>
      </c>
      <c r="AK721">
        <v>1.3016956366083801</v>
      </c>
      <c r="AL721">
        <v>0.13862753792846</v>
      </c>
      <c r="AM721">
        <v>5.8187022255209803E-2</v>
      </c>
      <c r="AN721">
        <v>1.40423134157041</v>
      </c>
      <c r="AO721">
        <v>8.2978507197789902E-2</v>
      </c>
      <c r="AP721">
        <v>8.2978507197789902E-2</v>
      </c>
      <c r="AQ721">
        <v>2</v>
      </c>
      <c r="AR721">
        <v>3</v>
      </c>
      <c r="AS721">
        <v>0</v>
      </c>
      <c r="AT721">
        <v>0</v>
      </c>
      <c r="AU721">
        <v>22</v>
      </c>
      <c r="AV721">
        <v>85</v>
      </c>
      <c r="AW721">
        <v>0</v>
      </c>
      <c r="AX721">
        <v>0</v>
      </c>
      <c r="AZ721">
        <v>6.8</v>
      </c>
      <c r="BA721">
        <v>19.899999999999999</v>
      </c>
      <c r="BB721">
        <v>564</v>
      </c>
      <c r="BC721">
        <v>68</v>
      </c>
      <c r="BD721">
        <v>1.5</v>
      </c>
      <c r="BE721">
        <v>135</v>
      </c>
      <c r="BF721">
        <v>0.8</v>
      </c>
      <c r="BG721">
        <v>162</v>
      </c>
      <c r="BH721">
        <v>9.1</v>
      </c>
      <c r="BI721">
        <v>9.1999999999999993</v>
      </c>
      <c r="BJ721">
        <v>18.3</v>
      </c>
      <c r="BK721">
        <v>0.34</v>
      </c>
      <c r="BL721">
        <v>7.3</v>
      </c>
      <c r="BM721">
        <v>0.9</v>
      </c>
      <c r="BN721">
        <v>7.5</v>
      </c>
      <c r="BO721">
        <v>2.9</v>
      </c>
      <c r="BP721">
        <f t="shared" si="22"/>
        <v>6.0042293070913066</v>
      </c>
      <c r="BQ721">
        <f t="shared" si="23"/>
        <v>18.734677405917807</v>
      </c>
    </row>
    <row r="722" spans="1:69" hidden="1" x14ac:dyDescent="0.2">
      <c r="A722" t="s">
        <v>2949</v>
      </c>
      <c r="B722" t="s">
        <v>68</v>
      </c>
      <c r="C722" t="s">
        <v>1956</v>
      </c>
      <c r="D722" t="s">
        <v>70</v>
      </c>
      <c r="E722" t="s">
        <v>351</v>
      </c>
      <c r="F722">
        <v>6</v>
      </c>
      <c r="G722">
        <v>446</v>
      </c>
      <c r="H722">
        <v>3</v>
      </c>
      <c r="I722">
        <v>5</v>
      </c>
      <c r="J722">
        <v>2</v>
      </c>
      <c r="K722" t="s">
        <v>110</v>
      </c>
      <c r="L722" t="s">
        <v>162</v>
      </c>
      <c r="M722" s="4">
        <v>3900000000</v>
      </c>
      <c r="N722">
        <v>0</v>
      </c>
      <c r="O722">
        <v>4.6539244650000002</v>
      </c>
      <c r="P722">
        <v>-74.050193789999994</v>
      </c>
      <c r="Q722" t="s">
        <v>2950</v>
      </c>
      <c r="R722">
        <v>8744394.6190000009</v>
      </c>
      <c r="S722">
        <v>0</v>
      </c>
      <c r="T722" t="s">
        <v>126</v>
      </c>
      <c r="U722" t="s">
        <v>127</v>
      </c>
      <c r="V722" t="s">
        <v>77</v>
      </c>
      <c r="W722" t="s">
        <v>128</v>
      </c>
      <c r="X722" t="s">
        <v>129</v>
      </c>
      <c r="Y722">
        <v>3.6730230565448498</v>
      </c>
      <c r="Z722">
        <v>3673.0230565448501</v>
      </c>
      <c r="AA722">
        <v>4.6254861111111101</v>
      </c>
      <c r="AB722">
        <v>-74.066980555555503</v>
      </c>
      <c r="AC722">
        <v>2621</v>
      </c>
      <c r="AD722">
        <v>15</v>
      </c>
      <c r="AE722" t="s">
        <v>80</v>
      </c>
      <c r="AF722" t="s">
        <v>81</v>
      </c>
      <c r="AG722" t="s">
        <v>82</v>
      </c>
      <c r="AH722" t="s">
        <v>83</v>
      </c>
      <c r="AI722" t="s">
        <v>130</v>
      </c>
      <c r="AJ722">
        <v>1.4002732059958101</v>
      </c>
      <c r="AK722">
        <v>0.18166874780772199</v>
      </c>
      <c r="AL722">
        <v>0.889073344100208</v>
      </c>
      <c r="AM722">
        <v>0.45007462716412999</v>
      </c>
      <c r="AN722">
        <v>1.63623994642402</v>
      </c>
      <c r="AO722">
        <v>0.17487316970882399</v>
      </c>
      <c r="AP722">
        <v>0.17487316970882399</v>
      </c>
      <c r="AQ722">
        <v>0</v>
      </c>
      <c r="AR722">
        <v>0</v>
      </c>
      <c r="AS722">
        <v>16</v>
      </c>
      <c r="AT722">
        <v>43</v>
      </c>
      <c r="AU722">
        <v>3</v>
      </c>
      <c r="AV722">
        <v>19</v>
      </c>
      <c r="AW722">
        <v>0</v>
      </c>
      <c r="AX722">
        <v>0</v>
      </c>
      <c r="AZ722">
        <v>6.8</v>
      </c>
      <c r="BA722">
        <v>19.899999999999999</v>
      </c>
      <c r="BB722">
        <v>564</v>
      </c>
      <c r="BC722">
        <v>68</v>
      </c>
      <c r="BD722">
        <v>1.5</v>
      </c>
      <c r="BE722">
        <v>135</v>
      </c>
      <c r="BF722">
        <v>0.8</v>
      </c>
      <c r="BG722">
        <v>162</v>
      </c>
      <c r="BH722">
        <v>9.1</v>
      </c>
      <c r="BI722">
        <v>9.1999999999999993</v>
      </c>
      <c r="BJ722">
        <v>18.3</v>
      </c>
      <c r="BK722">
        <v>0.34</v>
      </c>
      <c r="BL722">
        <v>7.3</v>
      </c>
      <c r="BM722">
        <v>0.9</v>
      </c>
      <c r="BN722">
        <v>7.5</v>
      </c>
      <c r="BO722">
        <v>2.9</v>
      </c>
      <c r="BP722">
        <f t="shared" si="22"/>
        <v>5.6695399159906872</v>
      </c>
      <c r="BQ722">
        <f t="shared" si="23"/>
        <v>18.220861581157624</v>
      </c>
    </row>
    <row r="723" spans="1:69" hidden="1" x14ac:dyDescent="0.2">
      <c r="A723" t="s">
        <v>2270</v>
      </c>
      <c r="B723" t="s">
        <v>68</v>
      </c>
      <c r="C723" t="s">
        <v>1956</v>
      </c>
      <c r="D723" t="s">
        <v>70</v>
      </c>
      <c r="E723" t="s">
        <v>293</v>
      </c>
      <c r="F723">
        <v>3</v>
      </c>
      <c r="G723">
        <v>423</v>
      </c>
      <c r="H723">
        <v>5</v>
      </c>
      <c r="I723">
        <v>4</v>
      </c>
      <c r="J723">
        <v>2</v>
      </c>
      <c r="K723" t="s">
        <v>110</v>
      </c>
      <c r="L723" t="s">
        <v>162</v>
      </c>
      <c r="M723" s="4">
        <v>1800000000</v>
      </c>
      <c r="N723">
        <v>0</v>
      </c>
      <c r="O723">
        <v>4.6100545999999998</v>
      </c>
      <c r="P723">
        <v>-74.067315300000004</v>
      </c>
      <c r="Q723" t="s">
        <v>2271</v>
      </c>
      <c r="R723">
        <v>4255319.1490000002</v>
      </c>
      <c r="S723">
        <v>0</v>
      </c>
      <c r="T723" t="s">
        <v>126</v>
      </c>
      <c r="U723" t="s">
        <v>127</v>
      </c>
      <c r="V723" t="s">
        <v>77</v>
      </c>
      <c r="W723" t="s">
        <v>128</v>
      </c>
      <c r="X723" t="s">
        <v>129</v>
      </c>
      <c r="Y723">
        <v>1.71822945827415</v>
      </c>
      <c r="Z723">
        <v>1718.2294582741499</v>
      </c>
      <c r="AA723">
        <v>4.6254861111111101</v>
      </c>
      <c r="AB723">
        <v>-74.066980555555503</v>
      </c>
      <c r="AC723">
        <v>2621</v>
      </c>
      <c r="AD723">
        <v>15</v>
      </c>
      <c r="AE723" t="s">
        <v>80</v>
      </c>
      <c r="AF723" t="s">
        <v>81</v>
      </c>
      <c r="AG723" t="s">
        <v>82</v>
      </c>
      <c r="AH723" t="s">
        <v>83</v>
      </c>
      <c r="AI723" t="s">
        <v>138</v>
      </c>
      <c r="AJ723">
        <v>0.473350271192438</v>
      </c>
      <c r="AK723">
        <v>0.30698328615998599</v>
      </c>
      <c r="AL723">
        <v>0.36284848923539398</v>
      </c>
      <c r="AM723">
        <v>0.43808411626325899</v>
      </c>
      <c r="AN723">
        <v>0.58735276907946699</v>
      </c>
      <c r="AO723">
        <v>3.2370505689852301E-2</v>
      </c>
      <c r="AP723">
        <v>3.2370505689852301E-2</v>
      </c>
      <c r="AQ723">
        <v>1</v>
      </c>
      <c r="AR723">
        <v>7</v>
      </c>
      <c r="AS723">
        <v>11</v>
      </c>
      <c r="AT723">
        <v>29</v>
      </c>
      <c r="AU723">
        <v>9</v>
      </c>
      <c r="AV723">
        <v>58</v>
      </c>
      <c r="AW723">
        <v>1</v>
      </c>
      <c r="AX723">
        <v>5</v>
      </c>
      <c r="AZ723">
        <v>6.8</v>
      </c>
      <c r="BA723">
        <v>19.899999999999999</v>
      </c>
      <c r="BB723">
        <v>564</v>
      </c>
      <c r="BC723">
        <v>68</v>
      </c>
      <c r="BD723">
        <v>1.5</v>
      </c>
      <c r="BE723">
        <v>135</v>
      </c>
      <c r="BF723">
        <v>0.8</v>
      </c>
      <c r="BG723">
        <v>162</v>
      </c>
      <c r="BH723">
        <v>9.1</v>
      </c>
      <c r="BI723">
        <v>9.1999999999999993</v>
      </c>
      <c r="BJ723">
        <v>18.3</v>
      </c>
      <c r="BK723">
        <v>0.34</v>
      </c>
      <c r="BL723">
        <v>7.3</v>
      </c>
      <c r="BM723">
        <v>0.9</v>
      </c>
      <c r="BN723">
        <v>7.5</v>
      </c>
      <c r="BO723">
        <v>2.9</v>
      </c>
      <c r="BP723">
        <f t="shared" si="22"/>
        <v>6.245556519368054</v>
      </c>
      <c r="BQ723">
        <f t="shared" si="23"/>
        <v>19.096063698544416</v>
      </c>
    </row>
    <row r="724" spans="1:69" hidden="1" x14ac:dyDescent="0.2">
      <c r="A724" t="s">
        <v>2729</v>
      </c>
      <c r="B724" t="s">
        <v>68</v>
      </c>
      <c r="C724" t="s">
        <v>1956</v>
      </c>
      <c r="D724" t="s">
        <v>70</v>
      </c>
      <c r="E724" t="s">
        <v>633</v>
      </c>
      <c r="F724">
        <v>4</v>
      </c>
      <c r="G724">
        <v>423</v>
      </c>
      <c r="H724">
        <v>5</v>
      </c>
      <c r="I724">
        <v>5</v>
      </c>
      <c r="J724">
        <v>0</v>
      </c>
      <c r="K724" t="s">
        <v>110</v>
      </c>
      <c r="L724" t="s">
        <v>162</v>
      </c>
      <c r="M724" s="4">
        <v>1700000000</v>
      </c>
      <c r="N724">
        <v>0</v>
      </c>
      <c r="O724">
        <v>4.6271000000000004</v>
      </c>
      <c r="P724">
        <v>-74.078230000000005</v>
      </c>
      <c r="Q724" t="s">
        <v>2730</v>
      </c>
      <c r="R724">
        <v>4018912.53</v>
      </c>
      <c r="S724">
        <v>0</v>
      </c>
      <c r="T724" t="s">
        <v>126</v>
      </c>
      <c r="U724" t="s">
        <v>127</v>
      </c>
      <c r="V724" t="s">
        <v>77</v>
      </c>
      <c r="W724" t="s">
        <v>128</v>
      </c>
      <c r="X724" t="s">
        <v>129</v>
      </c>
      <c r="Y724">
        <v>1.2610654650274999</v>
      </c>
      <c r="Z724">
        <v>1261.0654650275001</v>
      </c>
      <c r="AA724">
        <v>4.6254861111111101</v>
      </c>
      <c r="AB724">
        <v>-74.066980555555503</v>
      </c>
      <c r="AC724">
        <v>2621</v>
      </c>
      <c r="AD724">
        <v>15</v>
      </c>
      <c r="AE724" t="s">
        <v>80</v>
      </c>
      <c r="AF724" t="s">
        <v>81</v>
      </c>
      <c r="AG724" t="s">
        <v>82</v>
      </c>
      <c r="AH724" t="s">
        <v>83</v>
      </c>
      <c r="AI724" t="s">
        <v>84</v>
      </c>
      <c r="AJ724">
        <v>0.25939126898076598</v>
      </c>
      <c r="AK724">
        <v>1.91428439016934</v>
      </c>
      <c r="AL724">
        <v>0.25528911431569201</v>
      </c>
      <c r="AM724">
        <v>0.199540723547943</v>
      </c>
      <c r="AN724">
        <v>1.2855695595063299</v>
      </c>
      <c r="AO724">
        <v>8.8778070760814107E-2</v>
      </c>
      <c r="AP724">
        <v>8.8778070760814107E-2</v>
      </c>
      <c r="AQ724">
        <v>2</v>
      </c>
      <c r="AR724">
        <v>5</v>
      </c>
      <c r="AS724">
        <v>0</v>
      </c>
      <c r="AT724">
        <v>0</v>
      </c>
      <c r="AU724">
        <v>9</v>
      </c>
      <c r="AV724">
        <v>73</v>
      </c>
      <c r="AW724">
        <v>0</v>
      </c>
      <c r="AX724">
        <v>0</v>
      </c>
      <c r="AZ724">
        <v>6.8</v>
      </c>
      <c r="BA724">
        <v>19.899999999999999</v>
      </c>
      <c r="BB724">
        <v>564</v>
      </c>
      <c r="BC724">
        <v>68</v>
      </c>
      <c r="BD724">
        <v>1.5</v>
      </c>
      <c r="BE724">
        <v>135</v>
      </c>
      <c r="BF724">
        <v>0.8</v>
      </c>
      <c r="BG724">
        <v>162</v>
      </c>
      <c r="BH724">
        <v>9.1</v>
      </c>
      <c r="BI724">
        <v>9.1999999999999993</v>
      </c>
      <c r="BJ724">
        <v>18.3</v>
      </c>
      <c r="BK724">
        <v>0.34</v>
      </c>
      <c r="BL724">
        <v>7.3</v>
      </c>
      <c r="BM724">
        <v>0.9</v>
      </c>
      <c r="BN724">
        <v>7.5</v>
      </c>
      <c r="BO724">
        <v>2.9</v>
      </c>
      <c r="BP724">
        <f t="shared" si="22"/>
        <v>6.3885023804447201</v>
      </c>
      <c r="BQ724">
        <f t="shared" si="23"/>
        <v>19.30673812386971</v>
      </c>
    </row>
    <row r="725" spans="1:69" hidden="1" x14ac:dyDescent="0.2">
      <c r="A725" t="s">
        <v>3203</v>
      </c>
      <c r="B725" t="s">
        <v>68</v>
      </c>
      <c r="C725" t="s">
        <v>1956</v>
      </c>
      <c r="D725" t="s">
        <v>70</v>
      </c>
      <c r="E725" t="s">
        <v>1191</v>
      </c>
      <c r="F725">
        <v>4</v>
      </c>
      <c r="G725">
        <v>422.2</v>
      </c>
      <c r="H725">
        <v>5</v>
      </c>
      <c r="I725">
        <v>4</v>
      </c>
      <c r="J725">
        <v>4</v>
      </c>
      <c r="K725" t="s">
        <v>110</v>
      </c>
      <c r="L725" t="s">
        <v>162</v>
      </c>
      <c r="M725" s="4">
        <v>1800000000</v>
      </c>
      <c r="N725">
        <v>0</v>
      </c>
      <c r="O725">
        <v>4.6546099999999999</v>
      </c>
      <c r="P725">
        <v>-74.06062</v>
      </c>
      <c r="Q725" t="s">
        <v>3204</v>
      </c>
      <c r="R725">
        <v>4263382.2829999998</v>
      </c>
      <c r="S725">
        <v>0</v>
      </c>
      <c r="T725" t="s">
        <v>75</v>
      </c>
      <c r="U725" t="s">
        <v>76</v>
      </c>
      <c r="V725" t="s">
        <v>77</v>
      </c>
      <c r="W725" t="s">
        <v>78</v>
      </c>
      <c r="X725" t="s">
        <v>79</v>
      </c>
      <c r="Y725">
        <v>2.6256971654583601</v>
      </c>
      <c r="Z725">
        <v>2625.6971654583599</v>
      </c>
      <c r="AA725">
        <v>4.6584666666666701</v>
      </c>
      <c r="AB725">
        <v>-74.083966666666697</v>
      </c>
      <c r="AC725">
        <v>2552</v>
      </c>
      <c r="AD725">
        <v>0</v>
      </c>
      <c r="AE725" t="s">
        <v>80</v>
      </c>
      <c r="AF725" t="s">
        <v>81</v>
      </c>
      <c r="AG725" t="s">
        <v>82</v>
      </c>
      <c r="AH725" t="s">
        <v>83</v>
      </c>
      <c r="AI725" t="s">
        <v>130</v>
      </c>
      <c r="AJ725">
        <v>0.266890505370942</v>
      </c>
      <c r="AK725">
        <v>1.23931739605323</v>
      </c>
      <c r="AL725">
        <v>7.7305414700667402E-2</v>
      </c>
      <c r="AM725">
        <v>8.9123217925163298E-2</v>
      </c>
      <c r="AN725">
        <v>1.45748149497151</v>
      </c>
      <c r="AO725">
        <v>0.217736528962165</v>
      </c>
      <c r="AP725">
        <v>0.217736528962165</v>
      </c>
      <c r="AQ725">
        <v>2</v>
      </c>
      <c r="AR725">
        <v>4</v>
      </c>
      <c r="AS725">
        <v>0</v>
      </c>
      <c r="AT725">
        <v>0</v>
      </c>
      <c r="AU725">
        <v>24</v>
      </c>
      <c r="AV725">
        <v>85</v>
      </c>
      <c r="AW725">
        <v>0</v>
      </c>
      <c r="AX725">
        <v>0</v>
      </c>
      <c r="AZ725">
        <v>6.8</v>
      </c>
      <c r="BA725">
        <v>19.899999999999999</v>
      </c>
      <c r="BB725">
        <v>564</v>
      </c>
      <c r="BC725">
        <v>68</v>
      </c>
      <c r="BD725">
        <v>1.5</v>
      </c>
      <c r="BE725">
        <v>135</v>
      </c>
      <c r="BF725">
        <v>0.8</v>
      </c>
      <c r="BG725">
        <v>162</v>
      </c>
      <c r="BH725">
        <v>9.1</v>
      </c>
      <c r="BI725">
        <v>9.1999999999999993</v>
      </c>
      <c r="BJ725">
        <v>18.3</v>
      </c>
      <c r="BK725">
        <v>0.34</v>
      </c>
      <c r="BL725">
        <v>7.3</v>
      </c>
      <c r="BM725">
        <v>0.9</v>
      </c>
      <c r="BN725">
        <v>7.5</v>
      </c>
      <c r="BO725">
        <v>2.9</v>
      </c>
      <c r="BP725">
        <f t="shared" si="22"/>
        <v>5.9712160641083258</v>
      </c>
      <c r="BQ725">
        <f t="shared" si="23"/>
        <v>18.684662492567284</v>
      </c>
    </row>
    <row r="726" spans="1:69" hidden="1" x14ac:dyDescent="0.2">
      <c r="A726" t="s">
        <v>3195</v>
      </c>
      <c r="B726" t="s">
        <v>68</v>
      </c>
      <c r="C726" t="s">
        <v>1956</v>
      </c>
      <c r="D726" t="s">
        <v>70</v>
      </c>
      <c r="E726" t="s">
        <v>1946</v>
      </c>
      <c r="F726">
        <v>3</v>
      </c>
      <c r="G726">
        <v>413</v>
      </c>
      <c r="H726">
        <v>5</v>
      </c>
      <c r="I726">
        <v>5</v>
      </c>
      <c r="J726">
        <v>0</v>
      </c>
      <c r="K726" t="s">
        <v>110</v>
      </c>
      <c r="L726" t="s">
        <v>162</v>
      </c>
      <c r="M726" s="4">
        <v>1500000000</v>
      </c>
      <c r="N726">
        <v>0</v>
      </c>
      <c r="O726">
        <v>4.5795500000000002</v>
      </c>
      <c r="P726">
        <v>-74.107190000000003</v>
      </c>
      <c r="Q726" t="s">
        <v>3196</v>
      </c>
      <c r="R726">
        <v>3631961.2590000001</v>
      </c>
      <c r="S726">
        <v>0</v>
      </c>
      <c r="T726" t="s">
        <v>1843</v>
      </c>
      <c r="U726" t="s">
        <v>1844</v>
      </c>
      <c r="V726" t="s">
        <v>77</v>
      </c>
      <c r="W726" t="s">
        <v>1845</v>
      </c>
      <c r="X726" t="s">
        <v>1846</v>
      </c>
      <c r="Y726">
        <v>2.6629783668167599</v>
      </c>
      <c r="Z726">
        <v>2662.9783668167602</v>
      </c>
      <c r="AA726">
        <v>4.576225</v>
      </c>
      <c r="AB726">
        <v>-74.130955555555502</v>
      </c>
      <c r="AC726">
        <v>2589</v>
      </c>
      <c r="AD726">
        <v>0</v>
      </c>
      <c r="AE726" t="s">
        <v>80</v>
      </c>
      <c r="AF726" t="s">
        <v>107</v>
      </c>
      <c r="AG726" t="s">
        <v>82</v>
      </c>
      <c r="AH726" t="s">
        <v>83</v>
      </c>
      <c r="AI726" t="s">
        <v>1847</v>
      </c>
      <c r="AJ726">
        <v>7.2755423516672593E-2</v>
      </c>
      <c r="AK726">
        <v>3.64679499330621</v>
      </c>
      <c r="AL726">
        <v>1.28072622353679</v>
      </c>
      <c r="AM726">
        <v>9.8878926210988101E-3</v>
      </c>
      <c r="AN726">
        <v>0.74494200577879399</v>
      </c>
      <c r="AO726">
        <v>1.11852969647645E-2</v>
      </c>
      <c r="AP726">
        <v>1.11852969647645E-2</v>
      </c>
      <c r="AQ726">
        <v>1</v>
      </c>
      <c r="AR726">
        <v>4</v>
      </c>
      <c r="AS726">
        <v>0</v>
      </c>
      <c r="AT726">
        <v>0</v>
      </c>
      <c r="AU726">
        <v>0</v>
      </c>
      <c r="AV726">
        <v>58</v>
      </c>
      <c r="AW726">
        <v>2</v>
      </c>
      <c r="AX726">
        <v>0</v>
      </c>
      <c r="AZ726">
        <v>6.8</v>
      </c>
      <c r="BA726">
        <v>19.899999999999999</v>
      </c>
      <c r="BB726">
        <v>564</v>
      </c>
      <c r="BC726">
        <v>68</v>
      </c>
      <c r="BD726">
        <v>1.5</v>
      </c>
      <c r="BE726">
        <v>135</v>
      </c>
      <c r="BF726">
        <v>0.8</v>
      </c>
      <c r="BG726">
        <v>162</v>
      </c>
      <c r="BH726">
        <v>9.1</v>
      </c>
      <c r="BI726">
        <v>9.1999999999999993</v>
      </c>
      <c r="BJ726">
        <v>18.3</v>
      </c>
      <c r="BK726">
        <v>0.34</v>
      </c>
      <c r="BL726">
        <v>7.3</v>
      </c>
      <c r="BM726">
        <v>0.9</v>
      </c>
      <c r="BN726">
        <v>7.5</v>
      </c>
      <c r="BO726">
        <v>2.9</v>
      </c>
      <c r="BP726">
        <f t="shared" si="22"/>
        <v>5.9602068271949751</v>
      </c>
      <c r="BQ726">
        <f t="shared" si="23"/>
        <v>18.667951889625584</v>
      </c>
    </row>
    <row r="727" spans="1:69" hidden="1" x14ac:dyDescent="0.2">
      <c r="A727" t="s">
        <v>2773</v>
      </c>
      <c r="B727" t="s">
        <v>68</v>
      </c>
      <c r="C727" t="s">
        <v>1956</v>
      </c>
      <c r="D727" t="s">
        <v>70</v>
      </c>
      <c r="E727" t="s">
        <v>742</v>
      </c>
      <c r="F727">
        <v>5</v>
      </c>
      <c r="G727">
        <v>400</v>
      </c>
      <c r="H727">
        <v>5</v>
      </c>
      <c r="I727">
        <v>5</v>
      </c>
      <c r="J727">
        <v>1</v>
      </c>
      <c r="K727" t="s">
        <v>110</v>
      </c>
      <c r="L727" t="s">
        <v>162</v>
      </c>
      <c r="M727" s="4">
        <v>2999000000</v>
      </c>
      <c r="N727">
        <v>0</v>
      </c>
      <c r="O727">
        <v>4.6592301410000001</v>
      </c>
      <c r="P727">
        <v>-74.057203150000007</v>
      </c>
      <c r="Q727" t="s">
        <v>2774</v>
      </c>
      <c r="R727">
        <v>7497500</v>
      </c>
      <c r="S727">
        <v>0</v>
      </c>
      <c r="T727" t="s">
        <v>75</v>
      </c>
      <c r="U727" t="s">
        <v>76</v>
      </c>
      <c r="V727" t="s">
        <v>77</v>
      </c>
      <c r="W727" t="s">
        <v>78</v>
      </c>
      <c r="X727" t="s">
        <v>79</v>
      </c>
      <c r="Y727">
        <v>2.9706733830932901</v>
      </c>
      <c r="Z727">
        <v>2970.6733830932899</v>
      </c>
      <c r="AA727">
        <v>4.6584666666666701</v>
      </c>
      <c r="AB727">
        <v>-74.083966666666697</v>
      </c>
      <c r="AC727">
        <v>2552</v>
      </c>
      <c r="AD727">
        <v>0</v>
      </c>
      <c r="AE727" t="s">
        <v>80</v>
      </c>
      <c r="AF727" t="s">
        <v>81</v>
      </c>
      <c r="AG727" t="s">
        <v>82</v>
      </c>
      <c r="AH727" t="s">
        <v>83</v>
      </c>
      <c r="AI727" t="s">
        <v>130</v>
      </c>
      <c r="AJ727">
        <v>0.55046072780202204</v>
      </c>
      <c r="AK727">
        <v>1.1319369505379999</v>
      </c>
      <c r="AL727">
        <v>0.12975686784659199</v>
      </c>
      <c r="AM727">
        <v>4.10566985576621E-2</v>
      </c>
      <c r="AN727">
        <v>1.95138320410352</v>
      </c>
      <c r="AO727">
        <v>0.222553969876186</v>
      </c>
      <c r="AP727">
        <v>0.222553969876186</v>
      </c>
      <c r="AQ727">
        <v>0</v>
      </c>
      <c r="AR727">
        <v>3</v>
      </c>
      <c r="AS727">
        <v>0</v>
      </c>
      <c r="AT727">
        <v>0</v>
      </c>
      <c r="AU727">
        <v>23</v>
      </c>
      <c r="AV727">
        <v>112</v>
      </c>
      <c r="AW727">
        <v>0</v>
      </c>
      <c r="AX727">
        <v>0</v>
      </c>
      <c r="AZ727">
        <v>6.8</v>
      </c>
      <c r="BA727">
        <v>19.899999999999999</v>
      </c>
      <c r="BB727">
        <v>564</v>
      </c>
      <c r="BC727">
        <v>68</v>
      </c>
      <c r="BD727">
        <v>1.5</v>
      </c>
      <c r="BE727">
        <v>135</v>
      </c>
      <c r="BF727">
        <v>0.8</v>
      </c>
      <c r="BG727">
        <v>162</v>
      </c>
      <c r="BH727">
        <v>9.1</v>
      </c>
      <c r="BI727">
        <v>9.1999999999999993</v>
      </c>
      <c r="BJ727">
        <v>18.3</v>
      </c>
      <c r="BK727">
        <v>0.34</v>
      </c>
      <c r="BL727">
        <v>7.3</v>
      </c>
      <c r="BM727">
        <v>0.9</v>
      </c>
      <c r="BN727">
        <v>7.5</v>
      </c>
      <c r="BO727">
        <v>2.9</v>
      </c>
      <c r="BP727">
        <f t="shared" si="22"/>
        <v>5.8701153224421683</v>
      </c>
      <c r="BQ727">
        <f t="shared" si="23"/>
        <v>18.530602795132026</v>
      </c>
    </row>
    <row r="728" spans="1:69" hidden="1" x14ac:dyDescent="0.2">
      <c r="A728" t="s">
        <v>1458</v>
      </c>
      <c r="B728" t="s">
        <v>68</v>
      </c>
      <c r="C728" t="s">
        <v>69</v>
      </c>
      <c r="D728" t="s">
        <v>70</v>
      </c>
      <c r="E728" t="s">
        <v>132</v>
      </c>
      <c r="F728">
        <v>6</v>
      </c>
      <c r="G728">
        <v>390</v>
      </c>
      <c r="H728">
        <v>4</v>
      </c>
      <c r="I728">
        <v>5</v>
      </c>
      <c r="J728">
        <v>3</v>
      </c>
      <c r="K728" t="s">
        <v>110</v>
      </c>
      <c r="L728" t="s">
        <v>162</v>
      </c>
      <c r="M728" s="4">
        <v>3650000000</v>
      </c>
      <c r="N728">
        <v>0</v>
      </c>
      <c r="O728">
        <v>4.6708973</v>
      </c>
      <c r="P728">
        <v>-74.045653250000001</v>
      </c>
      <c r="Q728" t="s">
        <v>1459</v>
      </c>
      <c r="R728">
        <v>9358974.3589999992</v>
      </c>
      <c r="S728">
        <v>0</v>
      </c>
      <c r="T728" t="s">
        <v>75</v>
      </c>
      <c r="U728" t="s">
        <v>76</v>
      </c>
      <c r="V728" t="s">
        <v>77</v>
      </c>
      <c r="W728" t="s">
        <v>78</v>
      </c>
      <c r="X728" t="s">
        <v>79</v>
      </c>
      <c r="Y728">
        <v>4.4704586509294897</v>
      </c>
      <c r="Z728">
        <v>4470.4586509294904</v>
      </c>
      <c r="AA728">
        <v>4.6584666666666701</v>
      </c>
      <c r="AB728">
        <v>-74.083966666666697</v>
      </c>
      <c r="AC728">
        <v>2552</v>
      </c>
      <c r="AD728">
        <v>0</v>
      </c>
      <c r="AE728" t="s">
        <v>80</v>
      </c>
      <c r="AF728" t="s">
        <v>81</v>
      </c>
      <c r="AG728" t="s">
        <v>82</v>
      </c>
      <c r="AH728" t="s">
        <v>83</v>
      </c>
      <c r="AI728" t="s">
        <v>130</v>
      </c>
      <c r="AJ728">
        <v>1.55914965764624</v>
      </c>
      <c r="AK728">
        <v>0.38903870606310698</v>
      </c>
      <c r="AL728">
        <v>1.11409504127714</v>
      </c>
      <c r="AM728">
        <v>0.43113338825584702</v>
      </c>
      <c r="AN728">
        <v>3.5310484411412499</v>
      </c>
      <c r="AO728">
        <v>0.618543984409619</v>
      </c>
      <c r="AP728">
        <v>0.618543984409619</v>
      </c>
      <c r="AQ728">
        <v>0</v>
      </c>
      <c r="AR728">
        <v>0</v>
      </c>
      <c r="AS728">
        <v>5</v>
      </c>
      <c r="AT728">
        <v>32</v>
      </c>
      <c r="AU728">
        <v>0</v>
      </c>
      <c r="AV728">
        <v>45</v>
      </c>
      <c r="AW728">
        <v>0</v>
      </c>
      <c r="AX728">
        <v>0</v>
      </c>
      <c r="AZ728">
        <v>6.8</v>
      </c>
      <c r="BA728">
        <v>19.899999999999999</v>
      </c>
      <c r="BB728">
        <v>564</v>
      </c>
      <c r="BC728">
        <v>68</v>
      </c>
      <c r="BD728">
        <v>1.5</v>
      </c>
      <c r="BE728">
        <v>135</v>
      </c>
      <c r="BF728">
        <v>0.8</v>
      </c>
      <c r="BG728">
        <v>162</v>
      </c>
      <c r="BH728">
        <v>9.1</v>
      </c>
      <c r="BI728">
        <v>9.1999999999999993</v>
      </c>
      <c r="BJ728">
        <v>18.3</v>
      </c>
      <c r="BK728">
        <v>0.34</v>
      </c>
      <c r="BL728">
        <v>7.3</v>
      </c>
      <c r="BM728">
        <v>0.9</v>
      </c>
      <c r="BN728">
        <v>7.5</v>
      </c>
      <c r="BO728">
        <v>2.9</v>
      </c>
      <c r="BP728">
        <f t="shared" si="22"/>
        <v>5.4501051875732189</v>
      </c>
      <c r="BQ728">
        <f t="shared" si="23"/>
        <v>17.875458240937807</v>
      </c>
    </row>
    <row r="729" spans="1:69" hidden="1" x14ac:dyDescent="0.2">
      <c r="A729" t="s">
        <v>3097</v>
      </c>
      <c r="B729" t="s">
        <v>68</v>
      </c>
      <c r="C729" t="s">
        <v>1956</v>
      </c>
      <c r="D729" t="s">
        <v>70</v>
      </c>
      <c r="E729" t="s">
        <v>1191</v>
      </c>
      <c r="F729">
        <v>5</v>
      </c>
      <c r="G729">
        <v>388</v>
      </c>
      <c r="H729">
        <v>5</v>
      </c>
      <c r="I729">
        <v>3</v>
      </c>
      <c r="J729">
        <v>4</v>
      </c>
      <c r="K729" t="s">
        <v>110</v>
      </c>
      <c r="L729" t="s">
        <v>162</v>
      </c>
      <c r="M729" s="4">
        <v>2300000000</v>
      </c>
      <c r="N729">
        <v>0</v>
      </c>
      <c r="O729">
        <v>4.6551400000000003</v>
      </c>
      <c r="P729">
        <v>-74.060180000000003</v>
      </c>
      <c r="Q729" t="s">
        <v>3098</v>
      </c>
      <c r="R729">
        <v>5927835.0520000001</v>
      </c>
      <c r="S729">
        <v>0</v>
      </c>
      <c r="T729" t="s">
        <v>75</v>
      </c>
      <c r="U729" t="s">
        <v>76</v>
      </c>
      <c r="V729" t="s">
        <v>77</v>
      </c>
      <c r="W729" t="s">
        <v>78</v>
      </c>
      <c r="X729" t="s">
        <v>79</v>
      </c>
      <c r="Y729">
        <v>2.6650332553203899</v>
      </c>
      <c r="Z729">
        <v>2665.0332553203898</v>
      </c>
      <c r="AA729">
        <v>4.6584666666666701</v>
      </c>
      <c r="AB729">
        <v>-74.083966666666697</v>
      </c>
      <c r="AC729">
        <v>2552</v>
      </c>
      <c r="AD729">
        <v>0</v>
      </c>
      <c r="AE729" t="s">
        <v>80</v>
      </c>
      <c r="AF729" t="s">
        <v>81</v>
      </c>
      <c r="AG729" t="s">
        <v>82</v>
      </c>
      <c r="AH729" t="s">
        <v>83</v>
      </c>
      <c r="AI729" t="s">
        <v>130</v>
      </c>
      <c r="AJ729">
        <v>0.31479989861494201</v>
      </c>
      <c r="AK729">
        <v>1.2332147706130201</v>
      </c>
      <c r="AL729">
        <v>0.12213913845749599</v>
      </c>
      <c r="AM729">
        <v>0.14972496395485899</v>
      </c>
      <c r="AN729">
        <v>1.50804382929641</v>
      </c>
      <c r="AO729">
        <v>0.240984969893869</v>
      </c>
      <c r="AP729">
        <v>0.240984969893869</v>
      </c>
      <c r="AQ729">
        <v>2</v>
      </c>
      <c r="AR729">
        <v>4</v>
      </c>
      <c r="AS729">
        <v>0</v>
      </c>
      <c r="AT729">
        <v>0</v>
      </c>
      <c r="AU729">
        <v>25</v>
      </c>
      <c r="AV729">
        <v>88</v>
      </c>
      <c r="AW729">
        <v>0</v>
      </c>
      <c r="AX729">
        <v>0</v>
      </c>
      <c r="AZ729">
        <v>6.8</v>
      </c>
      <c r="BA729">
        <v>19.899999999999999</v>
      </c>
      <c r="BB729">
        <v>564</v>
      </c>
      <c r="BC729">
        <v>68</v>
      </c>
      <c r="BD729">
        <v>1.5</v>
      </c>
      <c r="BE729">
        <v>135</v>
      </c>
      <c r="BF729">
        <v>0.8</v>
      </c>
      <c r="BG729">
        <v>162</v>
      </c>
      <c r="BH729">
        <v>9.1</v>
      </c>
      <c r="BI729">
        <v>9.1999999999999993</v>
      </c>
      <c r="BJ729">
        <v>18.3</v>
      </c>
      <c r="BK729">
        <v>0.34</v>
      </c>
      <c r="BL729">
        <v>7.3</v>
      </c>
      <c r="BM729">
        <v>0.9</v>
      </c>
      <c r="BN729">
        <v>7.5</v>
      </c>
      <c r="BO729">
        <v>2.9</v>
      </c>
      <c r="BP729">
        <f t="shared" si="22"/>
        <v>5.9596006037829268</v>
      </c>
      <c r="BQ729">
        <f t="shared" si="23"/>
        <v>18.667031258893907</v>
      </c>
    </row>
    <row r="730" spans="1:69" hidden="1" x14ac:dyDescent="0.2">
      <c r="A730" t="s">
        <v>2951</v>
      </c>
      <c r="B730" t="s">
        <v>68</v>
      </c>
      <c r="C730" t="s">
        <v>1956</v>
      </c>
      <c r="D730" t="s">
        <v>70</v>
      </c>
      <c r="E730" t="s">
        <v>2952</v>
      </c>
      <c r="F730">
        <v>3</v>
      </c>
      <c r="G730">
        <v>380</v>
      </c>
      <c r="H730">
        <v>5</v>
      </c>
      <c r="I730">
        <v>5</v>
      </c>
      <c r="J730">
        <v>0</v>
      </c>
      <c r="K730" t="s">
        <v>110</v>
      </c>
      <c r="L730" t="s">
        <v>162</v>
      </c>
      <c r="M730" s="4">
        <v>880000000</v>
      </c>
      <c r="N730">
        <v>0</v>
      </c>
      <c r="O730">
        <v>4.6772818999999997</v>
      </c>
      <c r="P730">
        <v>-74.0892743</v>
      </c>
      <c r="Q730" t="s">
        <v>2953</v>
      </c>
      <c r="R730">
        <v>2315789.4739999999</v>
      </c>
      <c r="S730">
        <v>0</v>
      </c>
      <c r="T730" t="s">
        <v>75</v>
      </c>
      <c r="U730" t="s">
        <v>76</v>
      </c>
      <c r="V730" t="s">
        <v>77</v>
      </c>
      <c r="W730" t="s">
        <v>78</v>
      </c>
      <c r="X730" t="s">
        <v>79</v>
      </c>
      <c r="Y730">
        <v>2.1757120665298499</v>
      </c>
      <c r="Z730">
        <v>2175.7120665298498</v>
      </c>
      <c r="AA730">
        <v>4.6584666666666701</v>
      </c>
      <c r="AB730">
        <v>-74.083966666666697</v>
      </c>
      <c r="AC730">
        <v>2552</v>
      </c>
      <c r="AD730">
        <v>0</v>
      </c>
      <c r="AE730" t="s">
        <v>80</v>
      </c>
      <c r="AF730" t="s">
        <v>81</v>
      </c>
      <c r="AG730" t="s">
        <v>82</v>
      </c>
      <c r="AH730" t="s">
        <v>83</v>
      </c>
      <c r="AI730" t="s">
        <v>412</v>
      </c>
      <c r="AJ730">
        <v>1.35655219799208</v>
      </c>
      <c r="AK730">
        <v>5.0775605975715203</v>
      </c>
      <c r="AL730">
        <v>1.8976753590722399</v>
      </c>
      <c r="AM730">
        <v>0.15652573119619101</v>
      </c>
      <c r="AN730">
        <v>0.90697343957223397</v>
      </c>
      <c r="AO730">
        <v>0.19013470464018101</v>
      </c>
      <c r="AP730">
        <v>0.19013470464018101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21</v>
      </c>
      <c r="AW730">
        <v>1</v>
      </c>
      <c r="AX730">
        <v>0</v>
      </c>
      <c r="AZ730">
        <v>6.8</v>
      </c>
      <c r="BA730">
        <v>19.899999999999999</v>
      </c>
      <c r="BB730">
        <v>564</v>
      </c>
      <c r="BC730">
        <v>68</v>
      </c>
      <c r="BD730">
        <v>1.5</v>
      </c>
      <c r="BE730">
        <v>135</v>
      </c>
      <c r="BF730">
        <v>0.8</v>
      </c>
      <c r="BG730">
        <v>162</v>
      </c>
      <c r="BH730">
        <v>9.1</v>
      </c>
      <c r="BI730">
        <v>9.1999999999999993</v>
      </c>
      <c r="BJ730">
        <v>18.3</v>
      </c>
      <c r="BK730">
        <v>0.34</v>
      </c>
      <c r="BL730">
        <v>7.3</v>
      </c>
      <c r="BM730">
        <v>0.9</v>
      </c>
      <c r="BN730">
        <v>7.5</v>
      </c>
      <c r="BO730">
        <v>2.9</v>
      </c>
      <c r="BP730">
        <f t="shared" si="22"/>
        <v>6.1057128450903733</v>
      </c>
      <c r="BQ730">
        <f t="shared" si="23"/>
        <v>18.887543715827992</v>
      </c>
    </row>
    <row r="731" spans="1:69" hidden="1" x14ac:dyDescent="0.2">
      <c r="A731" t="s">
        <v>3197</v>
      </c>
      <c r="B731" t="s">
        <v>68</v>
      </c>
      <c r="C731" t="s">
        <v>1956</v>
      </c>
      <c r="D731" t="s">
        <v>70</v>
      </c>
      <c r="E731" t="s">
        <v>1569</v>
      </c>
      <c r="F731">
        <v>3</v>
      </c>
      <c r="G731">
        <v>379</v>
      </c>
      <c r="H731">
        <v>5</v>
      </c>
      <c r="I731">
        <v>5</v>
      </c>
      <c r="J731">
        <v>2</v>
      </c>
      <c r="K731" t="s">
        <v>110</v>
      </c>
      <c r="L731" t="s">
        <v>162</v>
      </c>
      <c r="M731" s="4">
        <v>799000000</v>
      </c>
      <c r="N731">
        <v>0</v>
      </c>
      <c r="O731">
        <v>4.7024765999999998</v>
      </c>
      <c r="P731">
        <v>-74.104955700000005</v>
      </c>
      <c r="Q731" t="s">
        <v>3198</v>
      </c>
      <c r="R731">
        <v>2108179.42</v>
      </c>
      <c r="S731">
        <v>0</v>
      </c>
      <c r="T731" t="s">
        <v>419</v>
      </c>
      <c r="U731" t="s">
        <v>420</v>
      </c>
      <c r="V731" t="s">
        <v>77</v>
      </c>
      <c r="W731" t="s">
        <v>78</v>
      </c>
      <c r="X731" t="s">
        <v>421</v>
      </c>
      <c r="Y731">
        <v>4.3770671983529903</v>
      </c>
      <c r="Z731">
        <v>4377.0671983529901</v>
      </c>
      <c r="AA731">
        <v>4.7358055555555598</v>
      </c>
      <c r="AB731">
        <v>-74.125888888888895</v>
      </c>
      <c r="AC731">
        <v>2574</v>
      </c>
      <c r="AD731">
        <v>0</v>
      </c>
      <c r="AE731" t="s">
        <v>154</v>
      </c>
      <c r="AF731" t="s">
        <v>107</v>
      </c>
      <c r="AG731" t="s">
        <v>82</v>
      </c>
      <c r="AH731" t="s">
        <v>83</v>
      </c>
      <c r="AI731" t="s">
        <v>412</v>
      </c>
      <c r="AJ731">
        <v>0.24575434797463</v>
      </c>
      <c r="AK731">
        <v>3.4242991867838999</v>
      </c>
      <c r="AL731">
        <v>1.15231627344321</v>
      </c>
      <c r="AM731">
        <v>0.19184460829897301</v>
      </c>
      <c r="AN731">
        <v>1.4006184776335999</v>
      </c>
      <c r="AO731">
        <v>5.1028799133635602E-2</v>
      </c>
      <c r="AP731">
        <v>5.1028799133635602E-2</v>
      </c>
      <c r="AQ731">
        <v>1</v>
      </c>
      <c r="AR731">
        <v>3</v>
      </c>
      <c r="AS731">
        <v>0</v>
      </c>
      <c r="AT731">
        <v>0</v>
      </c>
      <c r="AU731">
        <v>0</v>
      </c>
      <c r="AV731">
        <v>31</v>
      </c>
      <c r="AW731">
        <v>0</v>
      </c>
      <c r="AX731">
        <v>0</v>
      </c>
      <c r="AZ731">
        <v>6.8</v>
      </c>
      <c r="BA731">
        <v>19.899999999999999</v>
      </c>
      <c r="BB731">
        <v>564</v>
      </c>
      <c r="BC731">
        <v>68</v>
      </c>
      <c r="BD731">
        <v>1.5</v>
      </c>
      <c r="BE731">
        <v>135</v>
      </c>
      <c r="BF731">
        <v>0.8</v>
      </c>
      <c r="BG731">
        <v>162</v>
      </c>
      <c r="BH731">
        <v>9.1</v>
      </c>
      <c r="BI731">
        <v>9.1999999999999993</v>
      </c>
      <c r="BJ731">
        <v>18.3</v>
      </c>
      <c r="BK731">
        <v>0.34</v>
      </c>
      <c r="BL731">
        <v>7.3</v>
      </c>
      <c r="BM731">
        <v>0.9</v>
      </c>
      <c r="BN731">
        <v>7.5</v>
      </c>
      <c r="BO731">
        <v>2.9</v>
      </c>
      <c r="BP731">
        <f t="shared" si="22"/>
        <v>5.4753586798800633</v>
      </c>
      <c r="BQ731">
        <f t="shared" si="23"/>
        <v>17.915569136577108</v>
      </c>
    </row>
    <row r="732" spans="1:69" hidden="1" x14ac:dyDescent="0.2">
      <c r="A732" t="s">
        <v>1619</v>
      </c>
      <c r="B732" t="s">
        <v>68</v>
      </c>
      <c r="C732" t="s">
        <v>69</v>
      </c>
      <c r="D732" t="s">
        <v>70</v>
      </c>
      <c r="E732" t="s">
        <v>832</v>
      </c>
      <c r="F732">
        <v>6</v>
      </c>
      <c r="G732">
        <v>378</v>
      </c>
      <c r="H732">
        <v>3</v>
      </c>
      <c r="I732">
        <v>4</v>
      </c>
      <c r="J732">
        <v>4</v>
      </c>
      <c r="K732" t="s">
        <v>110</v>
      </c>
      <c r="L732" t="s">
        <v>162</v>
      </c>
      <c r="M732" s="4">
        <v>3350000000</v>
      </c>
      <c r="N732">
        <v>0</v>
      </c>
      <c r="O732">
        <v>4.6511003000000004</v>
      </c>
      <c r="P732">
        <v>-74.051613799999998</v>
      </c>
      <c r="Q732" t="s">
        <v>1620</v>
      </c>
      <c r="R732">
        <v>8862433.8619999997</v>
      </c>
      <c r="S732">
        <v>0</v>
      </c>
      <c r="T732" t="s">
        <v>126</v>
      </c>
      <c r="U732" t="s">
        <v>127</v>
      </c>
      <c r="V732" t="s">
        <v>77</v>
      </c>
      <c r="W732" t="s">
        <v>128</v>
      </c>
      <c r="X732" t="s">
        <v>129</v>
      </c>
      <c r="Y732">
        <v>3.3222475467974002</v>
      </c>
      <c r="Z732">
        <v>3322.2475467974</v>
      </c>
      <c r="AA732">
        <v>4.6254861111111101</v>
      </c>
      <c r="AB732">
        <v>-74.066980555555503</v>
      </c>
      <c r="AC732">
        <v>2621</v>
      </c>
      <c r="AD732">
        <v>15</v>
      </c>
      <c r="AE732" t="s">
        <v>80</v>
      </c>
      <c r="AF732" t="s">
        <v>81</v>
      </c>
      <c r="AG732" t="s">
        <v>82</v>
      </c>
      <c r="AH732" t="s">
        <v>83</v>
      </c>
      <c r="AI732" t="s">
        <v>130</v>
      </c>
      <c r="AJ732">
        <v>1.33162377294336</v>
      </c>
      <c r="AK732">
        <v>0.264673672094557</v>
      </c>
      <c r="AL732">
        <v>0.63280411260838898</v>
      </c>
      <c r="AM732">
        <v>0.37536255758863801</v>
      </c>
      <c r="AN732">
        <v>1.2899496474660901</v>
      </c>
      <c r="AO732">
        <v>0.100222373751368</v>
      </c>
      <c r="AP732">
        <v>0.100222373751368</v>
      </c>
      <c r="AQ732">
        <v>0</v>
      </c>
      <c r="AR732">
        <v>0</v>
      </c>
      <c r="AS732">
        <v>23</v>
      </c>
      <c r="AT732">
        <v>39</v>
      </c>
      <c r="AU732">
        <v>3</v>
      </c>
      <c r="AV732">
        <v>18</v>
      </c>
      <c r="AW732">
        <v>0</v>
      </c>
      <c r="AX732">
        <v>0</v>
      </c>
      <c r="AZ732">
        <v>6.8</v>
      </c>
      <c r="BA732">
        <v>19.899999999999999</v>
      </c>
      <c r="BB732">
        <v>564</v>
      </c>
      <c r="BC732">
        <v>68</v>
      </c>
      <c r="BD732">
        <v>1.5</v>
      </c>
      <c r="BE732">
        <v>135</v>
      </c>
      <c r="BF732">
        <v>0.8</v>
      </c>
      <c r="BG732">
        <v>162</v>
      </c>
      <c r="BH732">
        <v>9.1</v>
      </c>
      <c r="BI732">
        <v>9.1999999999999993</v>
      </c>
      <c r="BJ732">
        <v>18.3</v>
      </c>
      <c r="BK732">
        <v>0.34</v>
      </c>
      <c r="BL732">
        <v>7.3</v>
      </c>
      <c r="BM732">
        <v>0.9</v>
      </c>
      <c r="BN732">
        <v>7.5</v>
      </c>
      <c r="BO732">
        <v>2.9</v>
      </c>
      <c r="BP732">
        <f t="shared" si="22"/>
        <v>5.7688419508383095</v>
      </c>
      <c r="BQ732">
        <f t="shared" si="23"/>
        <v>18.374903448970674</v>
      </c>
    </row>
    <row r="733" spans="1:69" hidden="1" x14ac:dyDescent="0.2">
      <c r="A733" t="s">
        <v>357</v>
      </c>
      <c r="B733" t="s">
        <v>68</v>
      </c>
      <c r="C733" t="s">
        <v>69</v>
      </c>
      <c r="D733" t="s">
        <v>70</v>
      </c>
      <c r="E733" t="s">
        <v>310</v>
      </c>
      <c r="F733">
        <v>6</v>
      </c>
      <c r="G733">
        <v>378</v>
      </c>
      <c r="H733">
        <v>3</v>
      </c>
      <c r="I733">
        <v>4</v>
      </c>
      <c r="J733">
        <v>4</v>
      </c>
      <c r="K733" t="s">
        <v>110</v>
      </c>
      <c r="L733" t="s">
        <v>162</v>
      </c>
      <c r="M733" s="4">
        <v>3000000000</v>
      </c>
      <c r="N733">
        <v>0</v>
      </c>
      <c r="O733">
        <v>4.6615614890000003</v>
      </c>
      <c r="P733">
        <v>-74.04798126</v>
      </c>
      <c r="Q733" t="s">
        <v>358</v>
      </c>
      <c r="R733">
        <v>7936507.9369999999</v>
      </c>
      <c r="S733">
        <v>0</v>
      </c>
      <c r="T733" t="s">
        <v>75</v>
      </c>
      <c r="U733" t="s">
        <v>76</v>
      </c>
      <c r="V733" t="s">
        <v>77</v>
      </c>
      <c r="W733" t="s">
        <v>78</v>
      </c>
      <c r="X733" t="s">
        <v>79</v>
      </c>
      <c r="Y733">
        <v>4.0074710729068999</v>
      </c>
      <c r="Z733">
        <v>4007.4710729069002</v>
      </c>
      <c r="AA733">
        <v>4.6584666666666701</v>
      </c>
      <c r="AB733">
        <v>-74.083966666666697</v>
      </c>
      <c r="AC733">
        <v>2552</v>
      </c>
      <c r="AD733">
        <v>0</v>
      </c>
      <c r="AE733" t="s">
        <v>80</v>
      </c>
      <c r="AF733" t="s">
        <v>81</v>
      </c>
      <c r="AG733" t="s">
        <v>82</v>
      </c>
      <c r="AH733" t="s">
        <v>83</v>
      </c>
      <c r="AI733" t="s">
        <v>130</v>
      </c>
      <c r="AJ733">
        <v>1.4814438658560101</v>
      </c>
      <c r="AK733">
        <v>0.21934984596433299</v>
      </c>
      <c r="AL733">
        <v>0.72572525222634998</v>
      </c>
      <c r="AM733">
        <v>0.16106089315952901</v>
      </c>
      <c r="AN733">
        <v>2.4884451701736698</v>
      </c>
      <c r="AO733">
        <v>0.421387744226834</v>
      </c>
      <c r="AP733">
        <v>0.421387744226834</v>
      </c>
      <c r="AQ733">
        <v>0</v>
      </c>
      <c r="AR733">
        <v>0</v>
      </c>
      <c r="AS733">
        <v>11</v>
      </c>
      <c r="AT733">
        <v>33</v>
      </c>
      <c r="AU733">
        <v>3</v>
      </c>
      <c r="AV733">
        <v>23</v>
      </c>
      <c r="AW733">
        <v>0</v>
      </c>
      <c r="AX733">
        <v>0</v>
      </c>
      <c r="AZ733">
        <v>6.8</v>
      </c>
      <c r="BA733">
        <v>19.899999999999999</v>
      </c>
      <c r="BB733">
        <v>564</v>
      </c>
      <c r="BC733">
        <v>68</v>
      </c>
      <c r="BD733">
        <v>1.5</v>
      </c>
      <c r="BE733">
        <v>135</v>
      </c>
      <c r="BF733">
        <v>0.8</v>
      </c>
      <c r="BG733">
        <v>162</v>
      </c>
      <c r="BH733">
        <v>9.1</v>
      </c>
      <c r="BI733">
        <v>9.1999999999999993</v>
      </c>
      <c r="BJ733">
        <v>18.3</v>
      </c>
      <c r="BK733">
        <v>0.34</v>
      </c>
      <c r="BL733">
        <v>7.3</v>
      </c>
      <c r="BM733">
        <v>0.9</v>
      </c>
      <c r="BN733">
        <v>7.5</v>
      </c>
      <c r="BO733">
        <v>2.9</v>
      </c>
      <c r="BP733">
        <f t="shared" si="22"/>
        <v>5.5764523468960236</v>
      </c>
      <c r="BQ733">
        <f t="shared" si="23"/>
        <v>18.075192643217125</v>
      </c>
    </row>
    <row r="734" spans="1:69" hidden="1" x14ac:dyDescent="0.2">
      <c r="A734" t="s">
        <v>2059</v>
      </c>
      <c r="B734" t="s">
        <v>68</v>
      </c>
      <c r="C734" t="s">
        <v>1956</v>
      </c>
      <c r="D734" t="s">
        <v>70</v>
      </c>
      <c r="E734" t="s">
        <v>2060</v>
      </c>
      <c r="F734">
        <v>4</v>
      </c>
      <c r="G734">
        <v>378</v>
      </c>
      <c r="H734">
        <v>3</v>
      </c>
      <c r="I734">
        <v>2</v>
      </c>
      <c r="J734">
        <v>0</v>
      </c>
      <c r="K734" t="s">
        <v>110</v>
      </c>
      <c r="L734" t="s">
        <v>133</v>
      </c>
      <c r="M734" s="4">
        <v>1750000000</v>
      </c>
      <c r="N734">
        <v>0</v>
      </c>
      <c r="O734">
        <v>4.6314306260000002</v>
      </c>
      <c r="P734">
        <v>-74.071556090000001</v>
      </c>
      <c r="Q734" t="s">
        <v>2061</v>
      </c>
      <c r="R734">
        <v>4629629.63</v>
      </c>
      <c r="S734">
        <v>0</v>
      </c>
      <c r="T734" t="s">
        <v>126</v>
      </c>
      <c r="U734" t="s">
        <v>127</v>
      </c>
      <c r="V734" t="s">
        <v>77</v>
      </c>
      <c r="W734" t="s">
        <v>128</v>
      </c>
      <c r="X734" t="s">
        <v>129</v>
      </c>
      <c r="Y734">
        <v>0.83405307125158101</v>
      </c>
      <c r="Z734">
        <v>834.05307125158095</v>
      </c>
      <c r="AA734">
        <v>4.6254861111111101</v>
      </c>
      <c r="AB734">
        <v>-74.066980555555503</v>
      </c>
      <c r="AC734">
        <v>2621</v>
      </c>
      <c r="AD734">
        <v>15</v>
      </c>
      <c r="AE734" t="s">
        <v>80</v>
      </c>
      <c r="AF734" t="s">
        <v>81</v>
      </c>
      <c r="AG734" t="s">
        <v>82</v>
      </c>
      <c r="AH734" t="s">
        <v>83</v>
      </c>
      <c r="AI734" t="s">
        <v>84</v>
      </c>
      <c r="AJ734">
        <v>0.40778656933888502</v>
      </c>
      <c r="AK734">
        <v>1.2075018819980401</v>
      </c>
      <c r="AL734">
        <v>0.312636848726429</v>
      </c>
      <c r="AM734">
        <v>0.184382085382748</v>
      </c>
      <c r="AN734">
        <v>0.69666389899408698</v>
      </c>
      <c r="AO734">
        <v>5.5356625294249402E-2</v>
      </c>
      <c r="AP734">
        <v>5.5356625294249402E-2</v>
      </c>
      <c r="AQ734">
        <v>1</v>
      </c>
      <c r="AR734">
        <v>6</v>
      </c>
      <c r="AS734">
        <v>0</v>
      </c>
      <c r="AT734">
        <v>0</v>
      </c>
      <c r="AU734">
        <v>18</v>
      </c>
      <c r="AV734">
        <v>173</v>
      </c>
      <c r="AW734">
        <v>1</v>
      </c>
      <c r="AX734">
        <v>0</v>
      </c>
      <c r="AZ734">
        <v>6.8</v>
      </c>
      <c r="BA734">
        <v>19.899999999999999</v>
      </c>
      <c r="BB734">
        <v>564</v>
      </c>
      <c r="BC734">
        <v>68</v>
      </c>
      <c r="BD734">
        <v>1.5</v>
      </c>
      <c r="BE734">
        <v>135</v>
      </c>
      <c r="BF734">
        <v>0.8</v>
      </c>
      <c r="BG734">
        <v>162</v>
      </c>
      <c r="BH734">
        <v>9.1</v>
      </c>
      <c r="BI734">
        <v>9.1999999999999993</v>
      </c>
      <c r="BJ734">
        <v>18.3</v>
      </c>
      <c r="BK734">
        <v>0.34</v>
      </c>
      <c r="BL734">
        <v>7.3</v>
      </c>
      <c r="BM734">
        <v>0.9</v>
      </c>
      <c r="BN734">
        <v>7.5</v>
      </c>
      <c r="BO734">
        <v>2.9</v>
      </c>
      <c r="BP734">
        <f t="shared" si="22"/>
        <v>6.5249741085013069</v>
      </c>
      <c r="BQ734">
        <f t="shared" si="23"/>
        <v>19.505616661528038</v>
      </c>
    </row>
    <row r="735" spans="1:69" hidden="1" x14ac:dyDescent="0.2">
      <c r="A735" t="s">
        <v>2352</v>
      </c>
      <c r="B735" t="s">
        <v>68</v>
      </c>
      <c r="C735" t="s">
        <v>1956</v>
      </c>
      <c r="D735" t="s">
        <v>70</v>
      </c>
      <c r="E735" t="s">
        <v>832</v>
      </c>
      <c r="F735">
        <v>6</v>
      </c>
      <c r="G735">
        <v>362</v>
      </c>
      <c r="H735">
        <v>4</v>
      </c>
      <c r="I735">
        <v>5</v>
      </c>
      <c r="J735">
        <v>4</v>
      </c>
      <c r="K735" t="s">
        <v>110</v>
      </c>
      <c r="L735" t="s">
        <v>162</v>
      </c>
      <c r="M735" s="4">
        <v>3300000000</v>
      </c>
      <c r="N735">
        <v>0</v>
      </c>
      <c r="O735">
        <v>4.6549199999999997</v>
      </c>
      <c r="P735">
        <v>-74.053319999999999</v>
      </c>
      <c r="Q735" t="s">
        <v>2353</v>
      </c>
      <c r="R735">
        <v>9116022.0989999995</v>
      </c>
      <c r="S735">
        <v>0</v>
      </c>
      <c r="T735" t="s">
        <v>75</v>
      </c>
      <c r="U735" t="s">
        <v>76</v>
      </c>
      <c r="V735" t="s">
        <v>77</v>
      </c>
      <c r="W735" t="s">
        <v>78</v>
      </c>
      <c r="X735" t="s">
        <v>79</v>
      </c>
      <c r="Y735">
        <v>3.4231541704114199</v>
      </c>
      <c r="Z735">
        <v>3423.1541704114202</v>
      </c>
      <c r="AA735">
        <v>4.6584666666666701</v>
      </c>
      <c r="AB735">
        <v>-74.083966666666697</v>
      </c>
      <c r="AC735">
        <v>2552</v>
      </c>
      <c r="AD735">
        <v>0</v>
      </c>
      <c r="AE735" t="s">
        <v>80</v>
      </c>
      <c r="AF735" t="s">
        <v>81</v>
      </c>
      <c r="AG735" t="s">
        <v>82</v>
      </c>
      <c r="AH735" t="s">
        <v>83</v>
      </c>
      <c r="AI735" t="s">
        <v>130</v>
      </c>
      <c r="AJ735">
        <v>1.0369777211990201</v>
      </c>
      <c r="AK735">
        <v>0.54535681626115196</v>
      </c>
      <c r="AL735">
        <v>0.56625286613839698</v>
      </c>
      <c r="AM735">
        <v>0.16980822962929601</v>
      </c>
      <c r="AN735">
        <v>1.57442250365346</v>
      </c>
      <c r="AO735">
        <v>6.77833974245611E-3</v>
      </c>
      <c r="AP735">
        <v>6.77833974245611E-3</v>
      </c>
      <c r="AQ735">
        <v>0</v>
      </c>
      <c r="AR735">
        <v>0</v>
      </c>
      <c r="AS735">
        <v>0</v>
      </c>
      <c r="AT735">
        <v>41</v>
      </c>
      <c r="AU735">
        <v>12</v>
      </c>
      <c r="AV735">
        <v>45</v>
      </c>
      <c r="AW735">
        <v>0</v>
      </c>
      <c r="AX735">
        <v>0</v>
      </c>
      <c r="AZ735">
        <v>6.8</v>
      </c>
      <c r="BA735">
        <v>19.899999999999999</v>
      </c>
      <c r="BB735">
        <v>564</v>
      </c>
      <c r="BC735">
        <v>68</v>
      </c>
      <c r="BD735">
        <v>1.5</v>
      </c>
      <c r="BE735">
        <v>135</v>
      </c>
      <c r="BF735">
        <v>0.8</v>
      </c>
      <c r="BG735">
        <v>162</v>
      </c>
      <c r="BH735">
        <v>9.1</v>
      </c>
      <c r="BI735">
        <v>9.1999999999999993</v>
      </c>
      <c r="BJ735">
        <v>18.3</v>
      </c>
      <c r="BK735">
        <v>0.34</v>
      </c>
      <c r="BL735">
        <v>7.3</v>
      </c>
      <c r="BM735">
        <v>0.9</v>
      </c>
      <c r="BN735">
        <v>7.5</v>
      </c>
      <c r="BO735">
        <v>2.9</v>
      </c>
      <c r="BP735">
        <f t="shared" si="22"/>
        <v>5.7400991330393989</v>
      </c>
      <c r="BQ735">
        <f t="shared" si="23"/>
        <v>18.330457701945953</v>
      </c>
    </row>
    <row r="736" spans="1:69" hidden="1" x14ac:dyDescent="0.2">
      <c r="A736" t="s">
        <v>1831</v>
      </c>
      <c r="B736" t="s">
        <v>68</v>
      </c>
      <c r="C736" t="s">
        <v>69</v>
      </c>
      <c r="D736" t="s">
        <v>70</v>
      </c>
      <c r="E736" t="s">
        <v>1832</v>
      </c>
      <c r="F736">
        <v>6</v>
      </c>
      <c r="G736">
        <v>360</v>
      </c>
      <c r="H736">
        <v>3</v>
      </c>
      <c r="I736">
        <v>5</v>
      </c>
      <c r="J736">
        <v>4</v>
      </c>
      <c r="K736" t="s">
        <v>110</v>
      </c>
      <c r="L736" t="s">
        <v>124</v>
      </c>
      <c r="M736" s="4">
        <v>3500000000</v>
      </c>
      <c r="N736">
        <v>0</v>
      </c>
      <c r="O736">
        <v>4.6665679000000004</v>
      </c>
      <c r="P736">
        <v>-74.045590300000001</v>
      </c>
      <c r="Q736" t="s">
        <v>1833</v>
      </c>
      <c r="R736">
        <v>9722222.2219999991</v>
      </c>
      <c r="S736">
        <v>0</v>
      </c>
      <c r="T736" t="s">
        <v>75</v>
      </c>
      <c r="U736" t="s">
        <v>76</v>
      </c>
      <c r="V736" t="s">
        <v>77</v>
      </c>
      <c r="W736" t="s">
        <v>78</v>
      </c>
      <c r="X736" t="s">
        <v>79</v>
      </c>
      <c r="Y736">
        <v>4.35235626259926</v>
      </c>
      <c r="Z736">
        <v>4352.3562625992599</v>
      </c>
      <c r="AA736">
        <v>4.6584666666666701</v>
      </c>
      <c r="AB736">
        <v>-74.083966666666697</v>
      </c>
      <c r="AC736">
        <v>2552</v>
      </c>
      <c r="AD736">
        <v>0</v>
      </c>
      <c r="AE736" t="s">
        <v>80</v>
      </c>
      <c r="AF736" t="s">
        <v>81</v>
      </c>
      <c r="AG736" t="s">
        <v>82</v>
      </c>
      <c r="AH736" t="s">
        <v>83</v>
      </c>
      <c r="AI736" t="s">
        <v>130</v>
      </c>
      <c r="AJ736">
        <v>1.6413299338280101</v>
      </c>
      <c r="AK736">
        <v>0.20728502009000099</v>
      </c>
      <c r="AL736">
        <v>0.91619726278046099</v>
      </c>
      <c r="AM736">
        <v>0.23429897534282801</v>
      </c>
      <c r="AN736">
        <v>3.1016427439603498</v>
      </c>
      <c r="AO736">
        <v>0.39419451606758199</v>
      </c>
      <c r="AP736">
        <v>0.39419451606758199</v>
      </c>
      <c r="AQ736">
        <v>0</v>
      </c>
      <c r="AR736">
        <v>0</v>
      </c>
      <c r="AS736">
        <v>18</v>
      </c>
      <c r="AT736">
        <v>37</v>
      </c>
      <c r="AU736">
        <v>1</v>
      </c>
      <c r="AV736">
        <v>21</v>
      </c>
      <c r="AW736">
        <v>0</v>
      </c>
      <c r="AX736">
        <v>0</v>
      </c>
      <c r="AZ736">
        <v>6.8</v>
      </c>
      <c r="BA736">
        <v>19.899999999999999</v>
      </c>
      <c r="BB736">
        <v>564</v>
      </c>
      <c r="BC736">
        <v>68</v>
      </c>
      <c r="BD736">
        <v>1.5</v>
      </c>
      <c r="BE736">
        <v>135</v>
      </c>
      <c r="BF736">
        <v>0.8</v>
      </c>
      <c r="BG736">
        <v>162</v>
      </c>
      <c r="BH736">
        <v>9.1</v>
      </c>
      <c r="BI736">
        <v>9.1999999999999993</v>
      </c>
      <c r="BJ736">
        <v>18.3</v>
      </c>
      <c r="BK736">
        <v>0.34</v>
      </c>
      <c r="BL736">
        <v>7.3</v>
      </c>
      <c r="BM736">
        <v>0.9</v>
      </c>
      <c r="BN736">
        <v>7.5</v>
      </c>
      <c r="BO736">
        <v>2.9</v>
      </c>
      <c r="BP736">
        <f t="shared" si="22"/>
        <v>5.4820601888683846</v>
      </c>
      <c r="BQ736">
        <f t="shared" si="23"/>
        <v>17.926197339329828</v>
      </c>
    </row>
    <row r="737" spans="1:69" hidden="1" x14ac:dyDescent="0.2">
      <c r="A737" t="s">
        <v>2371</v>
      </c>
      <c r="B737" t="s">
        <v>68</v>
      </c>
      <c r="C737" t="s">
        <v>1956</v>
      </c>
      <c r="D737" t="s">
        <v>70</v>
      </c>
      <c r="E737" t="s">
        <v>272</v>
      </c>
      <c r="F737">
        <v>6</v>
      </c>
      <c r="G737">
        <v>360</v>
      </c>
      <c r="H737">
        <v>5</v>
      </c>
      <c r="I737">
        <v>4</v>
      </c>
      <c r="J737">
        <v>2</v>
      </c>
      <c r="K737" t="s">
        <v>110</v>
      </c>
      <c r="L737" t="s">
        <v>162</v>
      </c>
      <c r="M737" s="4">
        <v>2500000000</v>
      </c>
      <c r="N737">
        <v>0</v>
      </c>
      <c r="O737">
        <v>4.6227939999999998</v>
      </c>
      <c r="P737">
        <v>-74.090960199999998</v>
      </c>
      <c r="Q737" t="s">
        <v>2372</v>
      </c>
      <c r="R737">
        <v>6944444.4440000001</v>
      </c>
      <c r="S737">
        <v>0</v>
      </c>
      <c r="T737" t="s">
        <v>126</v>
      </c>
      <c r="U737" t="s">
        <v>127</v>
      </c>
      <c r="V737" t="s">
        <v>77</v>
      </c>
      <c r="W737" t="s">
        <v>128</v>
      </c>
      <c r="X737" t="s">
        <v>129</v>
      </c>
      <c r="Y737">
        <v>2.6775369153745001</v>
      </c>
      <c r="Z737">
        <v>2677.5369153745</v>
      </c>
      <c r="AA737">
        <v>4.6254861111111101</v>
      </c>
      <c r="AB737">
        <v>-74.066980555555503</v>
      </c>
      <c r="AC737">
        <v>2621</v>
      </c>
      <c r="AD737">
        <v>15</v>
      </c>
      <c r="AE737" t="s">
        <v>80</v>
      </c>
      <c r="AF737" t="s">
        <v>81</v>
      </c>
      <c r="AG737" t="s">
        <v>82</v>
      </c>
      <c r="AH737" t="s">
        <v>83</v>
      </c>
      <c r="AI737" t="s">
        <v>288</v>
      </c>
      <c r="AJ737">
        <v>0.66743251898662503</v>
      </c>
      <c r="AK737">
        <v>3.1337604789985098</v>
      </c>
      <c r="AL737">
        <v>1.5332800914459901</v>
      </c>
      <c r="AM737">
        <v>6.5377647119212901E-2</v>
      </c>
      <c r="AN737">
        <v>1.4308107403660699</v>
      </c>
      <c r="AO737">
        <v>0.54905754830896403</v>
      </c>
      <c r="AP737">
        <v>0.54905754830896403</v>
      </c>
      <c r="AQ737">
        <v>0</v>
      </c>
      <c r="AR737">
        <v>4</v>
      </c>
      <c r="AS737">
        <v>0</v>
      </c>
      <c r="AT737">
        <v>0</v>
      </c>
      <c r="AU737">
        <v>0</v>
      </c>
      <c r="AV737">
        <v>16</v>
      </c>
      <c r="AW737">
        <v>0</v>
      </c>
      <c r="AX737">
        <v>0</v>
      </c>
      <c r="AZ737">
        <v>6.8</v>
      </c>
      <c r="BA737">
        <v>19.899999999999999</v>
      </c>
      <c r="BB737">
        <v>564</v>
      </c>
      <c r="BC737">
        <v>68</v>
      </c>
      <c r="BD737">
        <v>1.5</v>
      </c>
      <c r="BE737">
        <v>135</v>
      </c>
      <c r="BF737">
        <v>0.8</v>
      </c>
      <c r="BG737">
        <v>162</v>
      </c>
      <c r="BH737">
        <v>9.1</v>
      </c>
      <c r="BI737">
        <v>9.1999999999999993</v>
      </c>
      <c r="BJ737">
        <v>18.3</v>
      </c>
      <c r="BK737">
        <v>0.34</v>
      </c>
      <c r="BL737">
        <v>7.3</v>
      </c>
      <c r="BM737">
        <v>0.9</v>
      </c>
      <c r="BN737">
        <v>7.5</v>
      </c>
      <c r="BO737">
        <v>2.9</v>
      </c>
      <c r="BP737">
        <f t="shared" si="22"/>
        <v>5.9559131624464419</v>
      </c>
      <c r="BQ737">
        <f t="shared" si="23"/>
        <v>18.661430350204302</v>
      </c>
    </row>
    <row r="738" spans="1:69" hidden="1" x14ac:dyDescent="0.2">
      <c r="A738" t="s">
        <v>2317</v>
      </c>
      <c r="B738" t="s">
        <v>68</v>
      </c>
      <c r="C738" t="s">
        <v>1956</v>
      </c>
      <c r="D738" t="s">
        <v>70</v>
      </c>
      <c r="E738" t="s">
        <v>560</v>
      </c>
      <c r="F738">
        <v>2</v>
      </c>
      <c r="G738">
        <v>360</v>
      </c>
      <c r="H738">
        <v>5</v>
      </c>
      <c r="I738">
        <v>5</v>
      </c>
      <c r="J738">
        <v>1</v>
      </c>
      <c r="K738" t="s">
        <v>110</v>
      </c>
      <c r="L738" t="s">
        <v>124</v>
      </c>
      <c r="M738" s="4">
        <v>950000000</v>
      </c>
      <c r="N738">
        <v>0</v>
      </c>
      <c r="O738">
        <v>4.7422924039999996</v>
      </c>
      <c r="P738">
        <v>-74.122596740000006</v>
      </c>
      <c r="Q738" t="s">
        <v>2318</v>
      </c>
      <c r="R738">
        <v>2638888.889</v>
      </c>
      <c r="S738">
        <v>0</v>
      </c>
      <c r="T738" t="s">
        <v>419</v>
      </c>
      <c r="U738" t="s">
        <v>420</v>
      </c>
      <c r="V738" t="s">
        <v>77</v>
      </c>
      <c r="W738" t="s">
        <v>78</v>
      </c>
      <c r="X738" t="s">
        <v>421</v>
      </c>
      <c r="Y738">
        <v>0.80922048682024805</v>
      </c>
      <c r="Z738">
        <v>809.22048682024797</v>
      </c>
      <c r="AA738">
        <v>4.7358055555555598</v>
      </c>
      <c r="AB738">
        <v>-74.125888888888895</v>
      </c>
      <c r="AC738">
        <v>2574</v>
      </c>
      <c r="AD738">
        <v>0</v>
      </c>
      <c r="AE738" t="s">
        <v>154</v>
      </c>
      <c r="AF738" t="s">
        <v>107</v>
      </c>
      <c r="AG738" t="s">
        <v>82</v>
      </c>
      <c r="AH738" t="s">
        <v>83</v>
      </c>
      <c r="AI738" t="s">
        <v>121</v>
      </c>
      <c r="AJ738">
        <v>3.1792066156693801</v>
      </c>
      <c r="AK738">
        <v>0.496370435605686</v>
      </c>
      <c r="AL738">
        <v>5.7400559395505999</v>
      </c>
      <c r="AM738">
        <v>0.24368093964416301</v>
      </c>
      <c r="AN738">
        <v>4.1350840924155401</v>
      </c>
      <c r="AO738">
        <v>2.2622164865424701E-2</v>
      </c>
      <c r="AP738">
        <v>2.2622164865424701E-2</v>
      </c>
      <c r="AQ738">
        <v>0</v>
      </c>
      <c r="AR738">
        <v>0</v>
      </c>
      <c r="AS738">
        <v>1</v>
      </c>
      <c r="AT738">
        <v>12</v>
      </c>
      <c r="AU738">
        <v>0</v>
      </c>
      <c r="AV738">
        <v>1</v>
      </c>
      <c r="AW738">
        <v>0</v>
      </c>
      <c r="AX738">
        <v>0</v>
      </c>
      <c r="AZ738">
        <v>6.8</v>
      </c>
      <c r="BA738">
        <v>19.899999999999999</v>
      </c>
      <c r="BB738">
        <v>564</v>
      </c>
      <c r="BC738">
        <v>68</v>
      </c>
      <c r="BD738">
        <v>1.5</v>
      </c>
      <c r="BE738">
        <v>135</v>
      </c>
      <c r="BF738">
        <v>0.8</v>
      </c>
      <c r="BG738">
        <v>162</v>
      </c>
      <c r="BH738">
        <v>9.1</v>
      </c>
      <c r="BI738">
        <v>9.1999999999999993</v>
      </c>
      <c r="BJ738">
        <v>18.3</v>
      </c>
      <c r="BK738">
        <v>0.34</v>
      </c>
      <c r="BL738">
        <v>7.3</v>
      </c>
      <c r="BM738">
        <v>0.9</v>
      </c>
      <c r="BN738">
        <v>7.5</v>
      </c>
      <c r="BO738">
        <v>2.9</v>
      </c>
      <c r="BP738">
        <f t="shared" si="22"/>
        <v>6.5329996225614586</v>
      </c>
      <c r="BQ738">
        <f t="shared" si="23"/>
        <v>19.517245123304129</v>
      </c>
    </row>
    <row r="739" spans="1:69" hidden="1" x14ac:dyDescent="0.2">
      <c r="A739" t="s">
        <v>2706</v>
      </c>
      <c r="B739" t="s">
        <v>68</v>
      </c>
      <c r="C739" t="s">
        <v>1956</v>
      </c>
      <c r="D739" t="s">
        <v>70</v>
      </c>
      <c r="E739" t="s">
        <v>2707</v>
      </c>
      <c r="F739">
        <v>2</v>
      </c>
      <c r="G739">
        <v>360</v>
      </c>
      <c r="H739">
        <v>5</v>
      </c>
      <c r="I739">
        <v>4</v>
      </c>
      <c r="J739">
        <v>2</v>
      </c>
      <c r="K739" t="s">
        <v>110</v>
      </c>
      <c r="L739" t="s">
        <v>162</v>
      </c>
      <c r="M739" s="4">
        <v>450000000</v>
      </c>
      <c r="N739">
        <v>0</v>
      </c>
      <c r="O739">
        <v>4.5743099999999997</v>
      </c>
      <c r="P739">
        <v>-74.108320000000006</v>
      </c>
      <c r="Q739" t="s">
        <v>2708</v>
      </c>
      <c r="R739">
        <v>1250000</v>
      </c>
      <c r="S739">
        <v>0</v>
      </c>
      <c r="T739" t="s">
        <v>1843</v>
      </c>
      <c r="U739" t="s">
        <v>1844</v>
      </c>
      <c r="V739" t="s">
        <v>77</v>
      </c>
      <c r="W739" t="s">
        <v>1845</v>
      </c>
      <c r="X739" t="s">
        <v>1846</v>
      </c>
      <c r="Y739">
        <v>2.5207791283721099</v>
      </c>
      <c r="Z739">
        <v>2520.7791283721099</v>
      </c>
      <c r="AA739">
        <v>4.576225</v>
      </c>
      <c r="AB739">
        <v>-74.130955555555502</v>
      </c>
      <c r="AC739">
        <v>2589</v>
      </c>
      <c r="AD739">
        <v>0</v>
      </c>
      <c r="AE739" t="s">
        <v>80</v>
      </c>
      <c r="AF739" t="s">
        <v>107</v>
      </c>
      <c r="AG739" t="s">
        <v>82</v>
      </c>
      <c r="AH739" t="s">
        <v>83</v>
      </c>
      <c r="AI739" t="s">
        <v>1847</v>
      </c>
      <c r="AJ739">
        <v>0.51986519541292298</v>
      </c>
      <c r="AK739">
        <v>3.5505682232115698</v>
      </c>
      <c r="AL739">
        <v>1.7268336573983001</v>
      </c>
      <c r="AM739">
        <v>0.25943354112252698</v>
      </c>
      <c r="AN739">
        <v>1.24861748842762</v>
      </c>
      <c r="AO739">
        <v>5.2525134524167599E-2</v>
      </c>
      <c r="AP739">
        <v>5.2525134524167599E-2</v>
      </c>
      <c r="AQ739">
        <v>0</v>
      </c>
      <c r="AR739">
        <v>2</v>
      </c>
      <c r="AS739">
        <v>0</v>
      </c>
      <c r="AT739">
        <v>0</v>
      </c>
      <c r="AU739">
        <v>0</v>
      </c>
      <c r="AV739">
        <v>30</v>
      </c>
      <c r="AW739">
        <v>0</v>
      </c>
      <c r="AX739">
        <v>0</v>
      </c>
      <c r="AZ739">
        <v>6.8</v>
      </c>
      <c r="BA739">
        <v>19.899999999999999</v>
      </c>
      <c r="BB739">
        <v>564</v>
      </c>
      <c r="BC739">
        <v>68</v>
      </c>
      <c r="BD739">
        <v>1.5</v>
      </c>
      <c r="BE739">
        <v>135</v>
      </c>
      <c r="BF739">
        <v>0.8</v>
      </c>
      <c r="BG739">
        <v>162</v>
      </c>
      <c r="BH739">
        <v>9.1</v>
      </c>
      <c r="BI739">
        <v>9.1999999999999993</v>
      </c>
      <c r="BJ739">
        <v>18.3</v>
      </c>
      <c r="BK739">
        <v>0.34</v>
      </c>
      <c r="BL739">
        <v>7.3</v>
      </c>
      <c r="BM739">
        <v>0.9</v>
      </c>
      <c r="BN739">
        <v>7.5</v>
      </c>
      <c r="BO739">
        <v>2.9</v>
      </c>
      <c r="BP739">
        <f t="shared" si="22"/>
        <v>6.0023079003507327</v>
      </c>
      <c r="BQ739">
        <f t="shared" si="23"/>
        <v>18.731770371967698</v>
      </c>
    </row>
    <row r="740" spans="1:69" hidden="1" x14ac:dyDescent="0.2">
      <c r="A740" t="s">
        <v>988</v>
      </c>
      <c r="B740" t="s">
        <v>68</v>
      </c>
      <c r="C740" t="s">
        <v>69</v>
      </c>
      <c r="D740" t="s">
        <v>70</v>
      </c>
      <c r="E740" t="s">
        <v>989</v>
      </c>
      <c r="F740">
        <v>6</v>
      </c>
      <c r="G740">
        <v>354</v>
      </c>
      <c r="H740">
        <v>4</v>
      </c>
      <c r="I740">
        <v>4</v>
      </c>
      <c r="J740">
        <v>3</v>
      </c>
      <c r="K740" t="s">
        <v>110</v>
      </c>
      <c r="L740" t="s">
        <v>162</v>
      </c>
      <c r="M740" s="4">
        <v>2800000000</v>
      </c>
      <c r="N740">
        <v>0</v>
      </c>
      <c r="O740">
        <v>4.6687900000000004</v>
      </c>
      <c r="P740">
        <v>-74.043139999999994</v>
      </c>
      <c r="Q740" t="s">
        <v>990</v>
      </c>
      <c r="R740">
        <v>7909604.5199999996</v>
      </c>
      <c r="S740">
        <v>0</v>
      </c>
      <c r="T740" t="s">
        <v>75</v>
      </c>
      <c r="U740" t="s">
        <v>76</v>
      </c>
      <c r="V740" t="s">
        <v>77</v>
      </c>
      <c r="W740" t="s">
        <v>78</v>
      </c>
      <c r="X740" t="s">
        <v>79</v>
      </c>
      <c r="Y740">
        <v>4.6732569220550104</v>
      </c>
      <c r="Z740">
        <v>4673.2569220550104</v>
      </c>
      <c r="AA740">
        <v>4.6584666666666701</v>
      </c>
      <c r="AB740">
        <v>-74.083966666666697</v>
      </c>
      <c r="AC740">
        <v>2552</v>
      </c>
      <c r="AD740">
        <v>0</v>
      </c>
      <c r="AE740" t="s">
        <v>80</v>
      </c>
      <c r="AF740" t="s">
        <v>81</v>
      </c>
      <c r="AG740" t="s">
        <v>82</v>
      </c>
      <c r="AH740" t="s">
        <v>83</v>
      </c>
      <c r="AI740" t="s">
        <v>130</v>
      </c>
      <c r="AJ740">
        <v>1.87091209236246</v>
      </c>
      <c r="AK740">
        <v>4.5232242227715998E-2</v>
      </c>
      <c r="AL740">
        <v>1.2471015092901601</v>
      </c>
      <c r="AM740">
        <v>0.54112401474991501</v>
      </c>
      <c r="AN740">
        <v>3.44674300339106</v>
      </c>
      <c r="AO740">
        <v>0.71107334971162695</v>
      </c>
      <c r="AP740">
        <v>0.71107334971162695</v>
      </c>
      <c r="AQ740">
        <v>0</v>
      </c>
      <c r="AR740">
        <v>0</v>
      </c>
      <c r="AS740">
        <v>26</v>
      </c>
      <c r="AT740">
        <v>33</v>
      </c>
      <c r="AU740">
        <v>0</v>
      </c>
      <c r="AV740">
        <v>10</v>
      </c>
      <c r="AW740">
        <v>0</v>
      </c>
      <c r="AX740">
        <v>0</v>
      </c>
      <c r="AZ740">
        <v>6.8</v>
      </c>
      <c r="BA740">
        <v>19.899999999999999</v>
      </c>
      <c r="BB740">
        <v>564</v>
      </c>
      <c r="BC740">
        <v>68</v>
      </c>
      <c r="BD740">
        <v>1.5</v>
      </c>
      <c r="BE740">
        <v>135</v>
      </c>
      <c r="BF740">
        <v>0.8</v>
      </c>
      <c r="BG740">
        <v>162</v>
      </c>
      <c r="BH740">
        <v>9.1</v>
      </c>
      <c r="BI740">
        <v>9.1999999999999993</v>
      </c>
      <c r="BJ740">
        <v>18.3</v>
      </c>
      <c r="BK740">
        <v>0.34</v>
      </c>
      <c r="BL740">
        <v>7.3</v>
      </c>
      <c r="BM740">
        <v>0.9</v>
      </c>
      <c r="BN740">
        <v>7.5</v>
      </c>
      <c r="BO740">
        <v>2.9</v>
      </c>
      <c r="BP740">
        <f t="shared" si="22"/>
        <v>5.3956679198461375</v>
      </c>
      <c r="BQ740">
        <f t="shared" si="23"/>
        <v>17.78866693714485</v>
      </c>
    </row>
    <row r="741" spans="1:69" hidden="1" x14ac:dyDescent="0.2">
      <c r="A741" t="s">
        <v>1783</v>
      </c>
      <c r="B741" t="s">
        <v>68</v>
      </c>
      <c r="C741" t="s">
        <v>69</v>
      </c>
      <c r="D741" t="s">
        <v>70</v>
      </c>
      <c r="E741" t="s">
        <v>232</v>
      </c>
      <c r="F741">
        <v>6</v>
      </c>
      <c r="G741">
        <v>350</v>
      </c>
      <c r="H741">
        <v>4</v>
      </c>
      <c r="I741">
        <v>5</v>
      </c>
      <c r="J741">
        <v>2</v>
      </c>
      <c r="K741" t="s">
        <v>110</v>
      </c>
      <c r="L741" t="s">
        <v>115</v>
      </c>
      <c r="M741" s="4">
        <v>2250000000</v>
      </c>
      <c r="N741">
        <v>0</v>
      </c>
      <c r="O741">
        <v>4.6641492839999996</v>
      </c>
      <c r="P741">
        <v>-74.047767640000004</v>
      </c>
      <c r="Q741" t="s">
        <v>1784</v>
      </c>
      <c r="R741">
        <v>6428571.4289999995</v>
      </c>
      <c r="S741">
        <v>0</v>
      </c>
      <c r="T741" t="s">
        <v>75</v>
      </c>
      <c r="U741" t="s">
        <v>76</v>
      </c>
      <c r="V741" t="s">
        <v>77</v>
      </c>
      <c r="W741" t="s">
        <v>78</v>
      </c>
      <c r="X741" t="s">
        <v>79</v>
      </c>
      <c r="Y741">
        <v>4.06584118269501</v>
      </c>
      <c r="Z741">
        <v>4065.84118269501</v>
      </c>
      <c r="AA741">
        <v>4.6584666666666701</v>
      </c>
      <c r="AB741">
        <v>-74.083966666666697</v>
      </c>
      <c r="AC741">
        <v>2552</v>
      </c>
      <c r="AD741">
        <v>0</v>
      </c>
      <c r="AE741" t="s">
        <v>80</v>
      </c>
      <c r="AF741" t="s">
        <v>81</v>
      </c>
      <c r="AG741" t="s">
        <v>82</v>
      </c>
      <c r="AH741" t="s">
        <v>83</v>
      </c>
      <c r="AI741" t="s">
        <v>130</v>
      </c>
      <c r="AJ741">
        <v>1.4588489986192901</v>
      </c>
      <c r="AK741">
        <v>0.28280260423803499</v>
      </c>
      <c r="AL741">
        <v>0.65819132903626698</v>
      </c>
      <c r="AM741">
        <v>0.12838055237545201</v>
      </c>
      <c r="AN741">
        <v>2.7550533470112901</v>
      </c>
      <c r="AO741">
        <v>0.278227471370326</v>
      </c>
      <c r="AP741">
        <v>0.278227471370326</v>
      </c>
      <c r="AQ741">
        <v>0</v>
      </c>
      <c r="AR741">
        <v>0</v>
      </c>
      <c r="AS741">
        <v>6</v>
      </c>
      <c r="AT741">
        <v>31</v>
      </c>
      <c r="AU741">
        <v>4</v>
      </c>
      <c r="AV741">
        <v>25</v>
      </c>
      <c r="AW741">
        <v>0</v>
      </c>
      <c r="AX741">
        <v>0</v>
      </c>
      <c r="AZ741">
        <v>6.8</v>
      </c>
      <c r="BA741">
        <v>19.899999999999999</v>
      </c>
      <c r="BB741">
        <v>564</v>
      </c>
      <c r="BC741">
        <v>68</v>
      </c>
      <c r="BD741">
        <v>1.5</v>
      </c>
      <c r="BE741">
        <v>135</v>
      </c>
      <c r="BF741">
        <v>0.8</v>
      </c>
      <c r="BG741">
        <v>162</v>
      </c>
      <c r="BH741">
        <v>9.1</v>
      </c>
      <c r="BI741">
        <v>9.1999999999999993</v>
      </c>
      <c r="BJ741">
        <v>18.3</v>
      </c>
      <c r="BK741">
        <v>0.34</v>
      </c>
      <c r="BL741">
        <v>7.3</v>
      </c>
      <c r="BM741">
        <v>0.9</v>
      </c>
      <c r="BN741">
        <v>7.5</v>
      </c>
      <c r="BO741">
        <v>2.9</v>
      </c>
      <c r="BP741">
        <f t="shared" si="22"/>
        <v>5.5603634433696651</v>
      </c>
      <c r="BQ741">
        <f t="shared" si="23"/>
        <v>18.049889147472516</v>
      </c>
    </row>
    <row r="742" spans="1:69" hidden="1" x14ac:dyDescent="0.2">
      <c r="A742" t="s">
        <v>1756</v>
      </c>
      <c r="B742" t="s">
        <v>68</v>
      </c>
      <c r="C742" t="s">
        <v>69</v>
      </c>
      <c r="D742" t="s">
        <v>70</v>
      </c>
      <c r="E742" t="s">
        <v>742</v>
      </c>
      <c r="F742">
        <v>6</v>
      </c>
      <c r="G742">
        <v>341</v>
      </c>
      <c r="H742">
        <v>4</v>
      </c>
      <c r="I742">
        <v>5</v>
      </c>
      <c r="J742">
        <v>4</v>
      </c>
      <c r="K742" t="s">
        <v>110</v>
      </c>
      <c r="L742" t="s">
        <v>124</v>
      </c>
      <c r="M742" s="4">
        <v>3700000000</v>
      </c>
      <c r="N742">
        <v>0</v>
      </c>
      <c r="O742">
        <v>4.664451122</v>
      </c>
      <c r="P742">
        <v>-74.050231929999995</v>
      </c>
      <c r="Q742" t="s">
        <v>1757</v>
      </c>
      <c r="R742">
        <v>10850439.880000001</v>
      </c>
      <c r="S742">
        <v>0</v>
      </c>
      <c r="T742" t="s">
        <v>75</v>
      </c>
      <c r="U742" t="s">
        <v>76</v>
      </c>
      <c r="V742" t="s">
        <v>77</v>
      </c>
      <c r="W742" t="s">
        <v>78</v>
      </c>
      <c r="X742" t="s">
        <v>79</v>
      </c>
      <c r="Y742">
        <v>3.8017358581459999</v>
      </c>
      <c r="Z742">
        <v>3801.7358581459998</v>
      </c>
      <c r="AA742">
        <v>4.6584666666666701</v>
      </c>
      <c r="AB742">
        <v>-74.083966666666697</v>
      </c>
      <c r="AC742">
        <v>2552</v>
      </c>
      <c r="AD742">
        <v>0</v>
      </c>
      <c r="AE742" t="s">
        <v>80</v>
      </c>
      <c r="AF742" t="s">
        <v>81</v>
      </c>
      <c r="AG742" t="s">
        <v>82</v>
      </c>
      <c r="AH742" t="s">
        <v>83</v>
      </c>
      <c r="AI742" t="s">
        <v>130</v>
      </c>
      <c r="AJ742">
        <v>1.1893686675075199</v>
      </c>
      <c r="AK742">
        <v>0.554421494944348</v>
      </c>
      <c r="AL742">
        <v>0.382935679436264</v>
      </c>
      <c r="AM742">
        <v>0.107601839271023</v>
      </c>
      <c r="AN742">
        <v>2.6811435780650101</v>
      </c>
      <c r="AO742">
        <v>6.4528948774528694E-2</v>
      </c>
      <c r="AP742">
        <v>6.4528948774528694E-2</v>
      </c>
      <c r="AQ742">
        <v>0</v>
      </c>
      <c r="AR742">
        <v>0</v>
      </c>
      <c r="AS742">
        <v>0</v>
      </c>
      <c r="AT742">
        <v>27</v>
      </c>
      <c r="AU742">
        <v>8</v>
      </c>
      <c r="AV742">
        <v>142</v>
      </c>
      <c r="AW742">
        <v>0</v>
      </c>
      <c r="AX742">
        <v>0</v>
      </c>
      <c r="AZ742">
        <v>6.8</v>
      </c>
      <c r="BA742">
        <v>19.899999999999999</v>
      </c>
      <c r="BB742">
        <v>564</v>
      </c>
      <c r="BC742">
        <v>68</v>
      </c>
      <c r="BD742">
        <v>1.5</v>
      </c>
      <c r="BE742">
        <v>135</v>
      </c>
      <c r="BF742">
        <v>0.8</v>
      </c>
      <c r="BG742">
        <v>162</v>
      </c>
      <c r="BH742">
        <v>9.1</v>
      </c>
      <c r="BI742">
        <v>9.1999999999999993</v>
      </c>
      <c r="BJ742">
        <v>18.3</v>
      </c>
      <c r="BK742">
        <v>0.34</v>
      </c>
      <c r="BL742">
        <v>7.3</v>
      </c>
      <c r="BM742">
        <v>0.9</v>
      </c>
      <c r="BN742">
        <v>7.5</v>
      </c>
      <c r="BO742">
        <v>2.9</v>
      </c>
      <c r="BP742">
        <f t="shared" si="22"/>
        <v>5.6335324973990231</v>
      </c>
      <c r="BQ742">
        <f t="shared" si="23"/>
        <v>18.164662233353503</v>
      </c>
    </row>
    <row r="743" spans="1:69" hidden="1" x14ac:dyDescent="0.2">
      <c r="A743" t="s">
        <v>2202</v>
      </c>
      <c r="B743" t="s">
        <v>68</v>
      </c>
      <c r="C743" t="s">
        <v>1956</v>
      </c>
      <c r="D743" t="s">
        <v>70</v>
      </c>
      <c r="E743" t="s">
        <v>1145</v>
      </c>
      <c r="F743">
        <v>4</v>
      </c>
      <c r="G743">
        <v>335</v>
      </c>
      <c r="H743">
        <v>4</v>
      </c>
      <c r="I743">
        <v>5</v>
      </c>
      <c r="J743">
        <v>2</v>
      </c>
      <c r="K743" t="s">
        <v>110</v>
      </c>
      <c r="L743" t="s">
        <v>162</v>
      </c>
      <c r="M743" s="4">
        <v>1300000000</v>
      </c>
      <c r="N743">
        <v>0</v>
      </c>
      <c r="O743">
        <v>4.6706700330000004</v>
      </c>
      <c r="P743">
        <v>-74.103172299999997</v>
      </c>
      <c r="Q743" t="s">
        <v>2203</v>
      </c>
      <c r="R743">
        <v>3880597.0150000001</v>
      </c>
      <c r="S743">
        <v>0</v>
      </c>
      <c r="T743" t="s">
        <v>75</v>
      </c>
      <c r="U743" t="s">
        <v>76</v>
      </c>
      <c r="V743" t="s">
        <v>77</v>
      </c>
      <c r="W743" t="s">
        <v>78</v>
      </c>
      <c r="X743" t="s">
        <v>79</v>
      </c>
      <c r="Y743">
        <v>2.5270729377209902</v>
      </c>
      <c r="Z743">
        <v>2527.07293772099</v>
      </c>
      <c r="AA743">
        <v>4.6584666666666701</v>
      </c>
      <c r="AB743">
        <v>-74.083966666666697</v>
      </c>
      <c r="AC743">
        <v>2552</v>
      </c>
      <c r="AD743">
        <v>0</v>
      </c>
      <c r="AE743" t="s">
        <v>80</v>
      </c>
      <c r="AF743" t="s">
        <v>81</v>
      </c>
      <c r="AG743" t="s">
        <v>82</v>
      </c>
      <c r="AH743" t="s">
        <v>83</v>
      </c>
      <c r="AI743" t="s">
        <v>412</v>
      </c>
      <c r="AJ743">
        <v>1.13572842765354</v>
      </c>
      <c r="AK743">
        <v>6.0349082647641401</v>
      </c>
      <c r="AL743">
        <v>1.4737010239389901</v>
      </c>
      <c r="AM743">
        <v>5.35475064988334E-2</v>
      </c>
      <c r="AN743">
        <v>2.1381497041699702</v>
      </c>
      <c r="AO743">
        <v>0.47091755102294902</v>
      </c>
      <c r="AP743">
        <v>0.47091755102294902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31</v>
      </c>
      <c r="AW743">
        <v>0</v>
      </c>
      <c r="AX743">
        <v>0</v>
      </c>
      <c r="AZ743">
        <v>6.8</v>
      </c>
      <c r="BA743">
        <v>19.899999999999999</v>
      </c>
      <c r="BB743">
        <v>564</v>
      </c>
      <c r="BC743">
        <v>68</v>
      </c>
      <c r="BD743">
        <v>1.5</v>
      </c>
      <c r="BE743">
        <v>135</v>
      </c>
      <c r="BF743">
        <v>0.8</v>
      </c>
      <c r="BG743">
        <v>162</v>
      </c>
      <c r="BH743">
        <v>9.1</v>
      </c>
      <c r="BI743">
        <v>9.1999999999999993</v>
      </c>
      <c r="BJ743">
        <v>18.3</v>
      </c>
      <c r="BK743">
        <v>0.34</v>
      </c>
      <c r="BL743">
        <v>7.3</v>
      </c>
      <c r="BM743">
        <v>0.9</v>
      </c>
      <c r="BN743">
        <v>7.5</v>
      </c>
      <c r="BO743">
        <v>2.9</v>
      </c>
      <c r="BP743">
        <f t="shared" si="22"/>
        <v>6.0004382112225461</v>
      </c>
      <c r="BQ743">
        <f t="shared" si="23"/>
        <v>18.728941125058252</v>
      </c>
    </row>
    <row r="744" spans="1:69" hidden="1" x14ac:dyDescent="0.2">
      <c r="A744" t="s">
        <v>2761</v>
      </c>
      <c r="B744" t="s">
        <v>68</v>
      </c>
      <c r="C744" t="s">
        <v>1956</v>
      </c>
      <c r="D744" t="s">
        <v>70</v>
      </c>
      <c r="E744" t="s">
        <v>2762</v>
      </c>
      <c r="F744">
        <v>3</v>
      </c>
      <c r="G744">
        <v>333.6</v>
      </c>
      <c r="H744">
        <v>5</v>
      </c>
      <c r="I744">
        <v>3</v>
      </c>
      <c r="J744">
        <v>2</v>
      </c>
      <c r="K744" t="s">
        <v>110</v>
      </c>
      <c r="L744" t="s">
        <v>162</v>
      </c>
      <c r="M744" s="4">
        <v>800000000</v>
      </c>
      <c r="N744">
        <v>0</v>
      </c>
      <c r="O744">
        <v>4.7250528340000004</v>
      </c>
      <c r="P744">
        <v>-74.098487849999998</v>
      </c>
      <c r="Q744" t="s">
        <v>2763</v>
      </c>
      <c r="R744">
        <v>2398081.5350000001</v>
      </c>
      <c r="S744">
        <v>0</v>
      </c>
      <c r="T744" t="s">
        <v>419</v>
      </c>
      <c r="U744" t="s">
        <v>420</v>
      </c>
      <c r="V744" t="s">
        <v>77</v>
      </c>
      <c r="W744" t="s">
        <v>78</v>
      </c>
      <c r="X744" t="s">
        <v>421</v>
      </c>
      <c r="Y744">
        <v>3.2670548391330101</v>
      </c>
      <c r="Z744">
        <v>3267.0548391330099</v>
      </c>
      <c r="AA744">
        <v>4.7358055555555598</v>
      </c>
      <c r="AB744">
        <v>-74.125888888888895</v>
      </c>
      <c r="AC744">
        <v>2574</v>
      </c>
      <c r="AD744">
        <v>0</v>
      </c>
      <c r="AE744" t="s">
        <v>154</v>
      </c>
      <c r="AF744" t="s">
        <v>107</v>
      </c>
      <c r="AG744" t="s">
        <v>82</v>
      </c>
      <c r="AH744" t="s">
        <v>83</v>
      </c>
      <c r="AI744" t="s">
        <v>121</v>
      </c>
      <c r="AJ744">
        <v>1.9946862184193901</v>
      </c>
      <c r="AK744">
        <v>2.9661538486791699</v>
      </c>
      <c r="AL744">
        <v>2.78427293974103</v>
      </c>
      <c r="AM744">
        <v>0.60280271000415198</v>
      </c>
      <c r="AN744">
        <v>2.32456417616245</v>
      </c>
      <c r="AO744">
        <v>0.224451216393799</v>
      </c>
      <c r="AP744">
        <v>0.224451216393799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4</v>
      </c>
      <c r="AW744">
        <v>0</v>
      </c>
      <c r="AX744">
        <v>0</v>
      </c>
      <c r="AZ744">
        <v>6.8</v>
      </c>
      <c r="BA744">
        <v>19.899999999999999</v>
      </c>
      <c r="BB744">
        <v>564</v>
      </c>
      <c r="BC744">
        <v>68</v>
      </c>
      <c r="BD744">
        <v>1.5</v>
      </c>
      <c r="BE744">
        <v>135</v>
      </c>
      <c r="BF744">
        <v>0.8</v>
      </c>
      <c r="BG744">
        <v>162</v>
      </c>
      <c r="BH744">
        <v>9.1</v>
      </c>
      <c r="BI744">
        <v>9.1999999999999993</v>
      </c>
      <c r="BJ744">
        <v>18.3</v>
      </c>
      <c r="BK744">
        <v>0.34</v>
      </c>
      <c r="BL744">
        <v>7.3</v>
      </c>
      <c r="BM744">
        <v>0.9</v>
      </c>
      <c r="BN744">
        <v>7.5</v>
      </c>
      <c r="BO744">
        <v>2.9</v>
      </c>
      <c r="BP744">
        <f t="shared" si="22"/>
        <v>5.7846242012478042</v>
      </c>
      <c r="BQ744">
        <f t="shared" si="23"/>
        <v>18.399259432867836</v>
      </c>
    </row>
    <row r="745" spans="1:69" hidden="1" x14ac:dyDescent="0.2">
      <c r="A745" t="s">
        <v>1905</v>
      </c>
      <c r="B745" t="s">
        <v>68</v>
      </c>
      <c r="C745" t="s">
        <v>69</v>
      </c>
      <c r="D745" t="s">
        <v>70</v>
      </c>
      <c r="E745" t="s">
        <v>329</v>
      </c>
      <c r="F745">
        <v>6</v>
      </c>
      <c r="G745">
        <v>328</v>
      </c>
      <c r="H745">
        <v>4</v>
      </c>
      <c r="I745">
        <v>5</v>
      </c>
      <c r="J745">
        <v>3</v>
      </c>
      <c r="K745" t="s">
        <v>110</v>
      </c>
      <c r="L745" t="s">
        <v>133</v>
      </c>
      <c r="M745" s="4">
        <v>3300000000</v>
      </c>
      <c r="N745">
        <v>0</v>
      </c>
      <c r="O745">
        <v>4.6967706680000001</v>
      </c>
      <c r="P745">
        <v>-74.082138060000005</v>
      </c>
      <c r="Q745" t="s">
        <v>1906</v>
      </c>
      <c r="R745">
        <v>10060975.609999999</v>
      </c>
      <c r="S745">
        <v>0</v>
      </c>
      <c r="T745" t="s">
        <v>75</v>
      </c>
      <c r="U745" t="s">
        <v>76</v>
      </c>
      <c r="V745" t="s">
        <v>77</v>
      </c>
      <c r="W745" t="s">
        <v>78</v>
      </c>
      <c r="X745" t="s">
        <v>79</v>
      </c>
      <c r="Y745">
        <v>4.2688057787260902</v>
      </c>
      <c r="Z745">
        <v>4268.8057787260896</v>
      </c>
      <c r="AA745">
        <v>4.6584666666666701</v>
      </c>
      <c r="AB745">
        <v>-74.083966666666697</v>
      </c>
      <c r="AC745">
        <v>2552</v>
      </c>
      <c r="AD745">
        <v>0</v>
      </c>
      <c r="AE745" t="s">
        <v>80</v>
      </c>
      <c r="AF745" t="s">
        <v>81</v>
      </c>
      <c r="AG745" t="s">
        <v>82</v>
      </c>
      <c r="AH745" t="s">
        <v>83</v>
      </c>
      <c r="AI745" t="s">
        <v>121</v>
      </c>
      <c r="AJ745">
        <v>0.63637337561917995</v>
      </c>
      <c r="AK745">
        <v>5.3371689802200599</v>
      </c>
      <c r="AL745">
        <v>0.95312713371362001</v>
      </c>
      <c r="AM745">
        <v>0.473500973002769</v>
      </c>
      <c r="AN745">
        <v>2.3966478659061701</v>
      </c>
      <c r="AO745">
        <v>0.58405157318440903</v>
      </c>
      <c r="AP745">
        <v>0.58405157318440903</v>
      </c>
      <c r="AQ745">
        <v>0</v>
      </c>
      <c r="AR745">
        <v>2</v>
      </c>
      <c r="AS745">
        <v>0</v>
      </c>
      <c r="AT745">
        <v>0</v>
      </c>
      <c r="AU745">
        <v>2</v>
      </c>
      <c r="AV745">
        <v>33</v>
      </c>
      <c r="AW745">
        <v>0</v>
      </c>
      <c r="AX745">
        <v>0</v>
      </c>
      <c r="AZ745">
        <v>6.8</v>
      </c>
      <c r="BA745">
        <v>19.899999999999999</v>
      </c>
      <c r="BB745">
        <v>564</v>
      </c>
      <c r="BC745">
        <v>68</v>
      </c>
      <c r="BD745">
        <v>1.5</v>
      </c>
      <c r="BE745">
        <v>135</v>
      </c>
      <c r="BF745">
        <v>0.8</v>
      </c>
      <c r="BG745">
        <v>162</v>
      </c>
      <c r="BH745">
        <v>9.1</v>
      </c>
      <c r="BI745">
        <v>9.1999999999999993</v>
      </c>
      <c r="BJ745">
        <v>18.3</v>
      </c>
      <c r="BK745">
        <v>0.34</v>
      </c>
      <c r="BL745">
        <v>7.3</v>
      </c>
      <c r="BM745">
        <v>0.9</v>
      </c>
      <c r="BN745">
        <v>7.5</v>
      </c>
      <c r="BO745">
        <v>2.9</v>
      </c>
      <c r="BP745">
        <f t="shared" si="22"/>
        <v>5.5047795619760649</v>
      </c>
      <c r="BQ745">
        <f t="shared" si="23"/>
        <v>17.962179221998738</v>
      </c>
    </row>
    <row r="746" spans="1:69" hidden="1" x14ac:dyDescent="0.2">
      <c r="A746" t="s">
        <v>619</v>
      </c>
      <c r="B746" t="s">
        <v>68</v>
      </c>
      <c r="C746" t="s">
        <v>69</v>
      </c>
      <c r="D746" t="s">
        <v>70</v>
      </c>
      <c r="E746" t="s">
        <v>620</v>
      </c>
      <c r="F746">
        <v>6</v>
      </c>
      <c r="G746">
        <v>320</v>
      </c>
      <c r="H746">
        <v>4</v>
      </c>
      <c r="I746">
        <v>5</v>
      </c>
      <c r="J746">
        <v>3</v>
      </c>
      <c r="K746" t="s">
        <v>110</v>
      </c>
      <c r="L746" t="s">
        <v>124</v>
      </c>
      <c r="M746" s="4">
        <v>3070000000</v>
      </c>
      <c r="N746">
        <v>0</v>
      </c>
      <c r="O746">
        <v>4.6677899360000001</v>
      </c>
      <c r="P746">
        <v>-74.051185610000005</v>
      </c>
      <c r="Q746" t="s">
        <v>621</v>
      </c>
      <c r="R746">
        <v>9593750</v>
      </c>
      <c r="S746">
        <v>0</v>
      </c>
      <c r="T746" t="s">
        <v>75</v>
      </c>
      <c r="U746" t="s">
        <v>76</v>
      </c>
      <c r="V746" t="s">
        <v>77</v>
      </c>
      <c r="W746" t="s">
        <v>78</v>
      </c>
      <c r="X746" t="s">
        <v>79</v>
      </c>
      <c r="Y746">
        <v>3.7822732461742699</v>
      </c>
      <c r="Z746">
        <v>3782.2732461742698</v>
      </c>
      <c r="AA746">
        <v>4.6584666666666701</v>
      </c>
      <c r="AB746">
        <v>-74.083966666666697</v>
      </c>
      <c r="AC746">
        <v>2552</v>
      </c>
      <c r="AD746">
        <v>0</v>
      </c>
      <c r="AE746" t="s">
        <v>80</v>
      </c>
      <c r="AF746" t="s">
        <v>81</v>
      </c>
      <c r="AG746" t="s">
        <v>82</v>
      </c>
      <c r="AH746" t="s">
        <v>83</v>
      </c>
      <c r="AI746" t="s">
        <v>130</v>
      </c>
      <c r="AJ746">
        <v>1.0124549455509699</v>
      </c>
      <c r="AK746">
        <v>0.751208090037503</v>
      </c>
      <c r="AL746">
        <v>0.42863293521194101</v>
      </c>
      <c r="AM746">
        <v>0.20622339769255299</v>
      </c>
      <c r="AN746">
        <v>3.0011782204214201</v>
      </c>
      <c r="AO746">
        <v>0.26551830697072998</v>
      </c>
      <c r="AP746">
        <v>0.26551830697072998</v>
      </c>
      <c r="AQ746">
        <v>0</v>
      </c>
      <c r="AR746">
        <v>0</v>
      </c>
      <c r="AS746">
        <v>0</v>
      </c>
      <c r="AT746">
        <v>19</v>
      </c>
      <c r="AU746">
        <v>9</v>
      </c>
      <c r="AV746">
        <v>211</v>
      </c>
      <c r="AW746">
        <v>0</v>
      </c>
      <c r="AX746">
        <v>0</v>
      </c>
      <c r="AZ746">
        <v>6.8</v>
      </c>
      <c r="BA746">
        <v>19.899999999999999</v>
      </c>
      <c r="BB746">
        <v>564</v>
      </c>
      <c r="BC746">
        <v>68</v>
      </c>
      <c r="BD746">
        <v>1.5</v>
      </c>
      <c r="BE746">
        <v>135</v>
      </c>
      <c r="BF746">
        <v>0.8</v>
      </c>
      <c r="BG746">
        <v>162</v>
      </c>
      <c r="BH746">
        <v>9.1</v>
      </c>
      <c r="BI746">
        <v>9.1999999999999993</v>
      </c>
      <c r="BJ746">
        <v>18.3</v>
      </c>
      <c r="BK746">
        <v>0.34</v>
      </c>
      <c r="BL746">
        <v>7.3</v>
      </c>
      <c r="BM746">
        <v>0.9</v>
      </c>
      <c r="BN746">
        <v>7.5</v>
      </c>
      <c r="BO746">
        <v>2.9</v>
      </c>
      <c r="BP746">
        <f t="shared" si="22"/>
        <v>5.6389624538099632</v>
      </c>
      <c r="BQ746">
        <f t="shared" si="23"/>
        <v>18.173148977833261</v>
      </c>
    </row>
    <row r="747" spans="1:69" hidden="1" x14ac:dyDescent="0.2">
      <c r="A747" t="s">
        <v>2920</v>
      </c>
      <c r="B747" t="s">
        <v>68</v>
      </c>
      <c r="C747" t="s">
        <v>1956</v>
      </c>
      <c r="D747" t="s">
        <v>70</v>
      </c>
      <c r="E747" t="s">
        <v>71</v>
      </c>
      <c r="F747">
        <v>4</v>
      </c>
      <c r="G747">
        <v>320</v>
      </c>
      <c r="H747">
        <v>5</v>
      </c>
      <c r="I747">
        <v>5</v>
      </c>
      <c r="J747">
        <v>4</v>
      </c>
      <c r="K747" t="s">
        <v>110</v>
      </c>
      <c r="L747" t="s">
        <v>162</v>
      </c>
      <c r="M747" s="4">
        <v>1900000000</v>
      </c>
      <c r="N747">
        <v>0</v>
      </c>
      <c r="O747">
        <v>4.6449100000000003</v>
      </c>
      <c r="P747">
        <v>-74.069760000000002</v>
      </c>
      <c r="Q747" t="s">
        <v>2921</v>
      </c>
      <c r="R747">
        <v>5937500</v>
      </c>
      <c r="S747">
        <v>0</v>
      </c>
      <c r="T747" t="s">
        <v>75</v>
      </c>
      <c r="U747" t="s">
        <v>76</v>
      </c>
      <c r="V747" t="s">
        <v>77</v>
      </c>
      <c r="W747" t="s">
        <v>78</v>
      </c>
      <c r="X747" t="s">
        <v>79</v>
      </c>
      <c r="Y747">
        <v>2.1822174614440399</v>
      </c>
      <c r="Z747">
        <v>2182.2174614440401</v>
      </c>
      <c r="AA747">
        <v>4.6584666666666701</v>
      </c>
      <c r="AB747">
        <v>-74.083966666666697</v>
      </c>
      <c r="AC747">
        <v>2552</v>
      </c>
      <c r="AD747">
        <v>0</v>
      </c>
      <c r="AE747" t="s">
        <v>80</v>
      </c>
      <c r="AF747" t="s">
        <v>81</v>
      </c>
      <c r="AG747" t="s">
        <v>82</v>
      </c>
      <c r="AH747" t="s">
        <v>83</v>
      </c>
      <c r="AI747" t="s">
        <v>84</v>
      </c>
      <c r="AJ747">
        <v>0.48527644648027701</v>
      </c>
      <c r="AK747">
        <v>1.42421907737762</v>
      </c>
      <c r="AL747">
        <v>0.269409104328523</v>
      </c>
      <c r="AM747">
        <v>0.118931922049839</v>
      </c>
      <c r="AN747">
        <v>1.3123535418000001</v>
      </c>
      <c r="AO747">
        <v>5.93180038313149E-2</v>
      </c>
      <c r="AP747">
        <v>5.93180038313149E-2</v>
      </c>
      <c r="AQ747">
        <v>1</v>
      </c>
      <c r="AR747">
        <v>5</v>
      </c>
      <c r="AS747">
        <v>0</v>
      </c>
      <c r="AT747">
        <v>0</v>
      </c>
      <c r="AU747">
        <v>10</v>
      </c>
      <c r="AV747">
        <v>124</v>
      </c>
      <c r="AW747">
        <v>0</v>
      </c>
      <c r="AX747">
        <v>0</v>
      </c>
      <c r="AZ747">
        <v>6.8</v>
      </c>
      <c r="BA747">
        <v>19.899999999999999</v>
      </c>
      <c r="BB747">
        <v>564</v>
      </c>
      <c r="BC747">
        <v>68</v>
      </c>
      <c r="BD747">
        <v>1.5</v>
      </c>
      <c r="BE747">
        <v>135</v>
      </c>
      <c r="BF747">
        <v>0.8</v>
      </c>
      <c r="BG747">
        <v>162</v>
      </c>
      <c r="BH747">
        <v>9.1</v>
      </c>
      <c r="BI747">
        <v>9.1999999999999993</v>
      </c>
      <c r="BJ747">
        <v>18.3</v>
      </c>
      <c r="BK747">
        <v>0.34</v>
      </c>
      <c r="BL747">
        <v>7.3</v>
      </c>
      <c r="BM747">
        <v>0.9</v>
      </c>
      <c r="BN747">
        <v>7.5</v>
      </c>
      <c r="BO747">
        <v>2.9</v>
      </c>
      <c r="BP747">
        <f t="shared" si="22"/>
        <v>6.1037470179944275</v>
      </c>
      <c r="BQ747">
        <f t="shared" si="23"/>
        <v>18.884595043681372</v>
      </c>
    </row>
    <row r="748" spans="1:69" hidden="1" x14ac:dyDescent="0.2">
      <c r="A748" t="s">
        <v>2752</v>
      </c>
      <c r="B748" t="s">
        <v>68</v>
      </c>
      <c r="C748" t="s">
        <v>1956</v>
      </c>
      <c r="D748" t="s">
        <v>70</v>
      </c>
      <c r="E748" t="s">
        <v>2753</v>
      </c>
      <c r="F748">
        <v>3</v>
      </c>
      <c r="G748">
        <v>320</v>
      </c>
      <c r="H748">
        <v>5</v>
      </c>
      <c r="I748">
        <v>4</v>
      </c>
      <c r="J748">
        <v>0</v>
      </c>
      <c r="K748" t="s">
        <v>110</v>
      </c>
      <c r="L748" t="s">
        <v>162</v>
      </c>
      <c r="M748" s="4">
        <v>750000000</v>
      </c>
      <c r="N748">
        <v>0</v>
      </c>
      <c r="O748">
        <v>4.68222</v>
      </c>
      <c r="P748">
        <v>-74.066569999999999</v>
      </c>
      <c r="Q748" t="s">
        <v>2754</v>
      </c>
      <c r="R748">
        <v>2343750</v>
      </c>
      <c r="S748">
        <v>0</v>
      </c>
      <c r="T748" t="s">
        <v>75</v>
      </c>
      <c r="U748" t="s">
        <v>76</v>
      </c>
      <c r="V748" t="s">
        <v>77</v>
      </c>
      <c r="W748" t="s">
        <v>78</v>
      </c>
      <c r="X748" t="s">
        <v>79</v>
      </c>
      <c r="Y748">
        <v>3.2737365130729299</v>
      </c>
      <c r="Z748">
        <v>3273.7365130729299</v>
      </c>
      <c r="AA748">
        <v>4.6584666666666701</v>
      </c>
      <c r="AB748">
        <v>-74.083966666666697</v>
      </c>
      <c r="AC748">
        <v>2552</v>
      </c>
      <c r="AD748">
        <v>0</v>
      </c>
      <c r="AE748" t="s">
        <v>80</v>
      </c>
      <c r="AF748" t="s">
        <v>81</v>
      </c>
      <c r="AG748" t="s">
        <v>82</v>
      </c>
      <c r="AH748" t="s">
        <v>83</v>
      </c>
      <c r="AI748" t="s">
        <v>342</v>
      </c>
      <c r="AJ748">
        <v>0.28364921944110399</v>
      </c>
      <c r="AK748">
        <v>3.00914784100378</v>
      </c>
      <c r="AL748">
        <v>0.64685573426512399</v>
      </c>
      <c r="AM748">
        <v>0.30664922661086602</v>
      </c>
      <c r="AN748">
        <v>1.9334917409210901</v>
      </c>
      <c r="AO748">
        <v>0.35875980699951499</v>
      </c>
      <c r="AP748">
        <v>0.35875980699951499</v>
      </c>
      <c r="AQ748">
        <v>2</v>
      </c>
      <c r="AR748">
        <v>7</v>
      </c>
      <c r="AS748">
        <v>0</v>
      </c>
      <c r="AT748">
        <v>0</v>
      </c>
      <c r="AU748">
        <v>1</v>
      </c>
      <c r="AV748">
        <v>115</v>
      </c>
      <c r="AW748">
        <v>0</v>
      </c>
      <c r="AX748">
        <v>0</v>
      </c>
      <c r="AZ748">
        <v>6.8</v>
      </c>
      <c r="BA748">
        <v>19.899999999999999</v>
      </c>
      <c r="BB748">
        <v>564</v>
      </c>
      <c r="BC748">
        <v>68</v>
      </c>
      <c r="BD748">
        <v>1.5</v>
      </c>
      <c r="BE748">
        <v>135</v>
      </c>
      <c r="BF748">
        <v>0.8</v>
      </c>
      <c r="BG748">
        <v>162</v>
      </c>
      <c r="BH748">
        <v>9.1</v>
      </c>
      <c r="BI748">
        <v>9.1999999999999993</v>
      </c>
      <c r="BJ748">
        <v>18.3</v>
      </c>
      <c r="BK748">
        <v>0.34</v>
      </c>
      <c r="BL748">
        <v>7.3</v>
      </c>
      <c r="BM748">
        <v>0.9</v>
      </c>
      <c r="BN748">
        <v>7.5</v>
      </c>
      <c r="BO748">
        <v>2.9</v>
      </c>
      <c r="BP748">
        <f t="shared" si="22"/>
        <v>5.782711294452878</v>
      </c>
      <c r="BQ748">
        <f t="shared" si="23"/>
        <v>18.396309160972823</v>
      </c>
    </row>
    <row r="749" spans="1:69" hidden="1" x14ac:dyDescent="0.2">
      <c r="A749" t="s">
        <v>2266</v>
      </c>
      <c r="B749" t="s">
        <v>68</v>
      </c>
      <c r="C749" t="s">
        <v>1956</v>
      </c>
      <c r="D749" t="s">
        <v>70</v>
      </c>
      <c r="E749" t="s">
        <v>1022</v>
      </c>
      <c r="F749">
        <v>5</v>
      </c>
      <c r="G749">
        <v>316.67</v>
      </c>
      <c r="H749">
        <v>3</v>
      </c>
      <c r="I749">
        <v>5</v>
      </c>
      <c r="J749">
        <v>2</v>
      </c>
      <c r="K749" t="s">
        <v>110</v>
      </c>
      <c r="L749" t="s">
        <v>162</v>
      </c>
      <c r="M749" s="4">
        <v>1890000000</v>
      </c>
      <c r="N749">
        <v>0</v>
      </c>
      <c r="O749">
        <v>4.6982670000000004</v>
      </c>
      <c r="P749">
        <v>-74.080046999999993</v>
      </c>
      <c r="Q749" t="s">
        <v>2267</v>
      </c>
      <c r="R749">
        <v>5968358.2280000001</v>
      </c>
      <c r="S749">
        <v>0</v>
      </c>
      <c r="T749" t="s">
        <v>75</v>
      </c>
      <c r="U749" t="s">
        <v>76</v>
      </c>
      <c r="V749" t="s">
        <v>77</v>
      </c>
      <c r="W749" t="s">
        <v>78</v>
      </c>
      <c r="X749" t="s">
        <v>79</v>
      </c>
      <c r="Y749">
        <v>4.4518446079812497</v>
      </c>
      <c r="Z749">
        <v>4451.8446079812502</v>
      </c>
      <c r="AA749">
        <v>4.6584666666666701</v>
      </c>
      <c r="AB749">
        <v>-74.083966666666697</v>
      </c>
      <c r="AC749">
        <v>2552</v>
      </c>
      <c r="AD749">
        <v>0</v>
      </c>
      <c r="AE749" t="s">
        <v>80</v>
      </c>
      <c r="AF749" t="s">
        <v>81</v>
      </c>
      <c r="AG749" t="s">
        <v>82</v>
      </c>
      <c r="AH749" t="s">
        <v>83</v>
      </c>
      <c r="AI749" t="s">
        <v>121</v>
      </c>
      <c r="AJ749">
        <v>0.92008973763763602</v>
      </c>
      <c r="AK749">
        <v>5.23600427092462</v>
      </c>
      <c r="AL749">
        <v>1.0978196111574701</v>
      </c>
      <c r="AM749">
        <v>0.25599816424958199</v>
      </c>
      <c r="AN749">
        <v>2.6698433368112102</v>
      </c>
      <c r="AO749">
        <v>0.31260802952731198</v>
      </c>
      <c r="AP749">
        <v>0.31260802952731198</v>
      </c>
      <c r="AQ749">
        <v>0</v>
      </c>
      <c r="AR749">
        <v>2</v>
      </c>
      <c r="AS749">
        <v>0</v>
      </c>
      <c r="AT749">
        <v>0</v>
      </c>
      <c r="AU749">
        <v>0</v>
      </c>
      <c r="AV749">
        <v>38</v>
      </c>
      <c r="AW749">
        <v>0</v>
      </c>
      <c r="AX749">
        <v>0</v>
      </c>
      <c r="AZ749">
        <v>6.8</v>
      </c>
      <c r="BA749">
        <v>19.899999999999999</v>
      </c>
      <c r="BB749">
        <v>564</v>
      </c>
      <c r="BC749">
        <v>68</v>
      </c>
      <c r="BD749">
        <v>1.5</v>
      </c>
      <c r="BE749">
        <v>135</v>
      </c>
      <c r="BF749">
        <v>0.8</v>
      </c>
      <c r="BG749">
        <v>162</v>
      </c>
      <c r="BH749">
        <v>9.1</v>
      </c>
      <c r="BI749">
        <v>9.1999999999999993</v>
      </c>
      <c r="BJ749">
        <v>18.3</v>
      </c>
      <c r="BK749">
        <v>0.34</v>
      </c>
      <c r="BL749">
        <v>7.3</v>
      </c>
      <c r="BM749">
        <v>0.9</v>
      </c>
      <c r="BN749">
        <v>7.5</v>
      </c>
      <c r="BO749">
        <v>2.9</v>
      </c>
      <c r="BP749">
        <f t="shared" si="22"/>
        <v>5.4551292021247217</v>
      </c>
      <c r="BQ749">
        <f t="shared" si="23"/>
        <v>17.883445654079573</v>
      </c>
    </row>
    <row r="750" spans="1:69" hidden="1" x14ac:dyDescent="0.2">
      <c r="A750" t="s">
        <v>2769</v>
      </c>
      <c r="B750" t="s">
        <v>68</v>
      </c>
      <c r="C750" t="s">
        <v>1956</v>
      </c>
      <c r="D750" t="s">
        <v>70</v>
      </c>
      <c r="E750" t="s">
        <v>2521</v>
      </c>
      <c r="F750">
        <v>4</v>
      </c>
      <c r="G750">
        <v>315</v>
      </c>
      <c r="H750">
        <v>4</v>
      </c>
      <c r="I750">
        <v>4</v>
      </c>
      <c r="J750">
        <v>3</v>
      </c>
      <c r="K750" t="s">
        <v>110</v>
      </c>
      <c r="L750" t="s">
        <v>162</v>
      </c>
      <c r="M750" s="4">
        <v>1750000000</v>
      </c>
      <c r="N750">
        <v>0</v>
      </c>
      <c r="O750">
        <v>4.6743969920000001</v>
      </c>
      <c r="P750">
        <v>-74.060462950000002</v>
      </c>
      <c r="Q750" t="s">
        <v>2770</v>
      </c>
      <c r="R750">
        <v>5555555.5559999999</v>
      </c>
      <c r="S750">
        <v>0</v>
      </c>
      <c r="T750" t="s">
        <v>75</v>
      </c>
      <c r="U750" t="s">
        <v>76</v>
      </c>
      <c r="V750" t="s">
        <v>77</v>
      </c>
      <c r="W750" t="s">
        <v>78</v>
      </c>
      <c r="X750" t="s">
        <v>79</v>
      </c>
      <c r="Y750">
        <v>3.1535923641074901</v>
      </c>
      <c r="Z750">
        <v>3153.5923641074901</v>
      </c>
      <c r="AA750">
        <v>4.6584666666666701</v>
      </c>
      <c r="AB750">
        <v>-74.083966666666697</v>
      </c>
      <c r="AC750">
        <v>2552</v>
      </c>
      <c r="AD750">
        <v>0</v>
      </c>
      <c r="AE750" t="s">
        <v>80</v>
      </c>
      <c r="AF750" t="s">
        <v>81</v>
      </c>
      <c r="AG750" t="s">
        <v>82</v>
      </c>
      <c r="AH750" t="s">
        <v>83</v>
      </c>
      <c r="AI750" t="s">
        <v>342</v>
      </c>
      <c r="AJ750">
        <v>0.23852886758966399</v>
      </c>
      <c r="AK750">
        <v>2.0081213794145101</v>
      </c>
      <c r="AL750">
        <v>0.53973591591124204</v>
      </c>
      <c r="AM750">
        <v>6.4387208406942897E-2</v>
      </c>
      <c r="AN750">
        <v>2.3736335643671298</v>
      </c>
      <c r="AO750">
        <v>0.65241009677091799</v>
      </c>
      <c r="AP750">
        <v>0.65241009677091799</v>
      </c>
      <c r="AQ750">
        <v>3</v>
      </c>
      <c r="AR750">
        <v>7</v>
      </c>
      <c r="AS750">
        <v>0</v>
      </c>
      <c r="AT750">
        <v>0</v>
      </c>
      <c r="AU750">
        <v>4</v>
      </c>
      <c r="AV750">
        <v>296</v>
      </c>
      <c r="AW750">
        <v>0</v>
      </c>
      <c r="AX750">
        <v>0</v>
      </c>
      <c r="AZ750">
        <v>6.8</v>
      </c>
      <c r="BA750">
        <v>19.899999999999999</v>
      </c>
      <c r="BB750">
        <v>564</v>
      </c>
      <c r="BC750">
        <v>68</v>
      </c>
      <c r="BD750">
        <v>1.5</v>
      </c>
      <c r="BE750">
        <v>135</v>
      </c>
      <c r="BF750">
        <v>0.8</v>
      </c>
      <c r="BG750">
        <v>162</v>
      </c>
      <c r="BH750">
        <v>9.1</v>
      </c>
      <c r="BI750">
        <v>9.1999999999999993</v>
      </c>
      <c r="BJ750">
        <v>18.3</v>
      </c>
      <c r="BK750">
        <v>0.34</v>
      </c>
      <c r="BL750">
        <v>7.3</v>
      </c>
      <c r="BM750">
        <v>0.9</v>
      </c>
      <c r="BN750">
        <v>7.5</v>
      </c>
      <c r="BO750">
        <v>2.9</v>
      </c>
      <c r="BP750">
        <f t="shared" si="22"/>
        <v>5.8172043270520799</v>
      </c>
      <c r="BQ750">
        <f t="shared" si="23"/>
        <v>18.44943072490603</v>
      </c>
    </row>
    <row r="751" spans="1:69" hidden="1" x14ac:dyDescent="0.2">
      <c r="A751" t="s">
        <v>2178</v>
      </c>
      <c r="B751" t="s">
        <v>68</v>
      </c>
      <c r="C751" t="s">
        <v>1956</v>
      </c>
      <c r="D751" t="s">
        <v>70</v>
      </c>
      <c r="E751" t="s">
        <v>2179</v>
      </c>
      <c r="F751">
        <v>4</v>
      </c>
      <c r="G751">
        <v>313</v>
      </c>
      <c r="H751">
        <v>5</v>
      </c>
      <c r="I751">
        <v>5</v>
      </c>
      <c r="J751">
        <v>4</v>
      </c>
      <c r="K751" t="s">
        <v>110</v>
      </c>
      <c r="L751" t="s">
        <v>162</v>
      </c>
      <c r="M751" s="4">
        <v>930000000</v>
      </c>
      <c r="N751">
        <v>0</v>
      </c>
      <c r="O751">
        <v>4.6769747730000004</v>
      </c>
      <c r="P751">
        <v>-74.064178470000002</v>
      </c>
      <c r="Q751" t="s">
        <v>2180</v>
      </c>
      <c r="R751">
        <v>2971246.0060000001</v>
      </c>
      <c r="S751">
        <v>0</v>
      </c>
      <c r="T751" t="s">
        <v>75</v>
      </c>
      <c r="U751" t="s">
        <v>76</v>
      </c>
      <c r="V751" t="s">
        <v>77</v>
      </c>
      <c r="W751" t="s">
        <v>78</v>
      </c>
      <c r="X751" t="s">
        <v>79</v>
      </c>
      <c r="Y751">
        <v>3.0108365257976102</v>
      </c>
      <c r="Z751">
        <v>3010.8365257976102</v>
      </c>
      <c r="AA751">
        <v>4.6584666666666701</v>
      </c>
      <c r="AB751">
        <v>-74.083966666666697</v>
      </c>
      <c r="AC751">
        <v>2552</v>
      </c>
      <c r="AD751">
        <v>0</v>
      </c>
      <c r="AE751" t="s">
        <v>80</v>
      </c>
      <c r="AF751" t="s">
        <v>81</v>
      </c>
      <c r="AG751" t="s">
        <v>82</v>
      </c>
      <c r="AH751" t="s">
        <v>83</v>
      </c>
      <c r="AI751" t="s">
        <v>342</v>
      </c>
      <c r="AJ751">
        <v>0.153528105485912</v>
      </c>
      <c r="AK751">
        <v>2.5086620846597798</v>
      </c>
      <c r="AL751">
        <v>0.37256601446855397</v>
      </c>
      <c r="AM751">
        <v>7.47987155826869E-2</v>
      </c>
      <c r="AN751">
        <v>1.99167468192582</v>
      </c>
      <c r="AO751">
        <v>0.46575226517157498</v>
      </c>
      <c r="AP751">
        <v>0.46575226517157498</v>
      </c>
      <c r="AQ751">
        <v>3</v>
      </c>
      <c r="AR751">
        <v>8</v>
      </c>
      <c r="AS751">
        <v>0</v>
      </c>
      <c r="AT751">
        <v>0</v>
      </c>
      <c r="AU751">
        <v>1</v>
      </c>
      <c r="AV751">
        <v>164</v>
      </c>
      <c r="AW751">
        <v>0</v>
      </c>
      <c r="AX751">
        <v>0</v>
      </c>
      <c r="AZ751">
        <v>6.8</v>
      </c>
      <c r="BA751">
        <v>19.899999999999999</v>
      </c>
      <c r="BB751">
        <v>564</v>
      </c>
      <c r="BC751">
        <v>68</v>
      </c>
      <c r="BD751">
        <v>1.5</v>
      </c>
      <c r="BE751">
        <v>135</v>
      </c>
      <c r="BF751">
        <v>0.8</v>
      </c>
      <c r="BG751">
        <v>162</v>
      </c>
      <c r="BH751">
        <v>9.1</v>
      </c>
      <c r="BI751">
        <v>9.1999999999999993</v>
      </c>
      <c r="BJ751">
        <v>18.3</v>
      </c>
      <c r="BK751">
        <v>0.34</v>
      </c>
      <c r="BL751">
        <v>7.3</v>
      </c>
      <c r="BM751">
        <v>0.9</v>
      </c>
      <c r="BN751">
        <v>7.5</v>
      </c>
      <c r="BO751">
        <v>2.9</v>
      </c>
      <c r="BP751">
        <f t="shared" si="22"/>
        <v>5.8584566825810764</v>
      </c>
      <c r="BQ751">
        <f t="shared" si="23"/>
        <v>18.512749467196468</v>
      </c>
    </row>
    <row r="752" spans="1:69" hidden="1" x14ac:dyDescent="0.2">
      <c r="A752" t="s">
        <v>615</v>
      </c>
      <c r="B752" t="s">
        <v>68</v>
      </c>
      <c r="C752" t="s">
        <v>69</v>
      </c>
      <c r="D752" t="s">
        <v>70</v>
      </c>
      <c r="E752" t="s">
        <v>187</v>
      </c>
      <c r="F752">
        <v>6</v>
      </c>
      <c r="G752">
        <v>307</v>
      </c>
      <c r="H752">
        <v>3</v>
      </c>
      <c r="I752">
        <v>3</v>
      </c>
      <c r="J752">
        <v>2</v>
      </c>
      <c r="K752" t="s">
        <v>110</v>
      </c>
      <c r="L752" t="s">
        <v>162</v>
      </c>
      <c r="M752" s="4">
        <v>2100000000</v>
      </c>
      <c r="N752">
        <v>0</v>
      </c>
      <c r="O752">
        <v>4.6695146559999996</v>
      </c>
      <c r="P752">
        <v>-74.044593809999995</v>
      </c>
      <c r="Q752" t="s">
        <v>616</v>
      </c>
      <c r="R752">
        <v>6840390.8789999997</v>
      </c>
      <c r="S752">
        <v>0</v>
      </c>
      <c r="T752" t="s">
        <v>75</v>
      </c>
      <c r="U752" t="s">
        <v>76</v>
      </c>
      <c r="V752" t="s">
        <v>77</v>
      </c>
      <c r="W752" t="s">
        <v>78</v>
      </c>
      <c r="X752" t="s">
        <v>79</v>
      </c>
      <c r="Y752">
        <v>4.53827373651127</v>
      </c>
      <c r="Z752">
        <v>4538.2737365112698</v>
      </c>
      <c r="AA752">
        <v>4.6584666666666701</v>
      </c>
      <c r="AB752">
        <v>-74.083966666666697</v>
      </c>
      <c r="AC752">
        <v>2552</v>
      </c>
      <c r="AD752">
        <v>0</v>
      </c>
      <c r="AE752" t="s">
        <v>80</v>
      </c>
      <c r="AF752" t="s">
        <v>81</v>
      </c>
      <c r="AG752" t="s">
        <v>82</v>
      </c>
      <c r="AH752" t="s">
        <v>83</v>
      </c>
      <c r="AI752" t="s">
        <v>130</v>
      </c>
      <c r="AJ752">
        <v>1.6971655056212001</v>
      </c>
      <c r="AK752">
        <v>0.19905293332559601</v>
      </c>
      <c r="AL752">
        <v>1.13212538659787</v>
      </c>
      <c r="AM752">
        <v>0.44245658075927402</v>
      </c>
      <c r="AN752">
        <v>3.4421332554590198</v>
      </c>
      <c r="AO752">
        <v>0.60274747148460595</v>
      </c>
      <c r="AP752">
        <v>0.60274747148460595</v>
      </c>
      <c r="AQ752">
        <v>0</v>
      </c>
      <c r="AR752">
        <v>0</v>
      </c>
      <c r="AS752">
        <v>15</v>
      </c>
      <c r="AT752">
        <v>32</v>
      </c>
      <c r="AU752">
        <v>0</v>
      </c>
      <c r="AV752">
        <v>22</v>
      </c>
      <c r="AW752">
        <v>0</v>
      </c>
      <c r="AX752">
        <v>0</v>
      </c>
      <c r="AZ752">
        <v>6.8</v>
      </c>
      <c r="BA752">
        <v>19.899999999999999</v>
      </c>
      <c r="BB752">
        <v>564</v>
      </c>
      <c r="BC752">
        <v>68</v>
      </c>
      <c r="BD752">
        <v>1.5</v>
      </c>
      <c r="BE752">
        <v>135</v>
      </c>
      <c r="BF752">
        <v>0.8</v>
      </c>
      <c r="BG752">
        <v>162</v>
      </c>
      <c r="BH752">
        <v>9.1</v>
      </c>
      <c r="BI752">
        <v>9.1999999999999993</v>
      </c>
      <c r="BJ752">
        <v>18.3</v>
      </c>
      <c r="BK752">
        <v>0.34</v>
      </c>
      <c r="BL752">
        <v>7.3</v>
      </c>
      <c r="BM752">
        <v>0.9</v>
      </c>
      <c r="BN752">
        <v>7.5</v>
      </c>
      <c r="BO752">
        <v>2.9</v>
      </c>
      <c r="BP752">
        <f t="shared" si="22"/>
        <v>5.4318406924682208</v>
      </c>
      <c r="BQ752">
        <f t="shared" si="23"/>
        <v>17.84638848623954</v>
      </c>
    </row>
    <row r="753" spans="1:69" hidden="1" x14ac:dyDescent="0.2">
      <c r="A753" t="s">
        <v>186</v>
      </c>
      <c r="B753" t="s">
        <v>68</v>
      </c>
      <c r="C753" t="s">
        <v>69</v>
      </c>
      <c r="D753" t="s">
        <v>70</v>
      </c>
      <c r="E753" t="s">
        <v>187</v>
      </c>
      <c r="F753">
        <v>6</v>
      </c>
      <c r="G753">
        <v>305</v>
      </c>
      <c r="H753">
        <v>4</v>
      </c>
      <c r="I753">
        <v>4</v>
      </c>
      <c r="J753">
        <v>2</v>
      </c>
      <c r="K753" t="s">
        <v>110</v>
      </c>
      <c r="L753" t="s">
        <v>162</v>
      </c>
      <c r="M753" s="4">
        <v>1950000000</v>
      </c>
      <c r="N753">
        <v>0</v>
      </c>
      <c r="O753">
        <v>4.6692857740000004</v>
      </c>
      <c r="P753">
        <v>-74.044715879999998</v>
      </c>
      <c r="Q753" t="s">
        <v>188</v>
      </c>
      <c r="R753">
        <v>6393442.6229999997</v>
      </c>
      <c r="S753">
        <v>0</v>
      </c>
      <c r="T753" t="s">
        <v>75</v>
      </c>
      <c r="U753" t="s">
        <v>76</v>
      </c>
      <c r="V753" t="s">
        <v>77</v>
      </c>
      <c r="W753" t="s">
        <v>78</v>
      </c>
      <c r="X753" t="s">
        <v>79</v>
      </c>
      <c r="Y753">
        <v>4.51838085288309</v>
      </c>
      <c r="Z753">
        <v>4518.3808528830896</v>
      </c>
      <c r="AA753">
        <v>4.6584666666666701</v>
      </c>
      <c r="AB753">
        <v>-74.083966666666697</v>
      </c>
      <c r="AC753">
        <v>2552</v>
      </c>
      <c r="AD753">
        <v>0</v>
      </c>
      <c r="AE753" t="s">
        <v>80</v>
      </c>
      <c r="AF753" t="s">
        <v>81</v>
      </c>
      <c r="AG753" t="s">
        <v>82</v>
      </c>
      <c r="AH753" t="s">
        <v>83</v>
      </c>
      <c r="AI753" t="s">
        <v>130</v>
      </c>
      <c r="AJ753">
        <v>1.6886869042022199</v>
      </c>
      <c r="AK753">
        <v>0.19576312284595199</v>
      </c>
      <c r="AL753">
        <v>1.1086145686498901</v>
      </c>
      <c r="AM753">
        <v>0.41603872289467098</v>
      </c>
      <c r="AN753">
        <v>3.41345902520901</v>
      </c>
      <c r="AO753">
        <v>0.57774869156417097</v>
      </c>
      <c r="AP753">
        <v>0.57774869156417097</v>
      </c>
      <c r="AQ753">
        <v>0</v>
      </c>
      <c r="AR753">
        <v>0</v>
      </c>
      <c r="AS753">
        <v>16</v>
      </c>
      <c r="AT753">
        <v>32</v>
      </c>
      <c r="AU753">
        <v>0</v>
      </c>
      <c r="AV753">
        <v>24</v>
      </c>
      <c r="AW753">
        <v>0</v>
      </c>
      <c r="AX753">
        <v>0</v>
      </c>
      <c r="AZ753">
        <v>6.8</v>
      </c>
      <c r="BA753">
        <v>19.899999999999999</v>
      </c>
      <c r="BB753">
        <v>564</v>
      </c>
      <c r="BC753">
        <v>68</v>
      </c>
      <c r="BD753">
        <v>1.5</v>
      </c>
      <c r="BE753">
        <v>135</v>
      </c>
      <c r="BF753">
        <v>0.8</v>
      </c>
      <c r="BG753">
        <v>162</v>
      </c>
      <c r="BH753">
        <v>9.1</v>
      </c>
      <c r="BI753">
        <v>9.1999999999999993</v>
      </c>
      <c r="BJ753">
        <v>18.3</v>
      </c>
      <c r="BK753">
        <v>0.34</v>
      </c>
      <c r="BL753">
        <v>7.3</v>
      </c>
      <c r="BM753">
        <v>0.9</v>
      </c>
      <c r="BN753">
        <v>7.5</v>
      </c>
      <c r="BO753">
        <v>2.9</v>
      </c>
      <c r="BP753">
        <f t="shared" si="22"/>
        <v>5.43719204802139</v>
      </c>
      <c r="BQ753">
        <f t="shared" si="23"/>
        <v>17.854910907608257</v>
      </c>
    </row>
    <row r="754" spans="1:69" hidden="1" x14ac:dyDescent="0.2">
      <c r="A754" t="s">
        <v>3187</v>
      </c>
      <c r="B754" t="s">
        <v>68</v>
      </c>
      <c r="C754" t="s">
        <v>1956</v>
      </c>
      <c r="D754" t="s">
        <v>70</v>
      </c>
      <c r="E754" t="s">
        <v>633</v>
      </c>
      <c r="F754">
        <v>4</v>
      </c>
      <c r="G754">
        <v>300.36</v>
      </c>
      <c r="H754">
        <v>5</v>
      </c>
      <c r="I754">
        <v>4</v>
      </c>
      <c r="J754">
        <v>0</v>
      </c>
      <c r="K754" t="s">
        <v>110</v>
      </c>
      <c r="L754" t="s">
        <v>162</v>
      </c>
      <c r="M754" s="4">
        <v>1800000000</v>
      </c>
      <c r="N754">
        <v>0</v>
      </c>
      <c r="O754">
        <v>4.6329580000000004</v>
      </c>
      <c r="P754">
        <v>-74.075835999999995</v>
      </c>
      <c r="Q754" t="s">
        <v>3188</v>
      </c>
      <c r="R754">
        <v>5992808.6299999999</v>
      </c>
      <c r="S754">
        <v>0</v>
      </c>
      <c r="T754" t="s">
        <v>126</v>
      </c>
      <c r="U754" t="s">
        <v>127</v>
      </c>
      <c r="V754" t="s">
        <v>77</v>
      </c>
      <c r="W754" t="s">
        <v>128</v>
      </c>
      <c r="X754" t="s">
        <v>129</v>
      </c>
      <c r="Y754">
        <v>1.2873521573209601</v>
      </c>
      <c r="Z754">
        <v>1287.35215732096</v>
      </c>
      <c r="AA754">
        <v>4.6254861111111101</v>
      </c>
      <c r="AB754">
        <v>-74.066980555555503</v>
      </c>
      <c r="AC754">
        <v>2621</v>
      </c>
      <c r="AD754">
        <v>15</v>
      </c>
      <c r="AE754" t="s">
        <v>80</v>
      </c>
      <c r="AF754" t="s">
        <v>81</v>
      </c>
      <c r="AG754" t="s">
        <v>82</v>
      </c>
      <c r="AH754" t="s">
        <v>83</v>
      </c>
      <c r="AI754" t="s">
        <v>84</v>
      </c>
      <c r="AJ754">
        <v>0.51475793668579595</v>
      </c>
      <c r="AK754">
        <v>1.7089146813538501</v>
      </c>
      <c r="AL754">
        <v>0.33789371881382502</v>
      </c>
      <c r="AM754">
        <v>0.108297100186801</v>
      </c>
      <c r="AN754">
        <v>1.1843736839066801</v>
      </c>
      <c r="AO754">
        <v>5.0842291828353703E-2</v>
      </c>
      <c r="AP754">
        <v>5.0842291828353703E-2</v>
      </c>
      <c r="AQ754">
        <v>0</v>
      </c>
      <c r="AR754">
        <v>5</v>
      </c>
      <c r="AS754">
        <v>0</v>
      </c>
      <c r="AT754">
        <v>0</v>
      </c>
      <c r="AU754">
        <v>12</v>
      </c>
      <c r="AV754">
        <v>100</v>
      </c>
      <c r="AW754">
        <v>0</v>
      </c>
      <c r="AX754">
        <v>0</v>
      </c>
      <c r="AZ754">
        <v>6.8</v>
      </c>
      <c r="BA754">
        <v>19.899999999999999</v>
      </c>
      <c r="BB754">
        <v>564</v>
      </c>
      <c r="BC754">
        <v>68</v>
      </c>
      <c r="BD754">
        <v>1.5</v>
      </c>
      <c r="BE754">
        <v>135</v>
      </c>
      <c r="BF754">
        <v>0.8</v>
      </c>
      <c r="BG754">
        <v>162</v>
      </c>
      <c r="BH754">
        <v>9.1</v>
      </c>
      <c r="BI754">
        <v>9.1999999999999993</v>
      </c>
      <c r="BJ754">
        <v>18.3</v>
      </c>
      <c r="BK754">
        <v>0.34</v>
      </c>
      <c r="BL754">
        <v>7.3</v>
      </c>
      <c r="BM754">
        <v>0.9</v>
      </c>
      <c r="BN754">
        <v>7.5</v>
      </c>
      <c r="BO754">
        <v>2.9</v>
      </c>
      <c r="BP754">
        <f t="shared" si="22"/>
        <v>6.380195122765989</v>
      </c>
      <c r="BQ754">
        <f t="shared" si="23"/>
        <v>19.294561718380599</v>
      </c>
    </row>
    <row r="755" spans="1:69" hidden="1" x14ac:dyDescent="0.2">
      <c r="A755" t="s">
        <v>1423</v>
      </c>
      <c r="B755" t="s">
        <v>68</v>
      </c>
      <c r="C755" t="s">
        <v>69</v>
      </c>
      <c r="D755" t="s">
        <v>70</v>
      </c>
      <c r="E755" t="s">
        <v>310</v>
      </c>
      <c r="F755">
        <v>6</v>
      </c>
      <c r="G755">
        <v>300</v>
      </c>
      <c r="H755">
        <v>3</v>
      </c>
      <c r="I755">
        <v>3</v>
      </c>
      <c r="J755">
        <v>4</v>
      </c>
      <c r="K755" t="s">
        <v>110</v>
      </c>
      <c r="L755" t="s">
        <v>124</v>
      </c>
      <c r="M755" s="4">
        <v>3400000000</v>
      </c>
      <c r="N755">
        <v>0</v>
      </c>
      <c r="O755">
        <v>4.6591395499999999</v>
      </c>
      <c r="P755">
        <v>-74.047812609999994</v>
      </c>
      <c r="Q755" t="s">
        <v>1424</v>
      </c>
      <c r="R755">
        <v>11333333.33</v>
      </c>
      <c r="S755">
        <v>0</v>
      </c>
      <c r="T755" t="s">
        <v>75</v>
      </c>
      <c r="U755" t="s">
        <v>76</v>
      </c>
      <c r="V755" t="s">
        <v>77</v>
      </c>
      <c r="W755" t="s">
        <v>78</v>
      </c>
      <c r="X755" t="s">
        <v>79</v>
      </c>
      <c r="Y755">
        <v>4.0120532096705404</v>
      </c>
      <c r="Z755">
        <v>4012.0532096705401</v>
      </c>
      <c r="AA755">
        <v>4.6584666666666701</v>
      </c>
      <c r="AB755">
        <v>-74.083966666666697</v>
      </c>
      <c r="AC755">
        <v>2552</v>
      </c>
      <c r="AD755">
        <v>0</v>
      </c>
      <c r="AE755" t="s">
        <v>80</v>
      </c>
      <c r="AF755" t="s">
        <v>81</v>
      </c>
      <c r="AG755" t="s">
        <v>82</v>
      </c>
      <c r="AH755" t="s">
        <v>83</v>
      </c>
      <c r="AI755" t="s">
        <v>130</v>
      </c>
      <c r="AJ755">
        <v>1.55196221579353</v>
      </c>
      <c r="AK755">
        <v>0.107648590545931</v>
      </c>
      <c r="AL755">
        <v>0.89834443603859004</v>
      </c>
      <c r="AM755">
        <v>0.42930237831302498</v>
      </c>
      <c r="AN755">
        <v>2.2643759373124701</v>
      </c>
      <c r="AO755">
        <v>0.36302820404508401</v>
      </c>
      <c r="AP755">
        <v>0.36302820404508401</v>
      </c>
      <c r="AQ755">
        <v>0</v>
      </c>
      <c r="AR755">
        <v>0</v>
      </c>
      <c r="AS755">
        <v>13</v>
      </c>
      <c r="AT755">
        <v>32</v>
      </c>
      <c r="AU755">
        <v>3</v>
      </c>
      <c r="AV755">
        <v>13</v>
      </c>
      <c r="AW755">
        <v>0</v>
      </c>
      <c r="AX755">
        <v>0</v>
      </c>
      <c r="AZ755">
        <v>6.8</v>
      </c>
      <c r="BA755">
        <v>19.899999999999999</v>
      </c>
      <c r="BB755">
        <v>564</v>
      </c>
      <c r="BC755">
        <v>68</v>
      </c>
      <c r="BD755">
        <v>1.5</v>
      </c>
      <c r="BE755">
        <v>135</v>
      </c>
      <c r="BF755">
        <v>0.8</v>
      </c>
      <c r="BG755">
        <v>162</v>
      </c>
      <c r="BH755">
        <v>9.1</v>
      </c>
      <c r="BI755">
        <v>9.1999999999999993</v>
      </c>
      <c r="BJ755">
        <v>18.3</v>
      </c>
      <c r="BK755">
        <v>0.34</v>
      </c>
      <c r="BL755">
        <v>7.3</v>
      </c>
      <c r="BM755">
        <v>0.9</v>
      </c>
      <c r="BN755">
        <v>7.5</v>
      </c>
      <c r="BO755">
        <v>2.9</v>
      </c>
      <c r="BP755">
        <f t="shared" si="22"/>
        <v>5.5751876629947565</v>
      </c>
      <c r="BQ755">
        <f t="shared" si="23"/>
        <v>18.073205000397653</v>
      </c>
    </row>
    <row r="756" spans="1:69" hidden="1" x14ac:dyDescent="0.2">
      <c r="A756" t="s">
        <v>2047</v>
      </c>
      <c r="B756" t="s">
        <v>68</v>
      </c>
      <c r="C756" t="s">
        <v>1956</v>
      </c>
      <c r="D756" t="s">
        <v>70</v>
      </c>
      <c r="E756" t="s">
        <v>2034</v>
      </c>
      <c r="F756">
        <v>4</v>
      </c>
      <c r="G756">
        <v>300</v>
      </c>
      <c r="H756">
        <v>5</v>
      </c>
      <c r="I756">
        <v>5</v>
      </c>
      <c r="J756">
        <v>2</v>
      </c>
      <c r="K756" t="s">
        <v>110</v>
      </c>
      <c r="L756" t="s">
        <v>162</v>
      </c>
      <c r="M756" s="4">
        <v>2800000000</v>
      </c>
      <c r="N756">
        <v>16000000</v>
      </c>
      <c r="O756">
        <v>4.6932840349999996</v>
      </c>
      <c r="P756">
        <v>-74.066871640000002</v>
      </c>
      <c r="Q756" t="s">
        <v>2048</v>
      </c>
      <c r="R756">
        <v>9333333.3330000006</v>
      </c>
      <c r="S756">
        <v>53333.333330000001</v>
      </c>
      <c r="T756" t="s">
        <v>75</v>
      </c>
      <c r="U756" t="s">
        <v>76</v>
      </c>
      <c r="V756" t="s">
        <v>77</v>
      </c>
      <c r="W756" t="s">
        <v>78</v>
      </c>
      <c r="X756" t="s">
        <v>79</v>
      </c>
      <c r="Y756">
        <v>4.3150442047257096</v>
      </c>
      <c r="Z756">
        <v>4315.0442047257102</v>
      </c>
      <c r="AA756">
        <v>4.6584666666666701</v>
      </c>
      <c r="AB756">
        <v>-74.083966666666697</v>
      </c>
      <c r="AC756">
        <v>2552</v>
      </c>
      <c r="AD756">
        <v>0</v>
      </c>
      <c r="AE756" t="s">
        <v>80</v>
      </c>
      <c r="AF756" t="s">
        <v>81</v>
      </c>
      <c r="AG756" t="s">
        <v>82</v>
      </c>
      <c r="AH756" t="s">
        <v>83</v>
      </c>
      <c r="AI756" t="s">
        <v>121</v>
      </c>
      <c r="AJ756">
        <v>3.9541089356065103E-2</v>
      </c>
      <c r="AK756">
        <v>3.7081996606118302</v>
      </c>
      <c r="AL756">
        <v>0.58653826116894303</v>
      </c>
      <c r="AM756">
        <v>8.6268714688908996E-2</v>
      </c>
      <c r="AN756">
        <v>2.7190714872100301</v>
      </c>
      <c r="AO756">
        <v>0.27628207154958301</v>
      </c>
      <c r="AP756">
        <v>0.27628207154958301</v>
      </c>
      <c r="AQ756">
        <v>1</v>
      </c>
      <c r="AR756">
        <v>3</v>
      </c>
      <c r="AS756">
        <v>0</v>
      </c>
      <c r="AT756">
        <v>0</v>
      </c>
      <c r="AU756">
        <v>1</v>
      </c>
      <c r="AV756">
        <v>66</v>
      </c>
      <c r="AW756">
        <v>0</v>
      </c>
      <c r="AX756">
        <v>0</v>
      </c>
      <c r="AZ756">
        <v>6.8</v>
      </c>
      <c r="BA756">
        <v>19.899999999999999</v>
      </c>
      <c r="BB756">
        <v>564</v>
      </c>
      <c r="BC756">
        <v>68</v>
      </c>
      <c r="BD756">
        <v>1.5</v>
      </c>
      <c r="BE756">
        <v>135</v>
      </c>
      <c r="BF756">
        <v>0.8</v>
      </c>
      <c r="BG756">
        <v>162</v>
      </c>
      <c r="BH756">
        <v>9.1</v>
      </c>
      <c r="BI756">
        <v>9.1999999999999993</v>
      </c>
      <c r="BJ756">
        <v>18.3</v>
      </c>
      <c r="BK756">
        <v>0.34</v>
      </c>
      <c r="BL756">
        <v>7.3</v>
      </c>
      <c r="BM756">
        <v>0.9</v>
      </c>
      <c r="BN756">
        <v>7.5</v>
      </c>
      <c r="BO756">
        <v>2.9</v>
      </c>
      <c r="BP756">
        <f t="shared" si="22"/>
        <v>5.492194618742384</v>
      </c>
      <c r="BQ756">
        <f t="shared" si="23"/>
        <v>17.942257248497615</v>
      </c>
    </row>
    <row r="757" spans="1:69" hidden="1" x14ac:dyDescent="0.2">
      <c r="A757" t="s">
        <v>253</v>
      </c>
      <c r="B757" t="s">
        <v>68</v>
      </c>
      <c r="C757" t="s">
        <v>69</v>
      </c>
      <c r="D757" t="s">
        <v>70</v>
      </c>
      <c r="E757" t="s">
        <v>254</v>
      </c>
      <c r="F757">
        <v>6</v>
      </c>
      <c r="G757">
        <v>300</v>
      </c>
      <c r="H757">
        <v>3</v>
      </c>
      <c r="I757">
        <v>5</v>
      </c>
      <c r="J757">
        <v>3</v>
      </c>
      <c r="K757" t="s">
        <v>110</v>
      </c>
      <c r="L757" t="s">
        <v>162</v>
      </c>
      <c r="M757" s="4">
        <v>1950000000</v>
      </c>
      <c r="N757">
        <v>0</v>
      </c>
      <c r="O757">
        <v>4.6496915999999997</v>
      </c>
      <c r="P757">
        <v>-74.050294699999995</v>
      </c>
      <c r="Q757" t="s">
        <v>255</v>
      </c>
      <c r="R757">
        <v>6500000</v>
      </c>
      <c r="S757">
        <v>0</v>
      </c>
      <c r="T757" t="s">
        <v>126</v>
      </c>
      <c r="U757" t="s">
        <v>127</v>
      </c>
      <c r="V757" t="s">
        <v>77</v>
      </c>
      <c r="W757" t="s">
        <v>128</v>
      </c>
      <c r="X757" t="s">
        <v>129</v>
      </c>
      <c r="Y757">
        <v>3.2692762383173899</v>
      </c>
      <c r="Z757">
        <v>3269.2762383173899</v>
      </c>
      <c r="AA757">
        <v>4.6254861111111101</v>
      </c>
      <c r="AB757">
        <v>-74.066980555555503</v>
      </c>
      <c r="AC757">
        <v>2621</v>
      </c>
      <c r="AD757">
        <v>15</v>
      </c>
      <c r="AE757" t="s">
        <v>80</v>
      </c>
      <c r="AF757" t="s">
        <v>81</v>
      </c>
      <c r="AG757" t="s">
        <v>82</v>
      </c>
      <c r="AH757" t="s">
        <v>83</v>
      </c>
      <c r="AI757" t="s">
        <v>130</v>
      </c>
      <c r="AJ757">
        <v>1.5229388140818301</v>
      </c>
      <c r="AK757">
        <v>0.110081094542976</v>
      </c>
      <c r="AL757">
        <v>0.76958491070179902</v>
      </c>
      <c r="AM757">
        <v>0.58805037877946598</v>
      </c>
      <c r="AN757">
        <v>1.2660835933508601</v>
      </c>
      <c r="AO757">
        <v>0.19760840538395899</v>
      </c>
      <c r="AP757">
        <v>0.19760840538395899</v>
      </c>
      <c r="AQ757">
        <v>0</v>
      </c>
      <c r="AR757">
        <v>0</v>
      </c>
      <c r="AS757">
        <v>29</v>
      </c>
      <c r="AT757">
        <v>42</v>
      </c>
      <c r="AU757">
        <v>2</v>
      </c>
      <c r="AV757">
        <v>8</v>
      </c>
      <c r="AW757">
        <v>0</v>
      </c>
      <c r="AX757">
        <v>0</v>
      </c>
      <c r="AZ757">
        <v>6.8</v>
      </c>
      <c r="BA757">
        <v>19.899999999999999</v>
      </c>
      <c r="BB757">
        <v>564</v>
      </c>
      <c r="BC757">
        <v>68</v>
      </c>
      <c r="BD757">
        <v>1.5</v>
      </c>
      <c r="BE757">
        <v>135</v>
      </c>
      <c r="BF757">
        <v>0.8</v>
      </c>
      <c r="BG757">
        <v>162</v>
      </c>
      <c r="BH757">
        <v>9.1</v>
      </c>
      <c r="BI757">
        <v>9.1999999999999993</v>
      </c>
      <c r="BJ757">
        <v>18.3</v>
      </c>
      <c r="BK757">
        <v>0.34</v>
      </c>
      <c r="BL757">
        <v>7.3</v>
      </c>
      <c r="BM757">
        <v>0.9</v>
      </c>
      <c r="BN757">
        <v>7.5</v>
      </c>
      <c r="BO757">
        <v>2.9</v>
      </c>
      <c r="BP757">
        <f t="shared" si="22"/>
        <v>5.7839881632231922</v>
      </c>
      <c r="BQ757">
        <f t="shared" si="23"/>
        <v>18.398278528618292</v>
      </c>
    </row>
    <row r="758" spans="1:69" hidden="1" x14ac:dyDescent="0.2">
      <c r="A758" t="s">
        <v>2889</v>
      </c>
      <c r="B758" t="s">
        <v>68</v>
      </c>
      <c r="C758" t="s">
        <v>1956</v>
      </c>
      <c r="D758" t="s">
        <v>70</v>
      </c>
      <c r="E758" t="s">
        <v>2890</v>
      </c>
      <c r="F758">
        <v>4</v>
      </c>
      <c r="G758">
        <v>300</v>
      </c>
      <c r="H758">
        <v>3</v>
      </c>
      <c r="I758">
        <v>4</v>
      </c>
      <c r="J758">
        <v>2</v>
      </c>
      <c r="K758" t="s">
        <v>110</v>
      </c>
      <c r="L758" t="s">
        <v>162</v>
      </c>
      <c r="M758" s="4">
        <v>1050000000</v>
      </c>
      <c r="N758">
        <v>0</v>
      </c>
      <c r="O758">
        <v>4.6538899999999996</v>
      </c>
      <c r="P758">
        <v>-74.087379999999996</v>
      </c>
      <c r="Q758" t="s">
        <v>2891</v>
      </c>
      <c r="R758">
        <v>3500000</v>
      </c>
      <c r="S758">
        <v>0</v>
      </c>
      <c r="T758" t="s">
        <v>75</v>
      </c>
      <c r="U758" t="s">
        <v>76</v>
      </c>
      <c r="V758" t="s">
        <v>77</v>
      </c>
      <c r="W758" t="s">
        <v>78</v>
      </c>
      <c r="X758" t="s">
        <v>79</v>
      </c>
      <c r="Y758">
        <v>0.63481346892202295</v>
      </c>
      <c r="Z758">
        <v>634.81346892202305</v>
      </c>
      <c r="AA758">
        <v>4.6584666666666701</v>
      </c>
      <c r="AB758">
        <v>-74.083966666666697</v>
      </c>
      <c r="AC758">
        <v>2552</v>
      </c>
      <c r="AD758">
        <v>0</v>
      </c>
      <c r="AE758" t="s">
        <v>80</v>
      </c>
      <c r="AF758" t="s">
        <v>81</v>
      </c>
      <c r="AG758" t="s">
        <v>82</v>
      </c>
      <c r="AH758" t="s">
        <v>83</v>
      </c>
      <c r="AI758" t="s">
        <v>84</v>
      </c>
      <c r="AJ758">
        <v>1.0866857058705699</v>
      </c>
      <c r="AK758">
        <v>3.6061235088482002</v>
      </c>
      <c r="AL758">
        <v>0.68421681410670099</v>
      </c>
      <c r="AM758">
        <v>0.45489959792701401</v>
      </c>
      <c r="AN758">
        <v>2.2850855242068699</v>
      </c>
      <c r="AO758">
        <v>6.0396414106115098E-2</v>
      </c>
      <c r="AP758">
        <v>6.0396414106115098E-2</v>
      </c>
      <c r="AQ758">
        <v>0</v>
      </c>
      <c r="AR758">
        <v>0</v>
      </c>
      <c r="AS758">
        <v>0</v>
      </c>
      <c r="AT758">
        <v>0</v>
      </c>
      <c r="AU758">
        <v>1</v>
      </c>
      <c r="AV758">
        <v>12</v>
      </c>
      <c r="AW758">
        <v>0</v>
      </c>
      <c r="AX758">
        <v>0</v>
      </c>
      <c r="AZ758">
        <v>6.8</v>
      </c>
      <c r="BA758">
        <v>19.899999999999999</v>
      </c>
      <c r="BB758">
        <v>564</v>
      </c>
      <c r="BC758">
        <v>68</v>
      </c>
      <c r="BD758">
        <v>1.5</v>
      </c>
      <c r="BE758">
        <v>135</v>
      </c>
      <c r="BF758">
        <v>0.8</v>
      </c>
      <c r="BG758">
        <v>162</v>
      </c>
      <c r="BH758">
        <v>9.1</v>
      </c>
      <c r="BI758">
        <v>9.1999999999999993</v>
      </c>
      <c r="BJ758">
        <v>18.3</v>
      </c>
      <c r="BK758">
        <v>0.34</v>
      </c>
      <c r="BL758">
        <v>7.3</v>
      </c>
      <c r="BM758">
        <v>0.9</v>
      </c>
      <c r="BN758">
        <v>7.5</v>
      </c>
      <c r="BO758">
        <v>2.9</v>
      </c>
      <c r="BP758">
        <f t="shared" si="22"/>
        <v>6.5896441295492032</v>
      </c>
      <c r="BQ758">
        <f t="shared" si="23"/>
        <v>19.599111008062486</v>
      </c>
    </row>
    <row r="759" spans="1:69" hidden="1" x14ac:dyDescent="0.2">
      <c r="A759" t="s">
        <v>2693</v>
      </c>
      <c r="B759" t="s">
        <v>68</v>
      </c>
      <c r="C759" t="s">
        <v>1956</v>
      </c>
      <c r="D759" t="s">
        <v>70</v>
      </c>
      <c r="E759" t="s">
        <v>943</v>
      </c>
      <c r="F759">
        <v>3</v>
      </c>
      <c r="G759">
        <v>300</v>
      </c>
      <c r="H759">
        <v>5</v>
      </c>
      <c r="I759">
        <v>3</v>
      </c>
      <c r="J759">
        <v>1</v>
      </c>
      <c r="K759" t="s">
        <v>110</v>
      </c>
      <c r="L759" t="s">
        <v>111</v>
      </c>
      <c r="M759" s="4">
        <v>950000000</v>
      </c>
      <c r="N759">
        <v>0</v>
      </c>
      <c r="O759">
        <v>4.6412804440000004</v>
      </c>
      <c r="P759">
        <v>-74.068653589999997</v>
      </c>
      <c r="Q759" t="s">
        <v>2694</v>
      </c>
      <c r="R759">
        <v>3166666.6669999999</v>
      </c>
      <c r="S759">
        <v>0</v>
      </c>
      <c r="T759" t="s">
        <v>126</v>
      </c>
      <c r="U759" t="s">
        <v>127</v>
      </c>
      <c r="V759" t="s">
        <v>77</v>
      </c>
      <c r="W759" t="s">
        <v>128</v>
      </c>
      <c r="X759" t="s">
        <v>129</v>
      </c>
      <c r="Y759">
        <v>1.7679894942323999</v>
      </c>
      <c r="Z759">
        <v>1767.9894942323999</v>
      </c>
      <c r="AA759">
        <v>4.6254861111111101</v>
      </c>
      <c r="AB759">
        <v>-74.066980555555503</v>
      </c>
      <c r="AC759">
        <v>2621</v>
      </c>
      <c r="AD759">
        <v>15</v>
      </c>
      <c r="AE759" t="s">
        <v>80</v>
      </c>
      <c r="AF759" t="s">
        <v>81</v>
      </c>
      <c r="AG759" t="s">
        <v>82</v>
      </c>
      <c r="AH759" t="s">
        <v>83</v>
      </c>
      <c r="AI759" t="s">
        <v>84</v>
      </c>
      <c r="AJ759">
        <v>0.36537254107079797</v>
      </c>
      <c r="AK759">
        <v>1.22151569878606</v>
      </c>
      <c r="AL759">
        <v>0.41397514495058702</v>
      </c>
      <c r="AM759">
        <v>6.3292212356786906E-2</v>
      </c>
      <c r="AN759">
        <v>1.13865834094581</v>
      </c>
      <c r="AO759">
        <v>6.2912280007525107E-2</v>
      </c>
      <c r="AP759">
        <v>6.2912280007525107E-2</v>
      </c>
      <c r="AQ759">
        <v>3</v>
      </c>
      <c r="AR759">
        <v>4</v>
      </c>
      <c r="AS759">
        <v>0</v>
      </c>
      <c r="AT759">
        <v>0</v>
      </c>
      <c r="AU759">
        <v>8</v>
      </c>
      <c r="AV759">
        <v>189</v>
      </c>
      <c r="AW759">
        <v>0</v>
      </c>
      <c r="AX759">
        <v>0</v>
      </c>
      <c r="AZ759">
        <v>6.8</v>
      </c>
      <c r="BA759">
        <v>19.899999999999999</v>
      </c>
      <c r="BB759">
        <v>564</v>
      </c>
      <c r="BC759">
        <v>68</v>
      </c>
      <c r="BD759">
        <v>1.5</v>
      </c>
      <c r="BE759">
        <v>135</v>
      </c>
      <c r="BF759">
        <v>0.8</v>
      </c>
      <c r="BG759">
        <v>162</v>
      </c>
      <c r="BH759">
        <v>9.1</v>
      </c>
      <c r="BI759">
        <v>9.1999999999999993</v>
      </c>
      <c r="BJ759">
        <v>18.3</v>
      </c>
      <c r="BK759">
        <v>0.34</v>
      </c>
      <c r="BL759">
        <v>7.3</v>
      </c>
      <c r="BM759">
        <v>0.9</v>
      </c>
      <c r="BN759">
        <v>7.5</v>
      </c>
      <c r="BO759">
        <v>2.9</v>
      </c>
      <c r="BP759">
        <f t="shared" si="22"/>
        <v>6.2301918833302903</v>
      </c>
      <c r="BQ759">
        <f t="shared" si="23"/>
        <v>19.073272011044288</v>
      </c>
    </row>
    <row r="760" spans="1:69" hidden="1" x14ac:dyDescent="0.2">
      <c r="A760" t="s">
        <v>2488</v>
      </c>
      <c r="B760" t="s">
        <v>68</v>
      </c>
      <c r="C760" t="s">
        <v>1956</v>
      </c>
      <c r="D760" t="s">
        <v>70</v>
      </c>
      <c r="E760" t="s">
        <v>329</v>
      </c>
      <c r="F760">
        <v>4</v>
      </c>
      <c r="G760">
        <v>300</v>
      </c>
      <c r="H760">
        <v>4</v>
      </c>
      <c r="I760">
        <v>3</v>
      </c>
      <c r="J760">
        <v>2</v>
      </c>
      <c r="K760" t="s">
        <v>110</v>
      </c>
      <c r="L760" t="s">
        <v>162</v>
      </c>
      <c r="M760" s="4">
        <v>830000000</v>
      </c>
      <c r="N760">
        <v>0</v>
      </c>
      <c r="O760">
        <v>4.6970949170000003</v>
      </c>
      <c r="P760">
        <v>-74.080871579999993</v>
      </c>
      <c r="Q760" t="s">
        <v>2489</v>
      </c>
      <c r="R760">
        <v>2766666.6669999999</v>
      </c>
      <c r="S760">
        <v>0</v>
      </c>
      <c r="T760" t="s">
        <v>75</v>
      </c>
      <c r="U760" t="s">
        <v>76</v>
      </c>
      <c r="V760" t="s">
        <v>77</v>
      </c>
      <c r="W760" t="s">
        <v>78</v>
      </c>
      <c r="X760" t="s">
        <v>79</v>
      </c>
      <c r="Y760">
        <v>4.3137668282958197</v>
      </c>
      <c r="Z760">
        <v>4313.7668282958202</v>
      </c>
      <c r="AA760">
        <v>4.6584666666666701</v>
      </c>
      <c r="AB760">
        <v>-74.083966666666697</v>
      </c>
      <c r="AC760">
        <v>2552</v>
      </c>
      <c r="AD760">
        <v>0</v>
      </c>
      <c r="AE760" t="s">
        <v>80</v>
      </c>
      <c r="AF760" t="s">
        <v>81</v>
      </c>
      <c r="AG760" t="s">
        <v>82</v>
      </c>
      <c r="AH760" t="s">
        <v>83</v>
      </c>
      <c r="AI760" t="s">
        <v>121</v>
      </c>
      <c r="AJ760">
        <v>0.77715214072585304</v>
      </c>
      <c r="AK760">
        <v>5.2458039136255099</v>
      </c>
      <c r="AL760">
        <v>1.0599039995858399</v>
      </c>
      <c r="AM760">
        <v>0.39260064934719502</v>
      </c>
      <c r="AN760">
        <v>2.5412662262541001</v>
      </c>
      <c r="AO760">
        <v>0.44121957851975402</v>
      </c>
      <c r="AP760">
        <v>0.44121957851975402</v>
      </c>
      <c r="AQ760">
        <v>0</v>
      </c>
      <c r="AR760">
        <v>2</v>
      </c>
      <c r="AS760">
        <v>0</v>
      </c>
      <c r="AT760">
        <v>0</v>
      </c>
      <c r="AU760">
        <v>0</v>
      </c>
      <c r="AV760">
        <v>41</v>
      </c>
      <c r="AW760">
        <v>0</v>
      </c>
      <c r="AX760">
        <v>0</v>
      </c>
      <c r="AZ760">
        <v>6.8</v>
      </c>
      <c r="BA760">
        <v>19.899999999999999</v>
      </c>
      <c r="BB760">
        <v>564</v>
      </c>
      <c r="BC760">
        <v>68</v>
      </c>
      <c r="BD760">
        <v>1.5</v>
      </c>
      <c r="BE760">
        <v>135</v>
      </c>
      <c r="BF760">
        <v>0.8</v>
      </c>
      <c r="BG760">
        <v>162</v>
      </c>
      <c r="BH760">
        <v>9.1</v>
      </c>
      <c r="BI760">
        <v>9.1999999999999993</v>
      </c>
      <c r="BJ760">
        <v>18.3</v>
      </c>
      <c r="BK760">
        <v>0.34</v>
      </c>
      <c r="BL760">
        <v>7.3</v>
      </c>
      <c r="BM760">
        <v>0.9</v>
      </c>
      <c r="BN760">
        <v>7.5</v>
      </c>
      <c r="BO760">
        <v>2.9</v>
      </c>
      <c r="BP760">
        <f t="shared" si="22"/>
        <v>5.49254190191939</v>
      </c>
      <c r="BQ760">
        <f t="shared" si="23"/>
        <v>17.942807313325446</v>
      </c>
    </row>
    <row r="761" spans="1:69" hidden="1" x14ac:dyDescent="0.2">
      <c r="A761" t="s">
        <v>3013</v>
      </c>
      <c r="B761" t="s">
        <v>68</v>
      </c>
      <c r="C761" t="s">
        <v>1956</v>
      </c>
      <c r="D761" t="s">
        <v>70</v>
      </c>
      <c r="E761" t="s">
        <v>3014</v>
      </c>
      <c r="F761">
        <v>3</v>
      </c>
      <c r="G761">
        <v>299</v>
      </c>
      <c r="H761">
        <v>5</v>
      </c>
      <c r="I761">
        <v>4</v>
      </c>
      <c r="J761">
        <v>1</v>
      </c>
      <c r="K761" t="s">
        <v>110</v>
      </c>
      <c r="L761" t="s">
        <v>162</v>
      </c>
      <c r="M761" s="4">
        <v>920000000</v>
      </c>
      <c r="N761">
        <v>0</v>
      </c>
      <c r="O761">
        <v>4.6344599999999998</v>
      </c>
      <c r="P761">
        <v>-74.072710000000001</v>
      </c>
      <c r="Q761" t="s">
        <v>3015</v>
      </c>
      <c r="R761">
        <v>3076923.077</v>
      </c>
      <c r="S761">
        <v>0</v>
      </c>
      <c r="T761" t="s">
        <v>126</v>
      </c>
      <c r="U761" t="s">
        <v>127</v>
      </c>
      <c r="V761" t="s">
        <v>77</v>
      </c>
      <c r="W761" t="s">
        <v>128</v>
      </c>
      <c r="X761" t="s">
        <v>129</v>
      </c>
      <c r="Y761">
        <v>1.1840926350175101</v>
      </c>
      <c r="Z761">
        <v>1184.09263501751</v>
      </c>
      <c r="AA761">
        <v>4.6254861111111101</v>
      </c>
      <c r="AB761">
        <v>-74.066980555555503</v>
      </c>
      <c r="AC761">
        <v>2621</v>
      </c>
      <c r="AD761">
        <v>15</v>
      </c>
      <c r="AE761" t="s">
        <v>80</v>
      </c>
      <c r="AF761" t="s">
        <v>81</v>
      </c>
      <c r="AG761" t="s">
        <v>82</v>
      </c>
      <c r="AH761" t="s">
        <v>83</v>
      </c>
      <c r="AI761" t="s">
        <v>84</v>
      </c>
      <c r="AJ761">
        <v>0.63046390535526997</v>
      </c>
      <c r="AK761">
        <v>1.41441000338417</v>
      </c>
      <c r="AL761">
        <v>0.36842580151392601</v>
      </c>
      <c r="AM761">
        <v>6.1898296208558697E-2</v>
      </c>
      <c r="AN761">
        <v>1.0217528508804701</v>
      </c>
      <c r="AO761">
        <v>9.2748696088082699E-2</v>
      </c>
      <c r="AP761">
        <v>9.2748696088082699E-2</v>
      </c>
      <c r="AQ761">
        <v>0</v>
      </c>
      <c r="AR761">
        <v>6</v>
      </c>
      <c r="AS761">
        <v>0</v>
      </c>
      <c r="AT761">
        <v>0</v>
      </c>
      <c r="AU761">
        <v>15</v>
      </c>
      <c r="AV761">
        <v>185</v>
      </c>
      <c r="AW761">
        <v>0</v>
      </c>
      <c r="AX761">
        <v>0</v>
      </c>
      <c r="AZ761">
        <v>6.8</v>
      </c>
      <c r="BA761">
        <v>19.899999999999999</v>
      </c>
      <c r="BB761">
        <v>564</v>
      </c>
      <c r="BC761">
        <v>68</v>
      </c>
      <c r="BD761">
        <v>1.5</v>
      </c>
      <c r="BE761">
        <v>135</v>
      </c>
      <c r="BF761">
        <v>0.8</v>
      </c>
      <c r="BG761">
        <v>162</v>
      </c>
      <c r="BH761">
        <v>9.1</v>
      </c>
      <c r="BI761">
        <v>9.1999999999999993</v>
      </c>
      <c r="BJ761">
        <v>18.3</v>
      </c>
      <c r="BK761">
        <v>0.34</v>
      </c>
      <c r="BL761">
        <v>7.3</v>
      </c>
      <c r="BM761">
        <v>0.9</v>
      </c>
      <c r="BN761">
        <v>7.5</v>
      </c>
      <c r="BO761">
        <v>2.9</v>
      </c>
      <c r="BP761">
        <f t="shared" si="22"/>
        <v>6.4128899960736376</v>
      </c>
      <c r="BQ761">
        <f t="shared" si="23"/>
        <v>19.342437350683113</v>
      </c>
    </row>
    <row r="762" spans="1:69" hidden="1" x14ac:dyDescent="0.2">
      <c r="A762" t="s">
        <v>1012</v>
      </c>
      <c r="B762" t="s">
        <v>68</v>
      </c>
      <c r="C762" t="s">
        <v>69</v>
      </c>
      <c r="D762" t="s">
        <v>70</v>
      </c>
      <c r="E762" t="s">
        <v>742</v>
      </c>
      <c r="F762">
        <v>6</v>
      </c>
      <c r="G762">
        <v>291</v>
      </c>
      <c r="H762">
        <v>3</v>
      </c>
      <c r="I762">
        <v>4</v>
      </c>
      <c r="J762">
        <v>4</v>
      </c>
      <c r="K762" t="s">
        <v>110</v>
      </c>
      <c r="L762" t="s">
        <v>162</v>
      </c>
      <c r="M762" s="4">
        <v>2990000000</v>
      </c>
      <c r="N762">
        <v>0</v>
      </c>
      <c r="O762">
        <v>4.6630477910000003</v>
      </c>
      <c r="P762">
        <v>-74.050216669999998</v>
      </c>
      <c r="Q762" t="s">
        <v>1013</v>
      </c>
      <c r="R762">
        <v>10274914.09</v>
      </c>
      <c r="S762">
        <v>0</v>
      </c>
      <c r="T762" t="s">
        <v>75</v>
      </c>
      <c r="U762" t="s">
        <v>76</v>
      </c>
      <c r="V762" t="s">
        <v>77</v>
      </c>
      <c r="W762" t="s">
        <v>78</v>
      </c>
      <c r="X762" t="s">
        <v>79</v>
      </c>
      <c r="Y762">
        <v>3.7791750552676402</v>
      </c>
      <c r="Z762">
        <v>3779.1750552676399</v>
      </c>
      <c r="AA762">
        <v>4.6584666666666701</v>
      </c>
      <c r="AB762">
        <v>-74.083966666666697</v>
      </c>
      <c r="AC762">
        <v>2552</v>
      </c>
      <c r="AD762">
        <v>0</v>
      </c>
      <c r="AE762" t="s">
        <v>80</v>
      </c>
      <c r="AF762" t="s">
        <v>81</v>
      </c>
      <c r="AG762" t="s">
        <v>82</v>
      </c>
      <c r="AH762" t="s">
        <v>83</v>
      </c>
      <c r="AI762" t="s">
        <v>130</v>
      </c>
      <c r="AJ762">
        <v>1.2246651256098</v>
      </c>
      <c r="AK762">
        <v>0.51607946696639395</v>
      </c>
      <c r="AL762">
        <v>0.42949534810684498</v>
      </c>
      <c r="AM762">
        <v>0.16143554136125099</v>
      </c>
      <c r="AN762">
        <v>2.5362977876911499</v>
      </c>
      <c r="AO762">
        <v>0.18940065781126</v>
      </c>
      <c r="AP762">
        <v>0.18940065781126</v>
      </c>
      <c r="AQ762">
        <v>0</v>
      </c>
      <c r="AR762">
        <v>0</v>
      </c>
      <c r="AS762">
        <v>0</v>
      </c>
      <c r="AT762">
        <v>27</v>
      </c>
      <c r="AU762">
        <v>8</v>
      </c>
      <c r="AV762">
        <v>85</v>
      </c>
      <c r="AW762">
        <v>0</v>
      </c>
      <c r="AX762">
        <v>0</v>
      </c>
      <c r="AZ762">
        <v>6.8</v>
      </c>
      <c r="BA762">
        <v>19.899999999999999</v>
      </c>
      <c r="BB762">
        <v>564</v>
      </c>
      <c r="BC762">
        <v>68</v>
      </c>
      <c r="BD762">
        <v>1.5</v>
      </c>
      <c r="BE762">
        <v>135</v>
      </c>
      <c r="BF762">
        <v>0.8</v>
      </c>
      <c r="BG762">
        <v>162</v>
      </c>
      <c r="BH762">
        <v>9.1</v>
      </c>
      <c r="BI762">
        <v>9.1999999999999993</v>
      </c>
      <c r="BJ762">
        <v>18.3</v>
      </c>
      <c r="BK762">
        <v>0.34</v>
      </c>
      <c r="BL762">
        <v>7.3</v>
      </c>
      <c r="BM762">
        <v>0.9</v>
      </c>
      <c r="BN762">
        <v>7.5</v>
      </c>
      <c r="BO762">
        <v>2.9</v>
      </c>
      <c r="BP762">
        <f t="shared" si="22"/>
        <v>5.6398273139446999</v>
      </c>
      <c r="BQ762">
        <f t="shared" si="23"/>
        <v>18.174500321311069</v>
      </c>
    </row>
    <row r="763" spans="1:69" hidden="1" x14ac:dyDescent="0.2">
      <c r="A763" t="s">
        <v>3009</v>
      </c>
      <c r="B763" t="s">
        <v>68</v>
      </c>
      <c r="C763" t="s">
        <v>1956</v>
      </c>
      <c r="D763" t="s">
        <v>70</v>
      </c>
      <c r="E763" t="s">
        <v>580</v>
      </c>
      <c r="F763">
        <v>2</v>
      </c>
      <c r="G763">
        <v>288</v>
      </c>
      <c r="H763">
        <v>5</v>
      </c>
      <c r="I763">
        <v>5</v>
      </c>
      <c r="J763">
        <v>0</v>
      </c>
      <c r="K763" t="s">
        <v>110</v>
      </c>
      <c r="L763" t="s">
        <v>162</v>
      </c>
      <c r="M763" s="4">
        <v>600000000</v>
      </c>
      <c r="N763">
        <v>0</v>
      </c>
      <c r="O763">
        <v>4.7405600000000003</v>
      </c>
      <c r="P763">
        <v>-74.129059999999996</v>
      </c>
      <c r="Q763" t="s">
        <v>3010</v>
      </c>
      <c r="R763">
        <v>2083333.3330000001</v>
      </c>
      <c r="S763">
        <v>0</v>
      </c>
      <c r="T763" t="s">
        <v>419</v>
      </c>
      <c r="U763" t="s">
        <v>420</v>
      </c>
      <c r="V763" t="s">
        <v>77</v>
      </c>
      <c r="W763" t="s">
        <v>78</v>
      </c>
      <c r="X763" t="s">
        <v>421</v>
      </c>
      <c r="Y763">
        <v>0.63551705417873805</v>
      </c>
      <c r="Z763">
        <v>635.51705417873802</v>
      </c>
      <c r="AA763">
        <v>4.7358055555555598</v>
      </c>
      <c r="AB763">
        <v>-74.125888888888895</v>
      </c>
      <c r="AC763">
        <v>2574</v>
      </c>
      <c r="AD763">
        <v>0</v>
      </c>
      <c r="AE763" t="s">
        <v>154</v>
      </c>
      <c r="AF763" t="s">
        <v>107</v>
      </c>
      <c r="AG763" t="s">
        <v>82</v>
      </c>
      <c r="AH763" t="s">
        <v>83</v>
      </c>
      <c r="AI763" t="s">
        <v>121</v>
      </c>
      <c r="AJ763">
        <v>3.9177474584995999</v>
      </c>
      <c r="AK763">
        <v>0.13821800196450401</v>
      </c>
      <c r="AL763">
        <v>5.8071381510917499</v>
      </c>
      <c r="AM763">
        <v>0.96605067239050801</v>
      </c>
      <c r="AN763">
        <v>4.8514731315474702</v>
      </c>
      <c r="AO763">
        <v>9.9857119318996795E-2</v>
      </c>
      <c r="AP763">
        <v>9.9857119318996795E-2</v>
      </c>
      <c r="AQ763">
        <v>0</v>
      </c>
      <c r="AR763">
        <v>0</v>
      </c>
      <c r="AS763">
        <v>6</v>
      </c>
      <c r="AT763">
        <v>9</v>
      </c>
      <c r="AU763">
        <v>0</v>
      </c>
      <c r="AV763">
        <v>1</v>
      </c>
      <c r="AW763">
        <v>0</v>
      </c>
      <c r="AX763">
        <v>0</v>
      </c>
      <c r="AZ763">
        <v>6.8</v>
      </c>
      <c r="BA763">
        <v>19.899999999999999</v>
      </c>
      <c r="BB763">
        <v>564</v>
      </c>
      <c r="BC763">
        <v>68</v>
      </c>
      <c r="BD763">
        <v>1.5</v>
      </c>
      <c r="BE763">
        <v>135</v>
      </c>
      <c r="BF763">
        <v>0.8</v>
      </c>
      <c r="BG763">
        <v>162</v>
      </c>
      <c r="BH763">
        <v>9.1</v>
      </c>
      <c r="BI763">
        <v>9.1999999999999993</v>
      </c>
      <c r="BJ763">
        <v>18.3</v>
      </c>
      <c r="BK763">
        <v>0.34</v>
      </c>
      <c r="BL763">
        <v>7.3</v>
      </c>
      <c r="BM763">
        <v>0.9</v>
      </c>
      <c r="BN763">
        <v>7.5</v>
      </c>
      <c r="BO763">
        <v>2.9</v>
      </c>
      <c r="BP763">
        <f t="shared" si="22"/>
        <v>6.589414632911021</v>
      </c>
      <c r="BQ763">
        <f t="shared" si="23"/>
        <v>19.598780059363502</v>
      </c>
    </row>
    <row r="764" spans="1:69" hidden="1" x14ac:dyDescent="0.2">
      <c r="A764" t="s">
        <v>1062</v>
      </c>
      <c r="B764" t="s">
        <v>68</v>
      </c>
      <c r="C764" t="s">
        <v>69</v>
      </c>
      <c r="D764" t="s">
        <v>70</v>
      </c>
      <c r="E764" t="s">
        <v>310</v>
      </c>
      <c r="F764">
        <v>6</v>
      </c>
      <c r="G764">
        <v>284</v>
      </c>
      <c r="H764">
        <v>3</v>
      </c>
      <c r="I764">
        <v>4</v>
      </c>
      <c r="J764">
        <v>4</v>
      </c>
      <c r="K764" t="s">
        <v>110</v>
      </c>
      <c r="L764" t="s">
        <v>124</v>
      </c>
      <c r="M764" s="4">
        <v>3800000000</v>
      </c>
      <c r="N764">
        <v>0</v>
      </c>
      <c r="O764">
        <v>4.6572550369999997</v>
      </c>
      <c r="P764">
        <v>-74.048237169999993</v>
      </c>
      <c r="Q764" t="s">
        <v>1063</v>
      </c>
      <c r="R764">
        <v>13380281.689999999</v>
      </c>
      <c r="S764">
        <v>0</v>
      </c>
      <c r="T764" t="s">
        <v>75</v>
      </c>
      <c r="U764" t="s">
        <v>76</v>
      </c>
      <c r="V764" t="s">
        <v>77</v>
      </c>
      <c r="W764" t="s">
        <v>78</v>
      </c>
      <c r="X764" t="s">
        <v>79</v>
      </c>
      <c r="Y764">
        <v>3.9665474211334102</v>
      </c>
      <c r="Z764">
        <v>3966.5474211334099</v>
      </c>
      <c r="AA764">
        <v>4.6584666666666701</v>
      </c>
      <c r="AB764">
        <v>-74.083966666666697</v>
      </c>
      <c r="AC764">
        <v>2552</v>
      </c>
      <c r="AD764">
        <v>0</v>
      </c>
      <c r="AE764" t="s">
        <v>80</v>
      </c>
      <c r="AF764" t="s">
        <v>81</v>
      </c>
      <c r="AG764" t="s">
        <v>82</v>
      </c>
      <c r="AH764" t="s">
        <v>83</v>
      </c>
      <c r="AI764" t="s">
        <v>130</v>
      </c>
      <c r="AJ764">
        <v>1.53744606438373</v>
      </c>
      <c r="AK764">
        <v>0.114207120410817</v>
      </c>
      <c r="AL764">
        <v>0.98136525840292599</v>
      </c>
      <c r="AM764">
        <v>0.53947792468072797</v>
      </c>
      <c r="AN764">
        <v>2.0629552896462302</v>
      </c>
      <c r="AO764">
        <v>0.38274674470229803</v>
      </c>
      <c r="AP764">
        <v>0.38274674470229803</v>
      </c>
      <c r="AQ764">
        <v>0</v>
      </c>
      <c r="AR764">
        <v>0</v>
      </c>
      <c r="AS764">
        <v>17</v>
      </c>
      <c r="AT764">
        <v>37</v>
      </c>
      <c r="AU764">
        <v>1</v>
      </c>
      <c r="AV764">
        <v>14</v>
      </c>
      <c r="AW764">
        <v>0</v>
      </c>
      <c r="AX764">
        <v>0</v>
      </c>
      <c r="AZ764">
        <v>6.8</v>
      </c>
      <c r="BA764">
        <v>19.899999999999999</v>
      </c>
      <c r="BB764">
        <v>564</v>
      </c>
      <c r="BC764">
        <v>68</v>
      </c>
      <c r="BD764">
        <v>1.5</v>
      </c>
      <c r="BE764">
        <v>135</v>
      </c>
      <c r="BF764">
        <v>0.8</v>
      </c>
      <c r="BG764">
        <v>162</v>
      </c>
      <c r="BH764">
        <v>9.1</v>
      </c>
      <c r="BI764">
        <v>9.1999999999999993</v>
      </c>
      <c r="BJ764">
        <v>18.3</v>
      </c>
      <c r="BK764">
        <v>0.34</v>
      </c>
      <c r="BL764">
        <v>7.3</v>
      </c>
      <c r="BM764">
        <v>0.9</v>
      </c>
      <c r="BN764">
        <v>7.5</v>
      </c>
      <c r="BO764">
        <v>2.9</v>
      </c>
      <c r="BP764">
        <f t="shared" si="22"/>
        <v>5.5877601315380598</v>
      </c>
      <c r="BQ764">
        <f t="shared" si="23"/>
        <v>18.092954233566246</v>
      </c>
    </row>
    <row r="765" spans="1:69" hidden="1" x14ac:dyDescent="0.2">
      <c r="A765" t="s">
        <v>2033</v>
      </c>
      <c r="B765" t="s">
        <v>68</v>
      </c>
      <c r="C765" t="s">
        <v>1956</v>
      </c>
      <c r="D765" t="s">
        <v>70</v>
      </c>
      <c r="E765" t="s">
        <v>2034</v>
      </c>
      <c r="F765">
        <v>4</v>
      </c>
      <c r="G765">
        <v>280</v>
      </c>
      <c r="H765">
        <v>4</v>
      </c>
      <c r="I765">
        <v>5</v>
      </c>
      <c r="J765">
        <v>2</v>
      </c>
      <c r="K765" t="s">
        <v>110</v>
      </c>
      <c r="L765" t="s">
        <v>162</v>
      </c>
      <c r="M765" s="4">
        <v>1300000000</v>
      </c>
      <c r="N765">
        <v>0</v>
      </c>
      <c r="O765">
        <v>4.6920075419999998</v>
      </c>
      <c r="P765">
        <v>-74.069892879999998</v>
      </c>
      <c r="Q765" t="s">
        <v>2035</v>
      </c>
      <c r="R765">
        <v>4642857.1430000002</v>
      </c>
      <c r="S765">
        <v>0</v>
      </c>
      <c r="T765" t="s">
        <v>75</v>
      </c>
      <c r="U765" t="s">
        <v>76</v>
      </c>
      <c r="V765" t="s">
        <v>77</v>
      </c>
      <c r="W765" t="s">
        <v>78</v>
      </c>
      <c r="X765" t="s">
        <v>79</v>
      </c>
      <c r="Y765">
        <v>4.0471117446601799</v>
      </c>
      <c r="Z765">
        <v>4047.1117446601802</v>
      </c>
      <c r="AA765">
        <v>4.6584666666666701</v>
      </c>
      <c r="AB765">
        <v>-74.083966666666697</v>
      </c>
      <c r="AC765">
        <v>2552</v>
      </c>
      <c r="AD765">
        <v>0</v>
      </c>
      <c r="AE765" t="s">
        <v>80</v>
      </c>
      <c r="AF765" t="s">
        <v>81</v>
      </c>
      <c r="AG765" t="s">
        <v>82</v>
      </c>
      <c r="AH765" t="s">
        <v>83</v>
      </c>
      <c r="AI765" t="s">
        <v>121</v>
      </c>
      <c r="AJ765">
        <v>0.33508444896286199</v>
      </c>
      <c r="AK765">
        <v>3.9146678862295299</v>
      </c>
      <c r="AL765">
        <v>0.64361170405618295</v>
      </c>
      <c r="AM765">
        <v>0.25804805516936602</v>
      </c>
      <c r="AN765">
        <v>2.4093016643401799</v>
      </c>
      <c r="AO765">
        <v>0.12627641006781701</v>
      </c>
      <c r="AP765">
        <v>0.12627641006781701</v>
      </c>
      <c r="AQ765">
        <v>1</v>
      </c>
      <c r="AR765">
        <v>3</v>
      </c>
      <c r="AS765">
        <v>0</v>
      </c>
      <c r="AT765">
        <v>0</v>
      </c>
      <c r="AU765">
        <v>2</v>
      </c>
      <c r="AV765">
        <v>60</v>
      </c>
      <c r="AW765">
        <v>0</v>
      </c>
      <c r="AX765">
        <v>0</v>
      </c>
      <c r="AZ765">
        <v>6.8</v>
      </c>
      <c r="BA765">
        <v>19.899999999999999</v>
      </c>
      <c r="BB765">
        <v>564</v>
      </c>
      <c r="BC765">
        <v>68</v>
      </c>
      <c r="BD765">
        <v>1.5</v>
      </c>
      <c r="BE765">
        <v>135</v>
      </c>
      <c r="BF765">
        <v>0.8</v>
      </c>
      <c r="BG765">
        <v>162</v>
      </c>
      <c r="BH765">
        <v>9.1</v>
      </c>
      <c r="BI765">
        <v>9.1999999999999993</v>
      </c>
      <c r="BJ765">
        <v>18.3</v>
      </c>
      <c r="BK765">
        <v>0.34</v>
      </c>
      <c r="BL765">
        <v>7.3</v>
      </c>
      <c r="BM765">
        <v>0.9</v>
      </c>
      <c r="BN765">
        <v>7.5</v>
      </c>
      <c r="BO765">
        <v>2.9</v>
      </c>
      <c r="BP765">
        <f t="shared" si="22"/>
        <v>5.5655208866385051</v>
      </c>
      <c r="BQ765">
        <f t="shared" si="23"/>
        <v>18.058004514018684</v>
      </c>
    </row>
    <row r="766" spans="1:69" hidden="1" x14ac:dyDescent="0.2">
      <c r="A766" t="s">
        <v>2820</v>
      </c>
      <c r="B766" t="s">
        <v>68</v>
      </c>
      <c r="C766" t="s">
        <v>1956</v>
      </c>
      <c r="D766" t="s">
        <v>70</v>
      </c>
      <c r="E766" t="s">
        <v>132</v>
      </c>
      <c r="F766">
        <v>6</v>
      </c>
      <c r="G766">
        <v>272</v>
      </c>
      <c r="H766">
        <v>3</v>
      </c>
      <c r="I766">
        <v>4</v>
      </c>
      <c r="J766">
        <v>3</v>
      </c>
      <c r="K766" t="s">
        <v>110</v>
      </c>
      <c r="L766" t="s">
        <v>124</v>
      </c>
      <c r="M766" s="4">
        <v>1950000000</v>
      </c>
      <c r="N766">
        <v>0</v>
      </c>
      <c r="O766">
        <v>4.6741699819999996</v>
      </c>
      <c r="P766">
        <v>-74.051090029999997</v>
      </c>
      <c r="Q766" t="s">
        <v>2821</v>
      </c>
      <c r="R766">
        <v>7169117.6469999999</v>
      </c>
      <c r="S766">
        <v>0</v>
      </c>
      <c r="T766" t="s">
        <v>75</v>
      </c>
      <c r="U766" t="s">
        <v>76</v>
      </c>
      <c r="V766" t="s">
        <v>77</v>
      </c>
      <c r="W766" t="s">
        <v>78</v>
      </c>
      <c r="X766" t="s">
        <v>79</v>
      </c>
      <c r="Y766">
        <v>4.0449187436416603</v>
      </c>
      <c r="Z766">
        <v>4044.9187436416601</v>
      </c>
      <c r="AA766">
        <v>4.6584666666666701</v>
      </c>
      <c r="AB766">
        <v>-74.083966666666697</v>
      </c>
      <c r="AC766">
        <v>2552</v>
      </c>
      <c r="AD766">
        <v>0</v>
      </c>
      <c r="AE766" t="s">
        <v>80</v>
      </c>
      <c r="AF766" t="s">
        <v>81</v>
      </c>
      <c r="AG766" t="s">
        <v>82</v>
      </c>
      <c r="AH766" t="s">
        <v>83</v>
      </c>
      <c r="AI766" t="s">
        <v>130</v>
      </c>
      <c r="AJ766">
        <v>0.90212875083746202</v>
      </c>
      <c r="AK766">
        <v>1.0839507825602099</v>
      </c>
      <c r="AL766">
        <v>1.0322511330388</v>
      </c>
      <c r="AM766">
        <v>0.109530462526748</v>
      </c>
      <c r="AN766">
        <v>3.41226919424617</v>
      </c>
      <c r="AO766">
        <v>0.87115021868730702</v>
      </c>
      <c r="AP766">
        <v>0.87115021868730702</v>
      </c>
      <c r="AQ766">
        <v>0</v>
      </c>
      <c r="AR766">
        <v>2</v>
      </c>
      <c r="AS766">
        <v>0</v>
      </c>
      <c r="AT766">
        <v>0</v>
      </c>
      <c r="AU766">
        <v>0</v>
      </c>
      <c r="AV766">
        <v>252</v>
      </c>
      <c r="AW766">
        <v>0</v>
      </c>
      <c r="AX766">
        <v>0</v>
      </c>
      <c r="AZ766">
        <v>6.8</v>
      </c>
      <c r="BA766">
        <v>19.899999999999999</v>
      </c>
      <c r="BB766">
        <v>564</v>
      </c>
      <c r="BC766">
        <v>68</v>
      </c>
      <c r="BD766">
        <v>1.5</v>
      </c>
      <c r="BE766">
        <v>135</v>
      </c>
      <c r="BF766">
        <v>0.8</v>
      </c>
      <c r="BG766">
        <v>162</v>
      </c>
      <c r="BH766">
        <v>9.1</v>
      </c>
      <c r="BI766">
        <v>9.1999999999999993</v>
      </c>
      <c r="BJ766">
        <v>18.3</v>
      </c>
      <c r="BK766">
        <v>0.34</v>
      </c>
      <c r="BL766">
        <v>7.3</v>
      </c>
      <c r="BM766">
        <v>0.9</v>
      </c>
      <c r="BN766">
        <v>7.5</v>
      </c>
      <c r="BO766">
        <v>2.9</v>
      </c>
      <c r="BP766">
        <f t="shared" si="22"/>
        <v>5.5661250764835515</v>
      </c>
      <c r="BQ766">
        <f t="shared" si="23"/>
        <v>18.058954968365633</v>
      </c>
    </row>
    <row r="767" spans="1:69" hidden="1" x14ac:dyDescent="0.2">
      <c r="A767" t="s">
        <v>2876</v>
      </c>
      <c r="B767" t="s">
        <v>68</v>
      </c>
      <c r="C767" t="s">
        <v>1956</v>
      </c>
      <c r="D767" t="s">
        <v>70</v>
      </c>
      <c r="E767" t="s">
        <v>2060</v>
      </c>
      <c r="F767">
        <v>1</v>
      </c>
      <c r="G767">
        <v>272</v>
      </c>
      <c r="H767">
        <v>3</v>
      </c>
      <c r="I767">
        <v>3</v>
      </c>
      <c r="J767">
        <v>2</v>
      </c>
      <c r="K767" t="s">
        <v>110</v>
      </c>
      <c r="L767" t="s">
        <v>162</v>
      </c>
      <c r="M767" s="4">
        <v>1350000000</v>
      </c>
      <c r="N767">
        <v>0</v>
      </c>
      <c r="O767">
        <v>4.6309648000000001</v>
      </c>
      <c r="P767">
        <v>-74.071185700000001</v>
      </c>
      <c r="Q767" t="s">
        <v>2877</v>
      </c>
      <c r="R767">
        <v>4963235.2939999998</v>
      </c>
      <c r="S767">
        <v>0</v>
      </c>
      <c r="T767" t="s">
        <v>126</v>
      </c>
      <c r="U767" t="s">
        <v>127</v>
      </c>
      <c r="V767" t="s">
        <v>77</v>
      </c>
      <c r="W767" t="s">
        <v>128</v>
      </c>
      <c r="X767" t="s">
        <v>129</v>
      </c>
      <c r="Y767">
        <v>0.76789584276135003</v>
      </c>
      <c r="Z767">
        <v>767.89584276134997</v>
      </c>
      <c r="AA767">
        <v>4.6254861111111101</v>
      </c>
      <c r="AB767">
        <v>-74.066980555555503</v>
      </c>
      <c r="AC767">
        <v>2621</v>
      </c>
      <c r="AD767">
        <v>15</v>
      </c>
      <c r="AE767" t="s">
        <v>80</v>
      </c>
      <c r="AF767" t="s">
        <v>81</v>
      </c>
      <c r="AG767" t="s">
        <v>82</v>
      </c>
      <c r="AH767" t="s">
        <v>83</v>
      </c>
      <c r="AI767" t="s">
        <v>84</v>
      </c>
      <c r="AJ767">
        <v>0.37064557378310398</v>
      </c>
      <c r="AK767">
        <v>1.1565873894166501</v>
      </c>
      <c r="AL767">
        <v>0.24682333612585899</v>
      </c>
      <c r="AM767">
        <v>0.18941328806676999</v>
      </c>
      <c r="AN767">
        <v>0.63262717245837197</v>
      </c>
      <c r="AO767">
        <v>4.1561209041425601E-2</v>
      </c>
      <c r="AP767">
        <v>4.1561209041425601E-2</v>
      </c>
      <c r="AQ767">
        <v>1</v>
      </c>
      <c r="AR767">
        <v>6</v>
      </c>
      <c r="AS767">
        <v>0</v>
      </c>
      <c r="AT767">
        <v>0</v>
      </c>
      <c r="AU767">
        <v>18</v>
      </c>
      <c r="AV767">
        <v>174</v>
      </c>
      <c r="AW767">
        <v>1</v>
      </c>
      <c r="AX767">
        <v>0</v>
      </c>
      <c r="AZ767">
        <v>6.8</v>
      </c>
      <c r="BA767">
        <v>19.899999999999999</v>
      </c>
      <c r="BB767">
        <v>564</v>
      </c>
      <c r="BC767">
        <v>68</v>
      </c>
      <c r="BD767">
        <v>1.5</v>
      </c>
      <c r="BE767">
        <v>135</v>
      </c>
      <c r="BF767">
        <v>0.8</v>
      </c>
      <c r="BG767">
        <v>162</v>
      </c>
      <c r="BH767">
        <v>9.1</v>
      </c>
      <c r="BI767">
        <v>9.1999999999999993</v>
      </c>
      <c r="BJ767">
        <v>18.3</v>
      </c>
      <c r="BK767">
        <v>0.34</v>
      </c>
      <c r="BL767">
        <v>7.3</v>
      </c>
      <c r="BM767">
        <v>0.9</v>
      </c>
      <c r="BN767">
        <v>7.5</v>
      </c>
      <c r="BO767">
        <v>2.9</v>
      </c>
      <c r="BP767">
        <f t="shared" si="22"/>
        <v>6.5463770073444563</v>
      </c>
      <c r="BQ767">
        <f t="shared" si="23"/>
        <v>19.536611762535841</v>
      </c>
    </row>
    <row r="768" spans="1:69" hidden="1" x14ac:dyDescent="0.2">
      <c r="A768" t="s">
        <v>2238</v>
      </c>
      <c r="B768" t="s">
        <v>68</v>
      </c>
      <c r="C768" t="s">
        <v>1956</v>
      </c>
      <c r="D768" t="s">
        <v>70</v>
      </c>
      <c r="E768" t="s">
        <v>532</v>
      </c>
      <c r="F768">
        <v>6</v>
      </c>
      <c r="G768">
        <v>268</v>
      </c>
      <c r="H768">
        <v>4</v>
      </c>
      <c r="I768">
        <v>5</v>
      </c>
      <c r="J768">
        <v>3</v>
      </c>
      <c r="K768" t="s">
        <v>110</v>
      </c>
      <c r="L768" t="s">
        <v>162</v>
      </c>
      <c r="M768" s="4">
        <v>1950000000</v>
      </c>
      <c r="N768">
        <v>0</v>
      </c>
      <c r="O768">
        <v>4.6094900000000001</v>
      </c>
      <c r="P768">
        <v>-74.208799999999997</v>
      </c>
      <c r="Q768" t="s">
        <v>2239</v>
      </c>
      <c r="R768">
        <v>7276119.4029999999</v>
      </c>
      <c r="S768">
        <v>0</v>
      </c>
      <c r="T768" t="s">
        <v>365</v>
      </c>
      <c r="U768" t="s">
        <v>366</v>
      </c>
      <c r="V768" t="s">
        <v>77</v>
      </c>
      <c r="W768" t="s">
        <v>365</v>
      </c>
      <c r="X768" t="s">
        <v>367</v>
      </c>
      <c r="Y768">
        <v>0.68087388489751399</v>
      </c>
      <c r="Z768">
        <v>680.87388489751402</v>
      </c>
      <c r="AA768">
        <v>4.6056111111111102</v>
      </c>
      <c r="AB768">
        <v>-74.204055555555598</v>
      </c>
      <c r="AC768">
        <v>2546</v>
      </c>
      <c r="AD768">
        <v>0</v>
      </c>
      <c r="AE768" t="s">
        <v>80</v>
      </c>
      <c r="AF768" t="s">
        <v>107</v>
      </c>
      <c r="AG768" t="s">
        <v>82</v>
      </c>
      <c r="AH768" t="s">
        <v>83</v>
      </c>
      <c r="AI768" t="s">
        <v>368</v>
      </c>
      <c r="AJ768">
        <v>2.4910218444818302</v>
      </c>
      <c r="AK768">
        <v>2.0687894235864301</v>
      </c>
      <c r="AL768">
        <v>7.9772763041865602</v>
      </c>
      <c r="AM768">
        <v>0.84181901887227595</v>
      </c>
      <c r="AN768">
        <v>2.6501520381452801</v>
      </c>
      <c r="AO768">
        <v>8.5922700937997504E-2</v>
      </c>
      <c r="AP768">
        <v>8.5922700937997504E-2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1</v>
      </c>
      <c r="AW768">
        <v>0</v>
      </c>
      <c r="AX768">
        <v>0</v>
      </c>
      <c r="AZ768">
        <v>6.8</v>
      </c>
      <c r="BA768">
        <v>19.899999999999999</v>
      </c>
      <c r="BB768">
        <v>564</v>
      </c>
      <c r="BC768">
        <v>68</v>
      </c>
      <c r="BD768">
        <v>1.5</v>
      </c>
      <c r="BE768">
        <v>135</v>
      </c>
      <c r="BF768">
        <v>0.8</v>
      </c>
      <c r="BG768">
        <v>162</v>
      </c>
      <c r="BH768">
        <v>9.1</v>
      </c>
      <c r="BI768">
        <v>9.1999999999999993</v>
      </c>
      <c r="BJ768">
        <v>18.3</v>
      </c>
      <c r="BK768">
        <v>0.34</v>
      </c>
      <c r="BL768">
        <v>7.3</v>
      </c>
      <c r="BM768">
        <v>0.9</v>
      </c>
      <c r="BN768">
        <v>7.5</v>
      </c>
      <c r="BO768">
        <v>2.9</v>
      </c>
      <c r="BP768">
        <f t="shared" si="22"/>
        <v>6.5746369175892987</v>
      </c>
      <c r="BQ768">
        <f t="shared" si="23"/>
        <v>19.577457141961819</v>
      </c>
    </row>
    <row r="769" spans="1:69" hidden="1" x14ac:dyDescent="0.2">
      <c r="A769" t="s">
        <v>881</v>
      </c>
      <c r="B769" t="s">
        <v>68</v>
      </c>
      <c r="C769" t="s">
        <v>69</v>
      </c>
      <c r="D769" t="s">
        <v>70</v>
      </c>
      <c r="E769" t="s">
        <v>310</v>
      </c>
      <c r="F769">
        <v>6</v>
      </c>
      <c r="G769">
        <v>265</v>
      </c>
      <c r="H769">
        <v>3</v>
      </c>
      <c r="I769">
        <v>4</v>
      </c>
      <c r="J769">
        <v>2</v>
      </c>
      <c r="K769" t="s">
        <v>110</v>
      </c>
      <c r="L769" t="s">
        <v>162</v>
      </c>
      <c r="M769" s="4">
        <v>1650000000</v>
      </c>
      <c r="N769">
        <v>0</v>
      </c>
      <c r="O769">
        <v>4.6542681359999998</v>
      </c>
      <c r="P769">
        <v>-74.050933409999999</v>
      </c>
      <c r="Q769" t="s">
        <v>882</v>
      </c>
      <c r="R769">
        <v>6226415.0939999996</v>
      </c>
      <c r="S769">
        <v>0</v>
      </c>
      <c r="T769" t="s">
        <v>126</v>
      </c>
      <c r="U769" t="s">
        <v>127</v>
      </c>
      <c r="V769" t="s">
        <v>77</v>
      </c>
      <c r="W769" t="s">
        <v>128</v>
      </c>
      <c r="X769" t="s">
        <v>129</v>
      </c>
      <c r="Y769">
        <v>3.6654903189414698</v>
      </c>
      <c r="Z769">
        <v>3665.4903189414699</v>
      </c>
      <c r="AA769">
        <v>4.6254861111111101</v>
      </c>
      <c r="AB769">
        <v>-74.066980555555503</v>
      </c>
      <c r="AC769">
        <v>2621</v>
      </c>
      <c r="AD769">
        <v>15</v>
      </c>
      <c r="AE769" t="s">
        <v>80</v>
      </c>
      <c r="AF769" t="s">
        <v>81</v>
      </c>
      <c r="AG769" t="s">
        <v>82</v>
      </c>
      <c r="AH769" t="s">
        <v>83</v>
      </c>
      <c r="AI769" t="s">
        <v>130</v>
      </c>
      <c r="AJ769">
        <v>1.31025322615858</v>
      </c>
      <c r="AK769">
        <v>0.27130790315109998</v>
      </c>
      <c r="AL769">
        <v>0.82954772617240302</v>
      </c>
      <c r="AM769">
        <v>0.37836106507894002</v>
      </c>
      <c r="AN769">
        <v>1.6247214260994001</v>
      </c>
      <c r="AO769">
        <v>0.210276566885197</v>
      </c>
      <c r="AP769">
        <v>0.210276566885197</v>
      </c>
      <c r="AQ769">
        <v>0</v>
      </c>
      <c r="AR769">
        <v>0</v>
      </c>
      <c r="AS769">
        <v>12</v>
      </c>
      <c r="AT769">
        <v>43</v>
      </c>
      <c r="AU769">
        <v>4</v>
      </c>
      <c r="AV769">
        <v>22</v>
      </c>
      <c r="AW769">
        <v>0</v>
      </c>
      <c r="AX769">
        <v>0</v>
      </c>
      <c r="AZ769">
        <v>6.8</v>
      </c>
      <c r="BA769">
        <v>19.899999999999999</v>
      </c>
      <c r="BB769">
        <v>564</v>
      </c>
      <c r="BC769">
        <v>68</v>
      </c>
      <c r="BD769">
        <v>1.5</v>
      </c>
      <c r="BE769">
        <v>135</v>
      </c>
      <c r="BF769">
        <v>0.8</v>
      </c>
      <c r="BG769">
        <v>162</v>
      </c>
      <c r="BH769">
        <v>9.1</v>
      </c>
      <c r="BI769">
        <v>9.1999999999999993</v>
      </c>
      <c r="BJ769">
        <v>18.3</v>
      </c>
      <c r="BK769">
        <v>0.34</v>
      </c>
      <c r="BL769">
        <v>7.3</v>
      </c>
      <c r="BM769">
        <v>0.9</v>
      </c>
      <c r="BN769">
        <v>7.5</v>
      </c>
      <c r="BO769">
        <v>2.9</v>
      </c>
      <c r="BP769">
        <f t="shared" si="22"/>
        <v>5.6716543144122928</v>
      </c>
      <c r="BQ769">
        <f t="shared" si="23"/>
        <v>18.22415595019682</v>
      </c>
    </row>
    <row r="770" spans="1:69" hidden="1" x14ac:dyDescent="0.2">
      <c r="A770" t="s">
        <v>762</v>
      </c>
      <c r="B770" t="s">
        <v>68</v>
      </c>
      <c r="C770" t="s">
        <v>69</v>
      </c>
      <c r="D770" t="s">
        <v>70</v>
      </c>
      <c r="E770" t="s">
        <v>763</v>
      </c>
      <c r="F770">
        <v>5</v>
      </c>
      <c r="G770">
        <v>263</v>
      </c>
      <c r="H770">
        <v>3</v>
      </c>
      <c r="I770">
        <v>4</v>
      </c>
      <c r="J770">
        <v>3</v>
      </c>
      <c r="K770" t="s">
        <v>110</v>
      </c>
      <c r="L770" t="s">
        <v>162</v>
      </c>
      <c r="M770" s="4">
        <v>1700000000</v>
      </c>
      <c r="N770">
        <v>0</v>
      </c>
      <c r="O770">
        <v>4.6497926710000002</v>
      </c>
      <c r="P770">
        <v>-74.052772520000005</v>
      </c>
      <c r="Q770" t="s">
        <v>764</v>
      </c>
      <c r="R770">
        <v>6463878.3269999996</v>
      </c>
      <c r="S770">
        <v>0</v>
      </c>
      <c r="T770" t="s">
        <v>126</v>
      </c>
      <c r="U770" t="s">
        <v>127</v>
      </c>
      <c r="V770" t="s">
        <v>77</v>
      </c>
      <c r="W770" t="s">
        <v>128</v>
      </c>
      <c r="X770" t="s">
        <v>129</v>
      </c>
      <c r="Y770">
        <v>3.1315370747671398</v>
      </c>
      <c r="Z770">
        <v>3131.53707476714</v>
      </c>
      <c r="AA770">
        <v>4.6254861111111101</v>
      </c>
      <c r="AB770">
        <v>-74.066980555555503</v>
      </c>
      <c r="AC770">
        <v>2621</v>
      </c>
      <c r="AD770">
        <v>15</v>
      </c>
      <c r="AE770" t="s">
        <v>80</v>
      </c>
      <c r="AF770" t="s">
        <v>81</v>
      </c>
      <c r="AG770" t="s">
        <v>82</v>
      </c>
      <c r="AH770" t="s">
        <v>83</v>
      </c>
      <c r="AI770" t="s">
        <v>130</v>
      </c>
      <c r="AJ770">
        <v>1.2678222533185599</v>
      </c>
      <c r="AK770">
        <v>0.2214996466135</v>
      </c>
      <c r="AL770">
        <v>0.49463506242262001</v>
      </c>
      <c r="AM770">
        <v>0.417614105541386</v>
      </c>
      <c r="AN770">
        <v>1.09783255928612</v>
      </c>
      <c r="AO770">
        <v>0.29281832027937399</v>
      </c>
      <c r="AP770">
        <v>0.29281832027937399</v>
      </c>
      <c r="AQ770">
        <v>0</v>
      </c>
      <c r="AR770">
        <v>0</v>
      </c>
      <c r="AS770">
        <v>19</v>
      </c>
      <c r="AT770">
        <v>41</v>
      </c>
      <c r="AU770">
        <v>5</v>
      </c>
      <c r="AV770">
        <v>29</v>
      </c>
      <c r="AW770">
        <v>0</v>
      </c>
      <c r="AX770">
        <v>0</v>
      </c>
      <c r="AZ770">
        <v>6.8</v>
      </c>
      <c r="BA770">
        <v>19.899999999999999</v>
      </c>
      <c r="BB770">
        <v>564</v>
      </c>
      <c r="BC770">
        <v>68</v>
      </c>
      <c r="BD770">
        <v>1.5</v>
      </c>
      <c r="BE770">
        <v>135</v>
      </c>
      <c r="BF770">
        <v>0.8</v>
      </c>
      <c r="BG770">
        <v>162</v>
      </c>
      <c r="BH770">
        <v>9.1</v>
      </c>
      <c r="BI770">
        <v>9.1999999999999993</v>
      </c>
      <c r="BJ770">
        <v>18.3</v>
      </c>
      <c r="BK770">
        <v>0.34</v>
      </c>
      <c r="BL770">
        <v>7.3</v>
      </c>
      <c r="BM770">
        <v>0.9</v>
      </c>
      <c r="BN770">
        <v>7.5</v>
      </c>
      <c r="BO770">
        <v>2.9</v>
      </c>
      <c r="BP770">
        <f t="shared" ref="BP770:BP833" si="24">+AZ770*EXP(-0.0495*Y770)</f>
        <v>5.8235586512127373</v>
      </c>
      <c r="BQ770">
        <f t="shared" ref="BQ770:BQ833" si="25">+BA770*EXP(-0.024*Y770)</f>
        <v>18.45919909079484</v>
      </c>
    </row>
    <row r="771" spans="1:69" hidden="1" x14ac:dyDescent="0.2">
      <c r="A771" t="s">
        <v>2511</v>
      </c>
      <c r="B771" t="s">
        <v>68</v>
      </c>
      <c r="C771" t="s">
        <v>1956</v>
      </c>
      <c r="D771" t="s">
        <v>70</v>
      </c>
      <c r="E771" t="s">
        <v>2512</v>
      </c>
      <c r="F771">
        <v>3</v>
      </c>
      <c r="G771">
        <v>261</v>
      </c>
      <c r="H771">
        <v>5</v>
      </c>
      <c r="I771">
        <v>4</v>
      </c>
      <c r="J771">
        <v>2</v>
      </c>
      <c r="K771" t="s">
        <v>110</v>
      </c>
      <c r="L771" t="s">
        <v>124</v>
      </c>
      <c r="M771" s="4">
        <v>749000000</v>
      </c>
      <c r="N771">
        <v>0</v>
      </c>
      <c r="O771">
        <v>4.7071228029999999</v>
      </c>
      <c r="P771">
        <v>-74.125366209999996</v>
      </c>
      <c r="Q771" t="s">
        <v>2513</v>
      </c>
      <c r="R771">
        <v>2869731.801</v>
      </c>
      <c r="S771">
        <v>0</v>
      </c>
      <c r="T771" t="s">
        <v>419</v>
      </c>
      <c r="U771" t="s">
        <v>420</v>
      </c>
      <c r="V771" t="s">
        <v>77</v>
      </c>
      <c r="W771" t="s">
        <v>78</v>
      </c>
      <c r="X771" t="s">
        <v>421</v>
      </c>
      <c r="Y771">
        <v>3.1934759134634798</v>
      </c>
      <c r="Z771">
        <v>3193.4759134634801</v>
      </c>
      <c r="AA771">
        <v>4.7358055555555598</v>
      </c>
      <c r="AB771">
        <v>-74.125888888888895</v>
      </c>
      <c r="AC771">
        <v>2574</v>
      </c>
      <c r="AD771">
        <v>0</v>
      </c>
      <c r="AE771" t="s">
        <v>154</v>
      </c>
      <c r="AF771" t="s">
        <v>107</v>
      </c>
      <c r="AG771" t="s">
        <v>82</v>
      </c>
      <c r="AH771" t="s">
        <v>83</v>
      </c>
      <c r="AI771" t="s">
        <v>412</v>
      </c>
      <c r="AJ771">
        <v>1.6745832928066899</v>
      </c>
      <c r="AK771">
        <v>1.86808772316414</v>
      </c>
      <c r="AL771">
        <v>2.5216653843549302</v>
      </c>
      <c r="AM771">
        <v>0.17310860634471401</v>
      </c>
      <c r="AN771">
        <v>2.2640624111709902</v>
      </c>
      <c r="AO771">
        <v>0.196248719622275</v>
      </c>
      <c r="AP771">
        <v>0.196248719622275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9</v>
      </c>
      <c r="AW771">
        <v>0</v>
      </c>
      <c r="AX771">
        <v>0</v>
      </c>
      <c r="AZ771">
        <v>6.8</v>
      </c>
      <c r="BA771">
        <v>19.899999999999999</v>
      </c>
      <c r="BB771">
        <v>564</v>
      </c>
      <c r="BC771">
        <v>68</v>
      </c>
      <c r="BD771">
        <v>1.5</v>
      </c>
      <c r="BE771">
        <v>135</v>
      </c>
      <c r="BF771">
        <v>0.8</v>
      </c>
      <c r="BG771">
        <v>162</v>
      </c>
      <c r="BH771">
        <v>9.1</v>
      </c>
      <c r="BI771">
        <v>9.1999999999999993</v>
      </c>
      <c r="BJ771">
        <v>18.3</v>
      </c>
      <c r="BK771">
        <v>0.34</v>
      </c>
      <c r="BL771">
        <v>7.3</v>
      </c>
      <c r="BM771">
        <v>0.9</v>
      </c>
      <c r="BN771">
        <v>7.5</v>
      </c>
      <c r="BO771">
        <v>2.9</v>
      </c>
      <c r="BP771">
        <f t="shared" si="24"/>
        <v>5.8057311237656561</v>
      </c>
      <c r="BQ771">
        <f t="shared" si="25"/>
        <v>18.431779283537615</v>
      </c>
    </row>
    <row r="772" spans="1:69" hidden="1" x14ac:dyDescent="0.2">
      <c r="A772" t="s">
        <v>448</v>
      </c>
      <c r="B772" t="s">
        <v>68</v>
      </c>
      <c r="C772" t="s">
        <v>69</v>
      </c>
      <c r="D772" t="s">
        <v>70</v>
      </c>
      <c r="E772" t="s">
        <v>310</v>
      </c>
      <c r="F772">
        <v>6</v>
      </c>
      <c r="G772">
        <v>260</v>
      </c>
      <c r="H772">
        <v>3</v>
      </c>
      <c r="I772">
        <v>4</v>
      </c>
      <c r="J772">
        <v>4</v>
      </c>
      <c r="K772" t="s">
        <v>110</v>
      </c>
      <c r="L772" t="s">
        <v>124</v>
      </c>
      <c r="M772" s="4">
        <v>3400000000</v>
      </c>
      <c r="N772">
        <v>0</v>
      </c>
      <c r="O772">
        <v>4.6592283249999999</v>
      </c>
      <c r="P772">
        <v>-74.047988889999999</v>
      </c>
      <c r="Q772" t="s">
        <v>449</v>
      </c>
      <c r="R772">
        <v>13076923.08</v>
      </c>
      <c r="S772">
        <v>0</v>
      </c>
      <c r="T772" t="s">
        <v>75</v>
      </c>
      <c r="U772" t="s">
        <v>76</v>
      </c>
      <c r="V772" t="s">
        <v>77</v>
      </c>
      <c r="W772" t="s">
        <v>78</v>
      </c>
      <c r="X772" t="s">
        <v>79</v>
      </c>
      <c r="Y772">
        <v>3.9926954520762301</v>
      </c>
      <c r="Z772">
        <v>3992.6954520762301</v>
      </c>
      <c r="AA772">
        <v>4.6584666666666701</v>
      </c>
      <c r="AB772">
        <v>-74.083966666666697</v>
      </c>
      <c r="AC772">
        <v>2552</v>
      </c>
      <c r="AD772">
        <v>0</v>
      </c>
      <c r="AE772" t="s">
        <v>80</v>
      </c>
      <c r="AF772" t="s">
        <v>81</v>
      </c>
      <c r="AG772" t="s">
        <v>82</v>
      </c>
      <c r="AH772" t="s">
        <v>83</v>
      </c>
      <c r="AI772" t="s">
        <v>130</v>
      </c>
      <c r="AJ772">
        <v>1.5304681678713901</v>
      </c>
      <c r="AK772">
        <v>0.12054709165694</v>
      </c>
      <c r="AL772">
        <v>0.87650108513560798</v>
      </c>
      <c r="AM772">
        <v>0.41883419844837899</v>
      </c>
      <c r="AN772">
        <v>2.2627479631937599</v>
      </c>
      <c r="AO772">
        <v>0.34298976039416801</v>
      </c>
      <c r="AP772">
        <v>0.34298976039416801</v>
      </c>
      <c r="AQ772">
        <v>0</v>
      </c>
      <c r="AR772">
        <v>0</v>
      </c>
      <c r="AS772">
        <v>13</v>
      </c>
      <c r="AT772">
        <v>32</v>
      </c>
      <c r="AU772">
        <v>3</v>
      </c>
      <c r="AV772">
        <v>13</v>
      </c>
      <c r="AW772">
        <v>0</v>
      </c>
      <c r="AX772">
        <v>0</v>
      </c>
      <c r="AZ772">
        <v>6.8</v>
      </c>
      <c r="BA772">
        <v>19.899999999999999</v>
      </c>
      <c r="BB772">
        <v>564</v>
      </c>
      <c r="BC772">
        <v>68</v>
      </c>
      <c r="BD772">
        <v>1.5</v>
      </c>
      <c r="BE772">
        <v>135</v>
      </c>
      <c r="BF772">
        <v>0.8</v>
      </c>
      <c r="BG772">
        <v>162</v>
      </c>
      <c r="BH772">
        <v>9.1</v>
      </c>
      <c r="BI772">
        <v>9.1999999999999993</v>
      </c>
      <c r="BJ772">
        <v>18.3</v>
      </c>
      <c r="BK772">
        <v>0.34</v>
      </c>
      <c r="BL772">
        <v>7.3</v>
      </c>
      <c r="BM772">
        <v>0.9</v>
      </c>
      <c r="BN772">
        <v>7.5</v>
      </c>
      <c r="BO772">
        <v>2.9</v>
      </c>
      <c r="BP772">
        <f t="shared" si="24"/>
        <v>5.5805324182826128</v>
      </c>
      <c r="BQ772">
        <f t="shared" si="25"/>
        <v>18.081603512475322</v>
      </c>
    </row>
    <row r="773" spans="1:69" hidden="1" x14ac:dyDescent="0.2">
      <c r="A773" t="s">
        <v>3253</v>
      </c>
      <c r="B773" t="s">
        <v>68</v>
      </c>
      <c r="C773" t="s">
        <v>1956</v>
      </c>
      <c r="D773" t="s">
        <v>70</v>
      </c>
      <c r="E773" t="s">
        <v>2521</v>
      </c>
      <c r="F773">
        <v>4</v>
      </c>
      <c r="G773">
        <v>258</v>
      </c>
      <c r="H773">
        <v>4</v>
      </c>
      <c r="I773">
        <v>4</v>
      </c>
      <c r="J773">
        <v>2</v>
      </c>
      <c r="K773" t="s">
        <v>110</v>
      </c>
      <c r="L773" t="s">
        <v>162</v>
      </c>
      <c r="M773" s="4">
        <v>890000000</v>
      </c>
      <c r="N773">
        <v>0</v>
      </c>
      <c r="O773">
        <v>4.6758365629999998</v>
      </c>
      <c r="P773">
        <v>-74.061775209999993</v>
      </c>
      <c r="Q773" t="s">
        <v>3254</v>
      </c>
      <c r="R773">
        <v>3449612.4029999999</v>
      </c>
      <c r="S773">
        <v>0</v>
      </c>
      <c r="T773" t="s">
        <v>75</v>
      </c>
      <c r="U773" t="s">
        <v>76</v>
      </c>
      <c r="V773" t="s">
        <v>77</v>
      </c>
      <c r="W773" t="s">
        <v>78</v>
      </c>
      <c r="X773" t="s">
        <v>79</v>
      </c>
      <c r="Y773">
        <v>3.1306588717544299</v>
      </c>
      <c r="Z773">
        <v>3130.65887175443</v>
      </c>
      <c r="AA773">
        <v>4.6584666666666701</v>
      </c>
      <c r="AB773">
        <v>-74.083966666666697</v>
      </c>
      <c r="AC773">
        <v>2552</v>
      </c>
      <c r="AD773">
        <v>0</v>
      </c>
      <c r="AE773" t="s">
        <v>80</v>
      </c>
      <c r="AF773" t="s">
        <v>81</v>
      </c>
      <c r="AG773" t="s">
        <v>82</v>
      </c>
      <c r="AH773" t="s">
        <v>83</v>
      </c>
      <c r="AI773" t="s">
        <v>342</v>
      </c>
      <c r="AJ773">
        <v>0.29687512530392202</v>
      </c>
      <c r="AK773">
        <v>2.2168401283977102</v>
      </c>
      <c r="AL773">
        <v>0.366015917324859</v>
      </c>
      <c r="AM773">
        <v>4.84860540985219E-2</v>
      </c>
      <c r="AN773">
        <v>2.2384544983379402</v>
      </c>
      <c r="AO773">
        <v>0.54544594023160797</v>
      </c>
      <c r="AP773">
        <v>0.54544594023160797</v>
      </c>
      <c r="AQ773">
        <v>3</v>
      </c>
      <c r="AR773">
        <v>9</v>
      </c>
      <c r="AS773">
        <v>0</v>
      </c>
      <c r="AT773">
        <v>0</v>
      </c>
      <c r="AU773">
        <v>2</v>
      </c>
      <c r="AV773">
        <v>291</v>
      </c>
      <c r="AW773">
        <v>0</v>
      </c>
      <c r="AX773">
        <v>0</v>
      </c>
      <c r="AZ773">
        <v>6.8</v>
      </c>
      <c r="BA773">
        <v>19.899999999999999</v>
      </c>
      <c r="BB773">
        <v>564</v>
      </c>
      <c r="BC773">
        <v>68</v>
      </c>
      <c r="BD773">
        <v>1.5</v>
      </c>
      <c r="BE773">
        <v>135</v>
      </c>
      <c r="BF773">
        <v>0.8</v>
      </c>
      <c r="BG773">
        <v>162</v>
      </c>
      <c r="BH773">
        <v>9.1</v>
      </c>
      <c r="BI773">
        <v>9.1999999999999993</v>
      </c>
      <c r="BJ773">
        <v>18.3</v>
      </c>
      <c r="BK773">
        <v>0.34</v>
      </c>
      <c r="BL773">
        <v>7.3</v>
      </c>
      <c r="BM773">
        <v>0.9</v>
      </c>
      <c r="BN773">
        <v>7.5</v>
      </c>
      <c r="BO773">
        <v>2.9</v>
      </c>
      <c r="BP773">
        <f t="shared" si="24"/>
        <v>5.8238118129195326</v>
      </c>
      <c r="BQ773">
        <f t="shared" si="25"/>
        <v>18.459588157077068</v>
      </c>
    </row>
    <row r="774" spans="1:69" hidden="1" x14ac:dyDescent="0.2">
      <c r="A774" t="s">
        <v>1874</v>
      </c>
      <c r="B774" t="s">
        <v>68</v>
      </c>
      <c r="C774" t="s">
        <v>69</v>
      </c>
      <c r="D774" t="s">
        <v>70</v>
      </c>
      <c r="E774" t="s">
        <v>620</v>
      </c>
      <c r="F774">
        <v>6</v>
      </c>
      <c r="G774">
        <v>257.60000000000002</v>
      </c>
      <c r="H774">
        <v>3</v>
      </c>
      <c r="I774">
        <v>5</v>
      </c>
      <c r="J774">
        <v>4</v>
      </c>
      <c r="K774" t="s">
        <v>110</v>
      </c>
      <c r="L774" t="s">
        <v>124</v>
      </c>
      <c r="M774" s="4">
        <v>3600000000</v>
      </c>
      <c r="N774">
        <v>0</v>
      </c>
      <c r="O774">
        <v>4.6694100000000001</v>
      </c>
      <c r="P774">
        <v>-74.052459999999996</v>
      </c>
      <c r="Q774" t="s">
        <v>1875</v>
      </c>
      <c r="R774">
        <v>13975155.279999999</v>
      </c>
      <c r="S774">
        <v>0</v>
      </c>
      <c r="T774" t="s">
        <v>75</v>
      </c>
      <c r="U774" t="s">
        <v>76</v>
      </c>
      <c r="V774" t="s">
        <v>77</v>
      </c>
      <c r="W774" t="s">
        <v>78</v>
      </c>
      <c r="X774" t="s">
        <v>79</v>
      </c>
      <c r="Y774">
        <v>3.7018769590631502</v>
      </c>
      <c r="Z774">
        <v>3701.87695906315</v>
      </c>
      <c r="AA774">
        <v>4.6584666666666701</v>
      </c>
      <c r="AB774">
        <v>-74.083966666666697</v>
      </c>
      <c r="AC774">
        <v>2552</v>
      </c>
      <c r="AD774">
        <v>0</v>
      </c>
      <c r="AE774" t="s">
        <v>80</v>
      </c>
      <c r="AF774" t="s">
        <v>81</v>
      </c>
      <c r="AG774" t="s">
        <v>82</v>
      </c>
      <c r="AH774" t="s">
        <v>83</v>
      </c>
      <c r="AI774" t="s">
        <v>130</v>
      </c>
      <c r="AJ774">
        <v>0.85870847552797602</v>
      </c>
      <c r="AK774">
        <v>0.96358922748178299</v>
      </c>
      <c r="AL774">
        <v>0.52508988664315703</v>
      </c>
      <c r="AM774">
        <v>0.15696810859201299</v>
      </c>
      <c r="AN774">
        <v>3.1415250230736298</v>
      </c>
      <c r="AO774">
        <v>0.48602775236005902</v>
      </c>
      <c r="AP774">
        <v>0.48602775236005902</v>
      </c>
      <c r="AQ774">
        <v>0</v>
      </c>
      <c r="AR774">
        <v>2</v>
      </c>
      <c r="AS774">
        <v>0</v>
      </c>
      <c r="AT774">
        <v>2</v>
      </c>
      <c r="AU774">
        <v>8</v>
      </c>
      <c r="AV774">
        <v>246</v>
      </c>
      <c r="AW774">
        <v>0</v>
      </c>
      <c r="AX774">
        <v>0</v>
      </c>
      <c r="AZ774">
        <v>6.8</v>
      </c>
      <c r="BA774">
        <v>19.899999999999999</v>
      </c>
      <c r="BB774">
        <v>564</v>
      </c>
      <c r="BC774">
        <v>68</v>
      </c>
      <c r="BD774">
        <v>1.5</v>
      </c>
      <c r="BE774">
        <v>135</v>
      </c>
      <c r="BF774">
        <v>0.8</v>
      </c>
      <c r="BG774">
        <v>162</v>
      </c>
      <c r="BH774">
        <v>9.1</v>
      </c>
      <c r="BI774">
        <v>9.1999999999999993</v>
      </c>
      <c r="BJ774">
        <v>18.3</v>
      </c>
      <c r="BK774">
        <v>0.34</v>
      </c>
      <c r="BL774">
        <v>7.3</v>
      </c>
      <c r="BM774">
        <v>0.9</v>
      </c>
      <c r="BN774">
        <v>7.5</v>
      </c>
      <c r="BO774">
        <v>2.9</v>
      </c>
      <c r="BP774">
        <f t="shared" si="24"/>
        <v>5.6614480726005105</v>
      </c>
      <c r="BQ774">
        <f t="shared" si="25"/>
        <v>18.208248117900666</v>
      </c>
    </row>
    <row r="775" spans="1:69" hidden="1" x14ac:dyDescent="0.2">
      <c r="A775" t="s">
        <v>1488</v>
      </c>
      <c r="B775" t="s">
        <v>68</v>
      </c>
      <c r="C775" t="s">
        <v>69</v>
      </c>
      <c r="D775" t="s">
        <v>70</v>
      </c>
      <c r="E775" t="s">
        <v>232</v>
      </c>
      <c r="F775">
        <v>6</v>
      </c>
      <c r="G775">
        <v>256</v>
      </c>
      <c r="H775">
        <v>3</v>
      </c>
      <c r="I775">
        <v>5</v>
      </c>
      <c r="J775">
        <v>3</v>
      </c>
      <c r="K775" t="s">
        <v>110</v>
      </c>
      <c r="L775" t="s">
        <v>111</v>
      </c>
      <c r="M775" s="4">
        <v>3950000000</v>
      </c>
      <c r="N775">
        <v>0</v>
      </c>
      <c r="O775">
        <v>4.6649646760000003</v>
      </c>
      <c r="P775">
        <v>-74.048210139999995</v>
      </c>
      <c r="Q775" t="s">
        <v>1489</v>
      </c>
      <c r="R775">
        <v>15429687.5</v>
      </c>
      <c r="S775">
        <v>0</v>
      </c>
      <c r="T775" t="s">
        <v>75</v>
      </c>
      <c r="U775" t="s">
        <v>76</v>
      </c>
      <c r="V775" t="s">
        <v>77</v>
      </c>
      <c r="W775" t="s">
        <v>78</v>
      </c>
      <c r="X775" t="s">
        <v>79</v>
      </c>
      <c r="Y775">
        <v>4.0326372427528101</v>
      </c>
      <c r="Z775">
        <v>4032.6372427528099</v>
      </c>
      <c r="AA775">
        <v>4.6584666666666701</v>
      </c>
      <c r="AB775">
        <v>-74.083966666666697</v>
      </c>
      <c r="AC775">
        <v>2552</v>
      </c>
      <c r="AD775">
        <v>0</v>
      </c>
      <c r="AE775" t="s">
        <v>80</v>
      </c>
      <c r="AF775" t="s">
        <v>81</v>
      </c>
      <c r="AG775" t="s">
        <v>82</v>
      </c>
      <c r="AH775" t="s">
        <v>83</v>
      </c>
      <c r="AI775" t="s">
        <v>130</v>
      </c>
      <c r="AJ775">
        <v>1.38668289293206</v>
      </c>
      <c r="AK775">
        <v>0.33410349961545399</v>
      </c>
      <c r="AL775">
        <v>0.60522198339228295</v>
      </c>
      <c r="AM775">
        <v>0.21604041132239199</v>
      </c>
      <c r="AN775">
        <v>2.8167545189043999</v>
      </c>
      <c r="AO775">
        <v>0.18374740053524399</v>
      </c>
      <c r="AP775">
        <v>0.18374740053524399</v>
      </c>
      <c r="AQ775">
        <v>0</v>
      </c>
      <c r="AR775">
        <v>0</v>
      </c>
      <c r="AS775">
        <v>4</v>
      </c>
      <c r="AT775">
        <v>31</v>
      </c>
      <c r="AU775">
        <v>4</v>
      </c>
      <c r="AV775">
        <v>31</v>
      </c>
      <c r="AW775">
        <v>0</v>
      </c>
      <c r="AX775">
        <v>0</v>
      </c>
      <c r="AZ775">
        <v>6.8</v>
      </c>
      <c r="BA775">
        <v>19.899999999999999</v>
      </c>
      <c r="BB775">
        <v>564</v>
      </c>
      <c r="BC775">
        <v>68</v>
      </c>
      <c r="BD775">
        <v>1.5</v>
      </c>
      <c r="BE775">
        <v>135</v>
      </c>
      <c r="BF775">
        <v>0.8</v>
      </c>
      <c r="BG775">
        <v>162</v>
      </c>
      <c r="BH775">
        <v>9.1</v>
      </c>
      <c r="BI775">
        <v>9.1999999999999993</v>
      </c>
      <c r="BJ775">
        <v>18.3</v>
      </c>
      <c r="BK775">
        <v>0.34</v>
      </c>
      <c r="BL775">
        <v>7.3</v>
      </c>
      <c r="BM775">
        <v>0.9</v>
      </c>
      <c r="BN775">
        <v>7.5</v>
      </c>
      <c r="BO775">
        <v>2.9</v>
      </c>
      <c r="BP775">
        <f t="shared" si="24"/>
        <v>5.5695099435863753</v>
      </c>
      <c r="BQ775">
        <f t="shared" si="25"/>
        <v>18.064278738649659</v>
      </c>
    </row>
    <row r="776" spans="1:69" hidden="1" x14ac:dyDescent="0.2">
      <c r="A776" t="s">
        <v>2210</v>
      </c>
      <c r="B776" t="s">
        <v>68</v>
      </c>
      <c r="C776" t="s">
        <v>1956</v>
      </c>
      <c r="D776" t="s">
        <v>70</v>
      </c>
      <c r="E776" t="s">
        <v>2211</v>
      </c>
      <c r="F776">
        <v>3</v>
      </c>
      <c r="G776">
        <v>254</v>
      </c>
      <c r="H776">
        <v>4</v>
      </c>
      <c r="I776">
        <v>4</v>
      </c>
      <c r="J776">
        <v>2</v>
      </c>
      <c r="K776" t="s">
        <v>110</v>
      </c>
      <c r="L776" t="s">
        <v>162</v>
      </c>
      <c r="M776" s="4">
        <v>699000000</v>
      </c>
      <c r="N776">
        <v>0</v>
      </c>
      <c r="O776">
        <v>4.58866</v>
      </c>
      <c r="P776">
        <v>-74.128235000000004</v>
      </c>
      <c r="Q776" t="s">
        <v>2212</v>
      </c>
      <c r="R776">
        <v>2751968.5040000002</v>
      </c>
      <c r="S776">
        <v>0</v>
      </c>
      <c r="T776" t="s">
        <v>1843</v>
      </c>
      <c r="U776" t="s">
        <v>1844</v>
      </c>
      <c r="V776" t="s">
        <v>77</v>
      </c>
      <c r="W776" t="s">
        <v>1845</v>
      </c>
      <c r="X776" t="s">
        <v>1846</v>
      </c>
      <c r="Y776">
        <v>1.41679322789637</v>
      </c>
      <c r="Z776">
        <v>1416.7932278963699</v>
      </c>
      <c r="AA776">
        <v>4.576225</v>
      </c>
      <c r="AB776">
        <v>-74.130955555555502</v>
      </c>
      <c r="AC776">
        <v>2589</v>
      </c>
      <c r="AD776">
        <v>0</v>
      </c>
      <c r="AE776" t="s">
        <v>80</v>
      </c>
      <c r="AF776" t="s">
        <v>107</v>
      </c>
      <c r="AG776" t="s">
        <v>82</v>
      </c>
      <c r="AH776" t="s">
        <v>83</v>
      </c>
      <c r="AI776" t="s">
        <v>1847</v>
      </c>
      <c r="AJ776">
        <v>0.55972191034837404</v>
      </c>
      <c r="AK776">
        <v>5.3445427669679004</v>
      </c>
      <c r="AL776">
        <v>0.435834093046292</v>
      </c>
      <c r="AM776">
        <v>0.30218821930971701</v>
      </c>
      <c r="AN776">
        <v>0.63317659807164695</v>
      </c>
      <c r="AO776">
        <v>0.43714976131812</v>
      </c>
      <c r="AP776">
        <v>0.43714976131812</v>
      </c>
      <c r="AQ776">
        <v>0</v>
      </c>
      <c r="AR776">
        <v>3</v>
      </c>
      <c r="AS776">
        <v>0</v>
      </c>
      <c r="AT776">
        <v>0</v>
      </c>
      <c r="AU776">
        <v>1</v>
      </c>
      <c r="AV776">
        <v>27</v>
      </c>
      <c r="AW776">
        <v>1</v>
      </c>
      <c r="AX776">
        <v>0</v>
      </c>
      <c r="AZ776">
        <v>6.8</v>
      </c>
      <c r="BA776">
        <v>19.899999999999999</v>
      </c>
      <c r="BB776">
        <v>564</v>
      </c>
      <c r="BC776">
        <v>68</v>
      </c>
      <c r="BD776">
        <v>1.5</v>
      </c>
      <c r="BE776">
        <v>135</v>
      </c>
      <c r="BF776">
        <v>0.8</v>
      </c>
      <c r="BG776">
        <v>162</v>
      </c>
      <c r="BH776">
        <v>9.1</v>
      </c>
      <c r="BI776">
        <v>9.1999999999999993</v>
      </c>
      <c r="BJ776">
        <v>18.3</v>
      </c>
      <c r="BK776">
        <v>0.34</v>
      </c>
      <c r="BL776">
        <v>7.3</v>
      </c>
      <c r="BM776">
        <v>0.9</v>
      </c>
      <c r="BN776">
        <v>7.5</v>
      </c>
      <c r="BO776">
        <v>2.9</v>
      </c>
      <c r="BP776">
        <f t="shared" si="24"/>
        <v>6.3394457747818631</v>
      </c>
      <c r="BQ776">
        <f t="shared" si="25"/>
        <v>19.234714517338716</v>
      </c>
    </row>
    <row r="777" spans="1:69" hidden="1" x14ac:dyDescent="0.2">
      <c r="A777" t="s">
        <v>231</v>
      </c>
      <c r="B777" t="s">
        <v>68</v>
      </c>
      <c r="C777" t="s">
        <v>69</v>
      </c>
      <c r="D777" t="s">
        <v>70</v>
      </c>
      <c r="E777" t="s">
        <v>232</v>
      </c>
      <c r="F777">
        <v>6</v>
      </c>
      <c r="G777">
        <v>253</v>
      </c>
      <c r="H777">
        <v>3</v>
      </c>
      <c r="I777">
        <v>5</v>
      </c>
      <c r="J777">
        <v>4</v>
      </c>
      <c r="K777" t="s">
        <v>110</v>
      </c>
      <c r="L777" t="s">
        <v>111</v>
      </c>
      <c r="M777" s="4">
        <v>3050000000</v>
      </c>
      <c r="N777">
        <v>0</v>
      </c>
      <c r="O777">
        <v>4.664369583</v>
      </c>
      <c r="P777">
        <v>-74.046936040000006</v>
      </c>
      <c r="Q777" t="s">
        <v>233</v>
      </c>
      <c r="R777">
        <v>12055335.970000001</v>
      </c>
      <c r="S777">
        <v>0</v>
      </c>
      <c r="T777" t="s">
        <v>75</v>
      </c>
      <c r="U777" t="s">
        <v>76</v>
      </c>
      <c r="V777" t="s">
        <v>77</v>
      </c>
      <c r="W777" t="s">
        <v>78</v>
      </c>
      <c r="X777" t="s">
        <v>79</v>
      </c>
      <c r="Y777">
        <v>4.1608112770928898</v>
      </c>
      <c r="Z777">
        <v>4160.8112770928901</v>
      </c>
      <c r="AA777">
        <v>4.6584666666666701</v>
      </c>
      <c r="AB777">
        <v>-74.083966666666697</v>
      </c>
      <c r="AC777">
        <v>2552</v>
      </c>
      <c r="AD777">
        <v>0</v>
      </c>
      <c r="AE777" t="s">
        <v>80</v>
      </c>
      <c r="AF777" t="s">
        <v>81</v>
      </c>
      <c r="AG777" t="s">
        <v>82</v>
      </c>
      <c r="AH777" t="s">
        <v>83</v>
      </c>
      <c r="AI777" t="s">
        <v>130</v>
      </c>
      <c r="AJ777">
        <v>1.54024708207446</v>
      </c>
      <c r="AK777">
        <v>0.18905164437387401</v>
      </c>
      <c r="AL777">
        <v>0.74789701939490705</v>
      </c>
      <c r="AM777">
        <v>0.19248317560397801</v>
      </c>
      <c r="AN777">
        <v>2.8174301705738398</v>
      </c>
      <c r="AO777">
        <v>0.33667479080063101</v>
      </c>
      <c r="AP777">
        <v>0.33667479080063101</v>
      </c>
      <c r="AQ777">
        <v>0</v>
      </c>
      <c r="AR777">
        <v>0</v>
      </c>
      <c r="AS777">
        <v>5</v>
      </c>
      <c r="AT777">
        <v>36</v>
      </c>
      <c r="AU777">
        <v>2</v>
      </c>
      <c r="AV777">
        <v>20</v>
      </c>
      <c r="AW777">
        <v>0</v>
      </c>
      <c r="AX777">
        <v>0</v>
      </c>
      <c r="AZ777">
        <v>6.8</v>
      </c>
      <c r="BA777">
        <v>19.899999999999999</v>
      </c>
      <c r="BB777">
        <v>564</v>
      </c>
      <c r="BC777">
        <v>68</v>
      </c>
      <c r="BD777">
        <v>1.5</v>
      </c>
      <c r="BE777">
        <v>135</v>
      </c>
      <c r="BF777">
        <v>0.8</v>
      </c>
      <c r="BG777">
        <v>162</v>
      </c>
      <c r="BH777">
        <v>9.1</v>
      </c>
      <c r="BI777">
        <v>9.1999999999999993</v>
      </c>
      <c r="BJ777">
        <v>18.3</v>
      </c>
      <c r="BK777">
        <v>0.34</v>
      </c>
      <c r="BL777">
        <v>7.3</v>
      </c>
      <c r="BM777">
        <v>0.9</v>
      </c>
      <c r="BN777">
        <v>7.5</v>
      </c>
      <c r="BO777">
        <v>2.9</v>
      </c>
      <c r="BP777">
        <f t="shared" si="24"/>
        <v>5.5342854101348085</v>
      </c>
      <c r="BQ777">
        <f t="shared" si="25"/>
        <v>18.008795205380959</v>
      </c>
    </row>
    <row r="778" spans="1:69" hidden="1" x14ac:dyDescent="0.2">
      <c r="A778" t="s">
        <v>1655</v>
      </c>
      <c r="B778" t="s">
        <v>68</v>
      </c>
      <c r="C778" t="s">
        <v>69</v>
      </c>
      <c r="D778" t="s">
        <v>70</v>
      </c>
      <c r="E778" t="s">
        <v>310</v>
      </c>
      <c r="F778">
        <v>6</v>
      </c>
      <c r="G778">
        <v>251</v>
      </c>
      <c r="H778">
        <v>4</v>
      </c>
      <c r="I778">
        <v>5</v>
      </c>
      <c r="J778">
        <v>2</v>
      </c>
      <c r="K778" t="s">
        <v>110</v>
      </c>
      <c r="L778" t="s">
        <v>162</v>
      </c>
      <c r="M778" s="4">
        <v>1800000000</v>
      </c>
      <c r="N778">
        <v>0</v>
      </c>
      <c r="O778">
        <v>4.6616960589999996</v>
      </c>
      <c r="P778">
        <v>-74.048561969999994</v>
      </c>
      <c r="Q778" t="s">
        <v>1656</v>
      </c>
      <c r="R778">
        <v>7171314.7410000004</v>
      </c>
      <c r="S778">
        <v>0</v>
      </c>
      <c r="T778" t="s">
        <v>75</v>
      </c>
      <c r="U778" t="s">
        <v>76</v>
      </c>
      <c r="V778" t="s">
        <v>77</v>
      </c>
      <c r="W778" t="s">
        <v>78</v>
      </c>
      <c r="X778" t="s">
        <v>79</v>
      </c>
      <c r="Y778">
        <v>3.94461948190972</v>
      </c>
      <c r="Z778">
        <v>3944.61948190972</v>
      </c>
      <c r="AA778">
        <v>4.6584666666666701</v>
      </c>
      <c r="AB778">
        <v>-74.083966666666697</v>
      </c>
      <c r="AC778">
        <v>2552</v>
      </c>
      <c r="AD778">
        <v>0</v>
      </c>
      <c r="AE778" t="s">
        <v>80</v>
      </c>
      <c r="AF778" t="s">
        <v>81</v>
      </c>
      <c r="AG778" t="s">
        <v>82</v>
      </c>
      <c r="AH778" t="s">
        <v>83</v>
      </c>
      <c r="AI778" t="s">
        <v>130</v>
      </c>
      <c r="AJ778">
        <v>1.4158324563701601</v>
      </c>
      <c r="AK778">
        <v>0.282319157436424</v>
      </c>
      <c r="AL778">
        <v>0.662697527268299</v>
      </c>
      <c r="AM778">
        <v>0.15751187724253901</v>
      </c>
      <c r="AN778">
        <v>2.4725805611890901</v>
      </c>
      <c r="AO778">
        <v>0.38072058416916599</v>
      </c>
      <c r="AP778">
        <v>0.38072058416916599</v>
      </c>
      <c r="AQ778">
        <v>0</v>
      </c>
      <c r="AR778">
        <v>0</v>
      </c>
      <c r="AS778">
        <v>10</v>
      </c>
      <c r="AT778">
        <v>33</v>
      </c>
      <c r="AU778">
        <v>6</v>
      </c>
      <c r="AV778">
        <v>29</v>
      </c>
      <c r="AW778">
        <v>0</v>
      </c>
      <c r="AX778">
        <v>0</v>
      </c>
      <c r="AZ778">
        <v>6.8</v>
      </c>
      <c r="BA778">
        <v>19.899999999999999</v>
      </c>
      <c r="BB778">
        <v>564</v>
      </c>
      <c r="BC778">
        <v>68</v>
      </c>
      <c r="BD778">
        <v>1.5</v>
      </c>
      <c r="BE778">
        <v>135</v>
      </c>
      <c r="BF778">
        <v>0.8</v>
      </c>
      <c r="BG778">
        <v>162</v>
      </c>
      <c r="BH778">
        <v>9.1</v>
      </c>
      <c r="BI778">
        <v>9.1999999999999993</v>
      </c>
      <c r="BJ778">
        <v>18.3</v>
      </c>
      <c r="BK778">
        <v>0.34</v>
      </c>
      <c r="BL778">
        <v>7.3</v>
      </c>
      <c r="BM778">
        <v>0.9</v>
      </c>
      <c r="BN778">
        <v>7.5</v>
      </c>
      <c r="BO778">
        <v>2.9</v>
      </c>
      <c r="BP778">
        <f t="shared" si="24"/>
        <v>5.5938285635761948</v>
      </c>
      <c r="BQ778">
        <f t="shared" si="25"/>
        <v>18.102478528343763</v>
      </c>
    </row>
    <row r="779" spans="1:69" hidden="1" x14ac:dyDescent="0.2">
      <c r="A779" t="s">
        <v>2578</v>
      </c>
      <c r="B779" t="s">
        <v>68</v>
      </c>
      <c r="C779" t="s">
        <v>1956</v>
      </c>
      <c r="D779" t="s">
        <v>70</v>
      </c>
      <c r="E779" t="s">
        <v>2579</v>
      </c>
      <c r="F779">
        <v>5</v>
      </c>
      <c r="G779">
        <v>251</v>
      </c>
      <c r="H779">
        <v>3</v>
      </c>
      <c r="I779">
        <v>3</v>
      </c>
      <c r="J779">
        <v>2</v>
      </c>
      <c r="K779" t="s">
        <v>110</v>
      </c>
      <c r="L779" t="s">
        <v>162</v>
      </c>
      <c r="M779" s="4">
        <v>1600000000</v>
      </c>
      <c r="N779">
        <v>0</v>
      </c>
      <c r="O779">
        <v>4.6476780450000001</v>
      </c>
      <c r="P779">
        <v>-74.087706370000006</v>
      </c>
      <c r="Q779" t="s">
        <v>2580</v>
      </c>
      <c r="R779">
        <v>6374501.9919999996</v>
      </c>
      <c r="S779">
        <v>0</v>
      </c>
      <c r="T779" t="s">
        <v>75</v>
      </c>
      <c r="U779" t="s">
        <v>76</v>
      </c>
      <c r="V779" t="s">
        <v>77</v>
      </c>
      <c r="W779" t="s">
        <v>78</v>
      </c>
      <c r="X779" t="s">
        <v>79</v>
      </c>
      <c r="Y779">
        <v>1.27064117739524</v>
      </c>
      <c r="Z779">
        <v>1270.64117739524</v>
      </c>
      <c r="AA779">
        <v>4.6584666666666701</v>
      </c>
      <c r="AB779">
        <v>-74.083966666666697</v>
      </c>
      <c r="AC779">
        <v>2552</v>
      </c>
      <c r="AD779">
        <v>0</v>
      </c>
      <c r="AE779" t="s">
        <v>80</v>
      </c>
      <c r="AF779" t="s">
        <v>81</v>
      </c>
      <c r="AG779" t="s">
        <v>82</v>
      </c>
      <c r="AH779" t="s">
        <v>83</v>
      </c>
      <c r="AI779" t="s">
        <v>84</v>
      </c>
      <c r="AJ779">
        <v>1.02891401373714</v>
      </c>
      <c r="AK779">
        <v>3.4251458288584198</v>
      </c>
      <c r="AL779">
        <v>0.61112790141734297</v>
      </c>
      <c r="AM779">
        <v>0.163431829273985</v>
      </c>
      <c r="AN779">
        <v>2.9599589483025501</v>
      </c>
      <c r="AO779">
        <v>0.49120036603329698</v>
      </c>
      <c r="AP779">
        <v>0.49120036603329698</v>
      </c>
      <c r="AQ779">
        <v>0</v>
      </c>
      <c r="AR779">
        <v>0</v>
      </c>
      <c r="AS779">
        <v>0</v>
      </c>
      <c r="AT779">
        <v>0</v>
      </c>
      <c r="AU779">
        <v>3</v>
      </c>
      <c r="AV779">
        <v>20</v>
      </c>
      <c r="AW779">
        <v>0</v>
      </c>
      <c r="AX779">
        <v>0</v>
      </c>
      <c r="AZ779">
        <v>6.8</v>
      </c>
      <c r="BA779">
        <v>19.899999999999999</v>
      </c>
      <c r="BB779">
        <v>564</v>
      </c>
      <c r="BC779">
        <v>68</v>
      </c>
      <c r="BD779">
        <v>1.5</v>
      </c>
      <c r="BE779">
        <v>135</v>
      </c>
      <c r="BF779">
        <v>0.8</v>
      </c>
      <c r="BG779">
        <v>162</v>
      </c>
      <c r="BH779">
        <v>9.1</v>
      </c>
      <c r="BI779">
        <v>9.1999999999999993</v>
      </c>
      <c r="BJ779">
        <v>18.3</v>
      </c>
      <c r="BK779">
        <v>0.34</v>
      </c>
      <c r="BL779">
        <v>7.3</v>
      </c>
      <c r="BM779">
        <v>0.9</v>
      </c>
      <c r="BN779">
        <v>7.5</v>
      </c>
      <c r="BO779">
        <v>2.9</v>
      </c>
      <c r="BP779">
        <f t="shared" si="24"/>
        <v>6.385474962163987</v>
      </c>
      <c r="BQ779">
        <f t="shared" si="25"/>
        <v>19.302301615177207</v>
      </c>
    </row>
    <row r="780" spans="1:69" hidden="1" x14ac:dyDescent="0.2">
      <c r="A780" t="s">
        <v>1444</v>
      </c>
      <c r="B780" t="s">
        <v>68</v>
      </c>
      <c r="C780" t="s">
        <v>69</v>
      </c>
      <c r="D780" t="s">
        <v>70</v>
      </c>
      <c r="E780" t="s">
        <v>187</v>
      </c>
      <c r="F780">
        <v>6</v>
      </c>
      <c r="G780">
        <v>250</v>
      </c>
      <c r="H780">
        <v>4</v>
      </c>
      <c r="I780">
        <v>3.5</v>
      </c>
      <c r="J780">
        <v>2</v>
      </c>
      <c r="K780" t="s">
        <v>110</v>
      </c>
      <c r="L780" t="s">
        <v>133</v>
      </c>
      <c r="M780" s="4">
        <v>2400000000</v>
      </c>
      <c r="N780">
        <v>0</v>
      </c>
      <c r="O780">
        <v>4.6668715399999998</v>
      </c>
      <c r="P780">
        <v>-74.044084119999994</v>
      </c>
      <c r="Q780" t="s">
        <v>1445</v>
      </c>
      <c r="R780">
        <v>9600000</v>
      </c>
      <c r="S780">
        <v>0</v>
      </c>
      <c r="T780" t="s">
        <v>75</v>
      </c>
      <c r="U780" t="s">
        <v>76</v>
      </c>
      <c r="V780" t="s">
        <v>77</v>
      </c>
      <c r="W780" t="s">
        <v>78</v>
      </c>
      <c r="X780" t="s">
        <v>79</v>
      </c>
      <c r="Y780">
        <v>4.5228449381404801</v>
      </c>
      <c r="Z780">
        <v>4522.8449381404798</v>
      </c>
      <c r="AA780">
        <v>4.6584666666666701</v>
      </c>
      <c r="AB780">
        <v>-74.083966666666697</v>
      </c>
      <c r="AC780">
        <v>2552</v>
      </c>
      <c r="AD780">
        <v>0</v>
      </c>
      <c r="AE780" t="s">
        <v>80</v>
      </c>
      <c r="AF780" t="s">
        <v>81</v>
      </c>
      <c r="AG780" t="s">
        <v>82</v>
      </c>
      <c r="AH780" t="s">
        <v>83</v>
      </c>
      <c r="AI780" t="s">
        <v>130</v>
      </c>
      <c r="AJ780">
        <v>1.8045829413424801</v>
      </c>
      <c r="AK780">
        <v>0.14690390316820401</v>
      </c>
      <c r="AL780">
        <v>1.0865285120578501</v>
      </c>
      <c r="AM780">
        <v>0.39737546784626798</v>
      </c>
      <c r="AN780">
        <v>3.2106657756521599</v>
      </c>
      <c r="AO780">
        <v>0.56243385066127105</v>
      </c>
      <c r="AP780">
        <v>0.56243385066127105</v>
      </c>
      <c r="AQ780">
        <v>0</v>
      </c>
      <c r="AR780">
        <v>0</v>
      </c>
      <c r="AS780">
        <v>21</v>
      </c>
      <c r="AT780">
        <v>37</v>
      </c>
      <c r="AU780">
        <v>0</v>
      </c>
      <c r="AV780">
        <v>11</v>
      </c>
      <c r="AW780">
        <v>0</v>
      </c>
      <c r="AX780">
        <v>0</v>
      </c>
      <c r="AZ780">
        <v>6.8</v>
      </c>
      <c r="BA780">
        <v>19.899999999999999</v>
      </c>
      <c r="BB780">
        <v>564</v>
      </c>
      <c r="BC780">
        <v>68</v>
      </c>
      <c r="BD780">
        <v>1.5</v>
      </c>
      <c r="BE780">
        <v>135</v>
      </c>
      <c r="BF780">
        <v>0.8</v>
      </c>
      <c r="BG780">
        <v>162</v>
      </c>
      <c r="BH780">
        <v>9.1</v>
      </c>
      <c r="BI780">
        <v>9.1999999999999993</v>
      </c>
      <c r="BJ780">
        <v>18.3</v>
      </c>
      <c r="BK780">
        <v>0.34</v>
      </c>
      <c r="BL780">
        <v>7.3</v>
      </c>
      <c r="BM780">
        <v>0.9</v>
      </c>
      <c r="BN780">
        <v>7.5</v>
      </c>
      <c r="BO780">
        <v>2.9</v>
      </c>
      <c r="BP780">
        <f t="shared" si="24"/>
        <v>5.4359907123584552</v>
      </c>
      <c r="BQ780">
        <f t="shared" si="25"/>
        <v>17.852998069809626</v>
      </c>
    </row>
    <row r="781" spans="1:69" hidden="1" x14ac:dyDescent="0.2">
      <c r="A781" t="s">
        <v>2829</v>
      </c>
      <c r="B781" t="s">
        <v>68</v>
      </c>
      <c r="C781" t="s">
        <v>1956</v>
      </c>
      <c r="D781" t="s">
        <v>70</v>
      </c>
      <c r="E781" t="s">
        <v>71</v>
      </c>
      <c r="F781">
        <v>4</v>
      </c>
      <c r="G781">
        <v>250</v>
      </c>
      <c r="H781">
        <v>5</v>
      </c>
      <c r="I781">
        <v>5</v>
      </c>
      <c r="J781">
        <v>4</v>
      </c>
      <c r="K781" t="s">
        <v>110</v>
      </c>
      <c r="L781" t="s">
        <v>162</v>
      </c>
      <c r="M781" s="4">
        <v>1900000000</v>
      </c>
      <c r="N781">
        <v>0</v>
      </c>
      <c r="O781">
        <v>4.6444999999999999</v>
      </c>
      <c r="P781">
        <v>-74.06653</v>
      </c>
      <c r="Q781" t="s">
        <v>2830</v>
      </c>
      <c r="R781">
        <v>7600000</v>
      </c>
      <c r="S781">
        <v>0</v>
      </c>
      <c r="T781" t="s">
        <v>126</v>
      </c>
      <c r="U781" t="s">
        <v>127</v>
      </c>
      <c r="V781" t="s">
        <v>77</v>
      </c>
      <c r="W781" t="s">
        <v>128</v>
      </c>
      <c r="X781" t="s">
        <v>129</v>
      </c>
      <c r="Y781">
        <v>2.1172067133839998</v>
      </c>
      <c r="Z781">
        <v>2117.2067133840001</v>
      </c>
      <c r="AA781">
        <v>4.6254861111111101</v>
      </c>
      <c r="AB781">
        <v>-74.066980555555503</v>
      </c>
      <c r="AC781">
        <v>2621</v>
      </c>
      <c r="AD781">
        <v>15</v>
      </c>
      <c r="AE781" t="s">
        <v>80</v>
      </c>
      <c r="AF781" t="s">
        <v>81</v>
      </c>
      <c r="AG781" t="s">
        <v>82</v>
      </c>
      <c r="AH781" t="s">
        <v>83</v>
      </c>
      <c r="AI781" t="s">
        <v>84</v>
      </c>
      <c r="AJ781">
        <v>0.184963767010285</v>
      </c>
      <c r="AK781">
        <v>1.0724317758720601</v>
      </c>
      <c r="AL781">
        <v>2.7396331628732801E-2</v>
      </c>
      <c r="AM781">
        <v>2.11544356964154E-2</v>
      </c>
      <c r="AN781">
        <v>0.95732579684688401</v>
      </c>
      <c r="AO781">
        <v>0.23212952034210699</v>
      </c>
      <c r="AP781">
        <v>0.23212952034210699</v>
      </c>
      <c r="AQ781">
        <v>2</v>
      </c>
      <c r="AR781">
        <v>4</v>
      </c>
      <c r="AS781">
        <v>0</v>
      </c>
      <c r="AT781">
        <v>0</v>
      </c>
      <c r="AU781">
        <v>14</v>
      </c>
      <c r="AV781">
        <v>161</v>
      </c>
      <c r="AW781">
        <v>1</v>
      </c>
      <c r="AX781">
        <v>0</v>
      </c>
      <c r="AZ781">
        <v>6.8</v>
      </c>
      <c r="BA781">
        <v>19.899999999999999</v>
      </c>
      <c r="BB781">
        <v>564</v>
      </c>
      <c r="BC781">
        <v>68</v>
      </c>
      <c r="BD781">
        <v>1.5</v>
      </c>
      <c r="BE781">
        <v>135</v>
      </c>
      <c r="BF781">
        <v>0.8</v>
      </c>
      <c r="BG781">
        <v>162</v>
      </c>
      <c r="BH781">
        <v>9.1</v>
      </c>
      <c r="BI781">
        <v>9.1999999999999993</v>
      </c>
      <c r="BJ781">
        <v>18.3</v>
      </c>
      <c r="BK781">
        <v>0.34</v>
      </c>
      <c r="BL781">
        <v>7.3</v>
      </c>
      <c r="BM781">
        <v>0.9</v>
      </c>
      <c r="BN781">
        <v>7.5</v>
      </c>
      <c r="BO781">
        <v>2.9</v>
      </c>
      <c r="BP781">
        <f t="shared" si="24"/>
        <v>6.1234207097021471</v>
      </c>
      <c r="BQ781">
        <f t="shared" si="25"/>
        <v>18.91408288163052</v>
      </c>
    </row>
    <row r="782" spans="1:69" hidden="1" x14ac:dyDescent="0.2">
      <c r="A782" t="s">
        <v>2981</v>
      </c>
      <c r="B782" t="s">
        <v>68</v>
      </c>
      <c r="C782" t="s">
        <v>1956</v>
      </c>
      <c r="D782" t="s">
        <v>70</v>
      </c>
      <c r="E782" t="s">
        <v>948</v>
      </c>
      <c r="F782">
        <v>4</v>
      </c>
      <c r="G782">
        <v>250</v>
      </c>
      <c r="H782">
        <v>4</v>
      </c>
      <c r="I782">
        <v>3</v>
      </c>
      <c r="J782">
        <v>2</v>
      </c>
      <c r="K782" t="s">
        <v>110</v>
      </c>
      <c r="L782" t="s">
        <v>162</v>
      </c>
      <c r="M782" s="4">
        <v>1350000000</v>
      </c>
      <c r="N782">
        <v>0</v>
      </c>
      <c r="O782">
        <v>4.63856</v>
      </c>
      <c r="P782">
        <v>-74.063559999999995</v>
      </c>
      <c r="Q782" t="s">
        <v>2982</v>
      </c>
      <c r="R782">
        <v>5400000</v>
      </c>
      <c r="S782">
        <v>0</v>
      </c>
      <c r="T782" t="s">
        <v>126</v>
      </c>
      <c r="U782" t="s">
        <v>127</v>
      </c>
      <c r="V782" t="s">
        <v>77</v>
      </c>
      <c r="W782" t="s">
        <v>128</v>
      </c>
      <c r="X782" t="s">
        <v>129</v>
      </c>
      <c r="Y782">
        <v>1.5040514269630101</v>
      </c>
      <c r="Z782">
        <v>1504.05142696301</v>
      </c>
      <c r="AA782">
        <v>4.6254861111111101</v>
      </c>
      <c r="AB782">
        <v>-74.066980555555503</v>
      </c>
      <c r="AC782">
        <v>2621</v>
      </c>
      <c r="AD782">
        <v>15</v>
      </c>
      <c r="AE782" t="s">
        <v>80</v>
      </c>
      <c r="AF782" t="s">
        <v>81</v>
      </c>
      <c r="AG782" t="s">
        <v>82</v>
      </c>
      <c r="AH782" t="s">
        <v>83</v>
      </c>
      <c r="AI782" t="s">
        <v>130</v>
      </c>
      <c r="AJ782">
        <v>0.37464339670228203</v>
      </c>
      <c r="AK782">
        <v>0.58604130408923205</v>
      </c>
      <c r="AL782">
        <v>9.8770425566182096E-2</v>
      </c>
      <c r="AM782">
        <v>4.7234270613619199E-2</v>
      </c>
      <c r="AN782">
        <v>0.66515443713235101</v>
      </c>
      <c r="AO782">
        <v>0.142402971860282</v>
      </c>
      <c r="AP782">
        <v>0.142402971860282</v>
      </c>
      <c r="AQ782">
        <v>2</v>
      </c>
      <c r="AR782">
        <v>4</v>
      </c>
      <c r="AS782">
        <v>0</v>
      </c>
      <c r="AT782">
        <v>23</v>
      </c>
      <c r="AU782">
        <v>10</v>
      </c>
      <c r="AV782">
        <v>133</v>
      </c>
      <c r="AW782">
        <v>1</v>
      </c>
      <c r="AX782">
        <v>0</v>
      </c>
      <c r="AZ782">
        <v>6.8</v>
      </c>
      <c r="BA782">
        <v>19.899999999999999</v>
      </c>
      <c r="BB782">
        <v>564</v>
      </c>
      <c r="BC782">
        <v>68</v>
      </c>
      <c r="BD782">
        <v>1.5</v>
      </c>
      <c r="BE782">
        <v>135</v>
      </c>
      <c r="BF782">
        <v>0.8</v>
      </c>
      <c r="BG782">
        <v>162</v>
      </c>
      <c r="BH782">
        <v>9.1</v>
      </c>
      <c r="BI782">
        <v>9.1999999999999993</v>
      </c>
      <c r="BJ782">
        <v>18.3</v>
      </c>
      <c r="BK782">
        <v>0.34</v>
      </c>
      <c r="BL782">
        <v>7.3</v>
      </c>
      <c r="BM782">
        <v>0.9</v>
      </c>
      <c r="BN782">
        <v>7.5</v>
      </c>
      <c r="BO782">
        <v>2.9</v>
      </c>
      <c r="BP782">
        <f t="shared" si="24"/>
        <v>6.312122977918091</v>
      </c>
      <c r="BQ782">
        <f t="shared" si="25"/>
        <v>19.194475389210947</v>
      </c>
    </row>
    <row r="783" spans="1:69" hidden="1" x14ac:dyDescent="0.2">
      <c r="A783" t="s">
        <v>2520</v>
      </c>
      <c r="B783" t="s">
        <v>68</v>
      </c>
      <c r="C783" t="s">
        <v>1956</v>
      </c>
      <c r="D783" t="s">
        <v>70</v>
      </c>
      <c r="E783" t="s">
        <v>2521</v>
      </c>
      <c r="F783">
        <v>4</v>
      </c>
      <c r="G783">
        <v>250</v>
      </c>
      <c r="H783">
        <v>5</v>
      </c>
      <c r="I783">
        <v>4</v>
      </c>
      <c r="J783">
        <v>2</v>
      </c>
      <c r="K783" t="s">
        <v>110</v>
      </c>
      <c r="L783" t="s">
        <v>162</v>
      </c>
      <c r="M783" s="4">
        <v>1300000000</v>
      </c>
      <c r="N783">
        <v>0</v>
      </c>
      <c r="O783">
        <v>4.6734548</v>
      </c>
      <c r="P783">
        <v>-74.063339999999997</v>
      </c>
      <c r="Q783" t="s">
        <v>2522</v>
      </c>
      <c r="R783">
        <v>5200000</v>
      </c>
      <c r="S783">
        <v>0</v>
      </c>
      <c r="T783" t="s">
        <v>75</v>
      </c>
      <c r="U783" t="s">
        <v>76</v>
      </c>
      <c r="V783" t="s">
        <v>77</v>
      </c>
      <c r="W783" t="s">
        <v>78</v>
      </c>
      <c r="X783" t="s">
        <v>79</v>
      </c>
      <c r="Y783">
        <v>2.8321747048224601</v>
      </c>
      <c r="Z783">
        <v>2832.1747048224602</v>
      </c>
      <c r="AA783">
        <v>4.6584666666666701</v>
      </c>
      <c r="AB783">
        <v>-74.083966666666697</v>
      </c>
      <c r="AC783">
        <v>2552</v>
      </c>
      <c r="AD783">
        <v>0</v>
      </c>
      <c r="AE783" t="s">
        <v>80</v>
      </c>
      <c r="AF783" t="s">
        <v>81</v>
      </c>
      <c r="AG783" t="s">
        <v>82</v>
      </c>
      <c r="AH783" t="s">
        <v>83</v>
      </c>
      <c r="AI783" t="s">
        <v>342</v>
      </c>
      <c r="AJ783">
        <v>0.26786414798151198</v>
      </c>
      <c r="AK783">
        <v>2.2365328059766099</v>
      </c>
      <c r="AL783">
        <v>0.65747350466006804</v>
      </c>
      <c r="AM783">
        <v>3.5250201698874897E-2</v>
      </c>
      <c r="AN783">
        <v>2.0541205688964799</v>
      </c>
      <c r="AO783">
        <v>0.34794253299524702</v>
      </c>
      <c r="AP783">
        <v>0.34794253299524702</v>
      </c>
      <c r="AQ783">
        <v>3</v>
      </c>
      <c r="AR783">
        <v>9</v>
      </c>
      <c r="AS783">
        <v>0</v>
      </c>
      <c r="AT783">
        <v>0</v>
      </c>
      <c r="AU783">
        <v>4</v>
      </c>
      <c r="AV783">
        <v>263</v>
      </c>
      <c r="AW783">
        <v>0</v>
      </c>
      <c r="AX783">
        <v>0</v>
      </c>
      <c r="AZ783">
        <v>6.8</v>
      </c>
      <c r="BA783">
        <v>19.899999999999999</v>
      </c>
      <c r="BB783">
        <v>564</v>
      </c>
      <c r="BC783">
        <v>68</v>
      </c>
      <c r="BD783">
        <v>1.5</v>
      </c>
      <c r="BE783">
        <v>135</v>
      </c>
      <c r="BF783">
        <v>0.8</v>
      </c>
      <c r="BG783">
        <v>162</v>
      </c>
      <c r="BH783">
        <v>9.1</v>
      </c>
      <c r="BI783">
        <v>9.1999999999999993</v>
      </c>
      <c r="BJ783">
        <v>18.3</v>
      </c>
      <c r="BK783">
        <v>0.34</v>
      </c>
      <c r="BL783">
        <v>7.3</v>
      </c>
      <c r="BM783">
        <v>0.9</v>
      </c>
      <c r="BN783">
        <v>7.5</v>
      </c>
      <c r="BO783">
        <v>2.9</v>
      </c>
      <c r="BP783">
        <f t="shared" si="24"/>
        <v>5.9104972462103573</v>
      </c>
      <c r="BQ783">
        <f t="shared" si="25"/>
        <v>18.592300414662752</v>
      </c>
    </row>
    <row r="784" spans="1:69" hidden="1" x14ac:dyDescent="0.2">
      <c r="A784" t="s">
        <v>3260</v>
      </c>
      <c r="B784" t="s">
        <v>68</v>
      </c>
      <c r="C784" t="s">
        <v>1956</v>
      </c>
      <c r="D784" t="s">
        <v>70</v>
      </c>
      <c r="E784" t="s">
        <v>3261</v>
      </c>
      <c r="F784">
        <v>3</v>
      </c>
      <c r="G784">
        <v>250</v>
      </c>
      <c r="H784">
        <v>4</v>
      </c>
      <c r="I784">
        <v>4</v>
      </c>
      <c r="J784">
        <v>0</v>
      </c>
      <c r="K784" t="s">
        <v>110</v>
      </c>
      <c r="L784" t="s">
        <v>162</v>
      </c>
      <c r="M784" s="4">
        <v>1000000000</v>
      </c>
      <c r="N784">
        <v>0</v>
      </c>
      <c r="O784">
        <v>4.6227939999999998</v>
      </c>
      <c r="P784">
        <v>-74.090960199999998</v>
      </c>
      <c r="Q784" t="s">
        <v>3262</v>
      </c>
      <c r="R784">
        <v>4000000</v>
      </c>
      <c r="S784">
        <v>0</v>
      </c>
      <c r="T784" t="s">
        <v>126</v>
      </c>
      <c r="U784" t="s">
        <v>127</v>
      </c>
      <c r="V784" t="s">
        <v>77</v>
      </c>
      <c r="W784" t="s">
        <v>128</v>
      </c>
      <c r="X784" t="s">
        <v>129</v>
      </c>
      <c r="Y784">
        <v>2.6775369153745001</v>
      </c>
      <c r="Z784">
        <v>2677.5369153745</v>
      </c>
      <c r="AA784">
        <v>4.6254861111111101</v>
      </c>
      <c r="AB784">
        <v>-74.066980555555503</v>
      </c>
      <c r="AC784">
        <v>2621</v>
      </c>
      <c r="AD784">
        <v>15</v>
      </c>
      <c r="AE784" t="s">
        <v>80</v>
      </c>
      <c r="AF784" t="s">
        <v>81</v>
      </c>
      <c r="AG784" t="s">
        <v>82</v>
      </c>
      <c r="AH784" t="s">
        <v>83</v>
      </c>
      <c r="AI784" t="s">
        <v>288</v>
      </c>
      <c r="AJ784">
        <v>0.66743251898662503</v>
      </c>
      <c r="AK784">
        <v>3.1337604789985098</v>
      </c>
      <c r="AL784">
        <v>1.5332800914459901</v>
      </c>
      <c r="AM784">
        <v>6.5377647119212901E-2</v>
      </c>
      <c r="AN784">
        <v>1.4308107403660699</v>
      </c>
      <c r="AO784">
        <v>0.54905754830896403</v>
      </c>
      <c r="AP784">
        <v>0.54905754830896403</v>
      </c>
      <c r="AQ784">
        <v>0</v>
      </c>
      <c r="AR784">
        <v>4</v>
      </c>
      <c r="AS784">
        <v>0</v>
      </c>
      <c r="AT784">
        <v>0</v>
      </c>
      <c r="AU784">
        <v>0</v>
      </c>
      <c r="AV784">
        <v>16</v>
      </c>
      <c r="AW784">
        <v>0</v>
      </c>
      <c r="AX784">
        <v>0</v>
      </c>
      <c r="AZ784">
        <v>6.8</v>
      </c>
      <c r="BA784">
        <v>19.899999999999999</v>
      </c>
      <c r="BB784">
        <v>564</v>
      </c>
      <c r="BC784">
        <v>68</v>
      </c>
      <c r="BD784">
        <v>1.5</v>
      </c>
      <c r="BE784">
        <v>135</v>
      </c>
      <c r="BF784">
        <v>0.8</v>
      </c>
      <c r="BG784">
        <v>162</v>
      </c>
      <c r="BH784">
        <v>9.1</v>
      </c>
      <c r="BI784">
        <v>9.1999999999999993</v>
      </c>
      <c r="BJ784">
        <v>18.3</v>
      </c>
      <c r="BK784">
        <v>0.34</v>
      </c>
      <c r="BL784">
        <v>7.3</v>
      </c>
      <c r="BM784">
        <v>0.9</v>
      </c>
      <c r="BN784">
        <v>7.5</v>
      </c>
      <c r="BO784">
        <v>2.9</v>
      </c>
      <c r="BP784">
        <f t="shared" si="24"/>
        <v>5.9559131624464419</v>
      </c>
      <c r="BQ784">
        <f t="shared" si="25"/>
        <v>18.661430350204302</v>
      </c>
    </row>
    <row r="785" spans="1:69" hidden="1" x14ac:dyDescent="0.2">
      <c r="A785" t="s">
        <v>2226</v>
      </c>
      <c r="B785" t="s">
        <v>68</v>
      </c>
      <c r="C785" t="s">
        <v>1956</v>
      </c>
      <c r="D785" t="s">
        <v>70</v>
      </c>
      <c r="E785" t="s">
        <v>1405</v>
      </c>
      <c r="F785">
        <v>3</v>
      </c>
      <c r="G785">
        <v>250</v>
      </c>
      <c r="H785">
        <v>5</v>
      </c>
      <c r="I785">
        <v>4</v>
      </c>
      <c r="J785">
        <v>4</v>
      </c>
      <c r="K785" t="s">
        <v>110</v>
      </c>
      <c r="L785" t="s">
        <v>162</v>
      </c>
      <c r="M785" s="4">
        <v>940000000</v>
      </c>
      <c r="N785">
        <v>0</v>
      </c>
      <c r="O785">
        <v>4.6725249289999997</v>
      </c>
      <c r="P785">
        <v>-74.084480290000002</v>
      </c>
      <c r="Q785" t="s">
        <v>2227</v>
      </c>
      <c r="R785">
        <v>3760000</v>
      </c>
      <c r="S785">
        <v>0</v>
      </c>
      <c r="T785" t="s">
        <v>75</v>
      </c>
      <c r="U785" t="s">
        <v>76</v>
      </c>
      <c r="V785" t="s">
        <v>77</v>
      </c>
      <c r="W785" t="s">
        <v>78</v>
      </c>
      <c r="X785" t="s">
        <v>79</v>
      </c>
      <c r="Y785">
        <v>1.5659958279105199</v>
      </c>
      <c r="Z785">
        <v>1565.9958279105199</v>
      </c>
      <c r="AA785">
        <v>4.6584666666666701</v>
      </c>
      <c r="AB785">
        <v>-74.083966666666697</v>
      </c>
      <c r="AC785">
        <v>2552</v>
      </c>
      <c r="AD785">
        <v>0</v>
      </c>
      <c r="AE785" t="s">
        <v>80</v>
      </c>
      <c r="AF785" t="s">
        <v>81</v>
      </c>
      <c r="AG785" t="s">
        <v>82</v>
      </c>
      <c r="AH785" t="s">
        <v>83</v>
      </c>
      <c r="AI785" t="s">
        <v>342</v>
      </c>
      <c r="AJ785">
        <v>1.29009939780247</v>
      </c>
      <c r="AK785">
        <v>4.3939970503686103</v>
      </c>
      <c r="AL785">
        <v>1.88977578599768</v>
      </c>
      <c r="AM785">
        <v>0.34010203274082601</v>
      </c>
      <c r="AN785">
        <v>0.323316313711415</v>
      </c>
      <c r="AO785">
        <v>7.3596159123004296E-2</v>
      </c>
      <c r="AP785">
        <v>7.3596159123004296E-2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16</v>
      </c>
      <c r="AW785">
        <v>1</v>
      </c>
      <c r="AX785">
        <v>0</v>
      </c>
      <c r="AZ785">
        <v>6.8</v>
      </c>
      <c r="BA785">
        <v>19.899999999999999</v>
      </c>
      <c r="BB785">
        <v>564</v>
      </c>
      <c r="BC785">
        <v>68</v>
      </c>
      <c r="BD785">
        <v>1.5</v>
      </c>
      <c r="BE785">
        <v>135</v>
      </c>
      <c r="BF785">
        <v>0.8</v>
      </c>
      <c r="BG785">
        <v>162</v>
      </c>
      <c r="BH785">
        <v>9.1</v>
      </c>
      <c r="BI785">
        <v>9.1999999999999993</v>
      </c>
      <c r="BJ785">
        <v>18.3</v>
      </c>
      <c r="BK785">
        <v>0.34</v>
      </c>
      <c r="BL785">
        <v>7.3</v>
      </c>
      <c r="BM785">
        <v>0.9</v>
      </c>
      <c r="BN785">
        <v>7.5</v>
      </c>
      <c r="BO785">
        <v>2.9</v>
      </c>
      <c r="BP785">
        <f t="shared" si="24"/>
        <v>6.2927980870210716</v>
      </c>
      <c r="BQ785">
        <f t="shared" si="25"/>
        <v>19.165960823567367</v>
      </c>
    </row>
    <row r="786" spans="1:69" hidden="1" x14ac:dyDescent="0.2">
      <c r="A786" t="s">
        <v>2303</v>
      </c>
      <c r="B786" t="s">
        <v>68</v>
      </c>
      <c r="C786" t="s">
        <v>1956</v>
      </c>
      <c r="D786" t="s">
        <v>70</v>
      </c>
      <c r="E786" t="s">
        <v>2304</v>
      </c>
      <c r="F786">
        <v>3</v>
      </c>
      <c r="G786">
        <v>250</v>
      </c>
      <c r="H786">
        <v>5</v>
      </c>
      <c r="I786">
        <v>4</v>
      </c>
      <c r="J786">
        <v>2</v>
      </c>
      <c r="K786" t="s">
        <v>110</v>
      </c>
      <c r="L786" t="s">
        <v>124</v>
      </c>
      <c r="M786" s="4">
        <v>730000000</v>
      </c>
      <c r="N786">
        <v>0</v>
      </c>
      <c r="O786">
        <v>4.6952986719999998</v>
      </c>
      <c r="P786">
        <v>-74.098861690000007</v>
      </c>
      <c r="Q786" t="s">
        <v>2305</v>
      </c>
      <c r="R786">
        <v>2920000</v>
      </c>
      <c r="S786">
        <v>0</v>
      </c>
      <c r="T786" t="s">
        <v>75</v>
      </c>
      <c r="U786" t="s">
        <v>76</v>
      </c>
      <c r="V786" t="s">
        <v>77</v>
      </c>
      <c r="W786" t="s">
        <v>78</v>
      </c>
      <c r="X786" t="s">
        <v>79</v>
      </c>
      <c r="Y786">
        <v>4.4206360944885503</v>
      </c>
      <c r="Z786">
        <v>4420.63609448855</v>
      </c>
      <c r="AA786">
        <v>4.6584666666666701</v>
      </c>
      <c r="AB786">
        <v>-74.083966666666697</v>
      </c>
      <c r="AC786">
        <v>2552</v>
      </c>
      <c r="AD786">
        <v>0</v>
      </c>
      <c r="AE786" t="s">
        <v>80</v>
      </c>
      <c r="AF786" t="s">
        <v>81</v>
      </c>
      <c r="AG786" t="s">
        <v>82</v>
      </c>
      <c r="AH786" t="s">
        <v>83</v>
      </c>
      <c r="AI786" t="s">
        <v>412</v>
      </c>
      <c r="AJ786">
        <v>0.52968358091661305</v>
      </c>
      <c r="AK786">
        <v>4.4651026518643304</v>
      </c>
      <c r="AL786">
        <v>1.0516555844147899</v>
      </c>
      <c r="AM786">
        <v>0.26685050081070899</v>
      </c>
      <c r="AN786">
        <v>0.72135185901938703</v>
      </c>
      <c r="AO786">
        <v>0.16986548089787101</v>
      </c>
      <c r="AP786">
        <v>0.16986548089787101</v>
      </c>
      <c r="AQ786">
        <v>0</v>
      </c>
      <c r="AR786">
        <v>3</v>
      </c>
      <c r="AS786">
        <v>0</v>
      </c>
      <c r="AT786">
        <v>0</v>
      </c>
      <c r="AU786">
        <v>0</v>
      </c>
      <c r="AV786">
        <v>24</v>
      </c>
      <c r="AW786">
        <v>1</v>
      </c>
      <c r="AX786">
        <v>0</v>
      </c>
      <c r="AZ786">
        <v>6.8</v>
      </c>
      <c r="BA786">
        <v>19.899999999999999</v>
      </c>
      <c r="BB786">
        <v>564</v>
      </c>
      <c r="BC786">
        <v>68</v>
      </c>
      <c r="BD786">
        <v>1.5</v>
      </c>
      <c r="BE786">
        <v>135</v>
      </c>
      <c r="BF786">
        <v>0.8</v>
      </c>
      <c r="BG786">
        <v>162</v>
      </c>
      <c r="BH786">
        <v>9.1</v>
      </c>
      <c r="BI786">
        <v>9.1999999999999993</v>
      </c>
      <c r="BJ786">
        <v>18.3</v>
      </c>
      <c r="BK786">
        <v>0.34</v>
      </c>
      <c r="BL786">
        <v>7.3</v>
      </c>
      <c r="BM786">
        <v>0.9</v>
      </c>
      <c r="BN786">
        <v>7.5</v>
      </c>
      <c r="BO786">
        <v>2.9</v>
      </c>
      <c r="BP786">
        <f t="shared" si="24"/>
        <v>5.4635629151665475</v>
      </c>
      <c r="BQ786">
        <f t="shared" si="25"/>
        <v>17.896845449825392</v>
      </c>
    </row>
    <row r="787" spans="1:69" hidden="1" x14ac:dyDescent="0.2">
      <c r="A787" t="s">
        <v>1719</v>
      </c>
      <c r="B787" t="s">
        <v>68</v>
      </c>
      <c r="C787" t="s">
        <v>69</v>
      </c>
      <c r="D787" t="s">
        <v>70</v>
      </c>
      <c r="E787" t="s">
        <v>351</v>
      </c>
      <c r="F787">
        <v>6</v>
      </c>
      <c r="G787">
        <v>248</v>
      </c>
      <c r="H787">
        <v>4</v>
      </c>
      <c r="I787">
        <v>4</v>
      </c>
      <c r="J787">
        <v>3</v>
      </c>
      <c r="K787" t="s">
        <v>110</v>
      </c>
      <c r="L787" t="s">
        <v>162</v>
      </c>
      <c r="M787" s="4">
        <v>1570000000</v>
      </c>
      <c r="N787">
        <v>0</v>
      </c>
      <c r="O787">
        <v>4.6533160210000002</v>
      </c>
      <c r="P787">
        <v>-74.049949650000002</v>
      </c>
      <c r="Q787" t="s">
        <v>1720</v>
      </c>
      <c r="R787">
        <v>6330645.1610000003</v>
      </c>
      <c r="S787">
        <v>0</v>
      </c>
      <c r="T787" t="s">
        <v>126</v>
      </c>
      <c r="U787" t="s">
        <v>127</v>
      </c>
      <c r="V787" t="s">
        <v>77</v>
      </c>
      <c r="W787" t="s">
        <v>128</v>
      </c>
      <c r="X787" t="s">
        <v>129</v>
      </c>
      <c r="Y787">
        <v>3.6288412842119699</v>
      </c>
      <c r="Z787">
        <v>3628.8412842119701</v>
      </c>
      <c r="AA787">
        <v>4.6254861111111101</v>
      </c>
      <c r="AB787">
        <v>-74.066980555555503</v>
      </c>
      <c r="AC787">
        <v>2621</v>
      </c>
      <c r="AD787">
        <v>15</v>
      </c>
      <c r="AE787" t="s">
        <v>80</v>
      </c>
      <c r="AF787" t="s">
        <v>81</v>
      </c>
      <c r="AG787" t="s">
        <v>82</v>
      </c>
      <c r="AH787" t="s">
        <v>83</v>
      </c>
      <c r="AI787" t="s">
        <v>130</v>
      </c>
      <c r="AJ787">
        <v>1.44962321769596</v>
      </c>
      <c r="AK787">
        <v>0.14487910541259</v>
      </c>
      <c r="AL787">
        <v>0.88344150885897099</v>
      </c>
      <c r="AM787">
        <v>0.47163342625827598</v>
      </c>
      <c r="AN787">
        <v>1.59648737976179</v>
      </c>
      <c r="AO787">
        <v>0.11001562431200999</v>
      </c>
      <c r="AP787">
        <v>0.11001562431200999</v>
      </c>
      <c r="AQ787">
        <v>0</v>
      </c>
      <c r="AR787">
        <v>0</v>
      </c>
      <c r="AS787">
        <v>18</v>
      </c>
      <c r="AT787">
        <v>43</v>
      </c>
      <c r="AU787">
        <v>3</v>
      </c>
      <c r="AV787">
        <v>12</v>
      </c>
      <c r="AW787">
        <v>0</v>
      </c>
      <c r="AX787">
        <v>0</v>
      </c>
      <c r="AZ787">
        <v>6.8</v>
      </c>
      <c r="BA787">
        <v>19.899999999999999</v>
      </c>
      <c r="BB787">
        <v>564</v>
      </c>
      <c r="BC787">
        <v>68</v>
      </c>
      <c r="BD787">
        <v>1.5</v>
      </c>
      <c r="BE787">
        <v>135</v>
      </c>
      <c r="BF787">
        <v>0.8</v>
      </c>
      <c r="BG787">
        <v>162</v>
      </c>
      <c r="BH787">
        <v>9.1</v>
      </c>
      <c r="BI787">
        <v>9.1999999999999993</v>
      </c>
      <c r="BJ787">
        <v>18.3</v>
      </c>
      <c r="BK787">
        <v>0.34</v>
      </c>
      <c r="BL787">
        <v>7.3</v>
      </c>
      <c r="BM787">
        <v>0.9</v>
      </c>
      <c r="BN787">
        <v>7.5</v>
      </c>
      <c r="BO787">
        <v>2.9</v>
      </c>
      <c r="BP787">
        <f t="shared" si="24"/>
        <v>5.6819527553981084</v>
      </c>
      <c r="BQ787">
        <f t="shared" si="25"/>
        <v>18.240192547256584</v>
      </c>
    </row>
    <row r="788" spans="1:69" hidden="1" x14ac:dyDescent="0.2">
      <c r="A788" t="s">
        <v>1592</v>
      </c>
      <c r="B788" t="s">
        <v>68</v>
      </c>
      <c r="C788" t="s">
        <v>69</v>
      </c>
      <c r="D788" t="s">
        <v>70</v>
      </c>
      <c r="E788" t="s">
        <v>310</v>
      </c>
      <c r="F788">
        <v>6</v>
      </c>
      <c r="G788">
        <v>246</v>
      </c>
      <c r="H788">
        <v>4</v>
      </c>
      <c r="I788">
        <v>5</v>
      </c>
      <c r="J788">
        <v>2</v>
      </c>
      <c r="K788" t="s">
        <v>110</v>
      </c>
      <c r="L788" t="s">
        <v>162</v>
      </c>
      <c r="M788" s="4">
        <v>3800000000</v>
      </c>
      <c r="N788">
        <v>0</v>
      </c>
      <c r="O788">
        <v>4.6599202159999997</v>
      </c>
      <c r="P788">
        <v>-74.048553470000002</v>
      </c>
      <c r="Q788" t="s">
        <v>1593</v>
      </c>
      <c r="R788">
        <v>15447154.470000001</v>
      </c>
      <c r="S788">
        <v>0</v>
      </c>
      <c r="T788" t="s">
        <v>75</v>
      </c>
      <c r="U788" t="s">
        <v>76</v>
      </c>
      <c r="V788" t="s">
        <v>77</v>
      </c>
      <c r="W788" t="s">
        <v>78</v>
      </c>
      <c r="X788" t="s">
        <v>79</v>
      </c>
      <c r="Y788">
        <v>3.9324823994449001</v>
      </c>
      <c r="Z788">
        <v>3932.4823994448998</v>
      </c>
      <c r="AA788">
        <v>4.6584666666666701</v>
      </c>
      <c r="AB788">
        <v>-74.083966666666697</v>
      </c>
      <c r="AC788">
        <v>2552</v>
      </c>
      <c r="AD788">
        <v>0</v>
      </c>
      <c r="AE788" t="s">
        <v>80</v>
      </c>
      <c r="AF788" t="s">
        <v>81</v>
      </c>
      <c r="AG788" t="s">
        <v>82</v>
      </c>
      <c r="AH788" t="s">
        <v>83</v>
      </c>
      <c r="AI788" t="s">
        <v>130</v>
      </c>
      <c r="AJ788">
        <v>1.45037722639813</v>
      </c>
      <c r="AK788">
        <v>0.176161214569061</v>
      </c>
      <c r="AL788">
        <v>0.783615004760848</v>
      </c>
      <c r="AM788">
        <v>0.34721335300547301</v>
      </c>
      <c r="AN788">
        <v>2.29849663010281</v>
      </c>
      <c r="AO788">
        <v>0.28702217922323098</v>
      </c>
      <c r="AP788">
        <v>0.28702217922323098</v>
      </c>
      <c r="AQ788">
        <v>0</v>
      </c>
      <c r="AR788">
        <v>0</v>
      </c>
      <c r="AS788">
        <v>11</v>
      </c>
      <c r="AT788">
        <v>32</v>
      </c>
      <c r="AU788">
        <v>3</v>
      </c>
      <c r="AV788">
        <v>27</v>
      </c>
      <c r="AW788">
        <v>0</v>
      </c>
      <c r="AX788">
        <v>0</v>
      </c>
      <c r="AZ788">
        <v>6.8</v>
      </c>
      <c r="BA788">
        <v>19.899999999999999</v>
      </c>
      <c r="BB788">
        <v>564</v>
      </c>
      <c r="BC788">
        <v>68</v>
      </c>
      <c r="BD788">
        <v>1.5</v>
      </c>
      <c r="BE788">
        <v>135</v>
      </c>
      <c r="BF788">
        <v>0.8</v>
      </c>
      <c r="BG788">
        <v>162</v>
      </c>
      <c r="BH788">
        <v>9.1</v>
      </c>
      <c r="BI788">
        <v>9.1999999999999993</v>
      </c>
      <c r="BJ788">
        <v>18.3</v>
      </c>
      <c r="BK788">
        <v>0.34</v>
      </c>
      <c r="BL788">
        <v>7.3</v>
      </c>
      <c r="BM788">
        <v>0.9</v>
      </c>
      <c r="BN788">
        <v>7.5</v>
      </c>
      <c r="BO788">
        <v>2.9</v>
      </c>
      <c r="BP788">
        <f t="shared" si="24"/>
        <v>5.5971902648551337</v>
      </c>
      <c r="BQ788">
        <f t="shared" si="25"/>
        <v>18.107752367007837</v>
      </c>
    </row>
    <row r="789" spans="1:69" hidden="1" x14ac:dyDescent="0.2">
      <c r="A789" t="s">
        <v>3124</v>
      </c>
      <c r="B789" t="s">
        <v>68</v>
      </c>
      <c r="C789" t="s">
        <v>1956</v>
      </c>
      <c r="D789" t="s">
        <v>70</v>
      </c>
      <c r="E789" t="s">
        <v>1022</v>
      </c>
      <c r="F789">
        <v>5</v>
      </c>
      <c r="G789">
        <v>243</v>
      </c>
      <c r="H789">
        <v>5</v>
      </c>
      <c r="I789">
        <v>5</v>
      </c>
      <c r="J789">
        <v>2</v>
      </c>
      <c r="K789" t="s">
        <v>110</v>
      </c>
      <c r="L789" t="s">
        <v>162</v>
      </c>
      <c r="M789" s="4">
        <v>1100000000</v>
      </c>
      <c r="N789">
        <v>0</v>
      </c>
      <c r="O789">
        <v>4.6980700000000004</v>
      </c>
      <c r="P789">
        <v>-74.080309999999997</v>
      </c>
      <c r="Q789" t="s">
        <v>3125</v>
      </c>
      <c r="R789">
        <v>4526748.9709999999</v>
      </c>
      <c r="S789">
        <v>0</v>
      </c>
      <c r="T789" t="s">
        <v>75</v>
      </c>
      <c r="U789" t="s">
        <v>76</v>
      </c>
      <c r="V789" t="s">
        <v>77</v>
      </c>
      <c r="W789" t="s">
        <v>78</v>
      </c>
      <c r="X789" t="s">
        <v>79</v>
      </c>
      <c r="Y789">
        <v>4.4272508485377804</v>
      </c>
      <c r="Z789">
        <v>4427.2508485377803</v>
      </c>
      <c r="AA789">
        <v>4.6584666666666701</v>
      </c>
      <c r="AB789">
        <v>-74.083966666666697</v>
      </c>
      <c r="AC789">
        <v>2552</v>
      </c>
      <c r="AD789">
        <v>0</v>
      </c>
      <c r="AE789" t="s">
        <v>80</v>
      </c>
      <c r="AF789" t="s">
        <v>81</v>
      </c>
      <c r="AG789" t="s">
        <v>82</v>
      </c>
      <c r="AH789" t="s">
        <v>83</v>
      </c>
      <c r="AI789" t="s">
        <v>121</v>
      </c>
      <c r="AJ789">
        <v>0.88386450453833199</v>
      </c>
      <c r="AK789">
        <v>5.2498699634592798</v>
      </c>
      <c r="AL789">
        <v>1.07686754924493</v>
      </c>
      <c r="AM789">
        <v>0.27769107566905998</v>
      </c>
      <c r="AN789">
        <v>2.6350188446930298</v>
      </c>
      <c r="AO789">
        <v>0.345800749636341</v>
      </c>
      <c r="AP789">
        <v>0.345800749636341</v>
      </c>
      <c r="AQ789">
        <v>0</v>
      </c>
      <c r="AR789">
        <v>2</v>
      </c>
      <c r="AS789">
        <v>0</v>
      </c>
      <c r="AT789">
        <v>0</v>
      </c>
      <c r="AU789">
        <v>0</v>
      </c>
      <c r="AV789">
        <v>37</v>
      </c>
      <c r="AW789">
        <v>0</v>
      </c>
      <c r="AX789">
        <v>0</v>
      </c>
      <c r="AZ789">
        <v>6.8</v>
      </c>
      <c r="BA789">
        <v>19.899999999999999</v>
      </c>
      <c r="BB789">
        <v>564</v>
      </c>
      <c r="BC789">
        <v>68</v>
      </c>
      <c r="BD789">
        <v>1.5</v>
      </c>
      <c r="BE789">
        <v>135</v>
      </c>
      <c r="BF789">
        <v>0.8</v>
      </c>
      <c r="BG789">
        <v>162</v>
      </c>
      <c r="BH789">
        <v>9.1</v>
      </c>
      <c r="BI789">
        <v>9.1999999999999993</v>
      </c>
      <c r="BJ789">
        <v>18.3</v>
      </c>
      <c r="BK789">
        <v>0.34</v>
      </c>
      <c r="BL789">
        <v>7.3</v>
      </c>
      <c r="BM789">
        <v>0.9</v>
      </c>
      <c r="BN789">
        <v>7.5</v>
      </c>
      <c r="BO789">
        <v>2.9</v>
      </c>
      <c r="BP789">
        <f t="shared" si="24"/>
        <v>5.4617742718272053</v>
      </c>
      <c r="BQ789">
        <f t="shared" si="25"/>
        <v>17.894004477797548</v>
      </c>
    </row>
    <row r="790" spans="1:69" hidden="1" x14ac:dyDescent="0.2">
      <c r="A790" t="s">
        <v>2622</v>
      </c>
      <c r="B790" t="s">
        <v>68</v>
      </c>
      <c r="C790" t="s">
        <v>1956</v>
      </c>
      <c r="D790" t="s">
        <v>70</v>
      </c>
      <c r="E790" t="s">
        <v>2623</v>
      </c>
      <c r="F790">
        <v>4</v>
      </c>
      <c r="G790">
        <v>241</v>
      </c>
      <c r="H790">
        <v>5</v>
      </c>
      <c r="I790">
        <v>4</v>
      </c>
      <c r="J790">
        <v>1</v>
      </c>
      <c r="K790" t="s">
        <v>110</v>
      </c>
      <c r="L790" t="s">
        <v>162</v>
      </c>
      <c r="M790" s="4">
        <v>800000000</v>
      </c>
      <c r="N790">
        <v>0</v>
      </c>
      <c r="O790">
        <v>4.6222747000000002</v>
      </c>
      <c r="P790">
        <v>-74.073384200000007</v>
      </c>
      <c r="Q790" t="s">
        <v>2624</v>
      </c>
      <c r="R790">
        <v>3319502.0750000002</v>
      </c>
      <c r="S790">
        <v>0</v>
      </c>
      <c r="T790" t="s">
        <v>126</v>
      </c>
      <c r="U790" t="s">
        <v>127</v>
      </c>
      <c r="V790" t="s">
        <v>77</v>
      </c>
      <c r="W790" t="s">
        <v>128</v>
      </c>
      <c r="X790" t="s">
        <v>129</v>
      </c>
      <c r="Y790">
        <v>0.79539575234540405</v>
      </c>
      <c r="Z790">
        <v>795.39575234540405</v>
      </c>
      <c r="AA790">
        <v>4.6254861111111101</v>
      </c>
      <c r="AB790">
        <v>-74.066980555555503</v>
      </c>
      <c r="AC790">
        <v>2621</v>
      </c>
      <c r="AD790">
        <v>15</v>
      </c>
      <c r="AE790" t="s">
        <v>80</v>
      </c>
      <c r="AF790" t="s">
        <v>81</v>
      </c>
      <c r="AG790" t="s">
        <v>82</v>
      </c>
      <c r="AH790" t="s">
        <v>83</v>
      </c>
      <c r="AI790" t="s">
        <v>84</v>
      </c>
      <c r="AJ790">
        <v>0.38213294160134398</v>
      </c>
      <c r="AK790">
        <v>1.3263637121494001</v>
      </c>
      <c r="AL790">
        <v>0.17105025230639001</v>
      </c>
      <c r="AM790">
        <v>0.11021794403974</v>
      </c>
      <c r="AN790">
        <v>0.94459858193851198</v>
      </c>
      <c r="AO790">
        <v>0.177181666139405</v>
      </c>
      <c r="AP790">
        <v>0.177181666139405</v>
      </c>
      <c r="AQ790">
        <v>2</v>
      </c>
      <c r="AR790">
        <v>7</v>
      </c>
      <c r="AS790">
        <v>0</v>
      </c>
      <c r="AT790">
        <v>0</v>
      </c>
      <c r="AU790">
        <v>15</v>
      </c>
      <c r="AV790">
        <v>94</v>
      </c>
      <c r="AW790">
        <v>1</v>
      </c>
      <c r="AX790">
        <v>0</v>
      </c>
      <c r="AZ790">
        <v>6.8</v>
      </c>
      <c r="BA790">
        <v>19.899999999999999</v>
      </c>
      <c r="BB790">
        <v>564</v>
      </c>
      <c r="BC790">
        <v>68</v>
      </c>
      <c r="BD790">
        <v>1.5</v>
      </c>
      <c r="BE790">
        <v>135</v>
      </c>
      <c r="BF790">
        <v>0.8</v>
      </c>
      <c r="BG790">
        <v>162</v>
      </c>
      <c r="BH790">
        <v>9.1</v>
      </c>
      <c r="BI790">
        <v>9.1999999999999993</v>
      </c>
      <c r="BJ790">
        <v>18.3</v>
      </c>
      <c r="BK790">
        <v>0.34</v>
      </c>
      <c r="BL790">
        <v>7.3</v>
      </c>
      <c r="BM790">
        <v>0.9</v>
      </c>
      <c r="BN790">
        <v>7.5</v>
      </c>
      <c r="BO790">
        <v>2.9</v>
      </c>
      <c r="BP790">
        <f t="shared" si="24"/>
        <v>6.5374718433745009</v>
      </c>
      <c r="BQ790">
        <f t="shared" si="25"/>
        <v>19.52372189527679</v>
      </c>
    </row>
    <row r="791" spans="1:69" hidden="1" x14ac:dyDescent="0.2">
      <c r="A791" t="s">
        <v>222</v>
      </c>
      <c r="B791" t="s">
        <v>68</v>
      </c>
      <c r="C791" t="s">
        <v>69</v>
      </c>
      <c r="D791" t="s">
        <v>70</v>
      </c>
      <c r="E791" t="s">
        <v>223</v>
      </c>
      <c r="F791">
        <v>5</v>
      </c>
      <c r="G791">
        <v>240</v>
      </c>
      <c r="H791">
        <v>3</v>
      </c>
      <c r="I791">
        <v>5</v>
      </c>
      <c r="J791">
        <v>3</v>
      </c>
      <c r="K791" t="s">
        <v>110</v>
      </c>
      <c r="L791" t="s">
        <v>133</v>
      </c>
      <c r="M791" s="4">
        <v>3500000000</v>
      </c>
      <c r="N791">
        <v>0</v>
      </c>
      <c r="O791">
        <v>4.6577310560000003</v>
      </c>
      <c r="P791">
        <v>-74.055236820000005</v>
      </c>
      <c r="Q791" t="s">
        <v>224</v>
      </c>
      <c r="R791">
        <v>14583333.33</v>
      </c>
      <c r="S791">
        <v>0</v>
      </c>
      <c r="T791" t="s">
        <v>75</v>
      </c>
      <c r="U791" t="s">
        <v>76</v>
      </c>
      <c r="V791" t="s">
        <v>77</v>
      </c>
      <c r="W791" t="s">
        <v>78</v>
      </c>
      <c r="X791" t="s">
        <v>79</v>
      </c>
      <c r="Y791">
        <v>3.1886800558316901</v>
      </c>
      <c r="Z791">
        <v>3188.68005583169</v>
      </c>
      <c r="AA791">
        <v>4.6584666666666701</v>
      </c>
      <c r="AB791">
        <v>-74.083966666666697</v>
      </c>
      <c r="AC791">
        <v>2552</v>
      </c>
      <c r="AD791">
        <v>0</v>
      </c>
      <c r="AE791" t="s">
        <v>80</v>
      </c>
      <c r="AF791" t="s">
        <v>81</v>
      </c>
      <c r="AG791" t="s">
        <v>82</v>
      </c>
      <c r="AH791" t="s">
        <v>83</v>
      </c>
      <c r="AI791" t="s">
        <v>130</v>
      </c>
      <c r="AJ791">
        <v>0.75952142642881204</v>
      </c>
      <c r="AK791">
        <v>0.86215653773974898</v>
      </c>
      <c r="AL791">
        <v>0.25166756562819498</v>
      </c>
      <c r="AM791">
        <v>0.129800640975929</v>
      </c>
      <c r="AN791">
        <v>1.81526829608884</v>
      </c>
      <c r="AO791">
        <v>5.0467422639399198E-2</v>
      </c>
      <c r="AP791">
        <v>5.0467422639399198E-2</v>
      </c>
      <c r="AQ791">
        <v>0</v>
      </c>
      <c r="AR791">
        <v>3</v>
      </c>
      <c r="AS791">
        <v>0</v>
      </c>
      <c r="AT791">
        <v>15</v>
      </c>
      <c r="AU791">
        <v>18</v>
      </c>
      <c r="AV791">
        <v>74</v>
      </c>
      <c r="AW791">
        <v>0</v>
      </c>
      <c r="AX791">
        <v>0</v>
      </c>
      <c r="AZ791">
        <v>6.8</v>
      </c>
      <c r="BA791">
        <v>19.899999999999999</v>
      </c>
      <c r="BB791">
        <v>564</v>
      </c>
      <c r="BC791">
        <v>68</v>
      </c>
      <c r="BD791">
        <v>1.5</v>
      </c>
      <c r="BE791">
        <v>135</v>
      </c>
      <c r="BF791">
        <v>0.8</v>
      </c>
      <c r="BG791">
        <v>162</v>
      </c>
      <c r="BH791">
        <v>9.1</v>
      </c>
      <c r="BI791">
        <v>9.1999999999999993</v>
      </c>
      <c r="BJ791">
        <v>18.3</v>
      </c>
      <c r="BK791">
        <v>0.34</v>
      </c>
      <c r="BL791">
        <v>7.3</v>
      </c>
      <c r="BM791">
        <v>0.9</v>
      </c>
      <c r="BN791">
        <v>7.5</v>
      </c>
      <c r="BO791">
        <v>2.9</v>
      </c>
      <c r="BP791">
        <f t="shared" si="24"/>
        <v>5.8071095386394926</v>
      </c>
      <c r="BQ791">
        <f t="shared" si="25"/>
        <v>18.433900914179997</v>
      </c>
    </row>
    <row r="792" spans="1:69" hidden="1" x14ac:dyDescent="0.2">
      <c r="A792" t="s">
        <v>2464</v>
      </c>
      <c r="B792" t="s">
        <v>68</v>
      </c>
      <c r="C792" t="s">
        <v>1956</v>
      </c>
      <c r="D792" t="s">
        <v>70</v>
      </c>
      <c r="E792" t="s">
        <v>368</v>
      </c>
      <c r="F792">
        <v>2</v>
      </c>
      <c r="G792">
        <v>240</v>
      </c>
      <c r="H792">
        <v>5</v>
      </c>
      <c r="I792">
        <v>4</v>
      </c>
      <c r="J792">
        <v>1</v>
      </c>
      <c r="K792" t="s">
        <v>110</v>
      </c>
      <c r="L792" t="s">
        <v>162</v>
      </c>
      <c r="M792" s="4">
        <v>520000000</v>
      </c>
      <c r="N792">
        <v>0</v>
      </c>
      <c r="O792">
        <v>4.6113662719999997</v>
      </c>
      <c r="P792">
        <v>-74.181587219999997</v>
      </c>
      <c r="Q792" t="s">
        <v>2465</v>
      </c>
      <c r="R792">
        <v>2166666.6669999999</v>
      </c>
      <c r="S792">
        <v>0</v>
      </c>
      <c r="T792" t="s">
        <v>365</v>
      </c>
      <c r="U792" t="s">
        <v>366</v>
      </c>
      <c r="V792" t="s">
        <v>77</v>
      </c>
      <c r="W792" t="s">
        <v>365</v>
      </c>
      <c r="X792" t="s">
        <v>367</v>
      </c>
      <c r="Y792">
        <v>2.57407887420365</v>
      </c>
      <c r="Z792">
        <v>2574.0788742036498</v>
      </c>
      <c r="AA792">
        <v>4.6056111111111102</v>
      </c>
      <c r="AB792">
        <v>-74.204055555555598</v>
      </c>
      <c r="AC792">
        <v>2546</v>
      </c>
      <c r="AD792">
        <v>0</v>
      </c>
      <c r="AE792" t="s">
        <v>80</v>
      </c>
      <c r="AF792" t="s">
        <v>107</v>
      </c>
      <c r="AG792" t="s">
        <v>82</v>
      </c>
      <c r="AH792" t="s">
        <v>83</v>
      </c>
      <c r="AI792" t="s">
        <v>368</v>
      </c>
      <c r="AJ792">
        <v>1.6005974390865501</v>
      </c>
      <c r="AK792">
        <v>3.8071576633997299</v>
      </c>
      <c r="AL792">
        <v>5.1714318857575297</v>
      </c>
      <c r="AM792">
        <v>0.46999329683212698</v>
      </c>
      <c r="AN792">
        <v>1.36649358489434</v>
      </c>
      <c r="AO792">
        <v>0.25743747118340399</v>
      </c>
      <c r="AP792">
        <v>0.25743747118340399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21</v>
      </c>
      <c r="AW792">
        <v>0</v>
      </c>
      <c r="AX792">
        <v>0</v>
      </c>
      <c r="AZ792">
        <v>6.8</v>
      </c>
      <c r="BA792">
        <v>19.899999999999999</v>
      </c>
      <c r="BB792">
        <v>564</v>
      </c>
      <c r="BC792">
        <v>68</v>
      </c>
      <c r="BD792">
        <v>1.5</v>
      </c>
      <c r="BE792">
        <v>135</v>
      </c>
      <c r="BF792">
        <v>0.8</v>
      </c>
      <c r="BG792">
        <v>162</v>
      </c>
      <c r="BH792">
        <v>9.1</v>
      </c>
      <c r="BI792">
        <v>9.1999999999999993</v>
      </c>
      <c r="BJ792">
        <v>18.3</v>
      </c>
      <c r="BK792">
        <v>0.34</v>
      </c>
      <c r="BL792">
        <v>7.3</v>
      </c>
      <c r="BM792">
        <v>0.9</v>
      </c>
      <c r="BN792">
        <v>7.5</v>
      </c>
      <c r="BO792">
        <v>2.9</v>
      </c>
      <c r="BP792">
        <f t="shared" si="24"/>
        <v>5.9864926589644041</v>
      </c>
      <c r="BQ792">
        <f t="shared" si="25"/>
        <v>18.707824124784491</v>
      </c>
    </row>
    <row r="793" spans="1:69" hidden="1" x14ac:dyDescent="0.2">
      <c r="A793" t="s">
        <v>2836</v>
      </c>
      <c r="B793" t="s">
        <v>68</v>
      </c>
      <c r="C793" t="s">
        <v>1956</v>
      </c>
      <c r="D793" t="s">
        <v>70</v>
      </c>
      <c r="E793" t="s">
        <v>2837</v>
      </c>
      <c r="F793">
        <v>3</v>
      </c>
      <c r="G793">
        <v>239.99</v>
      </c>
      <c r="H793">
        <v>5</v>
      </c>
      <c r="I793">
        <v>3</v>
      </c>
      <c r="J793">
        <v>1</v>
      </c>
      <c r="K793" t="s">
        <v>110</v>
      </c>
      <c r="L793" t="s">
        <v>162</v>
      </c>
      <c r="M793" s="4">
        <v>700000000</v>
      </c>
      <c r="N793">
        <v>0</v>
      </c>
      <c r="O793">
        <v>4.6677600000000004</v>
      </c>
      <c r="P793">
        <v>-74.074870000000004</v>
      </c>
      <c r="Q793" t="s">
        <v>2838</v>
      </c>
      <c r="R793">
        <v>2916788.2</v>
      </c>
      <c r="S793">
        <v>0</v>
      </c>
      <c r="T793" t="s">
        <v>75</v>
      </c>
      <c r="U793" t="s">
        <v>76</v>
      </c>
      <c r="V793" t="s">
        <v>77</v>
      </c>
      <c r="W793" t="s">
        <v>78</v>
      </c>
      <c r="X793" t="s">
        <v>79</v>
      </c>
      <c r="Y793">
        <v>1.4453046529790099</v>
      </c>
      <c r="Z793">
        <v>1445.3046529790099</v>
      </c>
      <c r="AA793">
        <v>4.6584666666666701</v>
      </c>
      <c r="AB793">
        <v>-74.083966666666697</v>
      </c>
      <c r="AC793">
        <v>2552</v>
      </c>
      <c r="AD793">
        <v>0</v>
      </c>
      <c r="AE793" t="s">
        <v>80</v>
      </c>
      <c r="AF793" t="s">
        <v>81</v>
      </c>
      <c r="AG793" t="s">
        <v>82</v>
      </c>
      <c r="AH793" t="s">
        <v>83</v>
      </c>
      <c r="AI793" t="s">
        <v>342</v>
      </c>
      <c r="AJ793">
        <v>0.15894364160895499</v>
      </c>
      <c r="AK793">
        <v>3.2189394736442098</v>
      </c>
      <c r="AL793">
        <v>1.4205470059062699</v>
      </c>
      <c r="AM793">
        <v>6.3672211868236905E-2</v>
      </c>
      <c r="AN793">
        <v>1.0238987772310499</v>
      </c>
      <c r="AO793">
        <v>0.14246645212683801</v>
      </c>
      <c r="AP793">
        <v>0.14246645212683801</v>
      </c>
      <c r="AQ793">
        <v>2</v>
      </c>
      <c r="AR793">
        <v>2</v>
      </c>
      <c r="AS793">
        <v>0</v>
      </c>
      <c r="AT793">
        <v>0</v>
      </c>
      <c r="AU793">
        <v>0</v>
      </c>
      <c r="AV793">
        <v>27</v>
      </c>
      <c r="AW793">
        <v>0</v>
      </c>
      <c r="AX793">
        <v>0</v>
      </c>
      <c r="AZ793">
        <v>6.8</v>
      </c>
      <c r="BA793">
        <v>19.899999999999999</v>
      </c>
      <c r="BB793">
        <v>564</v>
      </c>
      <c r="BC793">
        <v>68</v>
      </c>
      <c r="BD793">
        <v>1.5</v>
      </c>
      <c r="BE793">
        <v>135</v>
      </c>
      <c r="BF793">
        <v>0.8</v>
      </c>
      <c r="BG793">
        <v>162</v>
      </c>
      <c r="BH793">
        <v>9.1</v>
      </c>
      <c r="BI793">
        <v>9.1999999999999993</v>
      </c>
      <c r="BJ793">
        <v>18.3</v>
      </c>
      <c r="BK793">
        <v>0.34</v>
      </c>
      <c r="BL793">
        <v>7.3</v>
      </c>
      <c r="BM793">
        <v>0.9</v>
      </c>
      <c r="BN793">
        <v>7.5</v>
      </c>
      <c r="BO793">
        <v>2.9</v>
      </c>
      <c r="BP793">
        <f t="shared" si="24"/>
        <v>6.3305051269564636</v>
      </c>
      <c r="BQ793">
        <f t="shared" si="25"/>
        <v>19.221557200531603</v>
      </c>
    </row>
    <row r="794" spans="1:69" hidden="1" x14ac:dyDescent="0.2">
      <c r="A794" t="s">
        <v>2100</v>
      </c>
      <c r="B794" t="s">
        <v>68</v>
      </c>
      <c r="C794" t="s">
        <v>1956</v>
      </c>
      <c r="D794" t="s">
        <v>70</v>
      </c>
      <c r="E794" t="s">
        <v>639</v>
      </c>
      <c r="F794">
        <v>4</v>
      </c>
      <c r="G794">
        <v>239</v>
      </c>
      <c r="H794">
        <v>4</v>
      </c>
      <c r="I794">
        <v>5</v>
      </c>
      <c r="J794">
        <v>1</v>
      </c>
      <c r="K794" t="s">
        <v>110</v>
      </c>
      <c r="L794" t="s">
        <v>133</v>
      </c>
      <c r="M794" s="4">
        <v>3500000000</v>
      </c>
      <c r="N794">
        <v>0</v>
      </c>
      <c r="O794">
        <v>4.6629230000000002</v>
      </c>
      <c r="P794">
        <v>-74.078119999999998</v>
      </c>
      <c r="Q794" t="s">
        <v>2101</v>
      </c>
      <c r="R794">
        <v>14644351.460000001</v>
      </c>
      <c r="S794">
        <v>0</v>
      </c>
      <c r="T794" t="s">
        <v>75</v>
      </c>
      <c r="U794" t="s">
        <v>76</v>
      </c>
      <c r="V794" t="s">
        <v>77</v>
      </c>
      <c r="W794" t="s">
        <v>78</v>
      </c>
      <c r="X794" t="s">
        <v>79</v>
      </c>
      <c r="Y794">
        <v>0.81663849970931401</v>
      </c>
      <c r="Z794">
        <v>816.63849970931403</v>
      </c>
      <c r="AA794">
        <v>4.6584666666666701</v>
      </c>
      <c r="AB794">
        <v>-74.083966666666697</v>
      </c>
      <c r="AC794">
        <v>2552</v>
      </c>
      <c r="AD794">
        <v>0</v>
      </c>
      <c r="AE794" t="s">
        <v>80</v>
      </c>
      <c r="AF794" t="s">
        <v>81</v>
      </c>
      <c r="AG794" t="s">
        <v>82</v>
      </c>
      <c r="AH794" t="s">
        <v>83</v>
      </c>
      <c r="AI794" t="s">
        <v>342</v>
      </c>
      <c r="AJ794">
        <v>0.54608531243695202</v>
      </c>
      <c r="AK794">
        <v>3.3315021260245499</v>
      </c>
      <c r="AL794">
        <v>1.46316369576257</v>
      </c>
      <c r="AM794">
        <v>0.148156336407199</v>
      </c>
      <c r="AN794">
        <v>1.27289107163322</v>
      </c>
      <c r="AO794">
        <v>2.6754581207642701E-2</v>
      </c>
      <c r="AP794">
        <v>2.6754581207642701E-2</v>
      </c>
      <c r="AQ794">
        <v>0</v>
      </c>
      <c r="AR794">
        <v>2</v>
      </c>
      <c r="AS794">
        <v>0</v>
      </c>
      <c r="AT794">
        <v>0</v>
      </c>
      <c r="AU794">
        <v>0</v>
      </c>
      <c r="AV794">
        <v>20</v>
      </c>
      <c r="AW794">
        <v>0</v>
      </c>
      <c r="AX794">
        <v>0</v>
      </c>
      <c r="AZ794">
        <v>6.8</v>
      </c>
      <c r="BA794">
        <v>19.899999999999999</v>
      </c>
      <c r="BB794">
        <v>564</v>
      </c>
      <c r="BC794">
        <v>68</v>
      </c>
      <c r="BD794">
        <v>1.5</v>
      </c>
      <c r="BE794">
        <v>135</v>
      </c>
      <c r="BF794">
        <v>0.8</v>
      </c>
      <c r="BG794">
        <v>162</v>
      </c>
      <c r="BH794">
        <v>9.1</v>
      </c>
      <c r="BI794">
        <v>9.1999999999999993</v>
      </c>
      <c r="BJ794">
        <v>18.3</v>
      </c>
      <c r="BK794">
        <v>0.34</v>
      </c>
      <c r="BL794">
        <v>7.3</v>
      </c>
      <c r="BM794">
        <v>0.9</v>
      </c>
      <c r="BN794">
        <v>7.5</v>
      </c>
      <c r="BO794">
        <v>2.9</v>
      </c>
      <c r="BP794">
        <f t="shared" si="24"/>
        <v>6.5306012000962257</v>
      </c>
      <c r="BQ794">
        <f t="shared" si="25"/>
        <v>19.513770732369014</v>
      </c>
    </row>
    <row r="795" spans="1:69" hidden="1" x14ac:dyDescent="0.2">
      <c r="A795" t="s">
        <v>2603</v>
      </c>
      <c r="B795" t="s">
        <v>68</v>
      </c>
      <c r="C795" t="s">
        <v>1956</v>
      </c>
      <c r="D795" t="s">
        <v>70</v>
      </c>
      <c r="E795" t="s">
        <v>2505</v>
      </c>
      <c r="F795">
        <v>3</v>
      </c>
      <c r="G795">
        <v>239</v>
      </c>
      <c r="H795">
        <v>5</v>
      </c>
      <c r="I795">
        <v>3</v>
      </c>
      <c r="J795">
        <v>2</v>
      </c>
      <c r="K795" t="s">
        <v>110</v>
      </c>
      <c r="L795" t="s">
        <v>162</v>
      </c>
      <c r="M795" s="4">
        <v>550000000</v>
      </c>
      <c r="N795">
        <v>0</v>
      </c>
      <c r="O795">
        <v>4.7090325359999996</v>
      </c>
      <c r="P795">
        <v>-74.098304749999997</v>
      </c>
      <c r="Q795" t="s">
        <v>2604</v>
      </c>
      <c r="R795">
        <v>2301255.23</v>
      </c>
      <c r="S795">
        <v>0</v>
      </c>
      <c r="T795" t="s">
        <v>419</v>
      </c>
      <c r="U795" t="s">
        <v>420</v>
      </c>
      <c r="V795" t="s">
        <v>77</v>
      </c>
      <c r="W795" t="s">
        <v>78</v>
      </c>
      <c r="X795" t="s">
        <v>421</v>
      </c>
      <c r="Y795">
        <v>4.2717134301815598</v>
      </c>
      <c r="Z795">
        <v>4271.7134301815604</v>
      </c>
      <c r="AA795">
        <v>4.7358055555555598</v>
      </c>
      <c r="AB795">
        <v>-74.125888888888895</v>
      </c>
      <c r="AC795">
        <v>2574</v>
      </c>
      <c r="AD795">
        <v>0</v>
      </c>
      <c r="AE795" t="s">
        <v>154</v>
      </c>
      <c r="AF795" t="s">
        <v>107</v>
      </c>
      <c r="AG795" t="s">
        <v>82</v>
      </c>
      <c r="AH795" t="s">
        <v>83</v>
      </c>
      <c r="AI795" t="s">
        <v>412</v>
      </c>
      <c r="AJ795">
        <v>0.75654820967161895</v>
      </c>
      <c r="AK795">
        <v>3.54330478264791</v>
      </c>
      <c r="AL795">
        <v>1.2595653638275099</v>
      </c>
      <c r="AM795">
        <v>0.27729266951776799</v>
      </c>
      <c r="AN795">
        <v>2.1572913736332802</v>
      </c>
      <c r="AO795">
        <v>6.8587212716617899E-2</v>
      </c>
      <c r="AP795">
        <v>6.8587212716617899E-2</v>
      </c>
      <c r="AQ795">
        <v>0</v>
      </c>
      <c r="AR795">
        <v>2</v>
      </c>
      <c r="AS795">
        <v>0</v>
      </c>
      <c r="AT795">
        <v>0</v>
      </c>
      <c r="AU795">
        <v>0</v>
      </c>
      <c r="AV795">
        <v>27</v>
      </c>
      <c r="AW795">
        <v>0</v>
      </c>
      <c r="AX795">
        <v>0</v>
      </c>
      <c r="AZ795">
        <v>6.8</v>
      </c>
      <c r="BA795">
        <v>19.899999999999999</v>
      </c>
      <c r="BB795">
        <v>564</v>
      </c>
      <c r="BC795">
        <v>68</v>
      </c>
      <c r="BD795">
        <v>1.5</v>
      </c>
      <c r="BE795">
        <v>135</v>
      </c>
      <c r="BF795">
        <v>0.8</v>
      </c>
      <c r="BG795">
        <v>162</v>
      </c>
      <c r="BH795">
        <v>9.1</v>
      </c>
      <c r="BI795">
        <v>9.1999999999999993</v>
      </c>
      <c r="BJ795">
        <v>18.3</v>
      </c>
      <c r="BK795">
        <v>0.34</v>
      </c>
      <c r="BL795">
        <v>7.3</v>
      </c>
      <c r="BM795">
        <v>0.9</v>
      </c>
      <c r="BN795">
        <v>7.5</v>
      </c>
      <c r="BO795">
        <v>2.9</v>
      </c>
      <c r="BP795">
        <f t="shared" si="24"/>
        <v>5.5039873229652994</v>
      </c>
      <c r="BQ795">
        <f t="shared" si="25"/>
        <v>17.960925799576035</v>
      </c>
    </row>
    <row r="796" spans="1:69" hidden="1" x14ac:dyDescent="0.2">
      <c r="A796" t="s">
        <v>2272</v>
      </c>
      <c r="B796" t="s">
        <v>68</v>
      </c>
      <c r="C796" t="s">
        <v>1956</v>
      </c>
      <c r="D796" t="s">
        <v>70</v>
      </c>
      <c r="E796" t="s">
        <v>1022</v>
      </c>
      <c r="F796">
        <v>4</v>
      </c>
      <c r="G796">
        <v>235</v>
      </c>
      <c r="H796">
        <v>4</v>
      </c>
      <c r="I796">
        <v>3</v>
      </c>
      <c r="J796">
        <v>3</v>
      </c>
      <c r="K796" t="s">
        <v>110</v>
      </c>
      <c r="L796" t="s">
        <v>162</v>
      </c>
      <c r="M796" s="4">
        <v>930000000</v>
      </c>
      <c r="N796">
        <v>0</v>
      </c>
      <c r="O796">
        <v>4.6965366</v>
      </c>
      <c r="P796">
        <v>-74.079441700000004</v>
      </c>
      <c r="Q796" t="s">
        <v>2273</v>
      </c>
      <c r="R796">
        <v>3957446.8089999999</v>
      </c>
      <c r="S796">
        <v>0</v>
      </c>
      <c r="T796" t="s">
        <v>75</v>
      </c>
      <c r="U796" t="s">
        <v>76</v>
      </c>
      <c r="V796" t="s">
        <v>77</v>
      </c>
      <c r="W796" t="s">
        <v>78</v>
      </c>
      <c r="X796" t="s">
        <v>79</v>
      </c>
      <c r="Y796">
        <v>4.2675586499904696</v>
      </c>
      <c r="Z796">
        <v>4267.5586499904703</v>
      </c>
      <c r="AA796">
        <v>4.6584666666666701</v>
      </c>
      <c r="AB796">
        <v>-74.083966666666697</v>
      </c>
      <c r="AC796">
        <v>2552</v>
      </c>
      <c r="AD796">
        <v>0</v>
      </c>
      <c r="AE796" t="s">
        <v>80</v>
      </c>
      <c r="AF796" t="s">
        <v>81</v>
      </c>
      <c r="AG796" t="s">
        <v>82</v>
      </c>
      <c r="AH796" t="s">
        <v>83</v>
      </c>
      <c r="AI796" t="s">
        <v>121</v>
      </c>
      <c r="AJ796">
        <v>0.84690885188026299</v>
      </c>
      <c r="AK796">
        <v>5.0814538884801603</v>
      </c>
      <c r="AL796">
        <v>1.0992944916282099</v>
      </c>
      <c r="AM796">
        <v>0.39744727058915802</v>
      </c>
      <c r="AN796">
        <v>2.52565673930531</v>
      </c>
      <c r="AO796">
        <v>0.34476490704325202</v>
      </c>
      <c r="AP796">
        <v>0.34476490704325202</v>
      </c>
      <c r="AQ796">
        <v>0</v>
      </c>
      <c r="AR796">
        <v>2</v>
      </c>
      <c r="AS796">
        <v>0</v>
      </c>
      <c r="AT796">
        <v>0</v>
      </c>
      <c r="AU796">
        <v>0</v>
      </c>
      <c r="AV796">
        <v>42</v>
      </c>
      <c r="AW796">
        <v>0</v>
      </c>
      <c r="AX796">
        <v>0</v>
      </c>
      <c r="AZ796">
        <v>6.8</v>
      </c>
      <c r="BA796">
        <v>19.899999999999999</v>
      </c>
      <c r="BB796">
        <v>564</v>
      </c>
      <c r="BC796">
        <v>68</v>
      </c>
      <c r="BD796">
        <v>1.5</v>
      </c>
      <c r="BE796">
        <v>135</v>
      </c>
      <c r="BF796">
        <v>0.8</v>
      </c>
      <c r="BG796">
        <v>162</v>
      </c>
      <c r="BH796">
        <v>9.1</v>
      </c>
      <c r="BI796">
        <v>9.1999999999999993</v>
      </c>
      <c r="BJ796">
        <v>18.3</v>
      </c>
      <c r="BK796">
        <v>0.34</v>
      </c>
      <c r="BL796">
        <v>7.3</v>
      </c>
      <c r="BM796">
        <v>0.9</v>
      </c>
      <c r="BN796">
        <v>7.5</v>
      </c>
      <c r="BO796">
        <v>2.9</v>
      </c>
      <c r="BP796">
        <f t="shared" si="24"/>
        <v>5.5051193983198567</v>
      </c>
      <c r="BQ796">
        <f t="shared" si="25"/>
        <v>17.962716857641396</v>
      </c>
    </row>
    <row r="797" spans="1:69" hidden="1" x14ac:dyDescent="0.2">
      <c r="A797" t="s">
        <v>2049</v>
      </c>
      <c r="B797" t="s">
        <v>68</v>
      </c>
      <c r="C797" t="s">
        <v>1956</v>
      </c>
      <c r="D797" t="s">
        <v>70</v>
      </c>
      <c r="E797" t="s">
        <v>329</v>
      </c>
      <c r="F797">
        <v>5</v>
      </c>
      <c r="G797">
        <v>234.76</v>
      </c>
      <c r="H797">
        <v>5</v>
      </c>
      <c r="I797">
        <v>5</v>
      </c>
      <c r="J797">
        <v>2</v>
      </c>
      <c r="K797" t="s">
        <v>110</v>
      </c>
      <c r="L797" t="s">
        <v>162</v>
      </c>
      <c r="M797" s="4">
        <v>850000000</v>
      </c>
      <c r="N797">
        <v>0</v>
      </c>
      <c r="O797">
        <v>4.6983885770000002</v>
      </c>
      <c r="P797">
        <v>-74.080482480000001</v>
      </c>
      <c r="Q797" t="s">
        <v>2050</v>
      </c>
      <c r="R797">
        <v>3620719.0320000001</v>
      </c>
      <c r="S797">
        <v>0</v>
      </c>
      <c r="T797" t="s">
        <v>75</v>
      </c>
      <c r="U797" t="s">
        <v>76</v>
      </c>
      <c r="V797" t="s">
        <v>77</v>
      </c>
      <c r="W797" t="s">
        <v>78</v>
      </c>
      <c r="X797" t="s">
        <v>79</v>
      </c>
      <c r="Y797">
        <v>4.4608676089901396</v>
      </c>
      <c r="Z797">
        <v>4460.8676089901401</v>
      </c>
      <c r="AA797">
        <v>4.6584666666666701</v>
      </c>
      <c r="AB797">
        <v>-74.083966666666697</v>
      </c>
      <c r="AC797">
        <v>2552</v>
      </c>
      <c r="AD797">
        <v>0</v>
      </c>
      <c r="AE797" t="s">
        <v>80</v>
      </c>
      <c r="AF797" t="s">
        <v>81</v>
      </c>
      <c r="AG797" t="s">
        <v>82</v>
      </c>
      <c r="AH797" t="s">
        <v>83</v>
      </c>
      <c r="AI797" t="s">
        <v>121</v>
      </c>
      <c r="AJ797">
        <v>0.88661418864355401</v>
      </c>
      <c r="AK797">
        <v>5.2843198607902702</v>
      </c>
      <c r="AL797">
        <v>1.0477248030183199</v>
      </c>
      <c r="AM797">
        <v>0.24440041925466699</v>
      </c>
      <c r="AN797">
        <v>2.62921740819022</v>
      </c>
      <c r="AO797">
        <v>0.358072769802326</v>
      </c>
      <c r="AP797">
        <v>0.358072769802326</v>
      </c>
      <c r="AQ797">
        <v>0</v>
      </c>
      <c r="AR797">
        <v>2</v>
      </c>
      <c r="AS797">
        <v>0</v>
      </c>
      <c r="AT797">
        <v>0</v>
      </c>
      <c r="AU797">
        <v>0</v>
      </c>
      <c r="AV797">
        <v>37</v>
      </c>
      <c r="AW797">
        <v>0</v>
      </c>
      <c r="AX797">
        <v>0</v>
      </c>
      <c r="AZ797">
        <v>6.8</v>
      </c>
      <c r="BA797">
        <v>19.899999999999999</v>
      </c>
      <c r="BB797">
        <v>564</v>
      </c>
      <c r="BC797">
        <v>68</v>
      </c>
      <c r="BD797">
        <v>1.5</v>
      </c>
      <c r="BE797">
        <v>135</v>
      </c>
      <c r="BF797">
        <v>0.8</v>
      </c>
      <c r="BG797">
        <v>162</v>
      </c>
      <c r="BH797">
        <v>9.1</v>
      </c>
      <c r="BI797">
        <v>9.1999999999999993</v>
      </c>
      <c r="BJ797">
        <v>18.3</v>
      </c>
      <c r="BK797">
        <v>0.34</v>
      </c>
      <c r="BL797">
        <v>7.3</v>
      </c>
      <c r="BM797">
        <v>0.9</v>
      </c>
      <c r="BN797">
        <v>7.5</v>
      </c>
      <c r="BO797">
        <v>2.9</v>
      </c>
      <c r="BP797">
        <f t="shared" si="24"/>
        <v>5.4526932751580874</v>
      </c>
      <c r="BQ797">
        <f t="shared" si="25"/>
        <v>17.879573377013124</v>
      </c>
    </row>
    <row r="798" spans="1:69" hidden="1" x14ac:dyDescent="0.2">
      <c r="A798" t="s">
        <v>2417</v>
      </c>
      <c r="B798" t="s">
        <v>68</v>
      </c>
      <c r="C798" t="s">
        <v>1956</v>
      </c>
      <c r="D798" t="s">
        <v>70</v>
      </c>
      <c r="E798" t="s">
        <v>2418</v>
      </c>
      <c r="F798">
        <v>4</v>
      </c>
      <c r="G798">
        <v>232.2</v>
      </c>
      <c r="H798">
        <v>5</v>
      </c>
      <c r="I798">
        <v>5</v>
      </c>
      <c r="J798">
        <v>3</v>
      </c>
      <c r="K798" t="s">
        <v>110</v>
      </c>
      <c r="L798" t="s">
        <v>124</v>
      </c>
      <c r="M798" s="4">
        <v>1480000000</v>
      </c>
      <c r="N798">
        <v>0</v>
      </c>
      <c r="O798">
        <v>4.6502776150000003</v>
      </c>
      <c r="P798">
        <v>-74.079803470000002</v>
      </c>
      <c r="Q798" t="s">
        <v>2419</v>
      </c>
      <c r="R798">
        <v>6373815.676</v>
      </c>
      <c r="S798">
        <v>0</v>
      </c>
      <c r="T798" t="s">
        <v>75</v>
      </c>
      <c r="U798" t="s">
        <v>76</v>
      </c>
      <c r="V798" t="s">
        <v>77</v>
      </c>
      <c r="W798" t="s">
        <v>78</v>
      </c>
      <c r="X798" t="s">
        <v>79</v>
      </c>
      <c r="Y798">
        <v>1.0219508200979599</v>
      </c>
      <c r="Z798">
        <v>1021.95082009796</v>
      </c>
      <c r="AA798">
        <v>4.6584666666666701</v>
      </c>
      <c r="AB798">
        <v>-74.083966666666697</v>
      </c>
      <c r="AC798">
        <v>2552</v>
      </c>
      <c r="AD798">
        <v>0</v>
      </c>
      <c r="AE798" t="s">
        <v>80</v>
      </c>
      <c r="AF798" t="s">
        <v>81</v>
      </c>
      <c r="AG798" t="s">
        <v>82</v>
      </c>
      <c r="AH798" t="s">
        <v>83</v>
      </c>
      <c r="AI798" t="s">
        <v>84</v>
      </c>
      <c r="AJ798">
        <v>0.16193463840464301</v>
      </c>
      <c r="AK798">
        <v>2.6766436458234799</v>
      </c>
      <c r="AL798">
        <v>0.30668136871746399</v>
      </c>
      <c r="AM798">
        <v>0.106529197598841</v>
      </c>
      <c r="AN798">
        <v>2.5602536744262001</v>
      </c>
      <c r="AO798">
        <v>5.6361176807670998E-2</v>
      </c>
      <c r="AP798">
        <v>5.6361176807670998E-2</v>
      </c>
      <c r="AQ798">
        <v>1</v>
      </c>
      <c r="AR798">
        <v>3</v>
      </c>
      <c r="AS798">
        <v>0</v>
      </c>
      <c r="AT798">
        <v>0</v>
      </c>
      <c r="AU798">
        <v>3</v>
      </c>
      <c r="AV798">
        <v>31</v>
      </c>
      <c r="AW798">
        <v>0</v>
      </c>
      <c r="AX798">
        <v>0</v>
      </c>
      <c r="AZ798">
        <v>6.8</v>
      </c>
      <c r="BA798">
        <v>19.899999999999999</v>
      </c>
      <c r="BB798">
        <v>564</v>
      </c>
      <c r="BC798">
        <v>68</v>
      </c>
      <c r="BD798">
        <v>1.5</v>
      </c>
      <c r="BE798">
        <v>135</v>
      </c>
      <c r="BF798">
        <v>0.8</v>
      </c>
      <c r="BG798">
        <v>162</v>
      </c>
      <c r="BH798">
        <v>9.1</v>
      </c>
      <c r="BI798">
        <v>9.1999999999999993</v>
      </c>
      <c r="BJ798">
        <v>18.3</v>
      </c>
      <c r="BK798">
        <v>0.34</v>
      </c>
      <c r="BL798">
        <v>7.3</v>
      </c>
      <c r="BM798">
        <v>0.9</v>
      </c>
      <c r="BN798">
        <v>7.5</v>
      </c>
      <c r="BO798">
        <v>2.9</v>
      </c>
      <c r="BP798">
        <f t="shared" si="24"/>
        <v>6.4645670816548115</v>
      </c>
      <c r="BQ798">
        <f t="shared" si="25"/>
        <v>19.417853221837309</v>
      </c>
    </row>
    <row r="799" spans="1:69" hidden="1" x14ac:dyDescent="0.2">
      <c r="A799" t="s">
        <v>2057</v>
      </c>
      <c r="B799" t="s">
        <v>68</v>
      </c>
      <c r="C799" t="s">
        <v>1956</v>
      </c>
      <c r="D799" t="s">
        <v>70</v>
      </c>
      <c r="E799" t="s">
        <v>1127</v>
      </c>
      <c r="F799">
        <v>4</v>
      </c>
      <c r="G799">
        <v>232</v>
      </c>
      <c r="H799">
        <v>5</v>
      </c>
      <c r="I799">
        <v>5</v>
      </c>
      <c r="J799">
        <v>1</v>
      </c>
      <c r="K799" t="s">
        <v>110</v>
      </c>
      <c r="L799" t="s">
        <v>162</v>
      </c>
      <c r="M799" s="4">
        <v>799000000</v>
      </c>
      <c r="N799">
        <v>0</v>
      </c>
      <c r="O799">
        <v>4.6431560520000001</v>
      </c>
      <c r="P799">
        <v>-74.069587709999993</v>
      </c>
      <c r="Q799" t="s">
        <v>2058</v>
      </c>
      <c r="R799">
        <v>3443965.517</v>
      </c>
      <c r="S799">
        <v>0</v>
      </c>
      <c r="T799" t="s">
        <v>126</v>
      </c>
      <c r="U799" t="s">
        <v>127</v>
      </c>
      <c r="V799" t="s">
        <v>77</v>
      </c>
      <c r="W799" t="s">
        <v>128</v>
      </c>
      <c r="X799" t="s">
        <v>129</v>
      </c>
      <c r="Y799">
        <v>1.98816639487039</v>
      </c>
      <c r="Z799">
        <v>1988.1663948703899</v>
      </c>
      <c r="AA799">
        <v>4.6254861111111101</v>
      </c>
      <c r="AB799">
        <v>-74.066980555555503</v>
      </c>
      <c r="AC799">
        <v>2621</v>
      </c>
      <c r="AD799">
        <v>15</v>
      </c>
      <c r="AE799" t="s">
        <v>80</v>
      </c>
      <c r="AF799" t="s">
        <v>81</v>
      </c>
      <c r="AG799" t="s">
        <v>82</v>
      </c>
      <c r="AH799" t="s">
        <v>83</v>
      </c>
      <c r="AI799" t="s">
        <v>84</v>
      </c>
      <c r="AJ799">
        <v>0.41732018090406697</v>
      </c>
      <c r="AK799">
        <v>1.35526417036437</v>
      </c>
      <c r="AL799">
        <v>0.23651115028459099</v>
      </c>
      <c r="AM799">
        <v>0.12126394585825601</v>
      </c>
      <c r="AN799">
        <v>1.2533064213298399</v>
      </c>
      <c r="AO799">
        <v>4.9962748181764704E-3</v>
      </c>
      <c r="AP799">
        <v>4.9962748181764704E-3</v>
      </c>
      <c r="AQ799">
        <v>1</v>
      </c>
      <c r="AR799">
        <v>4</v>
      </c>
      <c r="AS799">
        <v>0</v>
      </c>
      <c r="AT799">
        <v>0</v>
      </c>
      <c r="AU799">
        <v>9</v>
      </c>
      <c r="AV799">
        <v>180</v>
      </c>
      <c r="AW799">
        <v>0</v>
      </c>
      <c r="AX799">
        <v>0</v>
      </c>
      <c r="AZ799">
        <v>6.8</v>
      </c>
      <c r="BA799">
        <v>19.899999999999999</v>
      </c>
      <c r="BB799">
        <v>564</v>
      </c>
      <c r="BC799">
        <v>68</v>
      </c>
      <c r="BD799">
        <v>1.5</v>
      </c>
      <c r="BE799">
        <v>135</v>
      </c>
      <c r="BF799">
        <v>0.8</v>
      </c>
      <c r="BG799">
        <v>162</v>
      </c>
      <c r="BH799">
        <v>9.1</v>
      </c>
      <c r="BI799">
        <v>9.1999999999999993</v>
      </c>
      <c r="BJ799">
        <v>18.3</v>
      </c>
      <c r="BK799">
        <v>0.34</v>
      </c>
      <c r="BL799">
        <v>7.3</v>
      </c>
      <c r="BM799">
        <v>0.9</v>
      </c>
      <c r="BN799">
        <v>7.5</v>
      </c>
      <c r="BO799">
        <v>2.9</v>
      </c>
      <c r="BP799">
        <f t="shared" si="24"/>
        <v>6.1626592180532151</v>
      </c>
      <c r="BQ799">
        <f t="shared" si="25"/>
        <v>18.972749982502943</v>
      </c>
    </row>
    <row r="800" spans="1:69" hidden="1" x14ac:dyDescent="0.2">
      <c r="A800" t="s">
        <v>1073</v>
      </c>
      <c r="B800" t="s">
        <v>68</v>
      </c>
      <c r="C800" t="s">
        <v>69</v>
      </c>
      <c r="D800" t="s">
        <v>70</v>
      </c>
      <c r="E800" t="s">
        <v>1074</v>
      </c>
      <c r="F800">
        <v>6</v>
      </c>
      <c r="G800">
        <v>230</v>
      </c>
      <c r="H800">
        <v>3</v>
      </c>
      <c r="I800">
        <v>4</v>
      </c>
      <c r="J800">
        <v>2</v>
      </c>
      <c r="K800" t="s">
        <v>110</v>
      </c>
      <c r="L800" t="s">
        <v>162</v>
      </c>
      <c r="M800" s="4">
        <v>1390000000</v>
      </c>
      <c r="N800">
        <v>0</v>
      </c>
      <c r="O800">
        <v>4.6824493409999999</v>
      </c>
      <c r="P800">
        <v>-74.056884769999996</v>
      </c>
      <c r="Q800" t="s">
        <v>1075</v>
      </c>
      <c r="R800">
        <v>6043478.2609999999</v>
      </c>
      <c r="S800">
        <v>0</v>
      </c>
      <c r="T800" t="s">
        <v>75</v>
      </c>
      <c r="U800" t="s">
        <v>76</v>
      </c>
      <c r="V800" t="s">
        <v>77</v>
      </c>
      <c r="W800" t="s">
        <v>78</v>
      </c>
      <c r="X800" t="s">
        <v>79</v>
      </c>
      <c r="Y800">
        <v>4.0194432563947302</v>
      </c>
      <c r="Z800">
        <v>4019.4432563947298</v>
      </c>
      <c r="AA800">
        <v>4.6584666666666701</v>
      </c>
      <c r="AB800">
        <v>-74.083966666666697</v>
      </c>
      <c r="AC800">
        <v>2552</v>
      </c>
      <c r="AD800">
        <v>0</v>
      </c>
      <c r="AE800" t="s">
        <v>80</v>
      </c>
      <c r="AF800" t="s">
        <v>81</v>
      </c>
      <c r="AG800" t="s">
        <v>82</v>
      </c>
      <c r="AH800" t="s">
        <v>83</v>
      </c>
      <c r="AI800" t="s">
        <v>130</v>
      </c>
      <c r="AJ800">
        <v>0.189477863369857</v>
      </c>
      <c r="AK800">
        <v>2.14085782312777</v>
      </c>
      <c r="AL800">
        <v>0.58147229379216303</v>
      </c>
      <c r="AM800">
        <v>6.1806867673580797E-2</v>
      </c>
      <c r="AN800">
        <v>2.92937270879073</v>
      </c>
      <c r="AO800">
        <v>0.19591434410210501</v>
      </c>
      <c r="AP800">
        <v>0.19591434410210501</v>
      </c>
      <c r="AQ800">
        <v>1</v>
      </c>
      <c r="AR800">
        <v>5</v>
      </c>
      <c r="AS800">
        <v>0</v>
      </c>
      <c r="AT800">
        <v>0</v>
      </c>
      <c r="AU800">
        <v>5</v>
      </c>
      <c r="AV800">
        <v>241</v>
      </c>
      <c r="AW800">
        <v>0</v>
      </c>
      <c r="AX800">
        <v>0</v>
      </c>
      <c r="AZ800">
        <v>6.8</v>
      </c>
      <c r="BA800">
        <v>19.899999999999999</v>
      </c>
      <c r="BB800">
        <v>564</v>
      </c>
      <c r="BC800">
        <v>68</v>
      </c>
      <c r="BD800">
        <v>1.5</v>
      </c>
      <c r="BE800">
        <v>135</v>
      </c>
      <c r="BF800">
        <v>0.8</v>
      </c>
      <c r="BG800">
        <v>162</v>
      </c>
      <c r="BH800">
        <v>9.1</v>
      </c>
      <c r="BI800">
        <v>9.1999999999999993</v>
      </c>
      <c r="BJ800">
        <v>18.3</v>
      </c>
      <c r="BK800">
        <v>0.34</v>
      </c>
      <c r="BL800">
        <v>7.3</v>
      </c>
      <c r="BM800">
        <v>0.9</v>
      </c>
      <c r="BN800">
        <v>7.5</v>
      </c>
      <c r="BO800">
        <v>2.9</v>
      </c>
      <c r="BP800">
        <f t="shared" si="24"/>
        <v>5.5731485915534966</v>
      </c>
      <c r="BQ800">
        <f t="shared" si="25"/>
        <v>18.069999800739147</v>
      </c>
    </row>
    <row r="801" spans="1:69" hidden="1" x14ac:dyDescent="0.2">
      <c r="A801" t="s">
        <v>2906</v>
      </c>
      <c r="B801" t="s">
        <v>68</v>
      </c>
      <c r="C801" t="s">
        <v>1956</v>
      </c>
      <c r="D801" t="s">
        <v>70</v>
      </c>
      <c r="E801" t="s">
        <v>2521</v>
      </c>
      <c r="F801">
        <v>4</v>
      </c>
      <c r="G801">
        <v>229</v>
      </c>
      <c r="H801">
        <v>4</v>
      </c>
      <c r="I801">
        <v>4</v>
      </c>
      <c r="J801">
        <v>1</v>
      </c>
      <c r="K801" t="s">
        <v>110</v>
      </c>
      <c r="L801" t="s">
        <v>162</v>
      </c>
      <c r="M801" s="4">
        <v>900000000</v>
      </c>
      <c r="N801">
        <v>0</v>
      </c>
      <c r="O801">
        <v>4.6718900000000003</v>
      </c>
      <c r="P801">
        <v>-74.06129</v>
      </c>
      <c r="Q801" t="s">
        <v>2907</v>
      </c>
      <c r="R801">
        <v>3930131.0040000002</v>
      </c>
      <c r="S801">
        <v>0</v>
      </c>
      <c r="T801" t="s">
        <v>75</v>
      </c>
      <c r="U801" t="s">
        <v>76</v>
      </c>
      <c r="V801" t="s">
        <v>77</v>
      </c>
      <c r="W801" t="s">
        <v>78</v>
      </c>
      <c r="X801" t="s">
        <v>79</v>
      </c>
      <c r="Y801">
        <v>2.9262746522943801</v>
      </c>
      <c r="Z801">
        <v>2926.2746522943798</v>
      </c>
      <c r="AA801">
        <v>4.6584666666666701</v>
      </c>
      <c r="AB801">
        <v>-74.083966666666697</v>
      </c>
      <c r="AC801">
        <v>2552</v>
      </c>
      <c r="AD801">
        <v>0</v>
      </c>
      <c r="AE801" t="s">
        <v>80</v>
      </c>
      <c r="AF801" t="s">
        <v>81</v>
      </c>
      <c r="AG801" t="s">
        <v>82</v>
      </c>
      <c r="AH801" t="s">
        <v>83</v>
      </c>
      <c r="AI801" t="s">
        <v>342</v>
      </c>
      <c r="AJ801">
        <v>0.188437517561581</v>
      </c>
      <c r="AK801">
        <v>1.9572991384048199</v>
      </c>
      <c r="AL801">
        <v>0.54458841374904998</v>
      </c>
      <c r="AM801">
        <v>4.9021117388124397E-2</v>
      </c>
      <c r="AN801">
        <v>2.29091999828819</v>
      </c>
      <c r="AO801">
        <v>0.44996065441525901</v>
      </c>
      <c r="AP801">
        <v>0.44996065441525901</v>
      </c>
      <c r="AQ801">
        <v>3</v>
      </c>
      <c r="AR801">
        <v>7</v>
      </c>
      <c r="AS801">
        <v>0</v>
      </c>
      <c r="AT801">
        <v>0</v>
      </c>
      <c r="AU801">
        <v>5</v>
      </c>
      <c r="AV801">
        <v>276</v>
      </c>
      <c r="AW801">
        <v>0</v>
      </c>
      <c r="AX801">
        <v>0</v>
      </c>
      <c r="AZ801">
        <v>6.8</v>
      </c>
      <c r="BA801">
        <v>19.899999999999999</v>
      </c>
      <c r="BB801">
        <v>564</v>
      </c>
      <c r="BC801">
        <v>68</v>
      </c>
      <c r="BD801">
        <v>1.5</v>
      </c>
      <c r="BE801">
        <v>135</v>
      </c>
      <c r="BF801">
        <v>0.8</v>
      </c>
      <c r="BG801">
        <v>162</v>
      </c>
      <c r="BH801">
        <v>9.1</v>
      </c>
      <c r="BI801">
        <v>9.1999999999999993</v>
      </c>
      <c r="BJ801">
        <v>18.3</v>
      </c>
      <c r="BK801">
        <v>0.34</v>
      </c>
      <c r="BL801">
        <v>7.3</v>
      </c>
      <c r="BM801">
        <v>0.9</v>
      </c>
      <c r="BN801">
        <v>7.5</v>
      </c>
      <c r="BO801">
        <v>2.9</v>
      </c>
      <c r="BP801">
        <f t="shared" si="24"/>
        <v>5.8830304799676734</v>
      </c>
      <c r="BQ801">
        <f t="shared" si="25"/>
        <v>18.550358964930098</v>
      </c>
    </row>
    <row r="802" spans="1:69" hidden="1" x14ac:dyDescent="0.2">
      <c r="A802" t="s">
        <v>1224</v>
      </c>
      <c r="B802" t="s">
        <v>68</v>
      </c>
      <c r="C802" t="s">
        <v>69</v>
      </c>
      <c r="D802" t="s">
        <v>70</v>
      </c>
      <c r="E802" t="s">
        <v>132</v>
      </c>
      <c r="F802">
        <v>6</v>
      </c>
      <c r="G802">
        <v>227</v>
      </c>
      <c r="H802">
        <v>3</v>
      </c>
      <c r="I802">
        <v>4</v>
      </c>
      <c r="J802">
        <v>2</v>
      </c>
      <c r="K802" t="s">
        <v>110</v>
      </c>
      <c r="L802" t="s">
        <v>162</v>
      </c>
      <c r="M802" s="4">
        <v>2850000000</v>
      </c>
      <c r="N802">
        <v>0</v>
      </c>
      <c r="O802">
        <v>4.6742029189999998</v>
      </c>
      <c r="P802">
        <v>-74.055229190000006</v>
      </c>
      <c r="Q802" t="s">
        <v>1225</v>
      </c>
      <c r="R802">
        <v>12555066.08</v>
      </c>
      <c r="S802">
        <v>0</v>
      </c>
      <c r="T802" t="s">
        <v>75</v>
      </c>
      <c r="U802" t="s">
        <v>76</v>
      </c>
      <c r="V802" t="s">
        <v>77</v>
      </c>
      <c r="W802" t="s">
        <v>78</v>
      </c>
      <c r="X802" t="s">
        <v>79</v>
      </c>
      <c r="Y802">
        <v>3.63796205292895</v>
      </c>
      <c r="Z802">
        <v>3637.96205292895</v>
      </c>
      <c r="AA802">
        <v>4.6584666666666701</v>
      </c>
      <c r="AB802">
        <v>-74.083966666666697</v>
      </c>
      <c r="AC802">
        <v>2552</v>
      </c>
      <c r="AD802">
        <v>0</v>
      </c>
      <c r="AE802" t="s">
        <v>80</v>
      </c>
      <c r="AF802" t="s">
        <v>81</v>
      </c>
      <c r="AG802" t="s">
        <v>82</v>
      </c>
      <c r="AH802" t="s">
        <v>83</v>
      </c>
      <c r="AI802" t="s">
        <v>130</v>
      </c>
      <c r="AJ802">
        <v>0.46471471056503399</v>
      </c>
      <c r="AK802">
        <v>1.4811234492290399</v>
      </c>
      <c r="AL802">
        <v>0.78759240591788104</v>
      </c>
      <c r="AM802">
        <v>0.102863159577316</v>
      </c>
      <c r="AN802">
        <v>2.9533985418050199</v>
      </c>
      <c r="AO802">
        <v>0.78442002192833105</v>
      </c>
      <c r="AP802">
        <v>0.78442002192833105</v>
      </c>
      <c r="AQ802">
        <v>1</v>
      </c>
      <c r="AR802">
        <v>3</v>
      </c>
      <c r="AS802">
        <v>0</v>
      </c>
      <c r="AT802">
        <v>0</v>
      </c>
      <c r="AU802">
        <v>5</v>
      </c>
      <c r="AV802">
        <v>301</v>
      </c>
      <c r="AW802">
        <v>0</v>
      </c>
      <c r="AX802">
        <v>0</v>
      </c>
      <c r="AZ802">
        <v>6.8</v>
      </c>
      <c r="BA802">
        <v>19.899999999999999</v>
      </c>
      <c r="BB802">
        <v>564</v>
      </c>
      <c r="BC802">
        <v>68</v>
      </c>
      <c r="BD802">
        <v>1.5</v>
      </c>
      <c r="BE802">
        <v>135</v>
      </c>
      <c r="BF802">
        <v>0.8</v>
      </c>
      <c r="BG802">
        <v>162</v>
      </c>
      <c r="BH802">
        <v>9.1</v>
      </c>
      <c r="BI802">
        <v>9.1999999999999993</v>
      </c>
      <c r="BJ802">
        <v>18.3</v>
      </c>
      <c r="BK802">
        <v>0.34</v>
      </c>
      <c r="BL802">
        <v>7.3</v>
      </c>
      <c r="BM802">
        <v>0.9</v>
      </c>
      <c r="BN802">
        <v>7.5</v>
      </c>
      <c r="BO802">
        <v>2.9</v>
      </c>
      <c r="BP802">
        <f t="shared" si="24"/>
        <v>5.6793880574354239</v>
      </c>
      <c r="BQ802">
        <f t="shared" si="25"/>
        <v>18.236200234366233</v>
      </c>
    </row>
    <row r="803" spans="1:69" hidden="1" x14ac:dyDescent="0.2">
      <c r="A803" t="s">
        <v>3279</v>
      </c>
      <c r="B803" t="s">
        <v>68</v>
      </c>
      <c r="C803" t="s">
        <v>1956</v>
      </c>
      <c r="D803" t="s">
        <v>70</v>
      </c>
      <c r="E803" t="s">
        <v>1022</v>
      </c>
      <c r="F803">
        <v>5</v>
      </c>
      <c r="G803">
        <v>227</v>
      </c>
      <c r="H803">
        <v>4</v>
      </c>
      <c r="I803">
        <v>3</v>
      </c>
      <c r="J803">
        <v>3</v>
      </c>
      <c r="K803" t="s">
        <v>110</v>
      </c>
      <c r="L803" t="s">
        <v>162</v>
      </c>
      <c r="M803" s="4">
        <v>850000000</v>
      </c>
      <c r="N803">
        <v>0</v>
      </c>
      <c r="O803">
        <v>4.696752</v>
      </c>
      <c r="P803">
        <v>-74.079023000000007</v>
      </c>
      <c r="Q803" t="s">
        <v>3280</v>
      </c>
      <c r="R803">
        <v>3744493.392</v>
      </c>
      <c r="S803">
        <v>0</v>
      </c>
      <c r="T803" t="s">
        <v>75</v>
      </c>
      <c r="U803" t="s">
        <v>76</v>
      </c>
      <c r="V803" t="s">
        <v>77</v>
      </c>
      <c r="W803" t="s">
        <v>78</v>
      </c>
      <c r="X803" t="s">
        <v>79</v>
      </c>
      <c r="Y803">
        <v>4.2970535495684699</v>
      </c>
      <c r="Z803">
        <v>4297.0535495684699</v>
      </c>
      <c r="AA803">
        <v>4.6584666666666701</v>
      </c>
      <c r="AB803">
        <v>-74.083966666666697</v>
      </c>
      <c r="AC803">
        <v>2552</v>
      </c>
      <c r="AD803">
        <v>0</v>
      </c>
      <c r="AE803" t="s">
        <v>80</v>
      </c>
      <c r="AF803" t="s">
        <v>81</v>
      </c>
      <c r="AG803" t="s">
        <v>82</v>
      </c>
      <c r="AH803" t="s">
        <v>83</v>
      </c>
      <c r="AI803" t="s">
        <v>121</v>
      </c>
      <c r="AJ803">
        <v>0.89600552106564701</v>
      </c>
      <c r="AK803">
        <v>5.0530623031799502</v>
      </c>
      <c r="AL803">
        <v>1.0503252926073401</v>
      </c>
      <c r="AM803">
        <v>0.34529323551056301</v>
      </c>
      <c r="AN803">
        <v>2.5546315335004399</v>
      </c>
      <c r="AO803">
        <v>0.29377140810700803</v>
      </c>
      <c r="AP803">
        <v>0.29377140810700803</v>
      </c>
      <c r="AQ803">
        <v>0</v>
      </c>
      <c r="AR803">
        <v>2</v>
      </c>
      <c r="AS803">
        <v>0</v>
      </c>
      <c r="AT803">
        <v>0</v>
      </c>
      <c r="AU803">
        <v>0</v>
      </c>
      <c r="AV803">
        <v>38</v>
      </c>
      <c r="AW803">
        <v>0</v>
      </c>
      <c r="AX803">
        <v>0</v>
      </c>
      <c r="AZ803">
        <v>6.8</v>
      </c>
      <c r="BA803">
        <v>19.899999999999999</v>
      </c>
      <c r="BB803">
        <v>564</v>
      </c>
      <c r="BC803">
        <v>68</v>
      </c>
      <c r="BD803">
        <v>1.5</v>
      </c>
      <c r="BE803">
        <v>135</v>
      </c>
      <c r="BF803">
        <v>0.8</v>
      </c>
      <c r="BG803">
        <v>162</v>
      </c>
      <c r="BH803">
        <v>9.1</v>
      </c>
      <c r="BI803">
        <v>9.1999999999999993</v>
      </c>
      <c r="BJ803">
        <v>18.3</v>
      </c>
      <c r="BK803">
        <v>0.34</v>
      </c>
      <c r="BL803">
        <v>7.3</v>
      </c>
      <c r="BM803">
        <v>0.9</v>
      </c>
      <c r="BN803">
        <v>7.5</v>
      </c>
      <c r="BO803">
        <v>2.9</v>
      </c>
      <c r="BP803">
        <f t="shared" si="24"/>
        <v>5.497087802082854</v>
      </c>
      <c r="BQ803">
        <f t="shared" si="25"/>
        <v>17.950005952337939</v>
      </c>
    </row>
    <row r="804" spans="1:69" hidden="1" x14ac:dyDescent="0.2">
      <c r="A804" t="s">
        <v>3137</v>
      </c>
      <c r="B804" t="s">
        <v>68</v>
      </c>
      <c r="C804" t="s">
        <v>1956</v>
      </c>
      <c r="D804" t="s">
        <v>70</v>
      </c>
      <c r="E804" t="s">
        <v>684</v>
      </c>
      <c r="F804">
        <v>5</v>
      </c>
      <c r="G804">
        <v>226</v>
      </c>
      <c r="H804">
        <v>5</v>
      </c>
      <c r="I804">
        <v>3</v>
      </c>
      <c r="J804">
        <v>3</v>
      </c>
      <c r="K804" t="s">
        <v>110</v>
      </c>
      <c r="L804" t="s">
        <v>162</v>
      </c>
      <c r="M804" s="4">
        <v>1310000000</v>
      </c>
      <c r="N804">
        <v>0</v>
      </c>
      <c r="O804">
        <v>4.6866500000000002</v>
      </c>
      <c r="P804">
        <v>-74.061400000000006</v>
      </c>
      <c r="Q804" t="s">
        <v>3138</v>
      </c>
      <c r="R804">
        <v>5796460.1770000001</v>
      </c>
      <c r="S804">
        <v>0</v>
      </c>
      <c r="T804" t="s">
        <v>75</v>
      </c>
      <c r="U804" t="s">
        <v>76</v>
      </c>
      <c r="V804" t="s">
        <v>77</v>
      </c>
      <c r="W804" t="s">
        <v>78</v>
      </c>
      <c r="X804" t="s">
        <v>79</v>
      </c>
      <c r="Y804">
        <v>4.0139519867751599</v>
      </c>
      <c r="Z804">
        <v>4013.9519867751601</v>
      </c>
      <c r="AA804">
        <v>4.6584666666666701</v>
      </c>
      <c r="AB804">
        <v>-74.083966666666697</v>
      </c>
      <c r="AC804">
        <v>2552</v>
      </c>
      <c r="AD804">
        <v>0</v>
      </c>
      <c r="AE804" t="s">
        <v>80</v>
      </c>
      <c r="AF804" t="s">
        <v>81</v>
      </c>
      <c r="AG804" t="s">
        <v>82</v>
      </c>
      <c r="AH804" t="s">
        <v>83</v>
      </c>
      <c r="AI804" t="s">
        <v>342</v>
      </c>
      <c r="AJ804">
        <v>0.29553718272574597</v>
      </c>
      <c r="AK804">
        <v>2.8026956374666501</v>
      </c>
      <c r="AL804">
        <v>0.829794608491639</v>
      </c>
      <c r="AM804">
        <v>4.1452199998534403E-2</v>
      </c>
      <c r="AN804">
        <v>2.6759065823727499</v>
      </c>
      <c r="AO804">
        <v>0.196295898124037</v>
      </c>
      <c r="AP804">
        <v>0.196295898124037</v>
      </c>
      <c r="AQ804">
        <v>2</v>
      </c>
      <c r="AR804">
        <v>6</v>
      </c>
      <c r="AS804">
        <v>0</v>
      </c>
      <c r="AT804">
        <v>0</v>
      </c>
      <c r="AU804">
        <v>2</v>
      </c>
      <c r="AV804">
        <v>191</v>
      </c>
      <c r="AW804">
        <v>0</v>
      </c>
      <c r="AX804">
        <v>0</v>
      </c>
      <c r="AZ804">
        <v>6.8</v>
      </c>
      <c r="BA804">
        <v>19.899999999999999</v>
      </c>
      <c r="BB804">
        <v>564</v>
      </c>
      <c r="BC804">
        <v>68</v>
      </c>
      <c r="BD804">
        <v>1.5</v>
      </c>
      <c r="BE804">
        <v>135</v>
      </c>
      <c r="BF804">
        <v>0.8</v>
      </c>
      <c r="BG804">
        <v>162</v>
      </c>
      <c r="BH804">
        <v>9.1</v>
      </c>
      <c r="BI804">
        <v>9.1999999999999993</v>
      </c>
      <c r="BJ804">
        <v>18.3</v>
      </c>
      <c r="BK804">
        <v>0.34</v>
      </c>
      <c r="BL804">
        <v>7.3</v>
      </c>
      <c r="BM804">
        <v>0.9</v>
      </c>
      <c r="BN804">
        <v>7.5</v>
      </c>
      <c r="BO804">
        <v>2.9</v>
      </c>
      <c r="BP804">
        <f t="shared" si="24"/>
        <v>5.5746636787045656</v>
      </c>
      <c r="BQ804">
        <f t="shared" si="25"/>
        <v>18.072381411454852</v>
      </c>
    </row>
    <row r="805" spans="1:69" hidden="1" x14ac:dyDescent="0.2">
      <c r="A805" t="s">
        <v>3241</v>
      </c>
      <c r="B805" t="s">
        <v>68</v>
      </c>
      <c r="C805" t="s">
        <v>1956</v>
      </c>
      <c r="D805" t="s">
        <v>70</v>
      </c>
      <c r="E805" t="s">
        <v>3242</v>
      </c>
      <c r="F805">
        <v>2</v>
      </c>
      <c r="G805">
        <v>226</v>
      </c>
      <c r="H805">
        <v>5</v>
      </c>
      <c r="I805">
        <v>4</v>
      </c>
      <c r="J805">
        <v>0</v>
      </c>
      <c r="K805" t="s">
        <v>110</v>
      </c>
      <c r="L805" t="s">
        <v>162</v>
      </c>
      <c r="M805" s="4">
        <v>380000000</v>
      </c>
      <c r="N805">
        <v>0</v>
      </c>
      <c r="O805">
        <v>4.6163800000000004</v>
      </c>
      <c r="P805">
        <v>-74.187449999999998</v>
      </c>
      <c r="Q805" t="s">
        <v>3243</v>
      </c>
      <c r="R805">
        <v>1681415.929</v>
      </c>
      <c r="S805">
        <v>0</v>
      </c>
      <c r="T805" t="s">
        <v>365</v>
      </c>
      <c r="U805" t="s">
        <v>366</v>
      </c>
      <c r="V805" t="s">
        <v>77</v>
      </c>
      <c r="W805" t="s">
        <v>365</v>
      </c>
      <c r="X805" t="s">
        <v>367</v>
      </c>
      <c r="Y805">
        <v>2.19819050017017</v>
      </c>
      <c r="Z805">
        <v>2198.1905001701698</v>
      </c>
      <c r="AA805">
        <v>4.6056111111111102</v>
      </c>
      <c r="AB805">
        <v>-74.204055555555598</v>
      </c>
      <c r="AC805">
        <v>2546</v>
      </c>
      <c r="AD805">
        <v>0</v>
      </c>
      <c r="AE805" t="s">
        <v>80</v>
      </c>
      <c r="AF805" t="s">
        <v>107</v>
      </c>
      <c r="AG805" t="s">
        <v>82</v>
      </c>
      <c r="AH805" t="s">
        <v>83</v>
      </c>
      <c r="AI805" t="s">
        <v>368</v>
      </c>
      <c r="AJ805">
        <v>2.1474626876076699</v>
      </c>
      <c r="AK805">
        <v>3.1989711723774898</v>
      </c>
      <c r="AL805">
        <v>5.9941705261246803</v>
      </c>
      <c r="AM805">
        <v>0.75235631149003201</v>
      </c>
      <c r="AN805">
        <v>1.79446114239369</v>
      </c>
      <c r="AO805">
        <v>3.5335138842950503E-2</v>
      </c>
      <c r="AP805">
        <v>3.5335138842950503E-2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4</v>
      </c>
      <c r="AW805">
        <v>0</v>
      </c>
      <c r="AX805">
        <v>0</v>
      </c>
      <c r="AZ805">
        <v>6.8</v>
      </c>
      <c r="BA805">
        <v>19.899999999999999</v>
      </c>
      <c r="BB805">
        <v>564</v>
      </c>
      <c r="BC805">
        <v>68</v>
      </c>
      <c r="BD805">
        <v>1.5</v>
      </c>
      <c r="BE805">
        <v>135</v>
      </c>
      <c r="BF805">
        <v>0.8</v>
      </c>
      <c r="BG805">
        <v>162</v>
      </c>
      <c r="BH805">
        <v>9.1</v>
      </c>
      <c r="BI805">
        <v>9.1999999999999993</v>
      </c>
      <c r="BJ805">
        <v>18.3</v>
      </c>
      <c r="BK805">
        <v>0.34</v>
      </c>
      <c r="BL805">
        <v>7.3</v>
      </c>
      <c r="BM805">
        <v>0.9</v>
      </c>
      <c r="BN805">
        <v>7.5</v>
      </c>
      <c r="BO805">
        <v>2.9</v>
      </c>
      <c r="BP805">
        <f t="shared" si="24"/>
        <v>6.0989229036950166</v>
      </c>
      <c r="BQ805">
        <f t="shared" si="25"/>
        <v>18.877356966308053</v>
      </c>
    </row>
    <row r="806" spans="1:69" hidden="1" x14ac:dyDescent="0.2">
      <c r="A806" t="s">
        <v>1293</v>
      </c>
      <c r="B806" t="s">
        <v>68</v>
      </c>
      <c r="C806" t="s">
        <v>69</v>
      </c>
      <c r="D806" t="s">
        <v>70</v>
      </c>
      <c r="E806" t="s">
        <v>1294</v>
      </c>
      <c r="F806">
        <v>5</v>
      </c>
      <c r="G806">
        <v>223</v>
      </c>
      <c r="H806">
        <v>3</v>
      </c>
      <c r="I806">
        <v>4</v>
      </c>
      <c r="J806">
        <v>3</v>
      </c>
      <c r="K806" t="s">
        <v>110</v>
      </c>
      <c r="L806" t="s">
        <v>124</v>
      </c>
      <c r="M806" s="4">
        <v>2200000000</v>
      </c>
      <c r="N806">
        <v>0</v>
      </c>
      <c r="O806">
        <v>4.662745878</v>
      </c>
      <c r="P806">
        <v>-74.113893050000001</v>
      </c>
      <c r="Q806" t="s">
        <v>1295</v>
      </c>
      <c r="R806">
        <v>9865470.852</v>
      </c>
      <c r="S806">
        <v>0</v>
      </c>
      <c r="T806" t="s">
        <v>75</v>
      </c>
      <c r="U806" t="s">
        <v>76</v>
      </c>
      <c r="V806" t="s">
        <v>77</v>
      </c>
      <c r="W806" t="s">
        <v>78</v>
      </c>
      <c r="X806" t="s">
        <v>79</v>
      </c>
      <c r="Y806">
        <v>3.35437104907817</v>
      </c>
      <c r="Z806">
        <v>3354.37104907817</v>
      </c>
      <c r="AA806">
        <v>4.6584666666666701</v>
      </c>
      <c r="AB806">
        <v>-74.083966666666697</v>
      </c>
      <c r="AC806">
        <v>2552</v>
      </c>
      <c r="AD806">
        <v>0</v>
      </c>
      <c r="AE806" t="s">
        <v>80</v>
      </c>
      <c r="AF806" t="s">
        <v>81</v>
      </c>
      <c r="AG806" t="s">
        <v>82</v>
      </c>
      <c r="AH806" t="s">
        <v>83</v>
      </c>
      <c r="AI806" t="s">
        <v>92</v>
      </c>
      <c r="AJ806">
        <v>0.57471711544830995</v>
      </c>
      <c r="AK806">
        <v>4.8441901940043399</v>
      </c>
      <c r="AL806">
        <v>0.95641984939862501</v>
      </c>
      <c r="AM806">
        <v>0.364061863307584</v>
      </c>
      <c r="AN806">
        <v>1.28565243786707</v>
      </c>
      <c r="AO806">
        <v>0.50657894207424103</v>
      </c>
      <c r="AP806">
        <v>0.50657894207424103</v>
      </c>
      <c r="AQ806">
        <v>0</v>
      </c>
      <c r="AR806">
        <v>2</v>
      </c>
      <c r="AS806">
        <v>0</v>
      </c>
      <c r="AT806">
        <v>0</v>
      </c>
      <c r="AU806">
        <v>1</v>
      </c>
      <c r="AV806">
        <v>37</v>
      </c>
      <c r="AW806">
        <v>0</v>
      </c>
      <c r="AX806">
        <v>0</v>
      </c>
      <c r="AZ806">
        <v>6.8</v>
      </c>
      <c r="BA806">
        <v>19.899999999999999</v>
      </c>
      <c r="BB806">
        <v>564</v>
      </c>
      <c r="BC806">
        <v>68</v>
      </c>
      <c r="BD806">
        <v>1.5</v>
      </c>
      <c r="BE806">
        <v>135</v>
      </c>
      <c r="BF806">
        <v>0.8</v>
      </c>
      <c r="BG806">
        <v>162</v>
      </c>
      <c r="BH806">
        <v>9.1</v>
      </c>
      <c r="BI806">
        <v>9.1999999999999993</v>
      </c>
      <c r="BJ806">
        <v>18.3</v>
      </c>
      <c r="BK806">
        <v>0.34</v>
      </c>
      <c r="BL806">
        <v>7.3</v>
      </c>
      <c r="BM806">
        <v>0.9</v>
      </c>
      <c r="BN806">
        <v>7.5</v>
      </c>
      <c r="BO806">
        <v>2.9</v>
      </c>
      <c r="BP806">
        <f t="shared" si="24"/>
        <v>5.7596761274442505</v>
      </c>
      <c r="BQ806">
        <f t="shared" si="25"/>
        <v>18.36074251838788</v>
      </c>
    </row>
    <row r="807" spans="1:69" hidden="1" x14ac:dyDescent="0.2">
      <c r="A807" t="s">
        <v>2492</v>
      </c>
      <c r="B807" t="s">
        <v>68</v>
      </c>
      <c r="C807" t="s">
        <v>1956</v>
      </c>
      <c r="D807" t="s">
        <v>70</v>
      </c>
      <c r="E807" t="s">
        <v>2493</v>
      </c>
      <c r="F807">
        <v>5</v>
      </c>
      <c r="G807">
        <v>220</v>
      </c>
      <c r="H807">
        <v>5</v>
      </c>
      <c r="I807">
        <v>4</v>
      </c>
      <c r="J807">
        <v>2</v>
      </c>
      <c r="K807" t="s">
        <v>110</v>
      </c>
      <c r="L807" t="s">
        <v>162</v>
      </c>
      <c r="M807" s="4">
        <v>1950000000</v>
      </c>
      <c r="N807">
        <v>0</v>
      </c>
      <c r="O807">
        <v>4.6630458829999997</v>
      </c>
      <c r="P807">
        <v>-74.057815550000001</v>
      </c>
      <c r="Q807" t="s">
        <v>2494</v>
      </c>
      <c r="R807">
        <v>8863636.3640000001</v>
      </c>
      <c r="S807">
        <v>0</v>
      </c>
      <c r="T807" t="s">
        <v>75</v>
      </c>
      <c r="U807" t="s">
        <v>76</v>
      </c>
      <c r="V807" t="s">
        <v>77</v>
      </c>
      <c r="W807" t="s">
        <v>78</v>
      </c>
      <c r="X807" t="s">
        <v>79</v>
      </c>
      <c r="Y807">
        <v>2.94594111611142</v>
      </c>
      <c r="Z807">
        <v>2945.9411161114199</v>
      </c>
      <c r="AA807">
        <v>4.6584666666666701</v>
      </c>
      <c r="AB807">
        <v>-74.083966666666697</v>
      </c>
      <c r="AC807">
        <v>2552</v>
      </c>
      <c r="AD807">
        <v>0</v>
      </c>
      <c r="AE807" t="s">
        <v>80</v>
      </c>
      <c r="AF807" t="s">
        <v>81</v>
      </c>
      <c r="AG807" t="s">
        <v>82</v>
      </c>
      <c r="AH807" t="s">
        <v>83</v>
      </c>
      <c r="AI807" t="s">
        <v>130</v>
      </c>
      <c r="AJ807">
        <v>0.382077492454518</v>
      </c>
      <c r="AK807">
        <v>1.2578728986240899</v>
      </c>
      <c r="AL807">
        <v>7.7840349300697206E-2</v>
      </c>
      <c r="AM807">
        <v>3.9627619497292703E-2</v>
      </c>
      <c r="AN807">
        <v>2.3694806917545801</v>
      </c>
      <c r="AO807">
        <v>9.5987406333570197E-2</v>
      </c>
      <c r="AP807">
        <v>9.5987406333570197E-2</v>
      </c>
      <c r="AQ807">
        <v>1</v>
      </c>
      <c r="AR807">
        <v>3</v>
      </c>
      <c r="AS807">
        <v>0</v>
      </c>
      <c r="AT807">
        <v>0</v>
      </c>
      <c r="AU807">
        <v>21</v>
      </c>
      <c r="AV807">
        <v>245</v>
      </c>
      <c r="AW807">
        <v>0</v>
      </c>
      <c r="AX807">
        <v>0</v>
      </c>
      <c r="AZ807">
        <v>6.8</v>
      </c>
      <c r="BA807">
        <v>19.899999999999999</v>
      </c>
      <c r="BB807">
        <v>564</v>
      </c>
      <c r="BC807">
        <v>68</v>
      </c>
      <c r="BD807">
        <v>1.5</v>
      </c>
      <c r="BE807">
        <v>135</v>
      </c>
      <c r="BF807">
        <v>0.8</v>
      </c>
      <c r="BG807">
        <v>162</v>
      </c>
      <c r="BH807">
        <v>9.1</v>
      </c>
      <c r="BI807">
        <v>9.1999999999999993</v>
      </c>
      <c r="BJ807">
        <v>18.3</v>
      </c>
      <c r="BK807">
        <v>0.34</v>
      </c>
      <c r="BL807">
        <v>7.3</v>
      </c>
      <c r="BM807">
        <v>0.9</v>
      </c>
      <c r="BN807">
        <v>7.5</v>
      </c>
      <c r="BO807">
        <v>2.9</v>
      </c>
      <c r="BP807">
        <f t="shared" si="24"/>
        <v>5.8773061955860166</v>
      </c>
      <c r="BQ807">
        <f t="shared" si="25"/>
        <v>18.54160535180295</v>
      </c>
    </row>
    <row r="808" spans="1:69" hidden="1" x14ac:dyDescent="0.2">
      <c r="A808" t="s">
        <v>1511</v>
      </c>
      <c r="B808" t="s">
        <v>68</v>
      </c>
      <c r="C808" t="s">
        <v>69</v>
      </c>
      <c r="D808" t="s">
        <v>70</v>
      </c>
      <c r="E808" t="s">
        <v>310</v>
      </c>
      <c r="F808">
        <v>6</v>
      </c>
      <c r="G808">
        <v>220</v>
      </c>
      <c r="H808">
        <v>3</v>
      </c>
      <c r="I808">
        <v>5</v>
      </c>
      <c r="J808">
        <v>3</v>
      </c>
      <c r="K808" t="s">
        <v>110</v>
      </c>
      <c r="L808" t="s">
        <v>162</v>
      </c>
      <c r="M808" s="4">
        <v>1650000000</v>
      </c>
      <c r="N808">
        <v>0</v>
      </c>
      <c r="O808">
        <v>4.6562886240000001</v>
      </c>
      <c r="P808">
        <v>-74.047523499999997</v>
      </c>
      <c r="Q808" t="s">
        <v>1512</v>
      </c>
      <c r="R808">
        <v>7500000</v>
      </c>
      <c r="S808">
        <v>0</v>
      </c>
      <c r="T808" t="s">
        <v>75</v>
      </c>
      <c r="U808" t="s">
        <v>76</v>
      </c>
      <c r="V808" t="s">
        <v>77</v>
      </c>
      <c r="W808" t="s">
        <v>78</v>
      </c>
      <c r="X808" t="s">
        <v>79</v>
      </c>
      <c r="Y808">
        <v>4.0507021566233004</v>
      </c>
      <c r="Z808">
        <v>4050.7021566233002</v>
      </c>
      <c r="AA808">
        <v>4.6584666666666701</v>
      </c>
      <c r="AB808">
        <v>-74.083966666666697</v>
      </c>
      <c r="AC808">
        <v>2552</v>
      </c>
      <c r="AD808">
        <v>0</v>
      </c>
      <c r="AE808" t="s">
        <v>80</v>
      </c>
      <c r="AF808" t="s">
        <v>81</v>
      </c>
      <c r="AG808" t="s">
        <v>82</v>
      </c>
      <c r="AH808" t="s">
        <v>83</v>
      </c>
      <c r="AI808" t="s">
        <v>130</v>
      </c>
      <c r="AJ808">
        <v>1.62706112658376</v>
      </c>
      <c r="AK808">
        <v>6.4921182246533995E-2</v>
      </c>
      <c r="AL808">
        <v>1.11174253474287</v>
      </c>
      <c r="AM808">
        <v>0.664919023839179</v>
      </c>
      <c r="AN808">
        <v>2.0204948890196999</v>
      </c>
      <c r="AO808">
        <v>0.50865578050319504</v>
      </c>
      <c r="AP808">
        <v>0.50865578050319504</v>
      </c>
      <c r="AQ808">
        <v>0</v>
      </c>
      <c r="AR808">
        <v>0</v>
      </c>
      <c r="AS808">
        <v>19</v>
      </c>
      <c r="AT808">
        <v>37</v>
      </c>
      <c r="AU808">
        <v>0</v>
      </c>
      <c r="AV808">
        <v>10</v>
      </c>
      <c r="AW808">
        <v>0</v>
      </c>
      <c r="AX808">
        <v>0</v>
      </c>
      <c r="AZ808">
        <v>6.8</v>
      </c>
      <c r="BA808">
        <v>19.899999999999999</v>
      </c>
      <c r="BB808">
        <v>564</v>
      </c>
      <c r="BC808">
        <v>68</v>
      </c>
      <c r="BD808">
        <v>1.5</v>
      </c>
      <c r="BE808">
        <v>135</v>
      </c>
      <c r="BF808">
        <v>0.8</v>
      </c>
      <c r="BG808">
        <v>162</v>
      </c>
      <c r="BH808">
        <v>9.1</v>
      </c>
      <c r="BI808">
        <v>9.1999999999999993</v>
      </c>
      <c r="BJ808">
        <v>18.3</v>
      </c>
      <c r="BK808">
        <v>0.34</v>
      </c>
      <c r="BL808">
        <v>7.3</v>
      </c>
      <c r="BM808">
        <v>0.9</v>
      </c>
      <c r="BN808">
        <v>7.5</v>
      </c>
      <c r="BO808">
        <v>2.9</v>
      </c>
      <c r="BP808">
        <f t="shared" si="24"/>
        <v>5.5645318401482138</v>
      </c>
      <c r="BQ808">
        <f t="shared" si="25"/>
        <v>18.056448524848857</v>
      </c>
    </row>
    <row r="809" spans="1:69" hidden="1" x14ac:dyDescent="0.2">
      <c r="A809" t="s">
        <v>1939</v>
      </c>
      <c r="B809" t="s">
        <v>68</v>
      </c>
      <c r="C809" t="s">
        <v>69</v>
      </c>
      <c r="D809" t="s">
        <v>70</v>
      </c>
      <c r="E809" t="s">
        <v>351</v>
      </c>
      <c r="F809">
        <v>6</v>
      </c>
      <c r="G809">
        <v>220</v>
      </c>
      <c r="H809">
        <v>3</v>
      </c>
      <c r="I809">
        <v>3</v>
      </c>
      <c r="J809">
        <v>3</v>
      </c>
      <c r="K809" t="s">
        <v>110</v>
      </c>
      <c r="L809" t="s">
        <v>162</v>
      </c>
      <c r="M809" s="4">
        <v>1650000000</v>
      </c>
      <c r="N809">
        <v>0</v>
      </c>
      <c r="O809">
        <v>4.6532902719999996</v>
      </c>
      <c r="P809">
        <v>-74.049552919999996</v>
      </c>
      <c r="Q809" t="s">
        <v>1940</v>
      </c>
      <c r="R809">
        <v>7500000</v>
      </c>
      <c r="S809">
        <v>0</v>
      </c>
      <c r="T809" t="s">
        <v>126</v>
      </c>
      <c r="U809" t="s">
        <v>127</v>
      </c>
      <c r="V809" t="s">
        <v>77</v>
      </c>
      <c r="W809" t="s">
        <v>128</v>
      </c>
      <c r="X809" t="s">
        <v>129</v>
      </c>
      <c r="Y809">
        <v>3.64952561339943</v>
      </c>
      <c r="Z809">
        <v>3649.5256133994299</v>
      </c>
      <c r="AA809">
        <v>4.6254861111111101</v>
      </c>
      <c r="AB809">
        <v>-74.066980555555503</v>
      </c>
      <c r="AC809">
        <v>2621</v>
      </c>
      <c r="AD809">
        <v>15</v>
      </c>
      <c r="AE809" t="s">
        <v>80</v>
      </c>
      <c r="AF809" t="s">
        <v>81</v>
      </c>
      <c r="AG809" t="s">
        <v>82</v>
      </c>
      <c r="AH809" t="s">
        <v>83</v>
      </c>
      <c r="AI809" t="s">
        <v>130</v>
      </c>
      <c r="AJ809">
        <v>1.4915328427299701</v>
      </c>
      <c r="AK809">
        <v>0.100984058480532</v>
      </c>
      <c r="AL809">
        <v>0.92268407071644698</v>
      </c>
      <c r="AM809">
        <v>0.51561496168696597</v>
      </c>
      <c r="AN809">
        <v>1.6204019929823501</v>
      </c>
      <c r="AO809">
        <v>0.124329048942754</v>
      </c>
      <c r="AP809">
        <v>0.124329048942754</v>
      </c>
      <c r="AQ809">
        <v>0</v>
      </c>
      <c r="AR809">
        <v>0</v>
      </c>
      <c r="AS809">
        <v>21</v>
      </c>
      <c r="AT809">
        <v>43</v>
      </c>
      <c r="AU809">
        <v>1</v>
      </c>
      <c r="AV809">
        <v>11</v>
      </c>
      <c r="AW809">
        <v>0</v>
      </c>
      <c r="AX809">
        <v>0</v>
      </c>
      <c r="AZ809">
        <v>6.8</v>
      </c>
      <c r="BA809">
        <v>19.899999999999999</v>
      </c>
      <c r="BB809">
        <v>564</v>
      </c>
      <c r="BC809">
        <v>68</v>
      </c>
      <c r="BD809">
        <v>1.5</v>
      </c>
      <c r="BE809">
        <v>135</v>
      </c>
      <c r="BF809">
        <v>0.8</v>
      </c>
      <c r="BG809">
        <v>162</v>
      </c>
      <c r="BH809">
        <v>9.1</v>
      </c>
      <c r="BI809">
        <v>9.1999999999999993</v>
      </c>
      <c r="BJ809">
        <v>18.3</v>
      </c>
      <c r="BK809">
        <v>0.34</v>
      </c>
      <c r="BL809">
        <v>7.3</v>
      </c>
      <c r="BM809">
        <v>0.9</v>
      </c>
      <c r="BN809">
        <v>7.5</v>
      </c>
      <c r="BO809">
        <v>2.9</v>
      </c>
      <c r="BP809">
        <f t="shared" si="24"/>
        <v>5.6761381272598141</v>
      </c>
      <c r="BQ809">
        <f t="shared" si="25"/>
        <v>18.231139926880886</v>
      </c>
    </row>
    <row r="810" spans="1:69" hidden="1" x14ac:dyDescent="0.2">
      <c r="A810" t="s">
        <v>1362</v>
      </c>
      <c r="B810" t="s">
        <v>68</v>
      </c>
      <c r="C810" t="s">
        <v>69</v>
      </c>
      <c r="D810" t="s">
        <v>70</v>
      </c>
      <c r="E810" t="s">
        <v>254</v>
      </c>
      <c r="F810">
        <v>6</v>
      </c>
      <c r="G810">
        <v>220</v>
      </c>
      <c r="H810">
        <v>3</v>
      </c>
      <c r="I810">
        <v>5</v>
      </c>
      <c r="J810">
        <v>2</v>
      </c>
      <c r="K810" t="s">
        <v>110</v>
      </c>
      <c r="L810" t="s">
        <v>162</v>
      </c>
      <c r="M810" s="4">
        <v>1560000000</v>
      </c>
      <c r="N810">
        <v>0</v>
      </c>
      <c r="O810">
        <v>4.6510801319999997</v>
      </c>
      <c r="P810">
        <v>-74.048789979999995</v>
      </c>
      <c r="Q810" t="s">
        <v>1363</v>
      </c>
      <c r="R810">
        <v>7090909.091</v>
      </c>
      <c r="S810">
        <v>0</v>
      </c>
      <c r="T810" t="s">
        <v>126</v>
      </c>
      <c r="U810" t="s">
        <v>127</v>
      </c>
      <c r="V810" t="s">
        <v>77</v>
      </c>
      <c r="W810" t="s">
        <v>128</v>
      </c>
      <c r="X810" t="s">
        <v>129</v>
      </c>
      <c r="Y810">
        <v>3.4915782998335199</v>
      </c>
      <c r="Z810">
        <v>3491.5782998335198</v>
      </c>
      <c r="AA810">
        <v>4.6254861111111101</v>
      </c>
      <c r="AB810">
        <v>-74.066980555555503</v>
      </c>
      <c r="AC810">
        <v>2621</v>
      </c>
      <c r="AD810">
        <v>15</v>
      </c>
      <c r="AE810" t="s">
        <v>80</v>
      </c>
      <c r="AF810" t="s">
        <v>81</v>
      </c>
      <c r="AG810" t="s">
        <v>82</v>
      </c>
      <c r="AH810" t="s">
        <v>83</v>
      </c>
      <c r="AI810" t="s">
        <v>130</v>
      </c>
      <c r="AJ810">
        <v>1.63231166695859</v>
      </c>
      <c r="AK810">
        <v>5.5877461538670702E-2</v>
      </c>
      <c r="AL810">
        <v>0.94215302682768098</v>
      </c>
      <c r="AM810">
        <v>0.64793026307117996</v>
      </c>
      <c r="AN810">
        <v>1.4926214187419</v>
      </c>
      <c r="AO810">
        <v>0.155920402453084</v>
      </c>
      <c r="AP810">
        <v>0.155920402453084</v>
      </c>
      <c r="AQ810">
        <v>0</v>
      </c>
      <c r="AR810">
        <v>0</v>
      </c>
      <c r="AS810">
        <v>28</v>
      </c>
      <c r="AT810">
        <v>43</v>
      </c>
      <c r="AU810">
        <v>1</v>
      </c>
      <c r="AV810">
        <v>8</v>
      </c>
      <c r="AW810">
        <v>0</v>
      </c>
      <c r="AX810">
        <v>0</v>
      </c>
      <c r="AZ810">
        <v>6.8</v>
      </c>
      <c r="BA810">
        <v>19.899999999999999</v>
      </c>
      <c r="BB810">
        <v>564</v>
      </c>
      <c r="BC810">
        <v>68</v>
      </c>
      <c r="BD810">
        <v>1.5</v>
      </c>
      <c r="BE810">
        <v>135</v>
      </c>
      <c r="BF810">
        <v>0.8</v>
      </c>
      <c r="BG810">
        <v>162</v>
      </c>
      <c r="BH810">
        <v>9.1</v>
      </c>
      <c r="BI810">
        <v>9.1999999999999993</v>
      </c>
      <c r="BJ810">
        <v>18.3</v>
      </c>
      <c r="BK810">
        <v>0.34</v>
      </c>
      <c r="BL810">
        <v>7.3</v>
      </c>
      <c r="BM810">
        <v>0.9</v>
      </c>
      <c r="BN810">
        <v>7.5</v>
      </c>
      <c r="BO810">
        <v>2.9</v>
      </c>
      <c r="BP810">
        <f t="shared" si="24"/>
        <v>5.7206903366803701</v>
      </c>
      <c r="BQ810">
        <f t="shared" si="25"/>
        <v>18.300380510129223</v>
      </c>
    </row>
    <row r="811" spans="1:69" hidden="1" x14ac:dyDescent="0.2">
      <c r="A811" t="s">
        <v>719</v>
      </c>
      <c r="B811" t="s">
        <v>68</v>
      </c>
      <c r="C811" t="s">
        <v>69</v>
      </c>
      <c r="D811" t="s">
        <v>70</v>
      </c>
      <c r="E811" t="s">
        <v>720</v>
      </c>
      <c r="F811">
        <v>4</v>
      </c>
      <c r="G811">
        <v>220</v>
      </c>
      <c r="H811">
        <v>5</v>
      </c>
      <c r="I811">
        <v>5</v>
      </c>
      <c r="J811">
        <v>1</v>
      </c>
      <c r="K811" t="s">
        <v>110</v>
      </c>
      <c r="L811" t="s">
        <v>162</v>
      </c>
      <c r="M811" s="4">
        <v>1300000000</v>
      </c>
      <c r="N811">
        <v>0</v>
      </c>
      <c r="O811">
        <v>4.632358</v>
      </c>
      <c r="P811">
        <v>-74.082628999999997</v>
      </c>
      <c r="Q811" t="s">
        <v>721</v>
      </c>
      <c r="R811">
        <v>5909090.909</v>
      </c>
      <c r="S811">
        <v>0</v>
      </c>
      <c r="T811" t="s">
        <v>126</v>
      </c>
      <c r="U811" t="s">
        <v>127</v>
      </c>
      <c r="V811" t="s">
        <v>77</v>
      </c>
      <c r="W811" t="s">
        <v>128</v>
      </c>
      <c r="X811" t="s">
        <v>129</v>
      </c>
      <c r="Y811">
        <v>1.89734218254341</v>
      </c>
      <c r="Z811">
        <v>1897.34218254341</v>
      </c>
      <c r="AA811">
        <v>4.6254861111111101</v>
      </c>
      <c r="AB811">
        <v>-74.066980555555503</v>
      </c>
      <c r="AC811">
        <v>2621</v>
      </c>
      <c r="AD811">
        <v>15</v>
      </c>
      <c r="AE811" t="s">
        <v>80</v>
      </c>
      <c r="AF811" t="s">
        <v>81</v>
      </c>
      <c r="AG811" t="s">
        <v>82</v>
      </c>
      <c r="AH811" t="s">
        <v>83</v>
      </c>
      <c r="AI811" t="s">
        <v>84</v>
      </c>
      <c r="AJ811">
        <v>0.19174368509630199</v>
      </c>
      <c r="AK811">
        <v>2.4332719400406799</v>
      </c>
      <c r="AL811">
        <v>0.186552854962308</v>
      </c>
      <c r="AM811">
        <v>0.100403539878107</v>
      </c>
      <c r="AN811">
        <v>1.8520938915401199</v>
      </c>
      <c r="AO811">
        <v>0.26812849513319698</v>
      </c>
      <c r="AP811">
        <v>0.26812849513319698</v>
      </c>
      <c r="AQ811">
        <v>2</v>
      </c>
      <c r="AR811">
        <v>5</v>
      </c>
      <c r="AS811">
        <v>0</v>
      </c>
      <c r="AT811">
        <v>0</v>
      </c>
      <c r="AU811">
        <v>4</v>
      </c>
      <c r="AV811">
        <v>43</v>
      </c>
      <c r="AW811">
        <v>0</v>
      </c>
      <c r="AX811">
        <v>0</v>
      </c>
      <c r="AZ811">
        <v>6.8</v>
      </c>
      <c r="BA811">
        <v>19.899999999999999</v>
      </c>
      <c r="BB811">
        <v>564</v>
      </c>
      <c r="BC811">
        <v>68</v>
      </c>
      <c r="BD811">
        <v>1.5</v>
      </c>
      <c r="BE811">
        <v>135</v>
      </c>
      <c r="BF811">
        <v>0.8</v>
      </c>
      <c r="BG811">
        <v>162</v>
      </c>
      <c r="BH811">
        <v>9.1</v>
      </c>
      <c r="BI811">
        <v>9.1999999999999993</v>
      </c>
      <c r="BJ811">
        <v>18.3</v>
      </c>
      <c r="BK811">
        <v>0.34</v>
      </c>
      <c r="BL811">
        <v>7.3</v>
      </c>
      <c r="BM811">
        <v>0.9</v>
      </c>
      <c r="BN811">
        <v>7.5</v>
      </c>
      <c r="BO811">
        <v>2.9</v>
      </c>
      <c r="BP811">
        <f t="shared" si="24"/>
        <v>6.1904276660863893</v>
      </c>
      <c r="BQ811">
        <f t="shared" si="25"/>
        <v>19.014151531014338</v>
      </c>
    </row>
    <row r="812" spans="1:69" hidden="1" x14ac:dyDescent="0.2">
      <c r="A812" t="s">
        <v>2435</v>
      </c>
      <c r="B812" t="s">
        <v>68</v>
      </c>
      <c r="C812" t="s">
        <v>1956</v>
      </c>
      <c r="D812" t="s">
        <v>70</v>
      </c>
      <c r="E812" t="s">
        <v>1517</v>
      </c>
      <c r="F812">
        <v>4</v>
      </c>
      <c r="G812">
        <v>220</v>
      </c>
      <c r="H812">
        <v>4</v>
      </c>
      <c r="I812">
        <v>5</v>
      </c>
      <c r="J812">
        <v>2</v>
      </c>
      <c r="K812" t="s">
        <v>110</v>
      </c>
      <c r="L812" t="s">
        <v>162</v>
      </c>
      <c r="M812" s="4">
        <v>1250000000</v>
      </c>
      <c r="N812">
        <v>0</v>
      </c>
      <c r="O812">
        <v>4.6162330000000003</v>
      </c>
      <c r="P812">
        <v>-74.071270999999996</v>
      </c>
      <c r="Q812" t="s">
        <v>2436</v>
      </c>
      <c r="R812">
        <v>5681818.182</v>
      </c>
      <c r="S812">
        <v>0</v>
      </c>
      <c r="T812" t="s">
        <v>126</v>
      </c>
      <c r="U812" t="s">
        <v>127</v>
      </c>
      <c r="V812" t="s">
        <v>77</v>
      </c>
      <c r="W812" t="s">
        <v>128</v>
      </c>
      <c r="X812" t="s">
        <v>129</v>
      </c>
      <c r="Y812">
        <v>1.1347410464030601</v>
      </c>
      <c r="Z812">
        <v>1134.74104640306</v>
      </c>
      <c r="AA812">
        <v>4.6254861111111101</v>
      </c>
      <c r="AB812">
        <v>-74.066980555555503</v>
      </c>
      <c r="AC812">
        <v>2621</v>
      </c>
      <c r="AD812">
        <v>15</v>
      </c>
      <c r="AE812" t="s">
        <v>80</v>
      </c>
      <c r="AF812" t="s">
        <v>81</v>
      </c>
      <c r="AG812" t="s">
        <v>82</v>
      </c>
      <c r="AH812" t="s">
        <v>83</v>
      </c>
      <c r="AI812" t="s">
        <v>138</v>
      </c>
      <c r="AJ812">
        <v>0.108739682751182</v>
      </c>
      <c r="AK812">
        <v>0.835079064217916</v>
      </c>
      <c r="AL812">
        <v>0.23527906804114401</v>
      </c>
      <c r="AM812">
        <v>4.4426932523155403E-2</v>
      </c>
      <c r="AN812">
        <v>0.55417952486986299</v>
      </c>
      <c r="AO812">
        <v>0.27822463704149802</v>
      </c>
      <c r="AP812">
        <v>0.27822463704149802</v>
      </c>
      <c r="AQ812">
        <v>2</v>
      </c>
      <c r="AR812">
        <v>6</v>
      </c>
      <c r="AS812">
        <v>0</v>
      </c>
      <c r="AT812">
        <v>1</v>
      </c>
      <c r="AU812">
        <v>12</v>
      </c>
      <c r="AV812">
        <v>63</v>
      </c>
      <c r="AW812">
        <v>1</v>
      </c>
      <c r="AX812">
        <v>4</v>
      </c>
      <c r="AZ812">
        <v>6.8</v>
      </c>
      <c r="BA812">
        <v>19.899999999999999</v>
      </c>
      <c r="BB812">
        <v>564</v>
      </c>
      <c r="BC812">
        <v>68</v>
      </c>
      <c r="BD812">
        <v>1.5</v>
      </c>
      <c r="BE812">
        <v>135</v>
      </c>
      <c r="BF812">
        <v>0.8</v>
      </c>
      <c r="BG812">
        <v>162</v>
      </c>
      <c r="BH812">
        <v>9.1</v>
      </c>
      <c r="BI812">
        <v>9.1999999999999993</v>
      </c>
      <c r="BJ812">
        <v>18.3</v>
      </c>
      <c r="BK812">
        <v>0.34</v>
      </c>
      <c r="BL812">
        <v>7.3</v>
      </c>
      <c r="BM812">
        <v>0.9</v>
      </c>
      <c r="BN812">
        <v>7.5</v>
      </c>
      <c r="BO812">
        <v>2.9</v>
      </c>
      <c r="BP812">
        <f t="shared" si="24"/>
        <v>6.4285752193089225</v>
      </c>
      <c r="BQ812">
        <f t="shared" si="25"/>
        <v>19.365360843995276</v>
      </c>
    </row>
    <row r="813" spans="1:69" hidden="1" x14ac:dyDescent="0.2">
      <c r="A813" t="s">
        <v>3092</v>
      </c>
      <c r="B813" t="s">
        <v>68</v>
      </c>
      <c r="C813" t="s">
        <v>1956</v>
      </c>
      <c r="D813" t="s">
        <v>70</v>
      </c>
      <c r="E813" t="s">
        <v>1841</v>
      </c>
      <c r="F813">
        <v>3</v>
      </c>
      <c r="G813">
        <v>220</v>
      </c>
      <c r="H813">
        <v>5</v>
      </c>
      <c r="I813">
        <v>3</v>
      </c>
      <c r="J813">
        <v>1</v>
      </c>
      <c r="K813" t="s">
        <v>110</v>
      </c>
      <c r="L813" t="s">
        <v>124</v>
      </c>
      <c r="M813" s="4">
        <v>650000000</v>
      </c>
      <c r="N813">
        <v>0</v>
      </c>
      <c r="O813">
        <v>4.5814300000000001</v>
      </c>
      <c r="P813">
        <v>-74.112499999999997</v>
      </c>
      <c r="Q813" t="s">
        <v>3093</v>
      </c>
      <c r="R813">
        <v>2954545.4550000001</v>
      </c>
      <c r="S813">
        <v>0</v>
      </c>
      <c r="T813" t="s">
        <v>1843</v>
      </c>
      <c r="U813" t="s">
        <v>1844</v>
      </c>
      <c r="V813" t="s">
        <v>77</v>
      </c>
      <c r="W813" t="s">
        <v>1845</v>
      </c>
      <c r="X813" t="s">
        <v>1846</v>
      </c>
      <c r="Y813">
        <v>2.1282961785504999</v>
      </c>
      <c r="Z813">
        <v>2128.2961785504999</v>
      </c>
      <c r="AA813">
        <v>4.576225</v>
      </c>
      <c r="AB813">
        <v>-74.130955555555502</v>
      </c>
      <c r="AC813">
        <v>2589</v>
      </c>
      <c r="AD813">
        <v>0</v>
      </c>
      <c r="AE813" t="s">
        <v>80</v>
      </c>
      <c r="AF813" t="s">
        <v>107</v>
      </c>
      <c r="AG813" t="s">
        <v>82</v>
      </c>
      <c r="AH813" t="s">
        <v>83</v>
      </c>
      <c r="AI813" t="s">
        <v>1847</v>
      </c>
      <c r="AJ813">
        <v>0.55155027917155297</v>
      </c>
      <c r="AK813">
        <v>4.2624705559494398</v>
      </c>
      <c r="AL813">
        <v>1.7609735034410099</v>
      </c>
      <c r="AM813">
        <v>0.261311379408109</v>
      </c>
      <c r="AN813">
        <v>0.48716370899837003</v>
      </c>
      <c r="AO813">
        <v>7.4232560539476402E-3</v>
      </c>
      <c r="AP813">
        <v>7.4232560539476402E-3</v>
      </c>
      <c r="AQ813">
        <v>0</v>
      </c>
      <c r="AR813">
        <v>2</v>
      </c>
      <c r="AS813">
        <v>0</v>
      </c>
      <c r="AT813">
        <v>0</v>
      </c>
      <c r="AU813">
        <v>0</v>
      </c>
      <c r="AV813">
        <v>50</v>
      </c>
      <c r="AW813">
        <v>1</v>
      </c>
      <c r="AX813">
        <v>0</v>
      </c>
      <c r="AZ813">
        <v>6.8</v>
      </c>
      <c r="BA813">
        <v>19.899999999999999</v>
      </c>
      <c r="BB813">
        <v>564</v>
      </c>
      <c r="BC813">
        <v>68</v>
      </c>
      <c r="BD813">
        <v>1.5</v>
      </c>
      <c r="BE813">
        <v>135</v>
      </c>
      <c r="BF813">
        <v>0.8</v>
      </c>
      <c r="BG813">
        <v>162</v>
      </c>
      <c r="BH813">
        <v>9.1</v>
      </c>
      <c r="BI813">
        <v>9.1999999999999993</v>
      </c>
      <c r="BJ813">
        <v>18.3</v>
      </c>
      <c r="BK813">
        <v>0.34</v>
      </c>
      <c r="BL813">
        <v>7.3</v>
      </c>
      <c r="BM813">
        <v>0.9</v>
      </c>
      <c r="BN813">
        <v>7.5</v>
      </c>
      <c r="BO813">
        <v>2.9</v>
      </c>
      <c r="BP813">
        <f t="shared" si="24"/>
        <v>6.1200603117929884</v>
      </c>
      <c r="BQ813">
        <f t="shared" si="25"/>
        <v>18.909049621935598</v>
      </c>
    </row>
    <row r="814" spans="1:69" hidden="1" x14ac:dyDescent="0.2">
      <c r="A814" t="s">
        <v>1717</v>
      </c>
      <c r="B814" t="s">
        <v>68</v>
      </c>
      <c r="C814" t="s">
        <v>69</v>
      </c>
      <c r="D814" t="s">
        <v>70</v>
      </c>
      <c r="E814" t="s">
        <v>742</v>
      </c>
      <c r="F814">
        <v>5</v>
      </c>
      <c r="G814">
        <v>219</v>
      </c>
      <c r="H814">
        <v>3</v>
      </c>
      <c r="I814">
        <v>4</v>
      </c>
      <c r="J814">
        <v>2</v>
      </c>
      <c r="K814" t="s">
        <v>110</v>
      </c>
      <c r="L814" t="s">
        <v>124</v>
      </c>
      <c r="M814" s="4">
        <v>1860000000</v>
      </c>
      <c r="N814">
        <v>0</v>
      </c>
      <c r="O814">
        <v>4.6651396749999998</v>
      </c>
      <c r="P814">
        <v>-74.05217743</v>
      </c>
      <c r="Q814" t="s">
        <v>1718</v>
      </c>
      <c r="R814">
        <v>8493150.6850000005</v>
      </c>
      <c r="S814">
        <v>0</v>
      </c>
      <c r="T814" t="s">
        <v>75</v>
      </c>
      <c r="U814" t="s">
        <v>76</v>
      </c>
      <c r="V814" t="s">
        <v>77</v>
      </c>
      <c r="W814" t="s">
        <v>78</v>
      </c>
      <c r="X814" t="s">
        <v>79</v>
      </c>
      <c r="Y814">
        <v>3.6044305809767501</v>
      </c>
      <c r="Z814">
        <v>3604.4305809767502</v>
      </c>
      <c r="AA814">
        <v>4.6584666666666701</v>
      </c>
      <c r="AB814">
        <v>-74.083966666666697</v>
      </c>
      <c r="AC814">
        <v>2552</v>
      </c>
      <c r="AD814">
        <v>0</v>
      </c>
      <c r="AE814" t="s">
        <v>80</v>
      </c>
      <c r="AF814" t="s">
        <v>81</v>
      </c>
      <c r="AG814" t="s">
        <v>82</v>
      </c>
      <c r="AH814" t="s">
        <v>83</v>
      </c>
      <c r="AI814" t="s">
        <v>130</v>
      </c>
      <c r="AJ814">
        <v>0.96063371613745796</v>
      </c>
      <c r="AK814">
        <v>0.77339238275817401</v>
      </c>
      <c r="AL814">
        <v>0.168938389197891</v>
      </c>
      <c r="AM814">
        <v>4.5797603428076303E-2</v>
      </c>
      <c r="AN814">
        <v>2.6897319231697501</v>
      </c>
      <c r="AO814">
        <v>0.12188315820147499</v>
      </c>
      <c r="AP814">
        <v>0.12188315820147499</v>
      </c>
      <c r="AQ814">
        <v>0</v>
      </c>
      <c r="AR814">
        <v>1</v>
      </c>
      <c r="AS814">
        <v>0</v>
      </c>
      <c r="AT814">
        <v>10</v>
      </c>
      <c r="AU814">
        <v>12</v>
      </c>
      <c r="AV814">
        <v>213</v>
      </c>
      <c r="AW814">
        <v>0</v>
      </c>
      <c r="AX814">
        <v>0</v>
      </c>
      <c r="AZ814">
        <v>6.8</v>
      </c>
      <c r="BA814">
        <v>19.899999999999999</v>
      </c>
      <c r="BB814">
        <v>564</v>
      </c>
      <c r="BC814">
        <v>68</v>
      </c>
      <c r="BD814">
        <v>1.5</v>
      </c>
      <c r="BE814">
        <v>135</v>
      </c>
      <c r="BF814">
        <v>0.8</v>
      </c>
      <c r="BG814">
        <v>162</v>
      </c>
      <c r="BH814">
        <v>9.1</v>
      </c>
      <c r="BI814">
        <v>9.1999999999999993</v>
      </c>
      <c r="BJ814">
        <v>18.3</v>
      </c>
      <c r="BK814">
        <v>0.34</v>
      </c>
      <c r="BL814">
        <v>7.3</v>
      </c>
      <c r="BM814">
        <v>0.9</v>
      </c>
      <c r="BN814">
        <v>7.5</v>
      </c>
      <c r="BO814">
        <v>2.9</v>
      </c>
      <c r="BP814">
        <f t="shared" si="24"/>
        <v>5.6888225779621173</v>
      </c>
      <c r="BQ814">
        <f t="shared" si="25"/>
        <v>18.250881820396319</v>
      </c>
    </row>
    <row r="815" spans="1:69" hidden="1" x14ac:dyDescent="0.2">
      <c r="A815" t="s">
        <v>4162</v>
      </c>
      <c r="B815" t="s">
        <v>68</v>
      </c>
      <c r="C815" t="s">
        <v>3294</v>
      </c>
      <c r="D815" t="s">
        <v>70</v>
      </c>
      <c r="E815" t="s">
        <v>763</v>
      </c>
      <c r="F815">
        <v>6</v>
      </c>
      <c r="G815">
        <v>219</v>
      </c>
      <c r="H815">
        <v>3</v>
      </c>
      <c r="I815">
        <v>3</v>
      </c>
      <c r="J815">
        <v>2</v>
      </c>
      <c r="K815" t="s">
        <v>110</v>
      </c>
      <c r="L815" t="s">
        <v>162</v>
      </c>
      <c r="M815" s="4">
        <v>1860000000</v>
      </c>
      <c r="N815">
        <v>0</v>
      </c>
      <c r="O815">
        <v>4.6548153000000001</v>
      </c>
      <c r="P815">
        <v>-74.055268400000003</v>
      </c>
      <c r="Q815" t="s">
        <v>4163</v>
      </c>
      <c r="R815">
        <v>8493150.6850000005</v>
      </c>
      <c r="S815">
        <v>0</v>
      </c>
      <c r="T815" t="s">
        <v>75</v>
      </c>
      <c r="U815" t="s">
        <v>76</v>
      </c>
      <c r="V815" t="s">
        <v>77</v>
      </c>
      <c r="W815" t="s">
        <v>78</v>
      </c>
      <c r="X815" t="s">
        <v>79</v>
      </c>
      <c r="Y815">
        <v>3.2099700400533102</v>
      </c>
      <c r="Z815">
        <v>3209.9700400533102</v>
      </c>
      <c r="AA815">
        <v>4.6584666666666701</v>
      </c>
      <c r="AB815">
        <v>-74.083966666666697</v>
      </c>
      <c r="AC815">
        <v>2552</v>
      </c>
      <c r="AD815">
        <v>0</v>
      </c>
      <c r="AE815" t="s">
        <v>80</v>
      </c>
      <c r="AF815" t="s">
        <v>81</v>
      </c>
      <c r="AG815" t="s">
        <v>82</v>
      </c>
      <c r="AH815" t="s">
        <v>83</v>
      </c>
      <c r="AI815" t="s">
        <v>130</v>
      </c>
      <c r="AJ815">
        <v>0.84349524430350298</v>
      </c>
      <c r="AK815">
        <v>0.75166430860326705</v>
      </c>
      <c r="AL815">
        <v>0.41780173544213101</v>
      </c>
      <c r="AM815">
        <v>0.121828964454407</v>
      </c>
      <c r="AN815">
        <v>1.49954977463799</v>
      </c>
      <c r="AO815">
        <v>0.18969498480170799</v>
      </c>
      <c r="AP815">
        <v>0.18969498480170799</v>
      </c>
      <c r="AQ815">
        <v>0</v>
      </c>
      <c r="AR815">
        <v>2</v>
      </c>
      <c r="AS815">
        <v>0</v>
      </c>
      <c r="AT815">
        <v>26</v>
      </c>
      <c r="AU815">
        <v>19</v>
      </c>
      <c r="AV815">
        <v>60</v>
      </c>
      <c r="AW815">
        <v>0</v>
      </c>
      <c r="AX815">
        <v>0</v>
      </c>
      <c r="AZ815">
        <v>6.8</v>
      </c>
      <c r="BA815">
        <v>19.899999999999999</v>
      </c>
      <c r="BB815">
        <v>564</v>
      </c>
      <c r="BC815">
        <v>68</v>
      </c>
      <c r="BD815">
        <v>1.5</v>
      </c>
      <c r="BE815">
        <v>135</v>
      </c>
      <c r="BF815">
        <v>0.8</v>
      </c>
      <c r="BG815">
        <v>162</v>
      </c>
      <c r="BH815">
        <v>9.1</v>
      </c>
      <c r="BI815">
        <v>9.1999999999999993</v>
      </c>
      <c r="BJ815">
        <v>18.3</v>
      </c>
      <c r="BK815">
        <v>0.34</v>
      </c>
      <c r="BL815">
        <v>7.3</v>
      </c>
      <c r="BM815">
        <v>0.9</v>
      </c>
      <c r="BN815">
        <v>7.5</v>
      </c>
      <c r="BO815">
        <v>2.9</v>
      </c>
      <c r="BP815">
        <f t="shared" si="24"/>
        <v>5.8009929153329116</v>
      </c>
      <c r="BQ815">
        <f t="shared" si="25"/>
        <v>18.424484341098641</v>
      </c>
    </row>
    <row r="816" spans="1:69" hidden="1" x14ac:dyDescent="0.2">
      <c r="A816" t="s">
        <v>1621</v>
      </c>
      <c r="B816" t="s">
        <v>68</v>
      </c>
      <c r="C816" t="s">
        <v>69</v>
      </c>
      <c r="D816" t="s">
        <v>70</v>
      </c>
      <c r="E816" t="s">
        <v>709</v>
      </c>
      <c r="F816">
        <v>5</v>
      </c>
      <c r="G816">
        <v>215</v>
      </c>
      <c r="H816">
        <v>4</v>
      </c>
      <c r="I816">
        <v>5</v>
      </c>
      <c r="J816">
        <v>3</v>
      </c>
      <c r="K816" t="s">
        <v>110</v>
      </c>
      <c r="L816" t="s">
        <v>133</v>
      </c>
      <c r="M816" s="4">
        <v>1460000000</v>
      </c>
      <c r="N816">
        <v>0</v>
      </c>
      <c r="O816">
        <v>4.7444733389999998</v>
      </c>
      <c r="P816">
        <v>-74.111836109999999</v>
      </c>
      <c r="Q816" t="s">
        <v>1622</v>
      </c>
      <c r="R816">
        <v>6790697.6739999996</v>
      </c>
      <c r="S816">
        <v>0</v>
      </c>
      <c r="T816" t="s">
        <v>419</v>
      </c>
      <c r="U816" t="s">
        <v>420</v>
      </c>
      <c r="V816" t="s">
        <v>77</v>
      </c>
      <c r="W816" t="s">
        <v>78</v>
      </c>
      <c r="X816" t="s">
        <v>421</v>
      </c>
      <c r="Y816">
        <v>1.8334374331641601</v>
      </c>
      <c r="Z816">
        <v>1833.43743316416</v>
      </c>
      <c r="AA816">
        <v>4.7358055555555598</v>
      </c>
      <c r="AB816">
        <v>-74.125888888888895</v>
      </c>
      <c r="AC816">
        <v>2574</v>
      </c>
      <c r="AD816">
        <v>0</v>
      </c>
      <c r="AE816" t="s">
        <v>154</v>
      </c>
      <c r="AF816" t="s">
        <v>107</v>
      </c>
      <c r="AG816" t="s">
        <v>82</v>
      </c>
      <c r="AH816" t="s">
        <v>83</v>
      </c>
      <c r="AI816" t="s">
        <v>121</v>
      </c>
      <c r="AJ816">
        <v>1.96373352588635</v>
      </c>
      <c r="AK816">
        <v>1.17166727797741</v>
      </c>
      <c r="AL816">
        <v>5.3479807990490702</v>
      </c>
      <c r="AM816">
        <v>0.43062983766864998</v>
      </c>
      <c r="AN816">
        <v>2.96024555692243</v>
      </c>
      <c r="AO816">
        <v>0.14602439820251201</v>
      </c>
      <c r="AP816">
        <v>0.14602439820251201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4</v>
      </c>
      <c r="AW816">
        <v>0</v>
      </c>
      <c r="AX816">
        <v>0</v>
      </c>
      <c r="AZ816">
        <v>6.8</v>
      </c>
      <c r="BA816">
        <v>19.899999999999999</v>
      </c>
      <c r="BB816">
        <v>564</v>
      </c>
      <c r="BC816">
        <v>68</v>
      </c>
      <c r="BD816">
        <v>1.5</v>
      </c>
      <c r="BE816">
        <v>135</v>
      </c>
      <c r="BF816">
        <v>0.8</v>
      </c>
      <c r="BG816">
        <v>162</v>
      </c>
      <c r="BH816">
        <v>9.1</v>
      </c>
      <c r="BI816">
        <v>9.1999999999999993</v>
      </c>
      <c r="BJ816">
        <v>18.3</v>
      </c>
      <c r="BK816">
        <v>0.34</v>
      </c>
      <c r="BL816">
        <v>7.3</v>
      </c>
      <c r="BM816">
        <v>0.9</v>
      </c>
      <c r="BN816">
        <v>7.5</v>
      </c>
      <c r="BO816">
        <v>2.9</v>
      </c>
      <c r="BP816">
        <f t="shared" si="24"/>
        <v>6.2100407581960004</v>
      </c>
      <c r="BQ816">
        <f t="shared" si="25"/>
        <v>19.043336175860411</v>
      </c>
    </row>
    <row r="817" spans="1:69" hidden="1" x14ac:dyDescent="0.2">
      <c r="A817" t="s">
        <v>741</v>
      </c>
      <c r="B817" t="s">
        <v>68</v>
      </c>
      <c r="C817" t="s">
        <v>69</v>
      </c>
      <c r="D817" t="s">
        <v>70</v>
      </c>
      <c r="E817" t="s">
        <v>742</v>
      </c>
      <c r="F817">
        <v>6</v>
      </c>
      <c r="G817">
        <v>213</v>
      </c>
      <c r="H817">
        <v>3</v>
      </c>
      <c r="I817">
        <v>4</v>
      </c>
      <c r="J817">
        <v>2</v>
      </c>
      <c r="K817" t="s">
        <v>110</v>
      </c>
      <c r="L817" t="s">
        <v>111</v>
      </c>
      <c r="M817" s="4">
        <v>4000000000</v>
      </c>
      <c r="N817">
        <v>0</v>
      </c>
      <c r="O817">
        <v>4.663372517</v>
      </c>
      <c r="P817">
        <v>-74.049186710000001</v>
      </c>
      <c r="Q817" t="s">
        <v>743</v>
      </c>
      <c r="R817">
        <v>18779342.719999999</v>
      </c>
      <c r="S817">
        <v>0</v>
      </c>
      <c r="T817" t="s">
        <v>75</v>
      </c>
      <c r="U817" t="s">
        <v>76</v>
      </c>
      <c r="V817" t="s">
        <v>77</v>
      </c>
      <c r="W817" t="s">
        <v>78</v>
      </c>
      <c r="X817" t="s">
        <v>79</v>
      </c>
      <c r="Y817">
        <v>3.8973357414628702</v>
      </c>
      <c r="Z817">
        <v>3897.3357414628699</v>
      </c>
      <c r="AA817">
        <v>4.6584666666666701</v>
      </c>
      <c r="AB817">
        <v>-74.083966666666697</v>
      </c>
      <c r="AC817">
        <v>2552</v>
      </c>
      <c r="AD817">
        <v>0</v>
      </c>
      <c r="AE817" t="s">
        <v>80</v>
      </c>
      <c r="AF817" t="s">
        <v>81</v>
      </c>
      <c r="AG817" t="s">
        <v>82</v>
      </c>
      <c r="AH817" t="s">
        <v>83</v>
      </c>
      <c r="AI817" t="s">
        <v>130</v>
      </c>
      <c r="AJ817">
        <v>1.3394052207727001</v>
      </c>
      <c r="AK817">
        <v>0.44596880320795301</v>
      </c>
      <c r="AL817">
        <v>0.52167623033994304</v>
      </c>
      <c r="AM817">
        <v>0.134001946990705</v>
      </c>
      <c r="AN817">
        <v>2.6123114762472501</v>
      </c>
      <c r="AO817">
        <v>0.22922673074589101</v>
      </c>
      <c r="AP817">
        <v>0.22922673074589101</v>
      </c>
      <c r="AQ817">
        <v>0</v>
      </c>
      <c r="AR817">
        <v>0</v>
      </c>
      <c r="AS817">
        <v>6</v>
      </c>
      <c r="AT817">
        <v>30</v>
      </c>
      <c r="AU817">
        <v>6</v>
      </c>
      <c r="AV817">
        <v>42</v>
      </c>
      <c r="AW817">
        <v>0</v>
      </c>
      <c r="AX817">
        <v>0</v>
      </c>
      <c r="AZ817">
        <v>6.8</v>
      </c>
      <c r="BA817">
        <v>19.899999999999999</v>
      </c>
      <c r="BB817">
        <v>564</v>
      </c>
      <c r="BC817">
        <v>68</v>
      </c>
      <c r="BD817">
        <v>1.5</v>
      </c>
      <c r="BE817">
        <v>135</v>
      </c>
      <c r="BF817">
        <v>0.8</v>
      </c>
      <c r="BG817">
        <v>162</v>
      </c>
      <c r="BH817">
        <v>9.1</v>
      </c>
      <c r="BI817">
        <v>9.1999999999999993</v>
      </c>
      <c r="BJ817">
        <v>18.3</v>
      </c>
      <c r="BK817">
        <v>0.34</v>
      </c>
      <c r="BL817">
        <v>7.3</v>
      </c>
      <c r="BM817">
        <v>0.9</v>
      </c>
      <c r="BN817">
        <v>7.5</v>
      </c>
      <c r="BO817">
        <v>2.9</v>
      </c>
      <c r="BP817">
        <f t="shared" si="24"/>
        <v>5.6069365057838123</v>
      </c>
      <c r="BQ817">
        <f t="shared" si="25"/>
        <v>18.123033058386987</v>
      </c>
    </row>
    <row r="818" spans="1:69" hidden="1" x14ac:dyDescent="0.2">
      <c r="A818" t="s">
        <v>1480</v>
      </c>
      <c r="B818" t="s">
        <v>68</v>
      </c>
      <c r="C818" t="s">
        <v>69</v>
      </c>
      <c r="D818" t="s">
        <v>70</v>
      </c>
      <c r="E818" t="s">
        <v>684</v>
      </c>
      <c r="F818">
        <v>5</v>
      </c>
      <c r="G818">
        <v>213</v>
      </c>
      <c r="H818">
        <v>3</v>
      </c>
      <c r="I818">
        <v>3</v>
      </c>
      <c r="J818">
        <v>1</v>
      </c>
      <c r="K818" t="s">
        <v>110</v>
      </c>
      <c r="L818" t="s">
        <v>111</v>
      </c>
      <c r="M818" s="4">
        <v>1395000000</v>
      </c>
      <c r="N818">
        <v>0</v>
      </c>
      <c r="O818">
        <v>4.6826891899999996</v>
      </c>
      <c r="P818">
        <v>-74.061546329999999</v>
      </c>
      <c r="Q818" t="s">
        <v>1481</v>
      </c>
      <c r="R818">
        <v>6549295.7750000004</v>
      </c>
      <c r="S818">
        <v>0</v>
      </c>
      <c r="T818" t="s">
        <v>75</v>
      </c>
      <c r="U818" t="s">
        <v>76</v>
      </c>
      <c r="V818" t="s">
        <v>77</v>
      </c>
      <c r="W818" t="s">
        <v>78</v>
      </c>
      <c r="X818" t="s">
        <v>79</v>
      </c>
      <c r="Y818">
        <v>3.6685967030801798</v>
      </c>
      <c r="Z818">
        <v>3668.5967030801799</v>
      </c>
      <c r="AA818">
        <v>4.6584666666666701</v>
      </c>
      <c r="AB818">
        <v>-74.083966666666697</v>
      </c>
      <c r="AC818">
        <v>2552</v>
      </c>
      <c r="AD818">
        <v>0</v>
      </c>
      <c r="AE818" t="s">
        <v>80</v>
      </c>
      <c r="AF818" t="s">
        <v>81</v>
      </c>
      <c r="AG818" t="s">
        <v>82</v>
      </c>
      <c r="AH818" t="s">
        <v>83</v>
      </c>
      <c r="AI818" t="s">
        <v>342</v>
      </c>
      <c r="AJ818">
        <v>0.28893965609545802</v>
      </c>
      <c r="AK818">
        <v>2.5766464532327999</v>
      </c>
      <c r="AL818">
        <v>0.39181760561109602</v>
      </c>
      <c r="AM818">
        <v>3.6721083900990201E-2</v>
      </c>
      <c r="AN818">
        <v>2.4569705345922501</v>
      </c>
      <c r="AO818">
        <v>0.16214586147398799</v>
      </c>
      <c r="AP818">
        <v>0.16214586147398799</v>
      </c>
      <c r="AQ818">
        <v>3</v>
      </c>
      <c r="AR818">
        <v>7</v>
      </c>
      <c r="AS818">
        <v>0</v>
      </c>
      <c r="AT818">
        <v>0</v>
      </c>
      <c r="AU818">
        <v>1</v>
      </c>
      <c r="AV818">
        <v>185</v>
      </c>
      <c r="AW818">
        <v>0</v>
      </c>
      <c r="AX818">
        <v>0</v>
      </c>
      <c r="AZ818">
        <v>6.8</v>
      </c>
      <c r="BA818">
        <v>19.899999999999999</v>
      </c>
      <c r="BB818">
        <v>564</v>
      </c>
      <c r="BC818">
        <v>68</v>
      </c>
      <c r="BD818">
        <v>1.5</v>
      </c>
      <c r="BE818">
        <v>135</v>
      </c>
      <c r="BF818">
        <v>0.8</v>
      </c>
      <c r="BG818">
        <v>162</v>
      </c>
      <c r="BH818">
        <v>9.1</v>
      </c>
      <c r="BI818">
        <v>9.1999999999999993</v>
      </c>
      <c r="BJ818">
        <v>18.3</v>
      </c>
      <c r="BK818">
        <v>0.34</v>
      </c>
      <c r="BL818">
        <v>7.3</v>
      </c>
      <c r="BM818">
        <v>0.9</v>
      </c>
      <c r="BN818">
        <v>7.5</v>
      </c>
      <c r="BO818">
        <v>2.9</v>
      </c>
      <c r="BP818">
        <f t="shared" si="24"/>
        <v>5.6707822737774931</v>
      </c>
      <c r="BQ818">
        <f t="shared" si="25"/>
        <v>18.222797331346513</v>
      </c>
    </row>
    <row r="819" spans="1:69" hidden="1" x14ac:dyDescent="0.2">
      <c r="A819" t="s">
        <v>4507</v>
      </c>
      <c r="B819" t="s">
        <v>68</v>
      </c>
      <c r="C819" t="s">
        <v>3294</v>
      </c>
      <c r="D819" t="s">
        <v>70</v>
      </c>
      <c r="E819" t="s">
        <v>187</v>
      </c>
      <c r="F819">
        <v>6</v>
      </c>
      <c r="G819">
        <v>210</v>
      </c>
      <c r="H819">
        <v>1</v>
      </c>
      <c r="I819">
        <v>3</v>
      </c>
      <c r="J819">
        <v>2</v>
      </c>
      <c r="K819" t="s">
        <v>110</v>
      </c>
      <c r="L819" t="s">
        <v>124</v>
      </c>
      <c r="M819" s="4">
        <v>3800000000</v>
      </c>
      <c r="N819">
        <v>0</v>
      </c>
      <c r="O819">
        <v>4.6523554000000003</v>
      </c>
      <c r="P819">
        <v>-74.049432400000001</v>
      </c>
      <c r="Q819" t="s">
        <v>4508</v>
      </c>
      <c r="R819">
        <v>18095238.100000001</v>
      </c>
      <c r="S819">
        <v>0</v>
      </c>
      <c r="T819" t="s">
        <v>126</v>
      </c>
      <c r="U819" t="s">
        <v>127</v>
      </c>
      <c r="V819" t="s">
        <v>77</v>
      </c>
      <c r="W819" t="s">
        <v>128</v>
      </c>
      <c r="X819" t="s">
        <v>129</v>
      </c>
      <c r="Y819">
        <v>3.5689699642788599</v>
      </c>
      <c r="Z819">
        <v>3568.9699642788601</v>
      </c>
      <c r="AA819">
        <v>4.6254861111111101</v>
      </c>
      <c r="AB819">
        <v>-74.066980555555503</v>
      </c>
      <c r="AC819">
        <v>2621</v>
      </c>
      <c r="AD819">
        <v>15</v>
      </c>
      <c r="AE819" t="s">
        <v>80</v>
      </c>
      <c r="AF819" t="s">
        <v>81</v>
      </c>
      <c r="AG819" t="s">
        <v>82</v>
      </c>
      <c r="AH819" t="s">
        <v>83</v>
      </c>
      <c r="AI819" t="s">
        <v>130</v>
      </c>
      <c r="AJ819">
        <v>1.53155591667072</v>
      </c>
      <c r="AK819">
        <v>0.111847971975918</v>
      </c>
      <c r="AL819">
        <v>0.90063559639428403</v>
      </c>
      <c r="AM819">
        <v>0.53893460736315202</v>
      </c>
      <c r="AN819">
        <v>1.5479314031366</v>
      </c>
      <c r="AO819">
        <v>8.0363577986200502E-2</v>
      </c>
      <c r="AP819">
        <v>8.0363577986200502E-2</v>
      </c>
      <c r="AQ819">
        <v>0</v>
      </c>
      <c r="AR819">
        <v>0</v>
      </c>
      <c r="AS819">
        <v>25</v>
      </c>
      <c r="AT819">
        <v>43</v>
      </c>
      <c r="AU819">
        <v>2</v>
      </c>
      <c r="AV819">
        <v>11</v>
      </c>
      <c r="AW819">
        <v>0</v>
      </c>
      <c r="AX819">
        <v>0</v>
      </c>
      <c r="AZ819">
        <v>6.8</v>
      </c>
      <c r="BA819">
        <v>19.899999999999999</v>
      </c>
      <c r="BB819">
        <v>564</v>
      </c>
      <c r="BC819">
        <v>68</v>
      </c>
      <c r="BD819">
        <v>1.5</v>
      </c>
      <c r="BE819">
        <v>135</v>
      </c>
      <c r="BF819">
        <v>0.8</v>
      </c>
      <c r="BG819">
        <v>162</v>
      </c>
      <c r="BH819">
        <v>9.1</v>
      </c>
      <c r="BI819">
        <v>9.1999999999999993</v>
      </c>
      <c r="BJ819">
        <v>18.3</v>
      </c>
      <c r="BK819">
        <v>0.34</v>
      </c>
      <c r="BL819">
        <v>7.3</v>
      </c>
      <c r="BM819">
        <v>0.9</v>
      </c>
      <c r="BN819">
        <v>7.5</v>
      </c>
      <c r="BO819">
        <v>2.9</v>
      </c>
      <c r="BP819">
        <f t="shared" si="24"/>
        <v>5.6988169402171831</v>
      </c>
      <c r="BQ819">
        <f t="shared" si="25"/>
        <v>18.266420932367492</v>
      </c>
    </row>
    <row r="820" spans="1:69" hidden="1" x14ac:dyDescent="0.2">
      <c r="A820" t="s">
        <v>2741</v>
      </c>
      <c r="B820" t="s">
        <v>68</v>
      </c>
      <c r="C820" t="s">
        <v>1956</v>
      </c>
      <c r="D820" t="s">
        <v>70</v>
      </c>
      <c r="E820" t="s">
        <v>2742</v>
      </c>
      <c r="F820">
        <v>3</v>
      </c>
      <c r="G820">
        <v>210</v>
      </c>
      <c r="H820">
        <v>4</v>
      </c>
      <c r="I820">
        <v>4</v>
      </c>
      <c r="J820">
        <v>3</v>
      </c>
      <c r="K820" t="s">
        <v>110</v>
      </c>
      <c r="L820" t="s">
        <v>162</v>
      </c>
      <c r="M820" s="4">
        <v>750000000</v>
      </c>
      <c r="N820">
        <v>0</v>
      </c>
      <c r="O820">
        <v>4.678861618</v>
      </c>
      <c r="P820">
        <v>-74.106315609999996</v>
      </c>
      <c r="Q820" t="s">
        <v>2743</v>
      </c>
      <c r="R820">
        <v>3571428.571</v>
      </c>
      <c r="S820">
        <v>0</v>
      </c>
      <c r="T820" t="s">
        <v>75</v>
      </c>
      <c r="U820" t="s">
        <v>76</v>
      </c>
      <c r="V820" t="s">
        <v>77</v>
      </c>
      <c r="W820" t="s">
        <v>78</v>
      </c>
      <c r="X820" t="s">
        <v>79</v>
      </c>
      <c r="Y820">
        <v>3.3619966779925301</v>
      </c>
      <c r="Z820">
        <v>3361.9966779925298</v>
      </c>
      <c r="AA820">
        <v>4.6584666666666701</v>
      </c>
      <c r="AB820">
        <v>-74.083966666666697</v>
      </c>
      <c r="AC820">
        <v>2552</v>
      </c>
      <c r="AD820">
        <v>0</v>
      </c>
      <c r="AE820" t="s">
        <v>80</v>
      </c>
      <c r="AF820" t="s">
        <v>81</v>
      </c>
      <c r="AG820" t="s">
        <v>82</v>
      </c>
      <c r="AH820" t="s">
        <v>83</v>
      </c>
      <c r="AI820" t="s">
        <v>412</v>
      </c>
      <c r="AJ820">
        <v>1.2736904311100701</v>
      </c>
      <c r="AK820">
        <v>5.5181267272178802</v>
      </c>
      <c r="AL820">
        <v>1.51589016186089</v>
      </c>
      <c r="AM820">
        <v>0.24906123048210799</v>
      </c>
      <c r="AN820">
        <v>1.29656649310536</v>
      </c>
      <c r="AO820">
        <v>0.26351359365083499</v>
      </c>
      <c r="AP820">
        <v>0.26351359365083499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23</v>
      </c>
      <c r="AW820">
        <v>0</v>
      </c>
      <c r="AX820">
        <v>0</v>
      </c>
      <c r="AZ820">
        <v>6.8</v>
      </c>
      <c r="BA820">
        <v>19.899999999999999</v>
      </c>
      <c r="BB820">
        <v>564</v>
      </c>
      <c r="BC820">
        <v>68</v>
      </c>
      <c r="BD820">
        <v>1.5</v>
      </c>
      <c r="BE820">
        <v>135</v>
      </c>
      <c r="BF820">
        <v>0.8</v>
      </c>
      <c r="BG820">
        <v>162</v>
      </c>
      <c r="BH820">
        <v>9.1</v>
      </c>
      <c r="BI820">
        <v>9.1999999999999993</v>
      </c>
      <c r="BJ820">
        <v>18.3</v>
      </c>
      <c r="BK820">
        <v>0.34</v>
      </c>
      <c r="BL820">
        <v>7.3</v>
      </c>
      <c r="BM820">
        <v>0.9</v>
      </c>
      <c r="BN820">
        <v>7.5</v>
      </c>
      <c r="BO820">
        <v>2.9</v>
      </c>
      <c r="BP820">
        <f t="shared" si="24"/>
        <v>5.7575024406550153</v>
      </c>
      <c r="BQ820">
        <f t="shared" si="25"/>
        <v>18.357382532844394</v>
      </c>
    </row>
    <row r="821" spans="1:69" hidden="1" x14ac:dyDescent="0.2">
      <c r="A821" t="s">
        <v>2532</v>
      </c>
      <c r="B821" t="s">
        <v>68</v>
      </c>
      <c r="C821" t="s">
        <v>1956</v>
      </c>
      <c r="D821" t="s">
        <v>70</v>
      </c>
      <c r="E821" t="s">
        <v>2533</v>
      </c>
      <c r="F821">
        <v>4</v>
      </c>
      <c r="G821">
        <v>208</v>
      </c>
      <c r="H821">
        <v>4</v>
      </c>
      <c r="I821">
        <v>3</v>
      </c>
      <c r="J821">
        <v>2</v>
      </c>
      <c r="K821" t="s">
        <v>110</v>
      </c>
      <c r="L821" t="s">
        <v>162</v>
      </c>
      <c r="M821" s="4">
        <v>930000000</v>
      </c>
      <c r="N821">
        <v>0</v>
      </c>
      <c r="O821">
        <v>4.6914910000000001</v>
      </c>
      <c r="P821">
        <v>-74.072389000000001</v>
      </c>
      <c r="Q821" t="s">
        <v>2534</v>
      </c>
      <c r="R821">
        <v>4471153.8459999999</v>
      </c>
      <c r="S821">
        <v>0</v>
      </c>
      <c r="T821" t="s">
        <v>75</v>
      </c>
      <c r="U821" t="s">
        <v>76</v>
      </c>
      <c r="V821" t="s">
        <v>77</v>
      </c>
      <c r="W821" t="s">
        <v>78</v>
      </c>
      <c r="X821" t="s">
        <v>79</v>
      </c>
      <c r="Y821">
        <v>3.8942074094392698</v>
      </c>
      <c r="Z821">
        <v>3894.2074094392701</v>
      </c>
      <c r="AA821">
        <v>4.6584666666666701</v>
      </c>
      <c r="AB821">
        <v>-74.083966666666697</v>
      </c>
      <c r="AC821">
        <v>2552</v>
      </c>
      <c r="AD821">
        <v>0</v>
      </c>
      <c r="AE821" t="s">
        <v>80</v>
      </c>
      <c r="AF821" t="s">
        <v>81</v>
      </c>
      <c r="AG821" t="s">
        <v>82</v>
      </c>
      <c r="AH821" t="s">
        <v>83</v>
      </c>
      <c r="AI821" t="s">
        <v>121</v>
      </c>
      <c r="AJ821">
        <v>0.61193207200294497</v>
      </c>
      <c r="AK821">
        <v>4.1229170781815601</v>
      </c>
      <c r="AL821">
        <v>0.60030805671212395</v>
      </c>
      <c r="AM821">
        <v>0.29136786181205898</v>
      </c>
      <c r="AN821">
        <v>2.21819784747992</v>
      </c>
      <c r="AO821">
        <v>0.122362601869814</v>
      </c>
      <c r="AP821">
        <v>0.122362601869814</v>
      </c>
      <c r="AQ821">
        <v>0</v>
      </c>
      <c r="AR821">
        <v>2</v>
      </c>
      <c r="AS821">
        <v>0</v>
      </c>
      <c r="AT821">
        <v>0</v>
      </c>
      <c r="AU821">
        <v>2</v>
      </c>
      <c r="AV821">
        <v>57</v>
      </c>
      <c r="AW821">
        <v>0</v>
      </c>
      <c r="AX821">
        <v>0</v>
      </c>
      <c r="AZ821">
        <v>6.8</v>
      </c>
      <c r="BA821">
        <v>19.899999999999999</v>
      </c>
      <c r="BB821">
        <v>564</v>
      </c>
      <c r="BC821">
        <v>68</v>
      </c>
      <c r="BD821">
        <v>1.5</v>
      </c>
      <c r="BE821">
        <v>135</v>
      </c>
      <c r="BF821">
        <v>0.8</v>
      </c>
      <c r="BG821">
        <v>162</v>
      </c>
      <c r="BH821">
        <v>9.1</v>
      </c>
      <c r="BI821">
        <v>9.1999999999999993</v>
      </c>
      <c r="BJ821">
        <v>18.3</v>
      </c>
      <c r="BK821">
        <v>0.34</v>
      </c>
      <c r="BL821">
        <v>7.3</v>
      </c>
      <c r="BM821">
        <v>0.9</v>
      </c>
      <c r="BN821">
        <v>7.5</v>
      </c>
      <c r="BO821">
        <v>2.9</v>
      </c>
      <c r="BP821">
        <f t="shared" si="24"/>
        <v>5.6078048207841773</v>
      </c>
      <c r="BQ821">
        <f t="shared" si="25"/>
        <v>18.124393786220402</v>
      </c>
    </row>
    <row r="822" spans="1:69" hidden="1" x14ac:dyDescent="0.2">
      <c r="A822" t="s">
        <v>1216</v>
      </c>
      <c r="B822" t="s">
        <v>68</v>
      </c>
      <c r="C822" t="s">
        <v>69</v>
      </c>
      <c r="D822" t="s">
        <v>70</v>
      </c>
      <c r="E822" t="s">
        <v>404</v>
      </c>
      <c r="F822">
        <v>5</v>
      </c>
      <c r="G822">
        <v>207</v>
      </c>
      <c r="H822">
        <v>3</v>
      </c>
      <c r="I822">
        <v>4</v>
      </c>
      <c r="J822">
        <v>2</v>
      </c>
      <c r="K822" t="s">
        <v>110</v>
      </c>
      <c r="L822" t="s">
        <v>162</v>
      </c>
      <c r="M822" s="4">
        <v>1595000000</v>
      </c>
      <c r="N822">
        <v>0</v>
      </c>
      <c r="O822">
        <v>4.6736059189999999</v>
      </c>
      <c r="P822">
        <v>-74.057647709999998</v>
      </c>
      <c r="Q822" t="s">
        <v>1217</v>
      </c>
      <c r="R822">
        <v>7705314.0099999998</v>
      </c>
      <c r="S822">
        <v>0</v>
      </c>
      <c r="T822" t="s">
        <v>75</v>
      </c>
      <c r="U822" t="s">
        <v>76</v>
      </c>
      <c r="V822" t="s">
        <v>77</v>
      </c>
      <c r="W822" t="s">
        <v>78</v>
      </c>
      <c r="X822" t="s">
        <v>79</v>
      </c>
      <c r="Y822">
        <v>3.3715301895995702</v>
      </c>
      <c r="Z822">
        <v>3371.5301895995699</v>
      </c>
      <c r="AA822">
        <v>4.6584666666666701</v>
      </c>
      <c r="AB822">
        <v>-74.083966666666697</v>
      </c>
      <c r="AC822">
        <v>2552</v>
      </c>
      <c r="AD822">
        <v>0</v>
      </c>
      <c r="AE822" t="s">
        <v>80</v>
      </c>
      <c r="AF822" t="s">
        <v>81</v>
      </c>
      <c r="AG822" t="s">
        <v>82</v>
      </c>
      <c r="AH822" t="s">
        <v>83</v>
      </c>
      <c r="AI822" t="s">
        <v>130</v>
      </c>
      <c r="AJ822">
        <v>0.26344122401798797</v>
      </c>
      <c r="AK822">
        <v>1.7000748305681199</v>
      </c>
      <c r="AL822">
        <v>0.64156710436675302</v>
      </c>
      <c r="AM822">
        <v>9.0079752351256495E-2</v>
      </c>
      <c r="AN822">
        <v>2.6850103138114698</v>
      </c>
      <c r="AO822">
        <v>0.75432882381601696</v>
      </c>
      <c r="AP822">
        <v>0.75432882381601696</v>
      </c>
      <c r="AQ822">
        <v>2</v>
      </c>
      <c r="AR822">
        <v>5</v>
      </c>
      <c r="AS822">
        <v>0</v>
      </c>
      <c r="AT822">
        <v>0</v>
      </c>
      <c r="AU822">
        <v>5</v>
      </c>
      <c r="AV822">
        <v>303</v>
      </c>
      <c r="AW822">
        <v>0</v>
      </c>
      <c r="AX822">
        <v>0</v>
      </c>
      <c r="AZ822">
        <v>6.8</v>
      </c>
      <c r="BA822">
        <v>19.899999999999999</v>
      </c>
      <c r="BB822">
        <v>564</v>
      </c>
      <c r="BC822">
        <v>68</v>
      </c>
      <c r="BD822">
        <v>1.5</v>
      </c>
      <c r="BE822">
        <v>135</v>
      </c>
      <c r="BF822">
        <v>0.8</v>
      </c>
      <c r="BG822">
        <v>162</v>
      </c>
      <c r="BH822">
        <v>9.1</v>
      </c>
      <c r="BI822">
        <v>9.1999999999999993</v>
      </c>
      <c r="BJ822">
        <v>18.3</v>
      </c>
      <c r="BK822">
        <v>0.34</v>
      </c>
      <c r="BL822">
        <v>7.3</v>
      </c>
      <c r="BM822">
        <v>0.9</v>
      </c>
      <c r="BN822">
        <v>7.5</v>
      </c>
      <c r="BO822">
        <v>2.9</v>
      </c>
      <c r="BP822">
        <f t="shared" si="24"/>
        <v>5.7547860654370409</v>
      </c>
      <c r="BQ822">
        <f t="shared" si="25"/>
        <v>18.353182765658225</v>
      </c>
    </row>
    <row r="823" spans="1:69" hidden="1" x14ac:dyDescent="0.2">
      <c r="A823" t="s">
        <v>2051</v>
      </c>
      <c r="B823" t="s">
        <v>68</v>
      </c>
      <c r="C823" t="s">
        <v>1956</v>
      </c>
      <c r="D823" t="s">
        <v>70</v>
      </c>
      <c r="E823" t="s">
        <v>1191</v>
      </c>
      <c r="F823">
        <v>4</v>
      </c>
      <c r="G823">
        <v>205</v>
      </c>
      <c r="H823">
        <v>5</v>
      </c>
      <c r="I823">
        <v>5</v>
      </c>
      <c r="J823">
        <v>3</v>
      </c>
      <c r="K823" t="s">
        <v>110</v>
      </c>
      <c r="L823" t="s">
        <v>162</v>
      </c>
      <c r="M823" s="4">
        <v>1300000000</v>
      </c>
      <c r="N823">
        <v>0</v>
      </c>
      <c r="O823">
        <v>4.6548881529999999</v>
      </c>
      <c r="P823">
        <v>-74.061645510000005</v>
      </c>
      <c r="Q823" t="s">
        <v>2052</v>
      </c>
      <c r="R823">
        <v>6341463.415</v>
      </c>
      <c r="S823">
        <v>0</v>
      </c>
      <c r="T823" t="s">
        <v>75</v>
      </c>
      <c r="U823" t="s">
        <v>76</v>
      </c>
      <c r="V823" t="s">
        <v>77</v>
      </c>
      <c r="W823" t="s">
        <v>78</v>
      </c>
      <c r="X823" t="s">
        <v>79</v>
      </c>
      <c r="Y823">
        <v>2.5084111198202601</v>
      </c>
      <c r="Z823">
        <v>2508.41111982026</v>
      </c>
      <c r="AA823">
        <v>4.6584666666666701</v>
      </c>
      <c r="AB823">
        <v>-74.083966666666697</v>
      </c>
      <c r="AC823">
        <v>2552</v>
      </c>
      <c r="AD823">
        <v>0</v>
      </c>
      <c r="AE823" t="s">
        <v>80</v>
      </c>
      <c r="AF823" t="s">
        <v>81</v>
      </c>
      <c r="AG823" t="s">
        <v>82</v>
      </c>
      <c r="AH823" t="s">
        <v>83</v>
      </c>
      <c r="AI823" t="s">
        <v>130</v>
      </c>
      <c r="AJ823">
        <v>0.15121424546342799</v>
      </c>
      <c r="AK823">
        <v>1.35056421073115</v>
      </c>
      <c r="AL823">
        <v>0.15469387363863801</v>
      </c>
      <c r="AM823">
        <v>3.91463986270651E-2</v>
      </c>
      <c r="AN823">
        <v>1.51084877179009</v>
      </c>
      <c r="AO823">
        <v>0.100527688469692</v>
      </c>
      <c r="AP823">
        <v>0.100527688469692</v>
      </c>
      <c r="AQ823">
        <v>2</v>
      </c>
      <c r="AR823">
        <v>4</v>
      </c>
      <c r="AS823">
        <v>0</v>
      </c>
      <c r="AT823">
        <v>0</v>
      </c>
      <c r="AU823">
        <v>24</v>
      </c>
      <c r="AV823">
        <v>89</v>
      </c>
      <c r="AW823">
        <v>0</v>
      </c>
      <c r="AX823">
        <v>0</v>
      </c>
      <c r="AZ823">
        <v>6.8</v>
      </c>
      <c r="BA823">
        <v>19.899999999999999</v>
      </c>
      <c r="BB823">
        <v>564</v>
      </c>
      <c r="BC823">
        <v>68</v>
      </c>
      <c r="BD823">
        <v>1.5</v>
      </c>
      <c r="BE823">
        <v>135</v>
      </c>
      <c r="BF823">
        <v>0.8</v>
      </c>
      <c r="BG823">
        <v>162</v>
      </c>
      <c r="BH823">
        <v>9.1</v>
      </c>
      <c r="BI823">
        <v>9.1999999999999993</v>
      </c>
      <c r="BJ823">
        <v>18.3</v>
      </c>
      <c r="BK823">
        <v>0.34</v>
      </c>
      <c r="BL823">
        <v>7.3</v>
      </c>
      <c r="BM823">
        <v>0.9</v>
      </c>
      <c r="BN823">
        <v>7.5</v>
      </c>
      <c r="BO823">
        <v>2.9</v>
      </c>
      <c r="BP823">
        <f t="shared" si="24"/>
        <v>6.0059837369140752</v>
      </c>
      <c r="BQ823">
        <f t="shared" si="25"/>
        <v>18.737331389979129</v>
      </c>
    </row>
    <row r="824" spans="1:69" hidden="1" x14ac:dyDescent="0.2">
      <c r="A824" t="s">
        <v>2651</v>
      </c>
      <c r="B824" t="s">
        <v>68</v>
      </c>
      <c r="C824" t="s">
        <v>1956</v>
      </c>
      <c r="D824" t="s">
        <v>70</v>
      </c>
      <c r="E824" t="s">
        <v>71</v>
      </c>
      <c r="F824">
        <v>4</v>
      </c>
      <c r="G824">
        <v>205</v>
      </c>
      <c r="H824">
        <v>5</v>
      </c>
      <c r="I824">
        <v>2</v>
      </c>
      <c r="J824">
        <v>0</v>
      </c>
      <c r="K824" t="s">
        <v>110</v>
      </c>
      <c r="L824" t="s">
        <v>162</v>
      </c>
      <c r="M824" s="4">
        <v>1150000000</v>
      </c>
      <c r="N824">
        <v>0</v>
      </c>
      <c r="O824">
        <v>4.6452714000000004</v>
      </c>
      <c r="P824">
        <v>-74.068922400000005</v>
      </c>
      <c r="Q824" t="s">
        <v>2652</v>
      </c>
      <c r="R824">
        <v>5609756.0980000002</v>
      </c>
      <c r="S824">
        <v>0</v>
      </c>
      <c r="T824" t="s">
        <v>126</v>
      </c>
      <c r="U824" t="s">
        <v>127</v>
      </c>
      <c r="V824" t="s">
        <v>77</v>
      </c>
      <c r="W824" t="s">
        <v>128</v>
      </c>
      <c r="X824" t="s">
        <v>129</v>
      </c>
      <c r="Y824">
        <v>2.2130017696942601</v>
      </c>
      <c r="Z824">
        <v>2213.00176969426</v>
      </c>
      <c r="AA824">
        <v>4.6254861111111101</v>
      </c>
      <c r="AB824">
        <v>-74.066980555555503</v>
      </c>
      <c r="AC824">
        <v>2621</v>
      </c>
      <c r="AD824">
        <v>15</v>
      </c>
      <c r="AE824" t="s">
        <v>80</v>
      </c>
      <c r="AF824" t="s">
        <v>81</v>
      </c>
      <c r="AG824" t="s">
        <v>82</v>
      </c>
      <c r="AH824" t="s">
        <v>83</v>
      </c>
      <c r="AI824" t="s">
        <v>84</v>
      </c>
      <c r="AJ824">
        <v>0.42632270114703802</v>
      </c>
      <c r="AK824">
        <v>1.35043493917789</v>
      </c>
      <c r="AL824">
        <v>0.275374103708662</v>
      </c>
      <c r="AM824">
        <v>2.9541308273353901E-2</v>
      </c>
      <c r="AN824">
        <v>1.23588234963689</v>
      </c>
      <c r="AO824">
        <v>2.5738202643431199E-2</v>
      </c>
      <c r="AP824">
        <v>2.5738202643431199E-2</v>
      </c>
      <c r="AQ824">
        <v>1</v>
      </c>
      <c r="AR824">
        <v>4</v>
      </c>
      <c r="AS824">
        <v>0</v>
      </c>
      <c r="AT824">
        <v>0</v>
      </c>
      <c r="AU824">
        <v>13</v>
      </c>
      <c r="AV824">
        <v>127</v>
      </c>
      <c r="AW824">
        <v>0</v>
      </c>
      <c r="AX824">
        <v>0</v>
      </c>
      <c r="AZ824">
        <v>6.8</v>
      </c>
      <c r="BA824">
        <v>19.899999999999999</v>
      </c>
      <c r="BB824">
        <v>564</v>
      </c>
      <c r="BC824">
        <v>68</v>
      </c>
      <c r="BD824">
        <v>1.5</v>
      </c>
      <c r="BE824">
        <v>135</v>
      </c>
      <c r="BF824">
        <v>0.8</v>
      </c>
      <c r="BG824">
        <v>162</v>
      </c>
      <c r="BH824">
        <v>9.1</v>
      </c>
      <c r="BI824">
        <v>9.1999999999999993</v>
      </c>
      <c r="BJ824">
        <v>18.3</v>
      </c>
      <c r="BK824">
        <v>0.34</v>
      </c>
      <c r="BL824">
        <v>7.3</v>
      </c>
      <c r="BM824">
        <v>0.9</v>
      </c>
      <c r="BN824">
        <v>7.5</v>
      </c>
      <c r="BO824">
        <v>2.9</v>
      </c>
      <c r="BP824">
        <f t="shared" si="24"/>
        <v>6.0944530692911103</v>
      </c>
      <c r="BQ824">
        <f t="shared" si="25"/>
        <v>18.870647815904789</v>
      </c>
    </row>
    <row r="825" spans="1:69" hidden="1" x14ac:dyDescent="0.2">
      <c r="A825" t="s">
        <v>1078</v>
      </c>
      <c r="B825" t="s">
        <v>68</v>
      </c>
      <c r="C825" t="s">
        <v>69</v>
      </c>
      <c r="D825" t="s">
        <v>70</v>
      </c>
      <c r="E825" t="s">
        <v>620</v>
      </c>
      <c r="F825">
        <v>6</v>
      </c>
      <c r="G825">
        <v>203</v>
      </c>
      <c r="H825">
        <v>4</v>
      </c>
      <c r="I825">
        <v>4</v>
      </c>
      <c r="J825">
        <v>4</v>
      </c>
      <c r="K825" t="s">
        <v>110</v>
      </c>
      <c r="L825" t="s">
        <v>124</v>
      </c>
      <c r="M825" s="4">
        <v>1900000000</v>
      </c>
      <c r="N825">
        <v>0</v>
      </c>
      <c r="O825">
        <v>4.6670403479999996</v>
      </c>
      <c r="P825">
        <v>-74.048698430000002</v>
      </c>
      <c r="Q825" t="s">
        <v>1079</v>
      </c>
      <c r="R825">
        <v>9359605.9110000003</v>
      </c>
      <c r="S825">
        <v>0</v>
      </c>
      <c r="T825" t="s">
        <v>75</v>
      </c>
      <c r="U825" t="s">
        <v>76</v>
      </c>
      <c r="V825" t="s">
        <v>77</v>
      </c>
      <c r="W825" t="s">
        <v>78</v>
      </c>
      <c r="X825" t="s">
        <v>79</v>
      </c>
      <c r="Y825">
        <v>4.0277615848543196</v>
      </c>
      <c r="Z825">
        <v>4027.7615848543201</v>
      </c>
      <c r="AA825">
        <v>4.6584666666666701</v>
      </c>
      <c r="AB825">
        <v>-74.083966666666697</v>
      </c>
      <c r="AC825">
        <v>2552</v>
      </c>
      <c r="AD825">
        <v>0</v>
      </c>
      <c r="AE825" t="s">
        <v>80</v>
      </c>
      <c r="AF825" t="s">
        <v>81</v>
      </c>
      <c r="AG825" t="s">
        <v>82</v>
      </c>
      <c r="AH825" t="s">
        <v>83</v>
      </c>
      <c r="AI825" t="s">
        <v>130</v>
      </c>
      <c r="AJ825">
        <v>1.2931991119024999</v>
      </c>
      <c r="AK825">
        <v>0.47116741527280798</v>
      </c>
      <c r="AL825">
        <v>0.60324315481563495</v>
      </c>
      <c r="AM825">
        <v>0.114732053416483</v>
      </c>
      <c r="AN825">
        <v>3.0085470654253701</v>
      </c>
      <c r="AO825">
        <v>7.4862289062257295E-2</v>
      </c>
      <c r="AP825">
        <v>7.4862289062257295E-2</v>
      </c>
      <c r="AQ825">
        <v>0</v>
      </c>
      <c r="AR825">
        <v>0</v>
      </c>
      <c r="AS825">
        <v>2</v>
      </c>
      <c r="AT825">
        <v>28</v>
      </c>
      <c r="AU825">
        <v>3</v>
      </c>
      <c r="AV825">
        <v>120</v>
      </c>
      <c r="AW825">
        <v>0</v>
      </c>
      <c r="AX825">
        <v>0</v>
      </c>
      <c r="AZ825">
        <v>6.8</v>
      </c>
      <c r="BA825">
        <v>19.899999999999999</v>
      </c>
      <c r="BB825">
        <v>564</v>
      </c>
      <c r="BC825">
        <v>68</v>
      </c>
      <c r="BD825">
        <v>1.5</v>
      </c>
      <c r="BE825">
        <v>135</v>
      </c>
      <c r="BF825">
        <v>0.8</v>
      </c>
      <c r="BG825">
        <v>162</v>
      </c>
      <c r="BH825">
        <v>9.1</v>
      </c>
      <c r="BI825">
        <v>9.1999999999999993</v>
      </c>
      <c r="BJ825">
        <v>18.3</v>
      </c>
      <c r="BK825">
        <v>0.34</v>
      </c>
      <c r="BL825">
        <v>7.3</v>
      </c>
      <c r="BM825">
        <v>0.9</v>
      </c>
      <c r="BN825">
        <v>7.5</v>
      </c>
      <c r="BO825">
        <v>2.9</v>
      </c>
      <c r="BP825">
        <f t="shared" si="24"/>
        <v>5.570854279549061</v>
      </c>
      <c r="BQ825">
        <f t="shared" si="25"/>
        <v>18.066392668168316</v>
      </c>
    </row>
    <row r="826" spans="1:69" hidden="1" x14ac:dyDescent="0.2">
      <c r="A826" t="s">
        <v>3862</v>
      </c>
      <c r="B826" t="s">
        <v>68</v>
      </c>
      <c r="C826" t="s">
        <v>3294</v>
      </c>
      <c r="D826" t="s">
        <v>70</v>
      </c>
      <c r="E826" t="s">
        <v>132</v>
      </c>
      <c r="F826">
        <v>6</v>
      </c>
      <c r="G826">
        <v>202</v>
      </c>
      <c r="H826">
        <v>3</v>
      </c>
      <c r="I826">
        <v>4</v>
      </c>
      <c r="J826">
        <v>3</v>
      </c>
      <c r="K826" t="s">
        <v>110</v>
      </c>
      <c r="L826" t="s">
        <v>111</v>
      </c>
      <c r="M826" s="4">
        <v>3300000000</v>
      </c>
      <c r="N826">
        <v>0</v>
      </c>
      <c r="O826">
        <v>4.6710260999999997</v>
      </c>
      <c r="P826">
        <v>-74.046404899999999</v>
      </c>
      <c r="Q826" t="s">
        <v>3863</v>
      </c>
      <c r="R826">
        <v>16336633.66</v>
      </c>
      <c r="S826">
        <v>0</v>
      </c>
      <c r="T826" t="s">
        <v>75</v>
      </c>
      <c r="U826" t="s">
        <v>76</v>
      </c>
      <c r="V826" t="s">
        <v>77</v>
      </c>
      <c r="W826" t="s">
        <v>78</v>
      </c>
      <c r="X826" t="s">
        <v>79</v>
      </c>
      <c r="Y826">
        <v>4.3957730740523004</v>
      </c>
      <c r="Z826">
        <v>4395.7730740523002</v>
      </c>
      <c r="AA826">
        <v>4.6584666666666701</v>
      </c>
      <c r="AB826">
        <v>-74.083966666666697</v>
      </c>
      <c r="AC826">
        <v>2552</v>
      </c>
      <c r="AD826">
        <v>0</v>
      </c>
      <c r="AE826" t="s">
        <v>80</v>
      </c>
      <c r="AF826" t="s">
        <v>81</v>
      </c>
      <c r="AG826" t="s">
        <v>82</v>
      </c>
      <c r="AH826" t="s">
        <v>83</v>
      </c>
      <c r="AI826" t="s">
        <v>130</v>
      </c>
      <c r="AJ826">
        <v>1.47480904019085</v>
      </c>
      <c r="AK826">
        <v>0.46024280336608198</v>
      </c>
      <c r="AL826">
        <v>1.05801025564327</v>
      </c>
      <c r="AM826">
        <v>0.35086688229456903</v>
      </c>
      <c r="AN826">
        <v>3.5117172655299398</v>
      </c>
      <c r="AO826">
        <v>0.58218250533471305</v>
      </c>
      <c r="AP826">
        <v>0.58218250533471305</v>
      </c>
      <c r="AQ826">
        <v>0</v>
      </c>
      <c r="AR826">
        <v>0</v>
      </c>
      <c r="AS826">
        <v>4</v>
      </c>
      <c r="AT826">
        <v>32</v>
      </c>
      <c r="AU826">
        <v>0</v>
      </c>
      <c r="AV826">
        <v>57</v>
      </c>
      <c r="AW826">
        <v>0</v>
      </c>
      <c r="AX826">
        <v>0</v>
      </c>
      <c r="AZ826">
        <v>6.8</v>
      </c>
      <c r="BA826">
        <v>19.899999999999999</v>
      </c>
      <c r="BB826">
        <v>564</v>
      </c>
      <c r="BC826">
        <v>68</v>
      </c>
      <c r="BD826">
        <v>1.5</v>
      </c>
      <c r="BE826">
        <v>135</v>
      </c>
      <c r="BF826">
        <v>0.8</v>
      </c>
      <c r="BG826">
        <v>162</v>
      </c>
      <c r="BH826">
        <v>9.1</v>
      </c>
      <c r="BI826">
        <v>9.1999999999999993</v>
      </c>
      <c r="BJ826">
        <v>18.3</v>
      </c>
      <c r="BK826">
        <v>0.34</v>
      </c>
      <c r="BL826">
        <v>7.3</v>
      </c>
      <c r="BM826">
        <v>0.9</v>
      </c>
      <c r="BN826">
        <v>7.5</v>
      </c>
      <c r="BO826">
        <v>2.9</v>
      </c>
      <c r="BP826">
        <f t="shared" si="24"/>
        <v>5.4702911680958888</v>
      </c>
      <c r="BQ826">
        <f t="shared" si="25"/>
        <v>17.907527907906424</v>
      </c>
    </row>
    <row r="827" spans="1:69" hidden="1" x14ac:dyDescent="0.2">
      <c r="A827" t="s">
        <v>3011</v>
      </c>
      <c r="B827" t="s">
        <v>68</v>
      </c>
      <c r="C827" t="s">
        <v>1956</v>
      </c>
      <c r="D827" t="s">
        <v>70</v>
      </c>
      <c r="E827" t="s">
        <v>114</v>
      </c>
      <c r="F827">
        <v>5</v>
      </c>
      <c r="G827">
        <v>200.4</v>
      </c>
      <c r="H827">
        <v>3</v>
      </c>
      <c r="I827">
        <v>3</v>
      </c>
      <c r="J827">
        <v>2</v>
      </c>
      <c r="K827" t="s">
        <v>110</v>
      </c>
      <c r="L827" t="s">
        <v>162</v>
      </c>
      <c r="M827" s="4">
        <v>1300000000</v>
      </c>
      <c r="N827">
        <v>0</v>
      </c>
      <c r="O827">
        <v>4.6887999999999996</v>
      </c>
      <c r="P827">
        <v>-74.091120000000004</v>
      </c>
      <c r="Q827" t="s">
        <v>3012</v>
      </c>
      <c r="R827">
        <v>6487025.9479999999</v>
      </c>
      <c r="S827">
        <v>0</v>
      </c>
      <c r="T827" t="s">
        <v>75</v>
      </c>
      <c r="U827" t="s">
        <v>76</v>
      </c>
      <c r="V827" t="s">
        <v>77</v>
      </c>
      <c r="W827" t="s">
        <v>78</v>
      </c>
      <c r="X827" t="s">
        <v>79</v>
      </c>
      <c r="Y827">
        <v>3.46870813540392</v>
      </c>
      <c r="Z827">
        <v>3468.7081354039201</v>
      </c>
      <c r="AA827">
        <v>4.6584666666666701</v>
      </c>
      <c r="AB827">
        <v>-74.083966666666697</v>
      </c>
      <c r="AC827">
        <v>2552</v>
      </c>
      <c r="AD827">
        <v>0</v>
      </c>
      <c r="AE827" t="s">
        <v>80</v>
      </c>
      <c r="AF827" t="s">
        <v>81</v>
      </c>
      <c r="AG827" t="s">
        <v>82</v>
      </c>
      <c r="AH827" t="s">
        <v>83</v>
      </c>
      <c r="AI827" t="s">
        <v>412</v>
      </c>
      <c r="AJ827">
        <v>0.71922686590181095</v>
      </c>
      <c r="AK827">
        <v>5.5772062088437</v>
      </c>
      <c r="AL827">
        <v>1.3848437436876699</v>
      </c>
      <c r="AM827">
        <v>0.21991549789145801</v>
      </c>
      <c r="AN827">
        <v>1.28830978610793</v>
      </c>
      <c r="AO827">
        <v>5.3245298375181403E-2</v>
      </c>
      <c r="AP827">
        <v>5.3245298375181403E-2</v>
      </c>
      <c r="AQ827">
        <v>0</v>
      </c>
      <c r="AR827">
        <v>3</v>
      </c>
      <c r="AS827">
        <v>0</v>
      </c>
      <c r="AT827">
        <v>0</v>
      </c>
      <c r="AU827">
        <v>0</v>
      </c>
      <c r="AV827">
        <v>41</v>
      </c>
      <c r="AW827">
        <v>0</v>
      </c>
      <c r="AX827">
        <v>0</v>
      </c>
      <c r="AZ827">
        <v>6.8</v>
      </c>
      <c r="BA827">
        <v>19.899999999999999</v>
      </c>
      <c r="BB827">
        <v>564</v>
      </c>
      <c r="BC827">
        <v>68</v>
      </c>
      <c r="BD827">
        <v>1.5</v>
      </c>
      <c r="BE827">
        <v>135</v>
      </c>
      <c r="BF827">
        <v>0.8</v>
      </c>
      <c r="BG827">
        <v>162</v>
      </c>
      <c r="BH827">
        <v>9.1</v>
      </c>
      <c r="BI827">
        <v>9.1999999999999993</v>
      </c>
      <c r="BJ827">
        <v>18.3</v>
      </c>
      <c r="BK827">
        <v>0.34</v>
      </c>
      <c r="BL827">
        <v>7.3</v>
      </c>
      <c r="BM827">
        <v>0.9</v>
      </c>
      <c r="BN827">
        <v>7.5</v>
      </c>
      <c r="BO827">
        <v>2.9</v>
      </c>
      <c r="BP827">
        <f t="shared" si="24"/>
        <v>5.7271702437208836</v>
      </c>
      <c r="BQ827">
        <f t="shared" si="25"/>
        <v>18.310428052417681</v>
      </c>
    </row>
    <row r="828" spans="1:69" hidden="1" x14ac:dyDescent="0.2">
      <c r="A828" t="s">
        <v>805</v>
      </c>
      <c r="B828" t="s">
        <v>68</v>
      </c>
      <c r="C828" t="s">
        <v>69</v>
      </c>
      <c r="D828" t="s">
        <v>70</v>
      </c>
      <c r="E828" t="s">
        <v>806</v>
      </c>
      <c r="F828">
        <v>5</v>
      </c>
      <c r="G828">
        <v>200</v>
      </c>
      <c r="H828">
        <v>3</v>
      </c>
      <c r="I828">
        <v>4</v>
      </c>
      <c r="J828">
        <v>3</v>
      </c>
      <c r="K828" t="s">
        <v>110</v>
      </c>
      <c r="L828" t="s">
        <v>133</v>
      </c>
      <c r="M828" s="4">
        <v>2100000000</v>
      </c>
      <c r="N828">
        <v>0</v>
      </c>
      <c r="O828">
        <v>4.6631793979999996</v>
      </c>
      <c r="P828">
        <v>-74.111015320000007</v>
      </c>
      <c r="Q828" t="s">
        <v>807</v>
      </c>
      <c r="R828">
        <v>10500000</v>
      </c>
      <c r="S828">
        <v>0</v>
      </c>
      <c r="T828" t="s">
        <v>75</v>
      </c>
      <c r="U828" t="s">
        <v>76</v>
      </c>
      <c r="V828" t="s">
        <v>77</v>
      </c>
      <c r="W828" t="s">
        <v>78</v>
      </c>
      <c r="X828" t="s">
        <v>79</v>
      </c>
      <c r="Y828">
        <v>3.0465945199180098</v>
      </c>
      <c r="Z828">
        <v>3046.5945199180101</v>
      </c>
      <c r="AA828">
        <v>4.6584666666666701</v>
      </c>
      <c r="AB828">
        <v>-74.083966666666697</v>
      </c>
      <c r="AC828">
        <v>2552</v>
      </c>
      <c r="AD828">
        <v>0</v>
      </c>
      <c r="AE828" t="s">
        <v>80</v>
      </c>
      <c r="AF828" t="s">
        <v>81</v>
      </c>
      <c r="AG828" t="s">
        <v>82</v>
      </c>
      <c r="AH828" t="s">
        <v>83</v>
      </c>
      <c r="AI828" t="s">
        <v>92</v>
      </c>
      <c r="AJ828">
        <v>0.28373295203795601</v>
      </c>
      <c r="AK828">
        <v>5.1628996697406002</v>
      </c>
      <c r="AL828">
        <v>0.75370709554174398</v>
      </c>
      <c r="AM828">
        <v>0.21554950824019001</v>
      </c>
      <c r="AN828">
        <v>1.3877413965184899</v>
      </c>
      <c r="AO828">
        <v>0.653376072165887</v>
      </c>
      <c r="AP828">
        <v>0.653376072165887</v>
      </c>
      <c r="AQ828">
        <v>1</v>
      </c>
      <c r="AR828">
        <v>3</v>
      </c>
      <c r="AS828">
        <v>0</v>
      </c>
      <c r="AT828">
        <v>0</v>
      </c>
      <c r="AU828">
        <v>1</v>
      </c>
      <c r="AV828">
        <v>44</v>
      </c>
      <c r="AW828">
        <v>0</v>
      </c>
      <c r="AX828">
        <v>0</v>
      </c>
      <c r="AZ828">
        <v>6.8</v>
      </c>
      <c r="BA828">
        <v>19.899999999999999</v>
      </c>
      <c r="BB828">
        <v>564</v>
      </c>
      <c r="BC828">
        <v>68</v>
      </c>
      <c r="BD828">
        <v>1.5</v>
      </c>
      <c r="BE828">
        <v>135</v>
      </c>
      <c r="BF828">
        <v>0.8</v>
      </c>
      <c r="BG828">
        <v>162</v>
      </c>
      <c r="BH828">
        <v>9.1</v>
      </c>
      <c r="BI828">
        <v>9.1999999999999993</v>
      </c>
      <c r="BJ828">
        <v>18.3</v>
      </c>
      <c r="BK828">
        <v>0.34</v>
      </c>
      <c r="BL828">
        <v>7.3</v>
      </c>
      <c r="BM828">
        <v>0.9</v>
      </c>
      <c r="BN828">
        <v>7.5</v>
      </c>
      <c r="BO828">
        <v>2.9</v>
      </c>
      <c r="BP828">
        <f t="shared" si="24"/>
        <v>5.848096264712364</v>
      </c>
      <c r="BQ828">
        <f t="shared" si="25"/>
        <v>18.496868791625971</v>
      </c>
    </row>
    <row r="829" spans="1:69" hidden="1" x14ac:dyDescent="0.2">
      <c r="A829" t="s">
        <v>1922</v>
      </c>
      <c r="B829" t="s">
        <v>68</v>
      </c>
      <c r="C829" t="s">
        <v>69</v>
      </c>
      <c r="D829" t="s">
        <v>70</v>
      </c>
      <c r="E829" t="s">
        <v>132</v>
      </c>
      <c r="F829">
        <v>6</v>
      </c>
      <c r="G829">
        <v>200</v>
      </c>
      <c r="H829">
        <v>3</v>
      </c>
      <c r="I829">
        <v>3</v>
      </c>
      <c r="J829">
        <v>2</v>
      </c>
      <c r="K829" t="s">
        <v>110</v>
      </c>
      <c r="L829" t="s">
        <v>162</v>
      </c>
      <c r="M829" s="4">
        <v>1600000000</v>
      </c>
      <c r="N829">
        <v>0</v>
      </c>
      <c r="O829">
        <v>4.6741242410000003</v>
      </c>
      <c r="P829">
        <v>-74.049568179999994</v>
      </c>
      <c r="Q829" t="s">
        <v>1923</v>
      </c>
      <c r="R829">
        <v>8000000</v>
      </c>
      <c r="S829">
        <v>0</v>
      </c>
      <c r="T829" t="s">
        <v>75</v>
      </c>
      <c r="U829" t="s">
        <v>76</v>
      </c>
      <c r="V829" t="s">
        <v>77</v>
      </c>
      <c r="W829" t="s">
        <v>78</v>
      </c>
      <c r="X829" t="s">
        <v>79</v>
      </c>
      <c r="Y829">
        <v>4.1957030937377704</v>
      </c>
      <c r="Z829">
        <v>4195.7030937377704</v>
      </c>
      <c r="AA829">
        <v>4.6584666666666701</v>
      </c>
      <c r="AB829">
        <v>-74.083966666666697</v>
      </c>
      <c r="AC829">
        <v>2552</v>
      </c>
      <c r="AD829">
        <v>0</v>
      </c>
      <c r="AE829" t="s">
        <v>80</v>
      </c>
      <c r="AF829" t="s">
        <v>81</v>
      </c>
      <c r="AG829" t="s">
        <v>82</v>
      </c>
      <c r="AH829" t="s">
        <v>83</v>
      </c>
      <c r="AI829" t="s">
        <v>130</v>
      </c>
      <c r="AJ829">
        <v>1.06822804081523</v>
      </c>
      <c r="AK829">
        <v>0.94951306560183701</v>
      </c>
      <c r="AL829">
        <v>1.1246369528401401</v>
      </c>
      <c r="AM829">
        <v>0.13767697256480699</v>
      </c>
      <c r="AN829">
        <v>3.5809514346603502</v>
      </c>
      <c r="AO829">
        <v>0.84029178150834904</v>
      </c>
      <c r="AP829">
        <v>0.84029178150834904</v>
      </c>
      <c r="AQ829">
        <v>0</v>
      </c>
      <c r="AR829">
        <v>0</v>
      </c>
      <c r="AS829">
        <v>0</v>
      </c>
      <c r="AT829">
        <v>4</v>
      </c>
      <c r="AU829">
        <v>0</v>
      </c>
      <c r="AV829">
        <v>179</v>
      </c>
      <c r="AW829">
        <v>0</v>
      </c>
      <c r="AX829">
        <v>0</v>
      </c>
      <c r="AZ829">
        <v>6.8</v>
      </c>
      <c r="BA829">
        <v>19.899999999999999</v>
      </c>
      <c r="BB829">
        <v>564</v>
      </c>
      <c r="BC829">
        <v>68</v>
      </c>
      <c r="BD829">
        <v>1.5</v>
      </c>
      <c r="BE829">
        <v>135</v>
      </c>
      <c r="BF829">
        <v>0.8</v>
      </c>
      <c r="BG829">
        <v>162</v>
      </c>
      <c r="BH829">
        <v>9.1</v>
      </c>
      <c r="BI829">
        <v>9.1999999999999993</v>
      </c>
      <c r="BJ829">
        <v>18.3</v>
      </c>
      <c r="BK829">
        <v>0.34</v>
      </c>
      <c r="BL829">
        <v>7.3</v>
      </c>
      <c r="BM829">
        <v>0.9</v>
      </c>
      <c r="BN829">
        <v>7.5</v>
      </c>
      <c r="BO829">
        <v>2.9</v>
      </c>
      <c r="BP829">
        <f t="shared" si="24"/>
        <v>5.5247351468995545</v>
      </c>
      <c r="BQ829">
        <f t="shared" si="25"/>
        <v>17.993720887978451</v>
      </c>
    </row>
    <row r="830" spans="1:69" hidden="1" x14ac:dyDescent="0.2">
      <c r="A830" t="s">
        <v>2009</v>
      </c>
      <c r="B830" t="s">
        <v>68</v>
      </c>
      <c r="C830" t="s">
        <v>1956</v>
      </c>
      <c r="D830" t="s">
        <v>70</v>
      </c>
      <c r="E830" t="s">
        <v>73</v>
      </c>
      <c r="F830">
        <v>4</v>
      </c>
      <c r="G830">
        <v>200</v>
      </c>
      <c r="H830">
        <v>4</v>
      </c>
      <c r="I830">
        <v>4</v>
      </c>
      <c r="J830">
        <v>2</v>
      </c>
      <c r="K830" t="s">
        <v>110</v>
      </c>
      <c r="L830" t="s">
        <v>162</v>
      </c>
      <c r="M830" s="4">
        <v>1350000000</v>
      </c>
      <c r="N830">
        <v>0</v>
      </c>
      <c r="O830">
        <v>4.6899700160000002</v>
      </c>
      <c r="P830">
        <v>-74.070808409999998</v>
      </c>
      <c r="Q830" t="s">
        <v>2010</v>
      </c>
      <c r="R830">
        <v>6750000</v>
      </c>
      <c r="S830">
        <v>0</v>
      </c>
      <c r="T830" t="s">
        <v>75</v>
      </c>
      <c r="U830" t="s">
        <v>76</v>
      </c>
      <c r="V830" t="s">
        <v>77</v>
      </c>
      <c r="W830" t="s">
        <v>78</v>
      </c>
      <c r="X830" t="s">
        <v>79</v>
      </c>
      <c r="Y830">
        <v>3.7986721776127599</v>
      </c>
      <c r="Z830">
        <v>3798.6721776127602</v>
      </c>
      <c r="AA830">
        <v>4.6584666666666701</v>
      </c>
      <c r="AB830">
        <v>-74.083966666666697</v>
      </c>
      <c r="AC830">
        <v>2552</v>
      </c>
      <c r="AD830">
        <v>0</v>
      </c>
      <c r="AE830" t="s">
        <v>80</v>
      </c>
      <c r="AF830" t="s">
        <v>81</v>
      </c>
      <c r="AG830" t="s">
        <v>82</v>
      </c>
      <c r="AH830" t="s">
        <v>83</v>
      </c>
      <c r="AI830" t="s">
        <v>121</v>
      </c>
      <c r="AJ830">
        <v>0.55050209233707603</v>
      </c>
      <c r="AK830">
        <v>3.8812873814016702</v>
      </c>
      <c r="AL830">
        <v>0.58534760371080197</v>
      </c>
      <c r="AM830">
        <v>0.25572372610484301</v>
      </c>
      <c r="AN830">
        <v>2.1658094529807501</v>
      </c>
      <c r="AO830">
        <v>9.2207367611668797E-2</v>
      </c>
      <c r="AP830">
        <v>9.2207367611668797E-2</v>
      </c>
      <c r="AQ830">
        <v>0</v>
      </c>
      <c r="AR830">
        <v>2</v>
      </c>
      <c r="AS830">
        <v>0</v>
      </c>
      <c r="AT830">
        <v>0</v>
      </c>
      <c r="AU830">
        <v>2</v>
      </c>
      <c r="AV830">
        <v>47</v>
      </c>
      <c r="AW830">
        <v>0</v>
      </c>
      <c r="AX830">
        <v>0</v>
      </c>
      <c r="AZ830">
        <v>6.8</v>
      </c>
      <c r="BA830">
        <v>19.899999999999999</v>
      </c>
      <c r="BB830">
        <v>564</v>
      </c>
      <c r="BC830">
        <v>68</v>
      </c>
      <c r="BD830">
        <v>1.5</v>
      </c>
      <c r="BE830">
        <v>135</v>
      </c>
      <c r="BF830">
        <v>0.8</v>
      </c>
      <c r="BG830">
        <v>162</v>
      </c>
      <c r="BH830">
        <v>9.1</v>
      </c>
      <c r="BI830">
        <v>9.1999999999999993</v>
      </c>
      <c r="BJ830">
        <v>18.3</v>
      </c>
      <c r="BK830">
        <v>0.34</v>
      </c>
      <c r="BL830">
        <v>7.3</v>
      </c>
      <c r="BM830">
        <v>0.9</v>
      </c>
      <c r="BN830">
        <v>7.5</v>
      </c>
      <c r="BO830">
        <v>2.9</v>
      </c>
      <c r="BP830">
        <f t="shared" si="24"/>
        <v>5.6343868997037347</v>
      </c>
      <c r="BQ830">
        <f t="shared" si="25"/>
        <v>18.165997899787417</v>
      </c>
    </row>
    <row r="831" spans="1:69" hidden="1" x14ac:dyDescent="0.2">
      <c r="A831" t="s">
        <v>2759</v>
      </c>
      <c r="B831" t="s">
        <v>68</v>
      </c>
      <c r="C831" t="s">
        <v>1956</v>
      </c>
      <c r="D831" t="s">
        <v>70</v>
      </c>
      <c r="E831" t="s">
        <v>1145</v>
      </c>
      <c r="F831">
        <v>4</v>
      </c>
      <c r="G831">
        <v>200</v>
      </c>
      <c r="H831">
        <v>4</v>
      </c>
      <c r="I831">
        <v>4</v>
      </c>
      <c r="J831">
        <v>2</v>
      </c>
      <c r="K831" t="s">
        <v>110</v>
      </c>
      <c r="L831" t="s">
        <v>162</v>
      </c>
      <c r="M831" s="4">
        <v>850000000</v>
      </c>
      <c r="N831">
        <v>0</v>
      </c>
      <c r="O831">
        <v>4.6698481000000003</v>
      </c>
      <c r="P831">
        <v>-74.106710300000003</v>
      </c>
      <c r="Q831" t="s">
        <v>2760</v>
      </c>
      <c r="R831">
        <v>4250000</v>
      </c>
      <c r="S831">
        <v>0</v>
      </c>
      <c r="T831" t="s">
        <v>75</v>
      </c>
      <c r="U831" t="s">
        <v>76</v>
      </c>
      <c r="V831" t="s">
        <v>77</v>
      </c>
      <c r="W831" t="s">
        <v>78</v>
      </c>
      <c r="X831" t="s">
        <v>79</v>
      </c>
      <c r="Y831">
        <v>2.8236328797683599</v>
      </c>
      <c r="Z831">
        <v>2823.63287976836</v>
      </c>
      <c r="AA831">
        <v>4.6584666666666701</v>
      </c>
      <c r="AB831">
        <v>-74.083966666666697</v>
      </c>
      <c r="AC831">
        <v>2552</v>
      </c>
      <c r="AD831">
        <v>0</v>
      </c>
      <c r="AE831" t="s">
        <v>80</v>
      </c>
      <c r="AF831" t="s">
        <v>81</v>
      </c>
      <c r="AG831" t="s">
        <v>82</v>
      </c>
      <c r="AH831" t="s">
        <v>83</v>
      </c>
      <c r="AI831" t="s">
        <v>412</v>
      </c>
      <c r="AJ831">
        <v>0.73436434651062299</v>
      </c>
      <c r="AK831">
        <v>5.6729456209492604</v>
      </c>
      <c r="AL831">
        <v>1.3272867630376599</v>
      </c>
      <c r="AM831">
        <v>0.12763503826787001</v>
      </c>
      <c r="AN831">
        <v>2.2433672003206002</v>
      </c>
      <c r="AO831">
        <v>0.38658035451003903</v>
      </c>
      <c r="AP831">
        <v>0.38658035451003903</v>
      </c>
      <c r="AQ831">
        <v>0</v>
      </c>
      <c r="AR831">
        <v>2</v>
      </c>
      <c r="AS831">
        <v>0</v>
      </c>
      <c r="AT831">
        <v>0</v>
      </c>
      <c r="AU831">
        <v>0</v>
      </c>
      <c r="AV831">
        <v>32</v>
      </c>
      <c r="AW831">
        <v>0</v>
      </c>
      <c r="AX831">
        <v>0</v>
      </c>
      <c r="AZ831">
        <v>6.8</v>
      </c>
      <c r="BA831">
        <v>19.899999999999999</v>
      </c>
      <c r="BB831">
        <v>564</v>
      </c>
      <c r="BC831">
        <v>68</v>
      </c>
      <c r="BD831">
        <v>1.5</v>
      </c>
      <c r="BE831">
        <v>135</v>
      </c>
      <c r="BF831">
        <v>0.8</v>
      </c>
      <c r="BG831">
        <v>162</v>
      </c>
      <c r="BH831">
        <v>9.1</v>
      </c>
      <c r="BI831">
        <v>9.1999999999999993</v>
      </c>
      <c r="BJ831">
        <v>18.3</v>
      </c>
      <c r="BK831">
        <v>0.34</v>
      </c>
      <c r="BL831">
        <v>7.3</v>
      </c>
      <c r="BM831">
        <v>0.9</v>
      </c>
      <c r="BN831">
        <v>7.5</v>
      </c>
      <c r="BO831">
        <v>2.9</v>
      </c>
      <c r="BP831">
        <f t="shared" si="24"/>
        <v>5.912996853071693</v>
      </c>
      <c r="BQ831">
        <f t="shared" si="25"/>
        <v>18.596112297634541</v>
      </c>
    </row>
    <row r="832" spans="1:69" hidden="1" x14ac:dyDescent="0.2">
      <c r="A832" t="s">
        <v>3021</v>
      </c>
      <c r="B832" t="s">
        <v>68</v>
      </c>
      <c r="C832" t="s">
        <v>1956</v>
      </c>
      <c r="D832" t="s">
        <v>70</v>
      </c>
      <c r="E832" t="s">
        <v>3022</v>
      </c>
      <c r="F832">
        <v>3</v>
      </c>
      <c r="G832">
        <v>199.3</v>
      </c>
      <c r="H832">
        <v>5</v>
      </c>
      <c r="I832">
        <v>2</v>
      </c>
      <c r="J832">
        <v>1</v>
      </c>
      <c r="K832" t="s">
        <v>110</v>
      </c>
      <c r="L832" t="s">
        <v>162</v>
      </c>
      <c r="M832" s="4">
        <v>700000000</v>
      </c>
      <c r="N832">
        <v>0</v>
      </c>
      <c r="O832">
        <v>4.6887293999999997</v>
      </c>
      <c r="P832">
        <v>-74.088793600000002</v>
      </c>
      <c r="Q832" t="s">
        <v>3023</v>
      </c>
      <c r="R832">
        <v>3512293.0260000001</v>
      </c>
      <c r="S832">
        <v>0</v>
      </c>
      <c r="T832" t="s">
        <v>75</v>
      </c>
      <c r="U832" t="s">
        <v>76</v>
      </c>
      <c r="V832" t="s">
        <v>77</v>
      </c>
      <c r="W832" t="s">
        <v>78</v>
      </c>
      <c r="X832" t="s">
        <v>79</v>
      </c>
      <c r="Y832">
        <v>3.4111344277825402</v>
      </c>
      <c r="Z832">
        <v>3411.1344277825401</v>
      </c>
      <c r="AA832">
        <v>4.6584666666666701</v>
      </c>
      <c r="AB832">
        <v>-74.083966666666697</v>
      </c>
      <c r="AC832">
        <v>2552</v>
      </c>
      <c r="AD832">
        <v>0</v>
      </c>
      <c r="AE832" t="s">
        <v>80</v>
      </c>
      <c r="AF832" t="s">
        <v>81</v>
      </c>
      <c r="AG832" t="s">
        <v>82</v>
      </c>
      <c r="AH832" t="s">
        <v>83</v>
      </c>
      <c r="AI832" t="s">
        <v>412</v>
      </c>
      <c r="AJ832">
        <v>0.52238077338657996</v>
      </c>
      <c r="AK832">
        <v>5.5201692136996696</v>
      </c>
      <c r="AL832">
        <v>1.3831439729809301</v>
      </c>
      <c r="AM832">
        <v>0.29992491700436602</v>
      </c>
      <c r="AN832">
        <v>1.5457946903456801</v>
      </c>
      <c r="AO832">
        <v>5.1122212806962997E-2</v>
      </c>
      <c r="AP832">
        <v>5.1122212806962997E-2</v>
      </c>
      <c r="AQ832">
        <v>0</v>
      </c>
      <c r="AR832">
        <v>4</v>
      </c>
      <c r="AS832">
        <v>0</v>
      </c>
      <c r="AT832">
        <v>0</v>
      </c>
      <c r="AU832">
        <v>0</v>
      </c>
      <c r="AV832">
        <v>32</v>
      </c>
      <c r="AW832">
        <v>0</v>
      </c>
      <c r="AX832">
        <v>0</v>
      </c>
      <c r="AZ832">
        <v>6.8</v>
      </c>
      <c r="BA832">
        <v>19.899999999999999</v>
      </c>
      <c r="BB832">
        <v>564</v>
      </c>
      <c r="BC832">
        <v>68</v>
      </c>
      <c r="BD832">
        <v>1.5</v>
      </c>
      <c r="BE832">
        <v>135</v>
      </c>
      <c r="BF832">
        <v>0.8</v>
      </c>
      <c r="BG832">
        <v>162</v>
      </c>
      <c r="BH832">
        <v>9.1</v>
      </c>
      <c r="BI832">
        <v>9.1999999999999993</v>
      </c>
      <c r="BJ832">
        <v>18.3</v>
      </c>
      <c r="BK832">
        <v>0.34</v>
      </c>
      <c r="BL832">
        <v>7.3</v>
      </c>
      <c r="BM832">
        <v>0.9</v>
      </c>
      <c r="BN832">
        <v>7.5</v>
      </c>
      <c r="BO832">
        <v>2.9</v>
      </c>
      <c r="BP832">
        <f t="shared" si="24"/>
        <v>5.7435153776876087</v>
      </c>
      <c r="BQ832">
        <f t="shared" si="25"/>
        <v>18.335746321935819</v>
      </c>
    </row>
    <row r="833" spans="1:69" hidden="1" x14ac:dyDescent="0.2">
      <c r="A833" t="s">
        <v>2964</v>
      </c>
      <c r="B833" t="s">
        <v>68</v>
      </c>
      <c r="C833" t="s">
        <v>1956</v>
      </c>
      <c r="D833" t="s">
        <v>70</v>
      </c>
      <c r="E833" t="s">
        <v>2753</v>
      </c>
      <c r="F833">
        <v>3</v>
      </c>
      <c r="G833">
        <v>198</v>
      </c>
      <c r="H833">
        <v>4</v>
      </c>
      <c r="I833">
        <v>2</v>
      </c>
      <c r="J833">
        <v>1</v>
      </c>
      <c r="K833" t="s">
        <v>110</v>
      </c>
      <c r="L833" t="s">
        <v>162</v>
      </c>
      <c r="M833" s="4">
        <v>600000000</v>
      </c>
      <c r="N833">
        <v>0</v>
      </c>
      <c r="O833">
        <v>4.6827839999999998</v>
      </c>
      <c r="P833">
        <v>-74.067738800000001</v>
      </c>
      <c r="Q833" t="s">
        <v>2965</v>
      </c>
      <c r="R833">
        <v>3030303.03</v>
      </c>
      <c r="S833">
        <v>0</v>
      </c>
      <c r="T833" t="s">
        <v>75</v>
      </c>
      <c r="U833" t="s">
        <v>76</v>
      </c>
      <c r="V833" t="s">
        <v>77</v>
      </c>
      <c r="W833" t="s">
        <v>78</v>
      </c>
      <c r="X833" t="s">
        <v>79</v>
      </c>
      <c r="Y833">
        <v>3.25108237942572</v>
      </c>
      <c r="Z833">
        <v>3251.0823794257199</v>
      </c>
      <c r="AA833">
        <v>4.6584666666666701</v>
      </c>
      <c r="AB833">
        <v>-74.083966666666697</v>
      </c>
      <c r="AC833">
        <v>2552</v>
      </c>
      <c r="AD833">
        <v>0</v>
      </c>
      <c r="AE833" t="s">
        <v>80</v>
      </c>
      <c r="AF833" t="s">
        <v>81</v>
      </c>
      <c r="AG833" t="s">
        <v>82</v>
      </c>
      <c r="AH833" t="s">
        <v>83</v>
      </c>
      <c r="AI833" t="s">
        <v>342</v>
      </c>
      <c r="AJ833">
        <v>0.42104168513312201</v>
      </c>
      <c r="AK833">
        <v>3.1524629060801601</v>
      </c>
      <c r="AL833">
        <v>0.79001459693494602</v>
      </c>
      <c r="AM833">
        <v>0.44731892926104899</v>
      </c>
      <c r="AN833">
        <v>1.8534862803646901</v>
      </c>
      <c r="AO833">
        <v>0.50196521586036003</v>
      </c>
      <c r="AP833">
        <v>0.50196521586036003</v>
      </c>
      <c r="AQ833">
        <v>1</v>
      </c>
      <c r="AR833">
        <v>7</v>
      </c>
      <c r="AS833">
        <v>0</v>
      </c>
      <c r="AT833">
        <v>0</v>
      </c>
      <c r="AU833">
        <v>2</v>
      </c>
      <c r="AV833">
        <v>90</v>
      </c>
      <c r="AW833">
        <v>0</v>
      </c>
      <c r="AX833">
        <v>0</v>
      </c>
      <c r="AZ833">
        <v>6.8</v>
      </c>
      <c r="BA833">
        <v>19.899999999999999</v>
      </c>
      <c r="BB833">
        <v>564</v>
      </c>
      <c r="BC833">
        <v>68</v>
      </c>
      <c r="BD833">
        <v>1.5</v>
      </c>
      <c r="BE833">
        <v>135</v>
      </c>
      <c r="BF833">
        <v>0.8</v>
      </c>
      <c r="BG833">
        <v>162</v>
      </c>
      <c r="BH833">
        <v>9.1</v>
      </c>
      <c r="BI833">
        <v>9.1999999999999993</v>
      </c>
      <c r="BJ833">
        <v>18.3</v>
      </c>
      <c r="BK833">
        <v>0.34</v>
      </c>
      <c r="BL833">
        <v>7.3</v>
      </c>
      <c r="BM833">
        <v>0.9</v>
      </c>
      <c r="BN833">
        <v>7.5</v>
      </c>
      <c r="BO833">
        <v>2.9</v>
      </c>
      <c r="BP833">
        <f t="shared" si="24"/>
        <v>5.7891995462377484</v>
      </c>
      <c r="BQ833">
        <f t="shared" si="25"/>
        <v>18.406313939233726</v>
      </c>
    </row>
    <row r="834" spans="1:69" hidden="1" x14ac:dyDescent="0.2">
      <c r="A834" t="s">
        <v>3266</v>
      </c>
      <c r="B834" t="s">
        <v>68</v>
      </c>
      <c r="C834" t="s">
        <v>1956</v>
      </c>
      <c r="D834" t="s">
        <v>70</v>
      </c>
      <c r="E834" t="s">
        <v>3267</v>
      </c>
      <c r="F834">
        <v>3</v>
      </c>
      <c r="G834">
        <v>196</v>
      </c>
      <c r="H834">
        <v>5</v>
      </c>
      <c r="I834">
        <v>3</v>
      </c>
      <c r="J834">
        <v>1</v>
      </c>
      <c r="K834" t="s">
        <v>110</v>
      </c>
      <c r="L834" t="s">
        <v>162</v>
      </c>
      <c r="M834" s="4">
        <v>900000000</v>
      </c>
      <c r="N834">
        <v>0</v>
      </c>
      <c r="O834">
        <v>4.6764523999999996</v>
      </c>
      <c r="P834">
        <v>-74.066006900000005</v>
      </c>
      <c r="Q834" t="s">
        <v>3268</v>
      </c>
      <c r="R834">
        <v>4591836.7350000003</v>
      </c>
      <c r="S834">
        <v>0</v>
      </c>
      <c r="T834" t="s">
        <v>75</v>
      </c>
      <c r="U834" t="s">
        <v>76</v>
      </c>
      <c r="V834" t="s">
        <v>77</v>
      </c>
      <c r="W834" t="s">
        <v>78</v>
      </c>
      <c r="X834" t="s">
        <v>79</v>
      </c>
      <c r="Y834">
        <v>2.8247615052297399</v>
      </c>
      <c r="Z834">
        <v>2824.7615052297401</v>
      </c>
      <c r="AA834">
        <v>4.6584666666666701</v>
      </c>
      <c r="AB834">
        <v>-74.083966666666697</v>
      </c>
      <c r="AC834">
        <v>2552</v>
      </c>
      <c r="AD834">
        <v>0</v>
      </c>
      <c r="AE834" t="s">
        <v>80</v>
      </c>
      <c r="AF834" t="s">
        <v>81</v>
      </c>
      <c r="AG834" t="s">
        <v>82</v>
      </c>
      <c r="AH834" t="s">
        <v>83</v>
      </c>
      <c r="AI834" t="s">
        <v>342</v>
      </c>
      <c r="AJ834">
        <v>0.129898951159303</v>
      </c>
      <c r="AK834">
        <v>2.65262969252817</v>
      </c>
      <c r="AL834">
        <v>0.57144942787659003</v>
      </c>
      <c r="AM834">
        <v>0.103997310551316</v>
      </c>
      <c r="AN834">
        <v>1.7820775875613899</v>
      </c>
      <c r="AO834">
        <v>0.58661463361162403</v>
      </c>
      <c r="AP834">
        <v>0.58661463361162403</v>
      </c>
      <c r="AQ834">
        <v>4</v>
      </c>
      <c r="AR834">
        <v>10</v>
      </c>
      <c r="AS834">
        <v>0</v>
      </c>
      <c r="AT834">
        <v>0</v>
      </c>
      <c r="AU834">
        <v>1</v>
      </c>
      <c r="AV834">
        <v>102</v>
      </c>
      <c r="AW834">
        <v>0</v>
      </c>
      <c r="AX834">
        <v>0</v>
      </c>
      <c r="AZ834">
        <v>6.8</v>
      </c>
      <c r="BA834">
        <v>19.899999999999999</v>
      </c>
      <c r="BB834">
        <v>564</v>
      </c>
      <c r="BC834">
        <v>68</v>
      </c>
      <c r="BD834">
        <v>1.5</v>
      </c>
      <c r="BE834">
        <v>135</v>
      </c>
      <c r="BF834">
        <v>0.8</v>
      </c>
      <c r="BG834">
        <v>162</v>
      </c>
      <c r="BH834">
        <v>9.1</v>
      </c>
      <c r="BI834">
        <v>9.1999999999999993</v>
      </c>
      <c r="BJ834">
        <v>18.3</v>
      </c>
      <c r="BK834">
        <v>0.34</v>
      </c>
      <c r="BL834">
        <v>7.3</v>
      </c>
      <c r="BM834">
        <v>0.9</v>
      </c>
      <c r="BN834">
        <v>7.5</v>
      </c>
      <c r="BO834">
        <v>2.9</v>
      </c>
      <c r="BP834">
        <f t="shared" ref="BP834:BP897" si="26">+AZ834*EXP(-0.0495*Y834)</f>
        <v>5.9126665211384282</v>
      </c>
      <c r="BQ834">
        <f t="shared" ref="BQ834:BQ897" si="27">+BA834*EXP(-0.024*Y834)</f>
        <v>18.595608591356793</v>
      </c>
    </row>
    <row r="835" spans="1:69" hidden="1" x14ac:dyDescent="0.2">
      <c r="A835" t="s">
        <v>1190</v>
      </c>
      <c r="B835" t="s">
        <v>68</v>
      </c>
      <c r="C835" t="s">
        <v>69</v>
      </c>
      <c r="D835" t="s">
        <v>70</v>
      </c>
      <c r="E835" t="s">
        <v>1191</v>
      </c>
      <c r="F835">
        <v>5</v>
      </c>
      <c r="G835">
        <v>195</v>
      </c>
      <c r="H835">
        <v>3</v>
      </c>
      <c r="I835">
        <v>3</v>
      </c>
      <c r="J835">
        <v>1</v>
      </c>
      <c r="K835" t="s">
        <v>110</v>
      </c>
      <c r="L835" t="s">
        <v>162</v>
      </c>
      <c r="M835" s="4">
        <v>960000000</v>
      </c>
      <c r="N835">
        <v>0</v>
      </c>
      <c r="O835">
        <v>4.6535799999999998</v>
      </c>
      <c r="P835">
        <v>-74.055760000000006</v>
      </c>
      <c r="Q835" t="s">
        <v>1192</v>
      </c>
      <c r="R835">
        <v>4923076.9230000004</v>
      </c>
      <c r="S835">
        <v>0</v>
      </c>
      <c r="T835" t="s">
        <v>75</v>
      </c>
      <c r="U835" t="s">
        <v>76</v>
      </c>
      <c r="V835" t="s">
        <v>77</v>
      </c>
      <c r="W835" t="s">
        <v>78</v>
      </c>
      <c r="X835" t="s">
        <v>79</v>
      </c>
      <c r="Y835">
        <v>3.1765151349175902</v>
      </c>
      <c r="Z835">
        <v>3176.5151349175899</v>
      </c>
      <c r="AA835">
        <v>4.6584666666666701</v>
      </c>
      <c r="AB835">
        <v>-74.083966666666697</v>
      </c>
      <c r="AC835">
        <v>2552</v>
      </c>
      <c r="AD835">
        <v>0</v>
      </c>
      <c r="AE835" t="s">
        <v>80</v>
      </c>
      <c r="AF835" t="s">
        <v>81</v>
      </c>
      <c r="AG835" t="s">
        <v>82</v>
      </c>
      <c r="AH835" t="s">
        <v>83</v>
      </c>
      <c r="AI835" t="s">
        <v>130</v>
      </c>
      <c r="AJ835">
        <v>0.81700896862192096</v>
      </c>
      <c r="AK835">
        <v>0.75090957160677396</v>
      </c>
      <c r="AL835">
        <v>0.42171387903056901</v>
      </c>
      <c r="AM835">
        <v>5.0849943958240301E-2</v>
      </c>
      <c r="AN835">
        <v>1.3543089251657201</v>
      </c>
      <c r="AO835">
        <v>0.16392721469366001</v>
      </c>
      <c r="AP835">
        <v>0.16392721469366001</v>
      </c>
      <c r="AQ835">
        <v>0</v>
      </c>
      <c r="AR835">
        <v>2</v>
      </c>
      <c r="AS835">
        <v>0</v>
      </c>
      <c r="AT835">
        <v>30</v>
      </c>
      <c r="AU835">
        <v>17</v>
      </c>
      <c r="AV835">
        <v>58</v>
      </c>
      <c r="AW835">
        <v>0</v>
      </c>
      <c r="AX835">
        <v>0</v>
      </c>
      <c r="AZ835">
        <v>6.8</v>
      </c>
      <c r="BA835">
        <v>19.899999999999999</v>
      </c>
      <c r="BB835">
        <v>564</v>
      </c>
      <c r="BC835">
        <v>68</v>
      </c>
      <c r="BD835">
        <v>1.5</v>
      </c>
      <c r="BE835">
        <v>135</v>
      </c>
      <c r="BF835">
        <v>0.8</v>
      </c>
      <c r="BG835">
        <v>162</v>
      </c>
      <c r="BH835">
        <v>9.1</v>
      </c>
      <c r="BI835">
        <v>9.1999999999999993</v>
      </c>
      <c r="BJ835">
        <v>18.3</v>
      </c>
      <c r="BK835">
        <v>0.34</v>
      </c>
      <c r="BL835">
        <v>7.3</v>
      </c>
      <c r="BM835">
        <v>0.9</v>
      </c>
      <c r="BN835">
        <v>7.5</v>
      </c>
      <c r="BO835">
        <v>2.9</v>
      </c>
      <c r="BP835">
        <f t="shared" si="26"/>
        <v>5.8106074215823789</v>
      </c>
      <c r="BQ835">
        <f t="shared" si="27"/>
        <v>18.439283626627244</v>
      </c>
    </row>
    <row r="836" spans="1:69" hidden="1" x14ac:dyDescent="0.2">
      <c r="A836" t="s">
        <v>1150</v>
      </c>
      <c r="B836" t="s">
        <v>68</v>
      </c>
      <c r="C836" t="s">
        <v>69</v>
      </c>
      <c r="D836" t="s">
        <v>70</v>
      </c>
      <c r="E836" t="s">
        <v>1001</v>
      </c>
      <c r="F836">
        <v>5</v>
      </c>
      <c r="G836">
        <v>190</v>
      </c>
      <c r="H836">
        <v>3</v>
      </c>
      <c r="I836">
        <v>3</v>
      </c>
      <c r="J836">
        <v>2</v>
      </c>
      <c r="K836" t="s">
        <v>110</v>
      </c>
      <c r="L836" t="s">
        <v>162</v>
      </c>
      <c r="M836" s="4">
        <v>650000000</v>
      </c>
      <c r="N836">
        <v>0</v>
      </c>
      <c r="O836">
        <v>4.6931469999999997</v>
      </c>
      <c r="P836">
        <v>-74.066879200000002</v>
      </c>
      <c r="Q836" t="s">
        <v>1151</v>
      </c>
      <c r="R836">
        <v>3421052.6320000002</v>
      </c>
      <c r="S836">
        <v>0</v>
      </c>
      <c r="T836" t="s">
        <v>75</v>
      </c>
      <c r="U836" t="s">
        <v>76</v>
      </c>
      <c r="V836" t="s">
        <v>77</v>
      </c>
      <c r="W836" t="s">
        <v>78</v>
      </c>
      <c r="X836" t="s">
        <v>79</v>
      </c>
      <c r="Y836">
        <v>4.3009777010008499</v>
      </c>
      <c r="Z836">
        <v>4300.9777010008502</v>
      </c>
      <c r="AA836">
        <v>4.6584666666666701</v>
      </c>
      <c r="AB836">
        <v>-74.083966666666697</v>
      </c>
      <c r="AC836">
        <v>2552</v>
      </c>
      <c r="AD836">
        <v>0</v>
      </c>
      <c r="AE836" t="s">
        <v>80</v>
      </c>
      <c r="AF836" t="s">
        <v>81</v>
      </c>
      <c r="AG836" t="s">
        <v>82</v>
      </c>
      <c r="AH836" t="s">
        <v>83</v>
      </c>
      <c r="AI836" t="s">
        <v>121</v>
      </c>
      <c r="AJ836">
        <v>4.60610596612002E-2</v>
      </c>
      <c r="AK836">
        <v>3.70031119348933</v>
      </c>
      <c r="AL836">
        <v>0.59912109601730601</v>
      </c>
      <c r="AM836">
        <v>9.0692705819292896E-2</v>
      </c>
      <c r="AN836">
        <v>2.70658759075982</v>
      </c>
      <c r="AO836">
        <v>0.28890156862399402</v>
      </c>
      <c r="AP836">
        <v>0.28890156862399402</v>
      </c>
      <c r="AQ836">
        <v>1</v>
      </c>
      <c r="AR836">
        <v>3</v>
      </c>
      <c r="AS836">
        <v>0</v>
      </c>
      <c r="AT836">
        <v>0</v>
      </c>
      <c r="AU836">
        <v>1</v>
      </c>
      <c r="AV836">
        <v>69</v>
      </c>
      <c r="AW836">
        <v>0</v>
      </c>
      <c r="AX836">
        <v>0</v>
      </c>
      <c r="AZ836">
        <v>6.8</v>
      </c>
      <c r="BA836">
        <v>19.899999999999999</v>
      </c>
      <c r="BB836">
        <v>564</v>
      </c>
      <c r="BC836">
        <v>68</v>
      </c>
      <c r="BD836">
        <v>1.5</v>
      </c>
      <c r="BE836">
        <v>135</v>
      </c>
      <c r="BF836">
        <v>0.8</v>
      </c>
      <c r="BG836">
        <v>162</v>
      </c>
      <c r="BH836">
        <v>9.1</v>
      </c>
      <c r="BI836">
        <v>9.1999999999999993</v>
      </c>
      <c r="BJ836">
        <v>18.3</v>
      </c>
      <c r="BK836">
        <v>0.34</v>
      </c>
      <c r="BL836">
        <v>7.3</v>
      </c>
      <c r="BM836">
        <v>0.9</v>
      </c>
      <c r="BN836">
        <v>7.5</v>
      </c>
      <c r="BO836">
        <v>2.9</v>
      </c>
      <c r="BP836">
        <f t="shared" si="26"/>
        <v>5.496020121236171</v>
      </c>
      <c r="BQ836">
        <f t="shared" si="27"/>
        <v>17.948315506944294</v>
      </c>
    </row>
    <row r="837" spans="1:69" hidden="1" x14ac:dyDescent="0.2">
      <c r="A837" t="s">
        <v>2683</v>
      </c>
      <c r="B837" t="s">
        <v>68</v>
      </c>
      <c r="C837" t="s">
        <v>1956</v>
      </c>
      <c r="D837" t="s">
        <v>70</v>
      </c>
      <c r="E837" t="s">
        <v>2521</v>
      </c>
      <c r="F837">
        <v>4</v>
      </c>
      <c r="G837">
        <v>189</v>
      </c>
      <c r="H837">
        <v>4</v>
      </c>
      <c r="I837">
        <v>2</v>
      </c>
      <c r="J837">
        <v>4</v>
      </c>
      <c r="K837" t="s">
        <v>110</v>
      </c>
      <c r="L837" t="s">
        <v>162</v>
      </c>
      <c r="M837" s="4">
        <v>1080000000</v>
      </c>
      <c r="N837">
        <v>0</v>
      </c>
      <c r="O837">
        <v>4.6681385039999999</v>
      </c>
      <c r="P837">
        <v>-74.06143951</v>
      </c>
      <c r="Q837" t="s">
        <v>2684</v>
      </c>
      <c r="R837">
        <v>5714285.7139999997</v>
      </c>
      <c r="S837">
        <v>0</v>
      </c>
      <c r="T837" t="s">
        <v>75</v>
      </c>
      <c r="U837" t="s">
        <v>76</v>
      </c>
      <c r="V837" t="s">
        <v>77</v>
      </c>
      <c r="W837" t="s">
        <v>78</v>
      </c>
      <c r="X837" t="s">
        <v>79</v>
      </c>
      <c r="Y837">
        <v>2.7214439021020298</v>
      </c>
      <c r="Z837">
        <v>2721.4439021020298</v>
      </c>
      <c r="AA837">
        <v>4.6584666666666701</v>
      </c>
      <c r="AB837">
        <v>-74.083966666666697</v>
      </c>
      <c r="AC837">
        <v>2552</v>
      </c>
      <c r="AD837">
        <v>0</v>
      </c>
      <c r="AE837" t="s">
        <v>80</v>
      </c>
      <c r="AF837" t="s">
        <v>81</v>
      </c>
      <c r="AG837" t="s">
        <v>82</v>
      </c>
      <c r="AH837" t="s">
        <v>83</v>
      </c>
      <c r="AI837" t="s">
        <v>342</v>
      </c>
      <c r="AJ837">
        <v>0.125249066510981</v>
      </c>
      <c r="AK837">
        <v>1.8413523614168901</v>
      </c>
      <c r="AL837">
        <v>0.30523749408183798</v>
      </c>
      <c r="AM837">
        <v>7.0611252091433999E-2</v>
      </c>
      <c r="AN837">
        <v>2.34967850691153</v>
      </c>
      <c r="AO837">
        <v>0.31432457764106603</v>
      </c>
      <c r="AP837">
        <v>0.31432457764106603</v>
      </c>
      <c r="AQ837">
        <v>2</v>
      </c>
      <c r="AR837">
        <v>6</v>
      </c>
      <c r="AS837">
        <v>0</v>
      </c>
      <c r="AT837">
        <v>0</v>
      </c>
      <c r="AU837">
        <v>13</v>
      </c>
      <c r="AV837">
        <v>263</v>
      </c>
      <c r="AW837">
        <v>0</v>
      </c>
      <c r="AX837">
        <v>0</v>
      </c>
      <c r="AZ837">
        <v>6.8</v>
      </c>
      <c r="BA837">
        <v>19.899999999999999</v>
      </c>
      <c r="BB837">
        <v>564</v>
      </c>
      <c r="BC837">
        <v>68</v>
      </c>
      <c r="BD837">
        <v>1.5</v>
      </c>
      <c r="BE837">
        <v>135</v>
      </c>
      <c r="BF837">
        <v>0.8</v>
      </c>
      <c r="BG837">
        <v>162</v>
      </c>
      <c r="BH837">
        <v>9.1</v>
      </c>
      <c r="BI837">
        <v>9.1999999999999993</v>
      </c>
      <c r="BJ837">
        <v>18.3</v>
      </c>
      <c r="BK837">
        <v>0.34</v>
      </c>
      <c r="BL837">
        <v>7.3</v>
      </c>
      <c r="BM837">
        <v>0.9</v>
      </c>
      <c r="BN837">
        <v>7.5</v>
      </c>
      <c r="BO837">
        <v>2.9</v>
      </c>
      <c r="BP837">
        <f t="shared" si="26"/>
        <v>5.9429826621755337</v>
      </c>
      <c r="BQ837">
        <f t="shared" si="27"/>
        <v>18.641775895444777</v>
      </c>
    </row>
    <row r="838" spans="1:69" hidden="1" x14ac:dyDescent="0.2">
      <c r="A838" t="s">
        <v>1870</v>
      </c>
      <c r="B838" t="s">
        <v>68</v>
      </c>
      <c r="C838" t="s">
        <v>69</v>
      </c>
      <c r="D838" t="s">
        <v>70</v>
      </c>
      <c r="E838" t="s">
        <v>620</v>
      </c>
      <c r="F838">
        <v>6</v>
      </c>
      <c r="G838">
        <v>187</v>
      </c>
      <c r="H838">
        <v>2</v>
      </c>
      <c r="I838">
        <v>5</v>
      </c>
      <c r="J838">
        <v>2</v>
      </c>
      <c r="K838" t="s">
        <v>110</v>
      </c>
      <c r="L838" t="s">
        <v>124</v>
      </c>
      <c r="M838" s="4">
        <v>1950000000</v>
      </c>
      <c r="N838">
        <v>0</v>
      </c>
      <c r="O838">
        <v>4.6705300000000003</v>
      </c>
      <c r="P838">
        <v>-74.046130000000005</v>
      </c>
      <c r="Q838" t="s">
        <v>1871</v>
      </c>
      <c r="R838">
        <v>10427807.49</v>
      </c>
      <c r="S838">
        <v>0</v>
      </c>
      <c r="T838" t="s">
        <v>75</v>
      </c>
      <c r="U838" t="s">
        <v>76</v>
      </c>
      <c r="V838" t="s">
        <v>77</v>
      </c>
      <c r="W838" t="s">
        <v>78</v>
      </c>
      <c r="X838" t="s">
        <v>79</v>
      </c>
      <c r="Y838">
        <v>4.4075629933533698</v>
      </c>
      <c r="Z838">
        <v>4407.5629933533701</v>
      </c>
      <c r="AA838">
        <v>4.6584666666666701</v>
      </c>
      <c r="AB838">
        <v>-74.083966666666697</v>
      </c>
      <c r="AC838">
        <v>2552</v>
      </c>
      <c r="AD838">
        <v>0</v>
      </c>
      <c r="AE838" t="s">
        <v>80</v>
      </c>
      <c r="AF838" t="s">
        <v>81</v>
      </c>
      <c r="AG838" t="s">
        <v>82</v>
      </c>
      <c r="AH838" t="s">
        <v>83</v>
      </c>
      <c r="AI838" t="s">
        <v>130</v>
      </c>
      <c r="AJ838">
        <v>1.5113171132540899</v>
      </c>
      <c r="AK838">
        <v>0.40256400225425698</v>
      </c>
      <c r="AL838">
        <v>1.0474476709077201</v>
      </c>
      <c r="AM838">
        <v>0.40599244006720497</v>
      </c>
      <c r="AN838">
        <v>3.4728511169358902</v>
      </c>
      <c r="AO838">
        <v>0.55402428167061901</v>
      </c>
      <c r="AP838">
        <v>0.55402428167061901</v>
      </c>
      <c r="AQ838">
        <v>0</v>
      </c>
      <c r="AR838">
        <v>0</v>
      </c>
      <c r="AS838">
        <v>5</v>
      </c>
      <c r="AT838">
        <v>32</v>
      </c>
      <c r="AU838">
        <v>0</v>
      </c>
      <c r="AV838">
        <v>51</v>
      </c>
      <c r="AW838">
        <v>0</v>
      </c>
      <c r="AX838">
        <v>0</v>
      </c>
      <c r="AZ838">
        <v>6.8</v>
      </c>
      <c r="BA838">
        <v>19.899999999999999</v>
      </c>
      <c r="BB838">
        <v>564</v>
      </c>
      <c r="BC838">
        <v>68</v>
      </c>
      <c r="BD838">
        <v>1.5</v>
      </c>
      <c r="BE838">
        <v>135</v>
      </c>
      <c r="BF838">
        <v>0.8</v>
      </c>
      <c r="BG838">
        <v>162</v>
      </c>
      <c r="BH838">
        <v>9.1</v>
      </c>
      <c r="BI838">
        <v>9.1999999999999993</v>
      </c>
      <c r="BJ838">
        <v>18.3</v>
      </c>
      <c r="BK838">
        <v>0.34</v>
      </c>
      <c r="BL838">
        <v>7.3</v>
      </c>
      <c r="BM838">
        <v>0.9</v>
      </c>
      <c r="BN838">
        <v>7.5</v>
      </c>
      <c r="BO838">
        <v>2.9</v>
      </c>
      <c r="BP838">
        <f t="shared" si="26"/>
        <v>5.4670996320527472</v>
      </c>
      <c r="BQ838">
        <f t="shared" si="27"/>
        <v>17.90246154531032</v>
      </c>
    </row>
    <row r="839" spans="1:69" hidden="1" x14ac:dyDescent="0.2">
      <c r="A839" t="s">
        <v>1186</v>
      </c>
      <c r="B839" t="s">
        <v>68</v>
      </c>
      <c r="C839" t="s">
        <v>69</v>
      </c>
      <c r="D839" t="s">
        <v>70</v>
      </c>
      <c r="E839" t="s">
        <v>871</v>
      </c>
      <c r="F839">
        <v>5</v>
      </c>
      <c r="G839">
        <v>187</v>
      </c>
      <c r="H839">
        <v>3</v>
      </c>
      <c r="I839">
        <v>3</v>
      </c>
      <c r="J839">
        <v>2</v>
      </c>
      <c r="K839" t="s">
        <v>110</v>
      </c>
      <c r="L839" t="s">
        <v>124</v>
      </c>
      <c r="M839" s="4">
        <v>1550000000</v>
      </c>
      <c r="N839">
        <v>0</v>
      </c>
      <c r="O839">
        <v>4.6437371699999996</v>
      </c>
      <c r="P839">
        <v>-74.055443339999997</v>
      </c>
      <c r="Q839" t="s">
        <v>1187</v>
      </c>
      <c r="R839">
        <v>8288770.0530000003</v>
      </c>
      <c r="S839">
        <v>0</v>
      </c>
      <c r="T839" t="s">
        <v>126</v>
      </c>
      <c r="U839" t="s">
        <v>127</v>
      </c>
      <c r="V839" t="s">
        <v>77</v>
      </c>
      <c r="W839" t="s">
        <v>128</v>
      </c>
      <c r="X839" t="s">
        <v>129</v>
      </c>
      <c r="Y839">
        <v>2.4013538042646498</v>
      </c>
      <c r="Z839">
        <v>2401.3538042646501</v>
      </c>
      <c r="AA839">
        <v>4.6254861111111101</v>
      </c>
      <c r="AB839">
        <v>-74.066980555555503</v>
      </c>
      <c r="AC839">
        <v>2621</v>
      </c>
      <c r="AD839">
        <v>15</v>
      </c>
      <c r="AE839" t="s">
        <v>80</v>
      </c>
      <c r="AF839" t="s">
        <v>81</v>
      </c>
      <c r="AG839" t="s">
        <v>82</v>
      </c>
      <c r="AH839" t="s">
        <v>83</v>
      </c>
      <c r="AI839" t="s">
        <v>130</v>
      </c>
      <c r="AJ839">
        <v>1.15457344087577</v>
      </c>
      <c r="AK839">
        <v>0.22048350913641401</v>
      </c>
      <c r="AL839">
        <v>0.52373873030157203</v>
      </c>
      <c r="AM839">
        <v>0.15956150835054</v>
      </c>
      <c r="AN839">
        <v>0.402376357581745</v>
      </c>
      <c r="AO839">
        <v>0.29999660504940101</v>
      </c>
      <c r="AP839">
        <v>0.29999660504940101</v>
      </c>
      <c r="AQ839">
        <v>0</v>
      </c>
      <c r="AR839">
        <v>0</v>
      </c>
      <c r="AS839">
        <v>18</v>
      </c>
      <c r="AT839">
        <v>58</v>
      </c>
      <c r="AU839">
        <v>5</v>
      </c>
      <c r="AV839">
        <v>29</v>
      </c>
      <c r="AW839">
        <v>1</v>
      </c>
      <c r="AX839">
        <v>0</v>
      </c>
      <c r="AZ839">
        <v>6.8</v>
      </c>
      <c r="BA839">
        <v>19.899999999999999</v>
      </c>
      <c r="BB839">
        <v>564</v>
      </c>
      <c r="BC839">
        <v>68</v>
      </c>
      <c r="BD839">
        <v>1.5</v>
      </c>
      <c r="BE839">
        <v>135</v>
      </c>
      <c r="BF839">
        <v>0.8</v>
      </c>
      <c r="BG839">
        <v>162</v>
      </c>
      <c r="BH839">
        <v>9.1</v>
      </c>
      <c r="BI839">
        <v>9.1999999999999993</v>
      </c>
      <c r="BJ839">
        <v>18.3</v>
      </c>
      <c r="BK839">
        <v>0.34</v>
      </c>
      <c r="BL839">
        <v>7.3</v>
      </c>
      <c r="BM839">
        <v>0.9</v>
      </c>
      <c r="BN839">
        <v>7.5</v>
      </c>
      <c r="BO839">
        <v>2.9</v>
      </c>
      <c r="BP839">
        <f t="shared" si="26"/>
        <v>6.0378959515826676</v>
      </c>
      <c r="BQ839">
        <f t="shared" si="27"/>
        <v>18.785536533601668</v>
      </c>
    </row>
    <row r="840" spans="1:69" hidden="1" x14ac:dyDescent="0.2">
      <c r="A840" t="s">
        <v>3147</v>
      </c>
      <c r="B840" t="s">
        <v>68</v>
      </c>
      <c r="C840" t="s">
        <v>1956</v>
      </c>
      <c r="D840" t="s">
        <v>70</v>
      </c>
      <c r="E840" t="s">
        <v>84</v>
      </c>
      <c r="F840">
        <v>4</v>
      </c>
      <c r="G840">
        <v>187</v>
      </c>
      <c r="H840">
        <v>5</v>
      </c>
      <c r="I840">
        <v>5</v>
      </c>
      <c r="J840">
        <v>0</v>
      </c>
      <c r="K840" t="s">
        <v>110</v>
      </c>
      <c r="L840" t="s">
        <v>162</v>
      </c>
      <c r="M840" s="4">
        <v>980000000</v>
      </c>
      <c r="N840">
        <v>0</v>
      </c>
      <c r="O840">
        <v>4.6280691999999997</v>
      </c>
      <c r="P840">
        <v>-74.077262399999995</v>
      </c>
      <c r="Q840" t="s">
        <v>3148</v>
      </c>
      <c r="R840">
        <v>5240641.7110000001</v>
      </c>
      <c r="S840">
        <v>0</v>
      </c>
      <c r="T840" t="s">
        <v>126</v>
      </c>
      <c r="U840" t="s">
        <v>127</v>
      </c>
      <c r="V840" t="s">
        <v>77</v>
      </c>
      <c r="W840" t="s">
        <v>128</v>
      </c>
      <c r="X840" t="s">
        <v>129</v>
      </c>
      <c r="Y840">
        <v>1.17652009329497</v>
      </c>
      <c r="Z840">
        <v>1176.5200932949699</v>
      </c>
      <c r="AA840">
        <v>4.6254861111111101</v>
      </c>
      <c r="AB840">
        <v>-74.066980555555503</v>
      </c>
      <c r="AC840">
        <v>2621</v>
      </c>
      <c r="AD840">
        <v>15</v>
      </c>
      <c r="AE840" t="s">
        <v>80</v>
      </c>
      <c r="AF840" t="s">
        <v>81</v>
      </c>
      <c r="AG840" t="s">
        <v>82</v>
      </c>
      <c r="AH840" t="s">
        <v>83</v>
      </c>
      <c r="AI840" t="s">
        <v>84</v>
      </c>
      <c r="AJ840">
        <v>0.406966037680218</v>
      </c>
      <c r="AK840">
        <v>1.8117727684665199</v>
      </c>
      <c r="AL840">
        <v>0.21488671974958301</v>
      </c>
      <c r="AM840">
        <v>0.28010336466455699</v>
      </c>
      <c r="AN840">
        <v>1.17918189853557</v>
      </c>
      <c r="AO840">
        <v>3.6569572876702802E-2</v>
      </c>
      <c r="AP840">
        <v>3.6569572876702802E-2</v>
      </c>
      <c r="AQ840">
        <v>2</v>
      </c>
      <c r="AR840">
        <v>7</v>
      </c>
      <c r="AS840">
        <v>0</v>
      </c>
      <c r="AT840">
        <v>0</v>
      </c>
      <c r="AU840">
        <v>10</v>
      </c>
      <c r="AV840">
        <v>104</v>
      </c>
      <c r="AW840">
        <v>0</v>
      </c>
      <c r="AX840">
        <v>0</v>
      </c>
      <c r="AZ840">
        <v>6.8</v>
      </c>
      <c r="BA840">
        <v>19.899999999999999</v>
      </c>
      <c r="BB840">
        <v>564</v>
      </c>
      <c r="BC840">
        <v>68</v>
      </c>
      <c r="BD840">
        <v>1.5</v>
      </c>
      <c r="BE840">
        <v>135</v>
      </c>
      <c r="BF840">
        <v>0.8</v>
      </c>
      <c r="BG840">
        <v>162</v>
      </c>
      <c r="BH840">
        <v>9.1</v>
      </c>
      <c r="BI840">
        <v>9.1999999999999993</v>
      </c>
      <c r="BJ840">
        <v>18.3</v>
      </c>
      <c r="BK840">
        <v>0.34</v>
      </c>
      <c r="BL840">
        <v>7.3</v>
      </c>
      <c r="BM840">
        <v>0.9</v>
      </c>
      <c r="BN840">
        <v>7.5</v>
      </c>
      <c r="BO840">
        <v>2.9</v>
      </c>
      <c r="BP840">
        <f t="shared" si="26"/>
        <v>6.4152942595678688</v>
      </c>
      <c r="BQ840">
        <f t="shared" si="27"/>
        <v>19.345952984073289</v>
      </c>
    </row>
    <row r="841" spans="1:69" hidden="1" x14ac:dyDescent="0.2">
      <c r="A841" t="s">
        <v>1214</v>
      </c>
      <c r="B841" t="s">
        <v>68</v>
      </c>
      <c r="C841" t="s">
        <v>69</v>
      </c>
      <c r="D841" t="s">
        <v>70</v>
      </c>
      <c r="E841" t="s">
        <v>742</v>
      </c>
      <c r="F841">
        <v>6</v>
      </c>
      <c r="G841">
        <v>186.83</v>
      </c>
      <c r="H841">
        <v>3</v>
      </c>
      <c r="I841">
        <v>2</v>
      </c>
      <c r="J841">
        <v>2</v>
      </c>
      <c r="K841" t="s">
        <v>110</v>
      </c>
      <c r="L841" t="s">
        <v>162</v>
      </c>
      <c r="M841" s="4">
        <v>995000000</v>
      </c>
      <c r="N841">
        <v>0</v>
      </c>
      <c r="O841">
        <v>4.6610717770000001</v>
      </c>
      <c r="P841">
        <v>-74.050811769999996</v>
      </c>
      <c r="Q841" t="s">
        <v>1215</v>
      </c>
      <c r="R841">
        <v>5325697.1579999998</v>
      </c>
      <c r="S841">
        <v>0</v>
      </c>
      <c r="T841" t="s">
        <v>75</v>
      </c>
      <c r="U841" t="s">
        <v>76</v>
      </c>
      <c r="V841" t="s">
        <v>77</v>
      </c>
      <c r="W841" t="s">
        <v>78</v>
      </c>
      <c r="X841" t="s">
        <v>79</v>
      </c>
      <c r="Y841">
        <v>3.6900002448480702</v>
      </c>
      <c r="Z841">
        <v>3690.00024484807</v>
      </c>
      <c r="AA841">
        <v>4.6584666666666701</v>
      </c>
      <c r="AB841">
        <v>-74.083966666666697</v>
      </c>
      <c r="AC841">
        <v>2552</v>
      </c>
      <c r="AD841">
        <v>0</v>
      </c>
      <c r="AE841" t="s">
        <v>80</v>
      </c>
      <c r="AF841" t="s">
        <v>81</v>
      </c>
      <c r="AG841" t="s">
        <v>82</v>
      </c>
      <c r="AH841" t="s">
        <v>83</v>
      </c>
      <c r="AI841" t="s">
        <v>130</v>
      </c>
      <c r="AJ841">
        <v>1.17870321354024</v>
      </c>
      <c r="AK841">
        <v>0.45214304440387398</v>
      </c>
      <c r="AL841">
        <v>0.504254217465961</v>
      </c>
      <c r="AM841">
        <v>0.17830208321859101</v>
      </c>
      <c r="AN841">
        <v>2.3088219847169</v>
      </c>
      <c r="AO841">
        <v>0.17973825751653899</v>
      </c>
      <c r="AP841">
        <v>0.17973825751653899</v>
      </c>
      <c r="AQ841">
        <v>0</v>
      </c>
      <c r="AR841">
        <v>0</v>
      </c>
      <c r="AS841">
        <v>3</v>
      </c>
      <c r="AT841">
        <v>21</v>
      </c>
      <c r="AU841">
        <v>10</v>
      </c>
      <c r="AV841">
        <v>47</v>
      </c>
      <c r="AW841">
        <v>0</v>
      </c>
      <c r="AX841">
        <v>0</v>
      </c>
      <c r="AZ841">
        <v>6.8</v>
      </c>
      <c r="BA841">
        <v>19.899999999999999</v>
      </c>
      <c r="BB841">
        <v>564</v>
      </c>
      <c r="BC841">
        <v>68</v>
      </c>
      <c r="BD841">
        <v>1.5</v>
      </c>
      <c r="BE841">
        <v>135</v>
      </c>
      <c r="BF841">
        <v>0.8</v>
      </c>
      <c r="BG841">
        <v>162</v>
      </c>
      <c r="BH841">
        <v>9.1</v>
      </c>
      <c r="BI841">
        <v>9.1999999999999993</v>
      </c>
      <c r="BJ841">
        <v>18.3</v>
      </c>
      <c r="BK841">
        <v>0.34</v>
      </c>
      <c r="BL841">
        <v>7.3</v>
      </c>
      <c r="BM841">
        <v>0.9</v>
      </c>
      <c r="BN841">
        <v>7.5</v>
      </c>
      <c r="BO841">
        <v>2.9</v>
      </c>
      <c r="BP841">
        <f t="shared" si="26"/>
        <v>5.6647774014961314</v>
      </c>
      <c r="BQ841">
        <f t="shared" si="27"/>
        <v>18.213438957489025</v>
      </c>
    </row>
    <row r="842" spans="1:69" hidden="1" x14ac:dyDescent="0.2">
      <c r="A842" t="s">
        <v>529</v>
      </c>
      <c r="B842" t="s">
        <v>68</v>
      </c>
      <c r="C842" t="s">
        <v>69</v>
      </c>
      <c r="D842" t="s">
        <v>70</v>
      </c>
      <c r="E842" t="s">
        <v>310</v>
      </c>
      <c r="F842">
        <v>6</v>
      </c>
      <c r="G842">
        <v>186</v>
      </c>
      <c r="H842">
        <v>3</v>
      </c>
      <c r="I842">
        <v>5</v>
      </c>
      <c r="J842">
        <v>3</v>
      </c>
      <c r="K842" t="s">
        <v>110</v>
      </c>
      <c r="L842" t="s">
        <v>124</v>
      </c>
      <c r="M842" s="4">
        <v>2350000000</v>
      </c>
      <c r="N842">
        <v>0</v>
      </c>
      <c r="O842">
        <v>4.6610202789999997</v>
      </c>
      <c r="P842">
        <v>-74.049011230000005</v>
      </c>
      <c r="Q842" t="s">
        <v>530</v>
      </c>
      <c r="R842">
        <v>12634408.6</v>
      </c>
      <c r="S842">
        <v>0</v>
      </c>
      <c r="T842" t="s">
        <v>75</v>
      </c>
      <c r="U842" t="s">
        <v>76</v>
      </c>
      <c r="V842" t="s">
        <v>77</v>
      </c>
      <c r="W842" t="s">
        <v>78</v>
      </c>
      <c r="X842" t="s">
        <v>79</v>
      </c>
      <c r="Y842">
        <v>3.8887636040007298</v>
      </c>
      <c r="Z842">
        <v>3888.7636040007301</v>
      </c>
      <c r="AA842">
        <v>4.6584666666666701</v>
      </c>
      <c r="AB842">
        <v>-74.083966666666697</v>
      </c>
      <c r="AC842">
        <v>2552</v>
      </c>
      <c r="AD842">
        <v>0</v>
      </c>
      <c r="AE842" t="s">
        <v>80</v>
      </c>
      <c r="AF842" t="s">
        <v>81</v>
      </c>
      <c r="AG842" t="s">
        <v>82</v>
      </c>
      <c r="AH842" t="s">
        <v>83</v>
      </c>
      <c r="AI842" t="s">
        <v>130</v>
      </c>
      <c r="AJ842">
        <v>1.3763564622050699</v>
      </c>
      <c r="AK842">
        <v>0.27057301843388598</v>
      </c>
      <c r="AL842">
        <v>0.66507527620879003</v>
      </c>
      <c r="AM842">
        <v>0.24608107573038299</v>
      </c>
      <c r="AN842">
        <v>2.38361695840744</v>
      </c>
      <c r="AO842">
        <v>0.29415592472079399</v>
      </c>
      <c r="AP842">
        <v>0.29415592472079399</v>
      </c>
      <c r="AQ842">
        <v>0</v>
      </c>
      <c r="AR842">
        <v>0</v>
      </c>
      <c r="AS842">
        <v>10</v>
      </c>
      <c r="AT842">
        <v>32</v>
      </c>
      <c r="AU842">
        <v>6</v>
      </c>
      <c r="AV842">
        <v>31</v>
      </c>
      <c r="AW842">
        <v>0</v>
      </c>
      <c r="AX842">
        <v>0</v>
      </c>
      <c r="AZ842">
        <v>6.8</v>
      </c>
      <c r="BA842">
        <v>19.899999999999999</v>
      </c>
      <c r="BB842">
        <v>564</v>
      </c>
      <c r="BC842">
        <v>68</v>
      </c>
      <c r="BD842">
        <v>1.5</v>
      </c>
      <c r="BE842">
        <v>135</v>
      </c>
      <c r="BF842">
        <v>0.8</v>
      </c>
      <c r="BG842">
        <v>162</v>
      </c>
      <c r="BH842">
        <v>9.1</v>
      </c>
      <c r="BI842">
        <v>9.1999999999999993</v>
      </c>
      <c r="BJ842">
        <v>18.3</v>
      </c>
      <c r="BK842">
        <v>0.34</v>
      </c>
      <c r="BL842">
        <v>7.3</v>
      </c>
      <c r="BM842">
        <v>0.9</v>
      </c>
      <c r="BN842">
        <v>7.5</v>
      </c>
      <c r="BO842">
        <v>2.9</v>
      </c>
      <c r="BP842">
        <f t="shared" si="26"/>
        <v>5.6093161504226909</v>
      </c>
      <c r="BQ842">
        <f t="shared" si="27"/>
        <v>18.126761917079882</v>
      </c>
    </row>
    <row r="843" spans="1:69" hidden="1" x14ac:dyDescent="0.2">
      <c r="A843" t="s">
        <v>904</v>
      </c>
      <c r="B843" t="s">
        <v>68</v>
      </c>
      <c r="C843" t="s">
        <v>69</v>
      </c>
      <c r="D843" t="s">
        <v>70</v>
      </c>
      <c r="E843" t="s">
        <v>293</v>
      </c>
      <c r="F843">
        <v>4</v>
      </c>
      <c r="G843">
        <v>185</v>
      </c>
      <c r="H843">
        <v>3</v>
      </c>
      <c r="I843">
        <v>3</v>
      </c>
      <c r="J843">
        <v>1</v>
      </c>
      <c r="K843" t="s">
        <v>110</v>
      </c>
      <c r="L843" t="s">
        <v>162</v>
      </c>
      <c r="M843" s="4">
        <v>1900000000</v>
      </c>
      <c r="N843">
        <v>0</v>
      </c>
      <c r="O843">
        <v>4.6113395690000001</v>
      </c>
      <c r="P843">
        <v>-74.06746674</v>
      </c>
      <c r="Q843" t="s">
        <v>905</v>
      </c>
      <c r="R843">
        <v>10270270.27</v>
      </c>
      <c r="S843">
        <v>0</v>
      </c>
      <c r="T843" t="s">
        <v>126</v>
      </c>
      <c r="U843" t="s">
        <v>127</v>
      </c>
      <c r="V843" t="s">
        <v>77</v>
      </c>
      <c r="W843" t="s">
        <v>128</v>
      </c>
      <c r="X843" t="s">
        <v>129</v>
      </c>
      <c r="Y843">
        <v>1.5757095853263099</v>
      </c>
      <c r="Z843">
        <v>1575.7095853263099</v>
      </c>
      <c r="AA843">
        <v>4.6254861111111101</v>
      </c>
      <c r="AB843">
        <v>-74.066980555555503</v>
      </c>
      <c r="AC843">
        <v>2621</v>
      </c>
      <c r="AD843">
        <v>15</v>
      </c>
      <c r="AE843" t="s">
        <v>80</v>
      </c>
      <c r="AF843" t="s">
        <v>81</v>
      </c>
      <c r="AG843" t="s">
        <v>82</v>
      </c>
      <c r="AH843" t="s">
        <v>83</v>
      </c>
      <c r="AI843" t="s">
        <v>138</v>
      </c>
      <c r="AJ843">
        <v>0.44990627109905201</v>
      </c>
      <c r="AK843">
        <v>0.396974050311932</v>
      </c>
      <c r="AL843">
        <v>0.42827934192761702</v>
      </c>
      <c r="AM843">
        <v>0.35431899544379297</v>
      </c>
      <c r="AN843">
        <v>0.45262858253034999</v>
      </c>
      <c r="AO843">
        <v>8.4240999305562596E-3</v>
      </c>
      <c r="AP843">
        <v>8.4240999305562596E-3</v>
      </c>
      <c r="AQ843">
        <v>2</v>
      </c>
      <c r="AR843">
        <v>7</v>
      </c>
      <c r="AS843">
        <v>3</v>
      </c>
      <c r="AT843">
        <v>25</v>
      </c>
      <c r="AU843">
        <v>8</v>
      </c>
      <c r="AV843">
        <v>56</v>
      </c>
      <c r="AW843">
        <v>1</v>
      </c>
      <c r="AX843">
        <v>5</v>
      </c>
      <c r="AZ843">
        <v>6.8</v>
      </c>
      <c r="BA843">
        <v>19.899999999999999</v>
      </c>
      <c r="BB843">
        <v>564</v>
      </c>
      <c r="BC843">
        <v>68</v>
      </c>
      <c r="BD843">
        <v>1.5</v>
      </c>
      <c r="BE843">
        <v>135</v>
      </c>
      <c r="BF843">
        <v>0.8</v>
      </c>
      <c r="BG843">
        <v>162</v>
      </c>
      <c r="BH843">
        <v>9.1</v>
      </c>
      <c r="BI843">
        <v>9.1999999999999993</v>
      </c>
      <c r="BJ843">
        <v>18.3</v>
      </c>
      <c r="BK843">
        <v>0.34</v>
      </c>
      <c r="BL843">
        <v>7.3</v>
      </c>
      <c r="BM843">
        <v>0.9</v>
      </c>
      <c r="BN843">
        <v>7.5</v>
      </c>
      <c r="BO843">
        <v>2.9</v>
      </c>
      <c r="BP843">
        <f t="shared" si="26"/>
        <v>6.2897730419999016</v>
      </c>
      <c r="BQ843">
        <f t="shared" si="27"/>
        <v>19.161493180500877</v>
      </c>
    </row>
    <row r="844" spans="1:69" hidden="1" x14ac:dyDescent="0.2">
      <c r="A844" t="s">
        <v>3269</v>
      </c>
      <c r="B844" t="s">
        <v>68</v>
      </c>
      <c r="C844" t="s">
        <v>1956</v>
      </c>
      <c r="D844" t="s">
        <v>70</v>
      </c>
      <c r="E844" t="s">
        <v>1103</v>
      </c>
      <c r="F844">
        <v>3</v>
      </c>
      <c r="G844">
        <v>185</v>
      </c>
      <c r="H844">
        <v>5</v>
      </c>
      <c r="I844">
        <v>5</v>
      </c>
      <c r="J844">
        <v>0</v>
      </c>
      <c r="K844" t="s">
        <v>110</v>
      </c>
      <c r="L844" t="s">
        <v>162</v>
      </c>
      <c r="M844" s="4">
        <v>900000000</v>
      </c>
      <c r="N844">
        <v>0</v>
      </c>
      <c r="O844">
        <v>4.7019688000000004</v>
      </c>
      <c r="P844">
        <v>-74.103636100000003</v>
      </c>
      <c r="Q844" t="s">
        <v>3270</v>
      </c>
      <c r="R844">
        <v>4864864.8650000002</v>
      </c>
      <c r="S844">
        <v>0</v>
      </c>
      <c r="T844" t="s">
        <v>419</v>
      </c>
      <c r="U844" t="s">
        <v>420</v>
      </c>
      <c r="V844" t="s">
        <v>77</v>
      </c>
      <c r="W844" t="s">
        <v>78</v>
      </c>
      <c r="X844" t="s">
        <v>421</v>
      </c>
      <c r="Y844">
        <v>4.5036422102491596</v>
      </c>
      <c r="Z844">
        <v>4503.6422102491597</v>
      </c>
      <c r="AA844">
        <v>4.7358055555555598</v>
      </c>
      <c r="AB844">
        <v>-74.125888888888895</v>
      </c>
      <c r="AC844">
        <v>2574</v>
      </c>
      <c r="AD844">
        <v>0</v>
      </c>
      <c r="AE844" t="s">
        <v>154</v>
      </c>
      <c r="AF844" t="s">
        <v>107</v>
      </c>
      <c r="AG844" t="s">
        <v>82</v>
      </c>
      <c r="AH844" t="s">
        <v>83</v>
      </c>
      <c r="AI844" t="s">
        <v>412</v>
      </c>
      <c r="AJ844">
        <v>0.31560959144739997</v>
      </c>
      <c r="AK844">
        <v>3.5664595342482399</v>
      </c>
      <c r="AL844">
        <v>1.15094526316378</v>
      </c>
      <c r="AM844">
        <v>3.6660620457543397E-2</v>
      </c>
      <c r="AN844">
        <v>1.3257820875296999</v>
      </c>
      <c r="AO844">
        <v>1.0951733983112499E-2</v>
      </c>
      <c r="AP844">
        <v>1.0951733983112499E-2</v>
      </c>
      <c r="AQ844">
        <v>2</v>
      </c>
      <c r="AR844">
        <v>4</v>
      </c>
      <c r="AS844">
        <v>0</v>
      </c>
      <c r="AT844">
        <v>0</v>
      </c>
      <c r="AU844">
        <v>0</v>
      </c>
      <c r="AV844">
        <v>31</v>
      </c>
      <c r="AW844">
        <v>0</v>
      </c>
      <c r="AX844">
        <v>0</v>
      </c>
      <c r="AZ844">
        <v>6.8</v>
      </c>
      <c r="BA844">
        <v>19.899999999999999</v>
      </c>
      <c r="BB844">
        <v>564</v>
      </c>
      <c r="BC844">
        <v>68</v>
      </c>
      <c r="BD844">
        <v>1.5</v>
      </c>
      <c r="BE844">
        <v>135</v>
      </c>
      <c r="BF844">
        <v>0.8</v>
      </c>
      <c r="BG844">
        <v>162</v>
      </c>
      <c r="BH844">
        <v>9.1</v>
      </c>
      <c r="BI844">
        <v>9.1999999999999993</v>
      </c>
      <c r="BJ844">
        <v>18.3</v>
      </c>
      <c r="BK844">
        <v>0.34</v>
      </c>
      <c r="BL844">
        <v>7.3</v>
      </c>
      <c r="BM844">
        <v>0.9</v>
      </c>
      <c r="BN844">
        <v>7.5</v>
      </c>
      <c r="BO844">
        <v>2.9</v>
      </c>
      <c r="BP844">
        <f t="shared" si="26"/>
        <v>5.4411602684895453</v>
      </c>
      <c r="BQ844">
        <f t="shared" si="27"/>
        <v>17.861227796397859</v>
      </c>
    </row>
    <row r="845" spans="1:69" hidden="1" x14ac:dyDescent="0.2">
      <c r="A845" t="s">
        <v>1688</v>
      </c>
      <c r="B845" t="s">
        <v>68</v>
      </c>
      <c r="C845" t="s">
        <v>69</v>
      </c>
      <c r="D845" t="s">
        <v>70</v>
      </c>
      <c r="E845" t="s">
        <v>1486</v>
      </c>
      <c r="F845">
        <v>6</v>
      </c>
      <c r="G845">
        <v>184</v>
      </c>
      <c r="H845">
        <v>4</v>
      </c>
      <c r="I845">
        <v>4</v>
      </c>
      <c r="J845">
        <v>3</v>
      </c>
      <c r="K845" t="s">
        <v>110</v>
      </c>
      <c r="L845" t="s">
        <v>162</v>
      </c>
      <c r="M845" s="4">
        <v>1547100000</v>
      </c>
      <c r="N845">
        <v>0</v>
      </c>
      <c r="O845">
        <v>4.6822691580000004</v>
      </c>
      <c r="P845">
        <v>-74.057523070000002</v>
      </c>
      <c r="Q845" t="s">
        <v>1689</v>
      </c>
      <c r="R845">
        <v>8408152.1740000006</v>
      </c>
      <c r="S845">
        <v>0</v>
      </c>
      <c r="T845" t="s">
        <v>75</v>
      </c>
      <c r="U845" t="s">
        <v>76</v>
      </c>
      <c r="V845" t="s">
        <v>77</v>
      </c>
      <c r="W845" t="s">
        <v>78</v>
      </c>
      <c r="X845" t="s">
        <v>79</v>
      </c>
      <c r="Y845">
        <v>3.9533099210782998</v>
      </c>
      <c r="Z845">
        <v>3953.3099210782998</v>
      </c>
      <c r="AA845">
        <v>4.6584666666666701</v>
      </c>
      <c r="AB845">
        <v>-74.083966666666697</v>
      </c>
      <c r="AC845">
        <v>2552</v>
      </c>
      <c r="AD845">
        <v>0</v>
      </c>
      <c r="AE845" t="s">
        <v>80</v>
      </c>
      <c r="AF845" t="s">
        <v>81</v>
      </c>
      <c r="AG845" t="s">
        <v>82</v>
      </c>
      <c r="AH845" t="s">
        <v>83</v>
      </c>
      <c r="AI845" t="s">
        <v>130</v>
      </c>
      <c r="AJ845">
        <v>0.18687274316367</v>
      </c>
      <c r="AK845">
        <v>2.1958462760092998</v>
      </c>
      <c r="AL845">
        <v>0.56945074863379097</v>
      </c>
      <c r="AM845">
        <v>9.1944741980236097E-2</v>
      </c>
      <c r="AN845">
        <v>2.8559750641566701</v>
      </c>
      <c r="AO845">
        <v>0.16783728061234199</v>
      </c>
      <c r="AP845">
        <v>0.16783728061234199</v>
      </c>
      <c r="AQ845">
        <v>1</v>
      </c>
      <c r="AR845">
        <v>5</v>
      </c>
      <c r="AS845">
        <v>0</v>
      </c>
      <c r="AT845">
        <v>0</v>
      </c>
      <c r="AU845">
        <v>5</v>
      </c>
      <c r="AV845">
        <v>241</v>
      </c>
      <c r="AW845">
        <v>0</v>
      </c>
      <c r="AX845">
        <v>0</v>
      </c>
      <c r="AZ845">
        <v>6.8</v>
      </c>
      <c r="BA845">
        <v>19.899999999999999</v>
      </c>
      <c r="BB845">
        <v>564</v>
      </c>
      <c r="BC845">
        <v>68</v>
      </c>
      <c r="BD845">
        <v>1.5</v>
      </c>
      <c r="BE845">
        <v>135</v>
      </c>
      <c r="BF845">
        <v>0.8</v>
      </c>
      <c r="BG845">
        <v>162</v>
      </c>
      <c r="BH845">
        <v>9.1</v>
      </c>
      <c r="BI845">
        <v>9.1999999999999993</v>
      </c>
      <c r="BJ845">
        <v>18.3</v>
      </c>
      <c r="BK845">
        <v>0.34</v>
      </c>
      <c r="BL845">
        <v>7.3</v>
      </c>
      <c r="BM845">
        <v>0.9</v>
      </c>
      <c r="BN845">
        <v>7.5</v>
      </c>
      <c r="BO845">
        <v>2.9</v>
      </c>
      <c r="BP845">
        <f t="shared" si="26"/>
        <v>5.5914227461475079</v>
      </c>
      <c r="BQ845">
        <f t="shared" si="27"/>
        <v>18.098703278337588</v>
      </c>
    </row>
    <row r="846" spans="1:69" hidden="1" x14ac:dyDescent="0.2">
      <c r="A846" t="s">
        <v>2970</v>
      </c>
      <c r="B846" t="s">
        <v>68</v>
      </c>
      <c r="C846" t="s">
        <v>1956</v>
      </c>
      <c r="D846" t="s">
        <v>70</v>
      </c>
      <c r="E846" t="s">
        <v>1990</v>
      </c>
      <c r="F846">
        <v>4</v>
      </c>
      <c r="G846">
        <v>183</v>
      </c>
      <c r="H846">
        <v>4</v>
      </c>
      <c r="I846">
        <v>4</v>
      </c>
      <c r="J846">
        <v>2</v>
      </c>
      <c r="K846" t="s">
        <v>110</v>
      </c>
      <c r="L846" t="s">
        <v>162</v>
      </c>
      <c r="M846" s="4">
        <v>850000000</v>
      </c>
      <c r="N846">
        <v>0</v>
      </c>
      <c r="O846">
        <v>4.6930022239999998</v>
      </c>
      <c r="P846">
        <v>-74.071945189999994</v>
      </c>
      <c r="Q846" t="s">
        <v>2971</v>
      </c>
      <c r="R846">
        <v>4644808.7429999998</v>
      </c>
      <c r="S846">
        <v>0</v>
      </c>
      <c r="T846" t="s">
        <v>75</v>
      </c>
      <c r="U846" t="s">
        <v>76</v>
      </c>
      <c r="V846" t="s">
        <v>77</v>
      </c>
      <c r="W846" t="s">
        <v>78</v>
      </c>
      <c r="X846" t="s">
        <v>79</v>
      </c>
      <c r="Y846">
        <v>4.0692722536965702</v>
      </c>
      <c r="Z846">
        <v>4069.2722536965698</v>
      </c>
      <c r="AA846">
        <v>4.6584666666666701</v>
      </c>
      <c r="AB846">
        <v>-74.083966666666697</v>
      </c>
      <c r="AC846">
        <v>2552</v>
      </c>
      <c r="AD846">
        <v>0</v>
      </c>
      <c r="AE846" t="s">
        <v>80</v>
      </c>
      <c r="AF846" t="s">
        <v>81</v>
      </c>
      <c r="AG846" t="s">
        <v>82</v>
      </c>
      <c r="AH846" t="s">
        <v>83</v>
      </c>
      <c r="AI846" t="s">
        <v>121</v>
      </c>
      <c r="AJ846">
        <v>0.52701791963095801</v>
      </c>
      <c r="AK846">
        <v>4.1664519975199497</v>
      </c>
      <c r="AL846">
        <v>0.59245871094373703</v>
      </c>
      <c r="AM846">
        <v>0.17627449821306701</v>
      </c>
      <c r="AN846">
        <v>2.3888658015778201</v>
      </c>
      <c r="AO846">
        <v>0.122277833641759</v>
      </c>
      <c r="AP846">
        <v>0.122277833641759</v>
      </c>
      <c r="AQ846">
        <v>0</v>
      </c>
      <c r="AR846">
        <v>2</v>
      </c>
      <c r="AS846">
        <v>0</v>
      </c>
      <c r="AT846">
        <v>0</v>
      </c>
      <c r="AU846">
        <v>2</v>
      </c>
      <c r="AV846">
        <v>61</v>
      </c>
      <c r="AW846">
        <v>0</v>
      </c>
      <c r="AX846">
        <v>0</v>
      </c>
      <c r="AZ846">
        <v>6.8</v>
      </c>
      <c r="BA846">
        <v>19.899999999999999</v>
      </c>
      <c r="BB846">
        <v>564</v>
      </c>
      <c r="BC846">
        <v>68</v>
      </c>
      <c r="BD846">
        <v>1.5</v>
      </c>
      <c r="BE846">
        <v>135</v>
      </c>
      <c r="BF846">
        <v>0.8</v>
      </c>
      <c r="BG846">
        <v>162</v>
      </c>
      <c r="BH846">
        <v>9.1</v>
      </c>
      <c r="BI846">
        <v>9.1999999999999993</v>
      </c>
      <c r="BJ846">
        <v>18.3</v>
      </c>
      <c r="BK846">
        <v>0.34</v>
      </c>
      <c r="BL846">
        <v>7.3</v>
      </c>
      <c r="BM846">
        <v>0.9</v>
      </c>
      <c r="BN846">
        <v>7.5</v>
      </c>
      <c r="BO846">
        <v>2.9</v>
      </c>
      <c r="BP846">
        <f t="shared" si="26"/>
        <v>5.5594191624717819</v>
      </c>
      <c r="BQ846">
        <f t="shared" si="27"/>
        <v>18.04840287783767</v>
      </c>
    </row>
    <row r="847" spans="1:69" hidden="1" x14ac:dyDescent="0.2">
      <c r="A847" t="s">
        <v>2698</v>
      </c>
      <c r="B847" t="s">
        <v>68</v>
      </c>
      <c r="C847" t="s">
        <v>1956</v>
      </c>
      <c r="D847" t="s">
        <v>70</v>
      </c>
      <c r="E847" t="s">
        <v>2699</v>
      </c>
      <c r="F847">
        <v>3</v>
      </c>
      <c r="G847">
        <v>181</v>
      </c>
      <c r="H847">
        <v>5</v>
      </c>
      <c r="I847">
        <v>4</v>
      </c>
      <c r="J847">
        <v>0</v>
      </c>
      <c r="K847" t="s">
        <v>110</v>
      </c>
      <c r="L847" t="s">
        <v>162</v>
      </c>
      <c r="M847" s="4">
        <v>920000000</v>
      </c>
      <c r="N847">
        <v>0</v>
      </c>
      <c r="O847">
        <v>4.6864229999999996</v>
      </c>
      <c r="P847">
        <v>-74.081406000000001</v>
      </c>
      <c r="Q847" t="s">
        <v>2700</v>
      </c>
      <c r="R847">
        <v>5082872.9280000003</v>
      </c>
      <c r="S847">
        <v>0</v>
      </c>
      <c r="T847" t="s">
        <v>75</v>
      </c>
      <c r="U847" t="s">
        <v>76</v>
      </c>
      <c r="V847" t="s">
        <v>77</v>
      </c>
      <c r="W847" t="s">
        <v>78</v>
      </c>
      <c r="X847" t="s">
        <v>79</v>
      </c>
      <c r="Y847">
        <v>3.12502596419134</v>
      </c>
      <c r="Z847">
        <v>3125.0259641913399</v>
      </c>
      <c r="AA847">
        <v>4.6584666666666701</v>
      </c>
      <c r="AB847">
        <v>-74.083966666666697</v>
      </c>
      <c r="AC847">
        <v>2552</v>
      </c>
      <c r="AD847">
        <v>0</v>
      </c>
      <c r="AE847" t="s">
        <v>80</v>
      </c>
      <c r="AF847" t="s">
        <v>81</v>
      </c>
      <c r="AG847" t="s">
        <v>82</v>
      </c>
      <c r="AH847" t="s">
        <v>83</v>
      </c>
      <c r="AI847" t="s">
        <v>412</v>
      </c>
      <c r="AJ847">
        <v>7.9253373376514599E-2</v>
      </c>
      <c r="AK847">
        <v>4.6823399902640404</v>
      </c>
      <c r="AL847">
        <v>0.713659497228607</v>
      </c>
      <c r="AM847">
        <v>0.21988280907865199</v>
      </c>
      <c r="AN847">
        <v>1.39459445247171</v>
      </c>
      <c r="AO847">
        <v>3.1564944832401201E-2</v>
      </c>
      <c r="AP847">
        <v>3.1564944832401201E-2</v>
      </c>
      <c r="AQ847">
        <v>1</v>
      </c>
      <c r="AR847">
        <v>3</v>
      </c>
      <c r="AS847">
        <v>0</v>
      </c>
      <c r="AT847">
        <v>0</v>
      </c>
      <c r="AU847">
        <v>1</v>
      </c>
      <c r="AV847">
        <v>19</v>
      </c>
      <c r="AW847">
        <v>0</v>
      </c>
      <c r="AX847">
        <v>0</v>
      </c>
      <c r="AZ847">
        <v>6.8</v>
      </c>
      <c r="BA847">
        <v>19.899999999999999</v>
      </c>
      <c r="BB847">
        <v>564</v>
      </c>
      <c r="BC847">
        <v>68</v>
      </c>
      <c r="BD847">
        <v>1.5</v>
      </c>
      <c r="BE847">
        <v>135</v>
      </c>
      <c r="BF847">
        <v>0.8</v>
      </c>
      <c r="BG847">
        <v>162</v>
      </c>
      <c r="BH847">
        <v>9.1</v>
      </c>
      <c r="BI847">
        <v>9.1999999999999993</v>
      </c>
      <c r="BJ847">
        <v>18.3</v>
      </c>
      <c r="BK847">
        <v>0.34</v>
      </c>
      <c r="BL847">
        <v>7.3</v>
      </c>
      <c r="BM847">
        <v>0.9</v>
      </c>
      <c r="BN847">
        <v>7.5</v>
      </c>
      <c r="BO847">
        <v>2.9</v>
      </c>
      <c r="BP847">
        <f t="shared" si="26"/>
        <v>5.8254358865119036</v>
      </c>
      <c r="BQ847">
        <f t="shared" si="27"/>
        <v>18.462083873460738</v>
      </c>
    </row>
    <row r="848" spans="1:69" hidden="1" x14ac:dyDescent="0.2">
      <c r="A848" t="s">
        <v>730</v>
      </c>
      <c r="B848" t="s">
        <v>68</v>
      </c>
      <c r="C848" t="s">
        <v>69</v>
      </c>
      <c r="D848" t="s">
        <v>70</v>
      </c>
      <c r="E848" t="s">
        <v>731</v>
      </c>
      <c r="F848">
        <v>4</v>
      </c>
      <c r="G848">
        <v>177</v>
      </c>
      <c r="H848">
        <v>4</v>
      </c>
      <c r="I848">
        <v>2</v>
      </c>
      <c r="J848">
        <v>0</v>
      </c>
      <c r="K848" t="s">
        <v>110</v>
      </c>
      <c r="L848" t="s">
        <v>162</v>
      </c>
      <c r="M848" s="4">
        <v>547000000</v>
      </c>
      <c r="N848">
        <v>0</v>
      </c>
      <c r="O848">
        <v>4.6508769990000003</v>
      </c>
      <c r="P848">
        <v>-74.072959900000001</v>
      </c>
      <c r="Q848" t="s">
        <v>732</v>
      </c>
      <c r="R848">
        <v>3090395.48</v>
      </c>
      <c r="S848">
        <v>0</v>
      </c>
      <c r="T848" t="s">
        <v>75</v>
      </c>
      <c r="U848" t="s">
        <v>76</v>
      </c>
      <c r="V848" t="s">
        <v>77</v>
      </c>
      <c r="W848" t="s">
        <v>78</v>
      </c>
      <c r="X848" t="s">
        <v>79</v>
      </c>
      <c r="Y848">
        <v>1.48499600959797</v>
      </c>
      <c r="Z848">
        <v>1484.99600959797</v>
      </c>
      <c r="AA848">
        <v>4.6584666666666701</v>
      </c>
      <c r="AB848">
        <v>-74.083966666666697</v>
      </c>
      <c r="AC848">
        <v>2552</v>
      </c>
      <c r="AD848">
        <v>0</v>
      </c>
      <c r="AE848" t="s">
        <v>80</v>
      </c>
      <c r="AF848" t="s">
        <v>81</v>
      </c>
      <c r="AG848" t="s">
        <v>82</v>
      </c>
      <c r="AH848" t="s">
        <v>83</v>
      </c>
      <c r="AI848" t="s">
        <v>84</v>
      </c>
      <c r="AJ848">
        <v>0.60617108188249202</v>
      </c>
      <c r="AK848">
        <v>2.0339639924184598</v>
      </c>
      <c r="AL848">
        <v>0.145231801707255</v>
      </c>
      <c r="AM848">
        <v>8.71696671116442E-2</v>
      </c>
      <c r="AN848">
        <v>1.91266153504026</v>
      </c>
      <c r="AO848">
        <v>0.33357492935231497</v>
      </c>
      <c r="AP848">
        <v>0.33357492935231497</v>
      </c>
      <c r="AQ848">
        <v>0</v>
      </c>
      <c r="AR848">
        <v>4</v>
      </c>
      <c r="AS848">
        <v>0</v>
      </c>
      <c r="AT848">
        <v>0</v>
      </c>
      <c r="AU848">
        <v>6</v>
      </c>
      <c r="AV848">
        <v>55</v>
      </c>
      <c r="AW848">
        <v>0</v>
      </c>
      <c r="AX848">
        <v>0</v>
      </c>
      <c r="AZ848">
        <v>6.8</v>
      </c>
      <c r="BA848">
        <v>19.899999999999999</v>
      </c>
      <c r="BB848">
        <v>564</v>
      </c>
      <c r="BC848">
        <v>68</v>
      </c>
      <c r="BD848">
        <v>1.5</v>
      </c>
      <c r="BE848">
        <v>135</v>
      </c>
      <c r="BF848">
        <v>0.8</v>
      </c>
      <c r="BG848">
        <v>162</v>
      </c>
      <c r="BH848">
        <v>9.1</v>
      </c>
      <c r="BI848">
        <v>9.1999999999999993</v>
      </c>
      <c r="BJ848">
        <v>18.3</v>
      </c>
      <c r="BK848">
        <v>0.34</v>
      </c>
      <c r="BL848">
        <v>7.3</v>
      </c>
      <c r="BM848">
        <v>0.9</v>
      </c>
      <c r="BN848">
        <v>7.5</v>
      </c>
      <c r="BO848">
        <v>2.9</v>
      </c>
      <c r="BP848">
        <f t="shared" si="26"/>
        <v>6.3180796535945243</v>
      </c>
      <c r="BQ848">
        <f t="shared" si="27"/>
        <v>19.203255606537851</v>
      </c>
    </row>
    <row r="849" spans="1:69" hidden="1" x14ac:dyDescent="0.2">
      <c r="A849" t="s">
        <v>2983</v>
      </c>
      <c r="B849" t="s">
        <v>68</v>
      </c>
      <c r="C849" t="s">
        <v>1956</v>
      </c>
      <c r="D849" t="s">
        <v>70</v>
      </c>
      <c r="E849" t="s">
        <v>2579</v>
      </c>
      <c r="F849">
        <v>5</v>
      </c>
      <c r="G849">
        <v>176.4</v>
      </c>
      <c r="H849">
        <v>4</v>
      </c>
      <c r="I849">
        <v>2</v>
      </c>
      <c r="J849">
        <v>1</v>
      </c>
      <c r="K849" t="s">
        <v>110</v>
      </c>
      <c r="L849" t="s">
        <v>124</v>
      </c>
      <c r="M849" s="4">
        <v>1500000000</v>
      </c>
      <c r="N849">
        <v>0</v>
      </c>
      <c r="O849">
        <v>4.6476800000000003</v>
      </c>
      <c r="P849">
        <v>-74.087710000000001</v>
      </c>
      <c r="Q849" t="s">
        <v>2984</v>
      </c>
      <c r="R849">
        <v>8503401.3609999996</v>
      </c>
      <c r="S849">
        <v>0</v>
      </c>
      <c r="T849" t="s">
        <v>75</v>
      </c>
      <c r="U849" t="s">
        <v>76</v>
      </c>
      <c r="V849" t="s">
        <v>77</v>
      </c>
      <c r="W849" t="s">
        <v>78</v>
      </c>
      <c r="X849" t="s">
        <v>79</v>
      </c>
      <c r="Y849">
        <v>1.27056707971161</v>
      </c>
      <c r="Z849">
        <v>1270.5670797116099</v>
      </c>
      <c r="AA849">
        <v>4.6584666666666701</v>
      </c>
      <c r="AB849">
        <v>-74.083966666666697</v>
      </c>
      <c r="AC849">
        <v>2552</v>
      </c>
      <c r="AD849">
        <v>0</v>
      </c>
      <c r="AE849" t="s">
        <v>80</v>
      </c>
      <c r="AF849" t="s">
        <v>81</v>
      </c>
      <c r="AG849" t="s">
        <v>82</v>
      </c>
      <c r="AH849" t="s">
        <v>83</v>
      </c>
      <c r="AI849" t="s">
        <v>84</v>
      </c>
      <c r="AJ849">
        <v>1.0293571977204401</v>
      </c>
      <c r="AK849">
        <v>3.4255867737627899</v>
      </c>
      <c r="AL849">
        <v>0.61089257050548396</v>
      </c>
      <c r="AM849">
        <v>0.16342681797580499</v>
      </c>
      <c r="AN849">
        <v>2.95983630129138</v>
      </c>
      <c r="AO849">
        <v>0.49163947139415698</v>
      </c>
      <c r="AP849">
        <v>0.49163947139415698</v>
      </c>
      <c r="AQ849">
        <v>0</v>
      </c>
      <c r="AR849">
        <v>0</v>
      </c>
      <c r="AS849">
        <v>0</v>
      </c>
      <c r="AT849">
        <v>0</v>
      </c>
      <c r="AU849">
        <v>3</v>
      </c>
      <c r="AV849">
        <v>20</v>
      </c>
      <c r="AW849">
        <v>0</v>
      </c>
      <c r="AX849">
        <v>0</v>
      </c>
      <c r="AZ849">
        <v>6.8</v>
      </c>
      <c r="BA849">
        <v>19.899999999999999</v>
      </c>
      <c r="BB849">
        <v>564</v>
      </c>
      <c r="BC849">
        <v>68</v>
      </c>
      <c r="BD849">
        <v>1.5</v>
      </c>
      <c r="BE849">
        <v>135</v>
      </c>
      <c r="BF849">
        <v>0.8</v>
      </c>
      <c r="BG849">
        <v>162</v>
      </c>
      <c r="BH849">
        <v>9.1</v>
      </c>
      <c r="BI849">
        <v>9.1999999999999993</v>
      </c>
      <c r="BJ849">
        <v>18.3</v>
      </c>
      <c r="BK849">
        <v>0.34</v>
      </c>
      <c r="BL849">
        <v>7.3</v>
      </c>
      <c r="BM849">
        <v>0.9</v>
      </c>
      <c r="BN849">
        <v>7.5</v>
      </c>
      <c r="BO849">
        <v>2.9</v>
      </c>
      <c r="BP849">
        <f t="shared" si="26"/>
        <v>6.3854983830776657</v>
      </c>
      <c r="BQ849">
        <f t="shared" si="27"/>
        <v>19.302335941347852</v>
      </c>
    </row>
    <row r="850" spans="1:69" hidden="1" x14ac:dyDescent="0.2">
      <c r="A850" t="s">
        <v>3145</v>
      </c>
      <c r="B850" t="s">
        <v>68</v>
      </c>
      <c r="C850" t="s">
        <v>1956</v>
      </c>
      <c r="D850" t="s">
        <v>70</v>
      </c>
      <c r="E850" t="s">
        <v>580</v>
      </c>
      <c r="F850">
        <v>3</v>
      </c>
      <c r="G850">
        <v>176</v>
      </c>
      <c r="H850">
        <v>4</v>
      </c>
      <c r="I850">
        <v>3</v>
      </c>
      <c r="J850">
        <v>0</v>
      </c>
      <c r="K850" t="s">
        <v>110</v>
      </c>
      <c r="L850" t="s">
        <v>162</v>
      </c>
      <c r="M850" s="4">
        <v>1100000000</v>
      </c>
      <c r="N850">
        <v>0</v>
      </c>
      <c r="O850">
        <v>4.673629</v>
      </c>
      <c r="P850">
        <v>-74.108739</v>
      </c>
      <c r="Q850" t="s">
        <v>3146</v>
      </c>
      <c r="R850">
        <v>6250000</v>
      </c>
      <c r="S850">
        <v>0</v>
      </c>
      <c r="T850" t="s">
        <v>75</v>
      </c>
      <c r="U850" t="s">
        <v>76</v>
      </c>
      <c r="V850" t="s">
        <v>77</v>
      </c>
      <c r="W850" t="s">
        <v>78</v>
      </c>
      <c r="X850" t="s">
        <v>79</v>
      </c>
      <c r="Y850">
        <v>3.2253925005961199</v>
      </c>
      <c r="Z850">
        <v>3225.39250059612</v>
      </c>
      <c r="AA850">
        <v>4.6584666666666701</v>
      </c>
      <c r="AB850">
        <v>-74.083966666666697</v>
      </c>
      <c r="AC850">
        <v>2552</v>
      </c>
      <c r="AD850">
        <v>0</v>
      </c>
      <c r="AE850" t="s">
        <v>80</v>
      </c>
      <c r="AF850" t="s">
        <v>81</v>
      </c>
      <c r="AG850" t="s">
        <v>82</v>
      </c>
      <c r="AH850" t="s">
        <v>83</v>
      </c>
      <c r="AI850" t="s">
        <v>412</v>
      </c>
      <c r="AJ850">
        <v>0.71712168184783698</v>
      </c>
      <c r="AK850">
        <v>5.4863530320378704</v>
      </c>
      <c r="AL850">
        <v>1.7584486296815001</v>
      </c>
      <c r="AM850">
        <v>0.10386041855771</v>
      </c>
      <c r="AN850">
        <v>1.9312281282883299</v>
      </c>
      <c r="AO850">
        <v>0.49135270957834798</v>
      </c>
      <c r="AP850">
        <v>0.49135270957834798</v>
      </c>
      <c r="AQ850">
        <v>0</v>
      </c>
      <c r="AR850">
        <v>2</v>
      </c>
      <c r="AS850">
        <v>0</v>
      </c>
      <c r="AT850">
        <v>0</v>
      </c>
      <c r="AU850">
        <v>0</v>
      </c>
      <c r="AV850">
        <v>32</v>
      </c>
      <c r="AW850">
        <v>0</v>
      </c>
      <c r="AX850">
        <v>0</v>
      </c>
      <c r="AZ850">
        <v>6.8</v>
      </c>
      <c r="BA850">
        <v>19.899999999999999</v>
      </c>
      <c r="BB850">
        <v>564</v>
      </c>
      <c r="BC850">
        <v>68</v>
      </c>
      <c r="BD850">
        <v>1.5</v>
      </c>
      <c r="BE850">
        <v>135</v>
      </c>
      <c r="BF850">
        <v>0.8</v>
      </c>
      <c r="BG850">
        <v>162</v>
      </c>
      <c r="BH850">
        <v>9.1</v>
      </c>
      <c r="BI850">
        <v>9.1999999999999993</v>
      </c>
      <c r="BJ850">
        <v>18.3</v>
      </c>
      <c r="BK850">
        <v>0.34</v>
      </c>
      <c r="BL850">
        <v>7.3</v>
      </c>
      <c r="BM850">
        <v>0.9</v>
      </c>
      <c r="BN850">
        <v>7.5</v>
      </c>
      <c r="BO850">
        <v>2.9</v>
      </c>
      <c r="BP850">
        <f t="shared" si="26"/>
        <v>5.7965660588800088</v>
      </c>
      <c r="BQ850">
        <f t="shared" si="27"/>
        <v>18.417665981860466</v>
      </c>
    </row>
    <row r="851" spans="1:69" hidden="1" x14ac:dyDescent="0.2">
      <c r="A851" t="s">
        <v>4474</v>
      </c>
      <c r="B851" t="s">
        <v>68</v>
      </c>
      <c r="C851" t="s">
        <v>3294</v>
      </c>
      <c r="D851" t="s">
        <v>70</v>
      </c>
      <c r="E851" t="s">
        <v>4475</v>
      </c>
      <c r="F851">
        <v>5</v>
      </c>
      <c r="G851">
        <v>174</v>
      </c>
      <c r="H851">
        <v>2</v>
      </c>
      <c r="I851">
        <v>4</v>
      </c>
      <c r="J851">
        <v>0</v>
      </c>
      <c r="K851" t="s">
        <v>110</v>
      </c>
      <c r="L851" t="s">
        <v>162</v>
      </c>
      <c r="M851" s="4">
        <v>1300000000</v>
      </c>
      <c r="N851">
        <v>0</v>
      </c>
      <c r="O851">
        <v>4.652412537</v>
      </c>
      <c r="P851">
        <v>-74.052737149999999</v>
      </c>
      <c r="Q851" t="s">
        <v>4476</v>
      </c>
      <c r="R851">
        <v>7471264.3679999998</v>
      </c>
      <c r="S851">
        <v>0</v>
      </c>
      <c r="T851" t="s">
        <v>126</v>
      </c>
      <c r="U851" t="s">
        <v>127</v>
      </c>
      <c r="V851" t="s">
        <v>77</v>
      </c>
      <c r="W851" t="s">
        <v>128</v>
      </c>
      <c r="X851" t="s">
        <v>129</v>
      </c>
      <c r="Y851">
        <v>3.38854044002289</v>
      </c>
      <c r="Z851">
        <v>3388.5404400228899</v>
      </c>
      <c r="AA851">
        <v>4.6254861111111101</v>
      </c>
      <c r="AB851">
        <v>-74.066980555555503</v>
      </c>
      <c r="AC851">
        <v>2621</v>
      </c>
      <c r="AD851">
        <v>15</v>
      </c>
      <c r="AE851" t="s">
        <v>80</v>
      </c>
      <c r="AF851" t="s">
        <v>81</v>
      </c>
      <c r="AG851" t="s">
        <v>82</v>
      </c>
      <c r="AH851" t="s">
        <v>83</v>
      </c>
      <c r="AI851" t="s">
        <v>130</v>
      </c>
      <c r="AJ851">
        <v>1.1717900690908001</v>
      </c>
      <c r="AK851">
        <v>0.44833081411568199</v>
      </c>
      <c r="AL851">
        <v>0.561566114357961</v>
      </c>
      <c r="AM851">
        <v>0.18917187895507601</v>
      </c>
      <c r="AN851">
        <v>1.3481158602957899</v>
      </c>
      <c r="AO851">
        <v>6.0474494493708397E-2</v>
      </c>
      <c r="AP851">
        <v>6.0474494493708397E-2</v>
      </c>
      <c r="AQ851">
        <v>0</v>
      </c>
      <c r="AR851">
        <v>0</v>
      </c>
      <c r="AS851">
        <v>8</v>
      </c>
      <c r="AT851">
        <v>40</v>
      </c>
      <c r="AU851">
        <v>7</v>
      </c>
      <c r="AV851">
        <v>35</v>
      </c>
      <c r="AW851">
        <v>0</v>
      </c>
      <c r="AX851">
        <v>0</v>
      </c>
      <c r="AZ851">
        <v>6.8</v>
      </c>
      <c r="BA851">
        <v>19.899999999999999</v>
      </c>
      <c r="BB851">
        <v>564</v>
      </c>
      <c r="BC851">
        <v>68</v>
      </c>
      <c r="BD851">
        <v>1.5</v>
      </c>
      <c r="BE851">
        <v>135</v>
      </c>
      <c r="BF851">
        <v>0.8</v>
      </c>
      <c r="BG851">
        <v>162</v>
      </c>
      <c r="BH851">
        <v>9.1</v>
      </c>
      <c r="BI851">
        <v>9.1999999999999993</v>
      </c>
      <c r="BJ851">
        <v>18.3</v>
      </c>
      <c r="BK851">
        <v>0.34</v>
      </c>
      <c r="BL851">
        <v>7.3</v>
      </c>
      <c r="BM851">
        <v>0.9</v>
      </c>
      <c r="BN851">
        <v>7.5</v>
      </c>
      <c r="BO851">
        <v>2.9</v>
      </c>
      <c r="BP851">
        <f t="shared" si="26"/>
        <v>5.749942532439273</v>
      </c>
      <c r="BQ851">
        <f t="shared" si="27"/>
        <v>18.34569168122712</v>
      </c>
    </row>
    <row r="852" spans="1:69" hidden="1" x14ac:dyDescent="0.2">
      <c r="A852" t="s">
        <v>2228</v>
      </c>
      <c r="B852" t="s">
        <v>68</v>
      </c>
      <c r="C852" t="s">
        <v>1956</v>
      </c>
      <c r="D852" t="s">
        <v>70</v>
      </c>
      <c r="E852" t="s">
        <v>2229</v>
      </c>
      <c r="F852">
        <v>2</v>
      </c>
      <c r="G852">
        <v>174</v>
      </c>
      <c r="H852">
        <v>5</v>
      </c>
      <c r="I852">
        <v>3</v>
      </c>
      <c r="J852">
        <v>0</v>
      </c>
      <c r="K852" t="s">
        <v>110</v>
      </c>
      <c r="L852" t="s">
        <v>124</v>
      </c>
      <c r="M852" s="4">
        <v>390000000</v>
      </c>
      <c r="N852">
        <v>0</v>
      </c>
      <c r="O852">
        <v>4.7126297949999998</v>
      </c>
      <c r="P852">
        <v>-74.143089290000006</v>
      </c>
      <c r="Q852" t="s">
        <v>2230</v>
      </c>
      <c r="R852">
        <v>2241379.31</v>
      </c>
      <c r="S852">
        <v>0</v>
      </c>
      <c r="T852" t="s">
        <v>419</v>
      </c>
      <c r="U852" t="s">
        <v>420</v>
      </c>
      <c r="V852" t="s">
        <v>77</v>
      </c>
      <c r="W852" t="s">
        <v>78</v>
      </c>
      <c r="X852" t="s">
        <v>421</v>
      </c>
      <c r="Y852">
        <v>3.20894310419808</v>
      </c>
      <c r="Z852">
        <v>3208.9431041980802</v>
      </c>
      <c r="AA852">
        <v>4.7358055555555598</v>
      </c>
      <c r="AB852">
        <v>-74.125888888888895</v>
      </c>
      <c r="AC852">
        <v>2574</v>
      </c>
      <c r="AD852">
        <v>0</v>
      </c>
      <c r="AE852" t="s">
        <v>154</v>
      </c>
      <c r="AF852" t="s">
        <v>107</v>
      </c>
      <c r="AG852" t="s">
        <v>82</v>
      </c>
      <c r="AH852" t="s">
        <v>83</v>
      </c>
      <c r="AI852" t="s">
        <v>412</v>
      </c>
      <c r="AJ852">
        <v>3.6259895019312598</v>
      </c>
      <c r="AK852">
        <v>1.09721362530503</v>
      </c>
      <c r="AL852">
        <v>3.4450447935577202</v>
      </c>
      <c r="AM852">
        <v>0.30366778632088698</v>
      </c>
      <c r="AN852">
        <v>1.96133469541105</v>
      </c>
      <c r="AO852">
        <v>4.3178991232119497E-2</v>
      </c>
      <c r="AP852">
        <v>4.3178991232119497E-2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4</v>
      </c>
      <c r="AW852">
        <v>0</v>
      </c>
      <c r="AX852">
        <v>0</v>
      </c>
      <c r="AZ852">
        <v>6.8</v>
      </c>
      <c r="BA852">
        <v>19.899999999999999</v>
      </c>
      <c r="BB852">
        <v>564</v>
      </c>
      <c r="BC852">
        <v>68</v>
      </c>
      <c r="BD852">
        <v>1.5</v>
      </c>
      <c r="BE852">
        <v>135</v>
      </c>
      <c r="BF852">
        <v>0.8</v>
      </c>
      <c r="BG852">
        <v>162</v>
      </c>
      <c r="BH852">
        <v>9.1</v>
      </c>
      <c r="BI852">
        <v>9.1999999999999993</v>
      </c>
      <c r="BJ852">
        <v>18.3</v>
      </c>
      <c r="BK852">
        <v>0.34</v>
      </c>
      <c r="BL852">
        <v>7.3</v>
      </c>
      <c r="BM852">
        <v>0.9</v>
      </c>
      <c r="BN852">
        <v>7.5</v>
      </c>
      <c r="BO852">
        <v>2.9</v>
      </c>
      <c r="BP852">
        <f t="shared" si="26"/>
        <v>5.8012878065852238</v>
      </c>
      <c r="BQ852">
        <f t="shared" si="27"/>
        <v>18.424938445020661</v>
      </c>
    </row>
    <row r="853" spans="1:69" hidden="1" x14ac:dyDescent="0.2">
      <c r="A853" t="s">
        <v>2807</v>
      </c>
      <c r="B853" t="s">
        <v>68</v>
      </c>
      <c r="C853" t="s">
        <v>1956</v>
      </c>
      <c r="D853" t="s">
        <v>70</v>
      </c>
      <c r="E853" t="s">
        <v>2808</v>
      </c>
      <c r="F853">
        <v>4</v>
      </c>
      <c r="G853">
        <v>173.18</v>
      </c>
      <c r="H853">
        <v>4</v>
      </c>
      <c r="I853">
        <v>4</v>
      </c>
      <c r="J853">
        <v>2</v>
      </c>
      <c r="K853" t="s">
        <v>110</v>
      </c>
      <c r="L853" t="s">
        <v>162</v>
      </c>
      <c r="M853" s="4">
        <v>1350000000</v>
      </c>
      <c r="N853">
        <v>0</v>
      </c>
      <c r="O853">
        <v>4.6923539999999999</v>
      </c>
      <c r="P853">
        <v>-74.073308999999995</v>
      </c>
      <c r="Q853" t="s">
        <v>2809</v>
      </c>
      <c r="R853">
        <v>7795357.432</v>
      </c>
      <c r="S853">
        <v>0</v>
      </c>
      <c r="T853" t="s">
        <v>75</v>
      </c>
      <c r="U853" t="s">
        <v>76</v>
      </c>
      <c r="V853" t="s">
        <v>77</v>
      </c>
      <c r="W853" t="s">
        <v>78</v>
      </c>
      <c r="X853" t="s">
        <v>79</v>
      </c>
      <c r="Y853">
        <v>3.95330378053277</v>
      </c>
      <c r="Z853">
        <v>3953.3037805327699</v>
      </c>
      <c r="AA853">
        <v>4.6584666666666701</v>
      </c>
      <c r="AB853">
        <v>-74.083966666666697</v>
      </c>
      <c r="AC853">
        <v>2552</v>
      </c>
      <c r="AD853">
        <v>0</v>
      </c>
      <c r="AE853" t="s">
        <v>80</v>
      </c>
      <c r="AF853" t="s">
        <v>81</v>
      </c>
      <c r="AG853" t="s">
        <v>82</v>
      </c>
      <c r="AH853" t="s">
        <v>83</v>
      </c>
      <c r="AI853" t="s">
        <v>121</v>
      </c>
      <c r="AJ853">
        <v>0.68621398701560299</v>
      </c>
      <c r="AK853">
        <v>4.2620907589739199</v>
      </c>
      <c r="AL853">
        <v>0.64955358397028296</v>
      </c>
      <c r="AM853">
        <v>0.18296373252552001</v>
      </c>
      <c r="AN853">
        <v>2.2579368022128801</v>
      </c>
      <c r="AO853">
        <v>0.248437792164064</v>
      </c>
      <c r="AP853">
        <v>0.248437792164064</v>
      </c>
      <c r="AQ853">
        <v>0</v>
      </c>
      <c r="AR853">
        <v>2</v>
      </c>
      <c r="AS853">
        <v>0</v>
      </c>
      <c r="AT853">
        <v>0</v>
      </c>
      <c r="AU853">
        <v>2</v>
      </c>
      <c r="AV853">
        <v>56</v>
      </c>
      <c r="AW853">
        <v>0</v>
      </c>
      <c r="AX853">
        <v>0</v>
      </c>
      <c r="AZ853">
        <v>6.8</v>
      </c>
      <c r="BA853">
        <v>19.899999999999999</v>
      </c>
      <c r="BB853">
        <v>564</v>
      </c>
      <c r="BC853">
        <v>68</v>
      </c>
      <c r="BD853">
        <v>1.5</v>
      </c>
      <c r="BE853">
        <v>135</v>
      </c>
      <c r="BF853">
        <v>0.8</v>
      </c>
      <c r="BG853">
        <v>162</v>
      </c>
      <c r="BH853">
        <v>9.1</v>
      </c>
      <c r="BI853">
        <v>9.1999999999999993</v>
      </c>
      <c r="BJ853">
        <v>18.3</v>
      </c>
      <c r="BK853">
        <v>0.34</v>
      </c>
      <c r="BL853">
        <v>7.3</v>
      </c>
      <c r="BM853">
        <v>0.9</v>
      </c>
      <c r="BN853">
        <v>7.5</v>
      </c>
      <c r="BO853">
        <v>2.9</v>
      </c>
      <c r="BP853">
        <f t="shared" si="26"/>
        <v>5.5914244456998698</v>
      </c>
      <c r="BQ853">
        <f t="shared" si="27"/>
        <v>18.098705945599662</v>
      </c>
    </row>
    <row r="854" spans="1:69" hidden="1" x14ac:dyDescent="0.2">
      <c r="A854" t="s">
        <v>2695</v>
      </c>
      <c r="B854" t="s">
        <v>68</v>
      </c>
      <c r="C854" t="s">
        <v>1956</v>
      </c>
      <c r="D854" t="s">
        <v>70</v>
      </c>
      <c r="E854" t="s">
        <v>2696</v>
      </c>
      <c r="F854">
        <v>3</v>
      </c>
      <c r="G854">
        <v>173</v>
      </c>
      <c r="H854">
        <v>5</v>
      </c>
      <c r="I854">
        <v>5</v>
      </c>
      <c r="J854">
        <v>0</v>
      </c>
      <c r="K854" t="s">
        <v>110</v>
      </c>
      <c r="L854" t="s">
        <v>162</v>
      </c>
      <c r="M854" s="4">
        <v>1790000000</v>
      </c>
      <c r="N854">
        <v>0</v>
      </c>
      <c r="O854">
        <v>4.6902660000000003</v>
      </c>
      <c r="P854">
        <v>-74.093260000000001</v>
      </c>
      <c r="Q854" t="s">
        <v>2697</v>
      </c>
      <c r="R854">
        <v>10346820.810000001</v>
      </c>
      <c r="S854">
        <v>0</v>
      </c>
      <c r="T854" t="s">
        <v>75</v>
      </c>
      <c r="U854" t="s">
        <v>76</v>
      </c>
      <c r="V854" t="s">
        <v>77</v>
      </c>
      <c r="W854" t="s">
        <v>78</v>
      </c>
      <c r="X854" t="s">
        <v>79</v>
      </c>
      <c r="Y854">
        <v>3.6869951097654501</v>
      </c>
      <c r="Z854">
        <v>3686.9951097654498</v>
      </c>
      <c r="AA854">
        <v>4.6584666666666701</v>
      </c>
      <c r="AB854">
        <v>-74.083966666666697</v>
      </c>
      <c r="AC854">
        <v>2552</v>
      </c>
      <c r="AD854">
        <v>0</v>
      </c>
      <c r="AE854" t="s">
        <v>80</v>
      </c>
      <c r="AF854" t="s">
        <v>81</v>
      </c>
      <c r="AG854" t="s">
        <v>82</v>
      </c>
      <c r="AH854" t="s">
        <v>83</v>
      </c>
      <c r="AI854" t="s">
        <v>412</v>
      </c>
      <c r="AJ854">
        <v>0.74577445497237904</v>
      </c>
      <c r="AK854">
        <v>5.2958398895508596</v>
      </c>
      <c r="AL854">
        <v>1.28090438867864</v>
      </c>
      <c r="AM854">
        <v>6.8470603066178304E-2</v>
      </c>
      <c r="AN854">
        <v>1.0444340242065699</v>
      </c>
      <c r="AO854">
        <v>8.9249709498097504E-2</v>
      </c>
      <c r="AP854">
        <v>8.9249709498097504E-2</v>
      </c>
      <c r="AQ854">
        <v>0</v>
      </c>
      <c r="AR854">
        <v>3</v>
      </c>
      <c r="AS854">
        <v>0</v>
      </c>
      <c r="AT854">
        <v>0</v>
      </c>
      <c r="AU854">
        <v>0</v>
      </c>
      <c r="AV854">
        <v>37</v>
      </c>
      <c r="AW854">
        <v>0</v>
      </c>
      <c r="AX854">
        <v>0</v>
      </c>
      <c r="AZ854">
        <v>6.8</v>
      </c>
      <c r="BA854">
        <v>19.899999999999999</v>
      </c>
      <c r="BB854">
        <v>564</v>
      </c>
      <c r="BC854">
        <v>68</v>
      </c>
      <c r="BD854">
        <v>1.5</v>
      </c>
      <c r="BE854">
        <v>135</v>
      </c>
      <c r="BF854">
        <v>0.8</v>
      </c>
      <c r="BG854">
        <v>162</v>
      </c>
      <c r="BH854">
        <v>9.1</v>
      </c>
      <c r="BI854">
        <v>9.1999999999999993</v>
      </c>
      <c r="BJ854">
        <v>18.3</v>
      </c>
      <c r="BK854">
        <v>0.34</v>
      </c>
      <c r="BL854">
        <v>7.3</v>
      </c>
      <c r="BM854">
        <v>0.9</v>
      </c>
      <c r="BN854">
        <v>7.5</v>
      </c>
      <c r="BO854">
        <v>2.9</v>
      </c>
      <c r="BP854">
        <f t="shared" si="26"/>
        <v>5.665620123528365</v>
      </c>
      <c r="BQ854">
        <f t="shared" si="27"/>
        <v>18.214752617126422</v>
      </c>
    </row>
    <row r="855" spans="1:69" hidden="1" x14ac:dyDescent="0.2">
      <c r="A855" t="s">
        <v>2504</v>
      </c>
      <c r="B855" t="s">
        <v>68</v>
      </c>
      <c r="C855" t="s">
        <v>1956</v>
      </c>
      <c r="D855" t="s">
        <v>70</v>
      </c>
      <c r="E855" t="s">
        <v>2505</v>
      </c>
      <c r="F855">
        <v>3</v>
      </c>
      <c r="G855">
        <v>170</v>
      </c>
      <c r="H855">
        <v>5</v>
      </c>
      <c r="I855">
        <v>4</v>
      </c>
      <c r="J855">
        <v>0</v>
      </c>
      <c r="K855" t="s">
        <v>110</v>
      </c>
      <c r="L855" t="s">
        <v>162</v>
      </c>
      <c r="M855" s="4">
        <v>500000000</v>
      </c>
      <c r="N855">
        <v>0</v>
      </c>
      <c r="O855">
        <v>4.7041659359999999</v>
      </c>
      <c r="P855">
        <v>-74.100746150000006</v>
      </c>
      <c r="Q855" t="s">
        <v>2506</v>
      </c>
      <c r="R855">
        <v>2941176.4709999999</v>
      </c>
      <c r="S855">
        <v>0</v>
      </c>
      <c r="T855" t="s">
        <v>419</v>
      </c>
      <c r="U855" t="s">
        <v>420</v>
      </c>
      <c r="V855" t="s">
        <v>77</v>
      </c>
      <c r="W855" t="s">
        <v>78</v>
      </c>
      <c r="X855" t="s">
        <v>421</v>
      </c>
      <c r="Y855">
        <v>4.4928724171688801</v>
      </c>
      <c r="Z855">
        <v>4492.87241716888</v>
      </c>
      <c r="AA855">
        <v>4.7358055555555598</v>
      </c>
      <c r="AB855">
        <v>-74.125888888888895</v>
      </c>
      <c r="AC855">
        <v>2574</v>
      </c>
      <c r="AD855">
        <v>0</v>
      </c>
      <c r="AE855" t="s">
        <v>154</v>
      </c>
      <c r="AF855" t="s">
        <v>107</v>
      </c>
      <c r="AG855" t="s">
        <v>82</v>
      </c>
      <c r="AH855" t="s">
        <v>83</v>
      </c>
      <c r="AI855" t="s">
        <v>412</v>
      </c>
      <c r="AJ855">
        <v>0.19276803485212499</v>
      </c>
      <c r="AK855">
        <v>3.6376140917317401</v>
      </c>
      <c r="AL855">
        <v>1.2431769878372101</v>
      </c>
      <c r="AM855">
        <v>0.120277837854423</v>
      </c>
      <c r="AN855">
        <v>1.5788815033543599</v>
      </c>
      <c r="AO855">
        <v>0.234512682101816</v>
      </c>
      <c r="AP855">
        <v>0.234512682101816</v>
      </c>
      <c r="AQ855">
        <v>2</v>
      </c>
      <c r="AR855">
        <v>4</v>
      </c>
      <c r="AS855">
        <v>0</v>
      </c>
      <c r="AT855">
        <v>0</v>
      </c>
      <c r="AU855">
        <v>0</v>
      </c>
      <c r="AV855">
        <v>29</v>
      </c>
      <c r="AW855">
        <v>0</v>
      </c>
      <c r="AX855">
        <v>0</v>
      </c>
      <c r="AZ855">
        <v>6.8</v>
      </c>
      <c r="BA855">
        <v>19.899999999999999</v>
      </c>
      <c r="BB855">
        <v>564</v>
      </c>
      <c r="BC855">
        <v>68</v>
      </c>
      <c r="BD855">
        <v>1.5</v>
      </c>
      <c r="BE855">
        <v>135</v>
      </c>
      <c r="BF855">
        <v>0.8</v>
      </c>
      <c r="BG855">
        <v>162</v>
      </c>
      <c r="BH855">
        <v>9.1</v>
      </c>
      <c r="BI855">
        <v>9.1999999999999993</v>
      </c>
      <c r="BJ855">
        <v>18.3</v>
      </c>
      <c r="BK855">
        <v>0.34</v>
      </c>
      <c r="BL855">
        <v>7.3</v>
      </c>
      <c r="BM855">
        <v>0.9</v>
      </c>
      <c r="BN855">
        <v>7.5</v>
      </c>
      <c r="BO855">
        <v>2.9</v>
      </c>
      <c r="BP855">
        <f t="shared" si="26"/>
        <v>5.4440617502430007</v>
      </c>
      <c r="BQ855">
        <f t="shared" si="27"/>
        <v>17.865845074558361</v>
      </c>
    </row>
    <row r="856" spans="1:69" hidden="1" x14ac:dyDescent="0.2">
      <c r="A856" t="s">
        <v>3291</v>
      </c>
      <c r="B856" t="s">
        <v>68</v>
      </c>
      <c r="C856" t="s">
        <v>1956</v>
      </c>
      <c r="D856" t="s">
        <v>70</v>
      </c>
      <c r="E856" t="s">
        <v>138</v>
      </c>
      <c r="F856">
        <v>3</v>
      </c>
      <c r="G856">
        <v>168</v>
      </c>
      <c r="H856">
        <v>5</v>
      </c>
      <c r="I856">
        <v>4</v>
      </c>
      <c r="J856">
        <v>0</v>
      </c>
      <c r="K856" t="s">
        <v>110</v>
      </c>
      <c r="L856" t="s">
        <v>162</v>
      </c>
      <c r="M856" s="4">
        <v>650000000</v>
      </c>
      <c r="N856">
        <v>0</v>
      </c>
      <c r="O856">
        <v>4.6137709999999998</v>
      </c>
      <c r="P856">
        <v>-74.079260000000005</v>
      </c>
      <c r="Q856" t="s">
        <v>3292</v>
      </c>
      <c r="R856">
        <v>3869047.6189999999</v>
      </c>
      <c r="S856">
        <v>0</v>
      </c>
      <c r="T856" t="s">
        <v>126</v>
      </c>
      <c r="U856" t="s">
        <v>127</v>
      </c>
      <c r="V856" t="s">
        <v>77</v>
      </c>
      <c r="W856" t="s">
        <v>128</v>
      </c>
      <c r="X856" t="s">
        <v>129</v>
      </c>
      <c r="Y856">
        <v>1.8860376132418299</v>
      </c>
      <c r="Z856">
        <v>1886.0376132418301</v>
      </c>
      <c r="AA856">
        <v>4.6254861111111101</v>
      </c>
      <c r="AB856">
        <v>-74.066980555555503</v>
      </c>
      <c r="AC856">
        <v>2621</v>
      </c>
      <c r="AD856">
        <v>15</v>
      </c>
      <c r="AE856" t="s">
        <v>80</v>
      </c>
      <c r="AF856" t="s">
        <v>81</v>
      </c>
      <c r="AG856" t="s">
        <v>82</v>
      </c>
      <c r="AH856" t="s">
        <v>83</v>
      </c>
      <c r="AI856" t="s">
        <v>308</v>
      </c>
      <c r="AJ856">
        <v>0.58256825679774105</v>
      </c>
      <c r="AK856">
        <v>1.69270217711607</v>
      </c>
      <c r="AL856">
        <v>0.59338962712193799</v>
      </c>
      <c r="AM856">
        <v>0.362178061942448</v>
      </c>
      <c r="AN856">
        <v>1.1684444372976299</v>
      </c>
      <c r="AO856">
        <v>1.1408023864173901E-2</v>
      </c>
      <c r="AP856">
        <v>1.1408023864173901E-2</v>
      </c>
      <c r="AQ856">
        <v>0</v>
      </c>
      <c r="AR856">
        <v>7</v>
      </c>
      <c r="AS856">
        <v>0</v>
      </c>
      <c r="AT856">
        <v>0</v>
      </c>
      <c r="AU856">
        <v>3</v>
      </c>
      <c r="AV856">
        <v>33</v>
      </c>
      <c r="AW856">
        <v>0</v>
      </c>
      <c r="AX856">
        <v>1</v>
      </c>
      <c r="AZ856">
        <v>6.8</v>
      </c>
      <c r="BA856">
        <v>19.899999999999999</v>
      </c>
      <c r="BB856">
        <v>564</v>
      </c>
      <c r="BC856">
        <v>68</v>
      </c>
      <c r="BD856">
        <v>1.5</v>
      </c>
      <c r="BE856">
        <v>135</v>
      </c>
      <c r="BF856">
        <v>0.8</v>
      </c>
      <c r="BG856">
        <v>162</v>
      </c>
      <c r="BH856">
        <v>9.1</v>
      </c>
      <c r="BI856">
        <v>9.1999999999999993</v>
      </c>
      <c r="BJ856">
        <v>18.3</v>
      </c>
      <c r="BK856">
        <v>0.34</v>
      </c>
      <c r="BL856">
        <v>7.3</v>
      </c>
      <c r="BM856">
        <v>0.9</v>
      </c>
      <c r="BN856">
        <v>7.5</v>
      </c>
      <c r="BO856">
        <v>2.9</v>
      </c>
      <c r="BP856">
        <f t="shared" si="26"/>
        <v>6.1938926513261832</v>
      </c>
      <c r="BQ856">
        <f t="shared" si="27"/>
        <v>19.019310953931971</v>
      </c>
    </row>
    <row r="857" spans="1:69" hidden="1" x14ac:dyDescent="0.2">
      <c r="A857" t="s">
        <v>870</v>
      </c>
      <c r="B857" t="s">
        <v>68</v>
      </c>
      <c r="C857" t="s">
        <v>69</v>
      </c>
      <c r="D857" t="s">
        <v>70</v>
      </c>
      <c r="E857" t="s">
        <v>871</v>
      </c>
      <c r="F857">
        <v>5</v>
      </c>
      <c r="G857">
        <v>167</v>
      </c>
      <c r="H857">
        <v>3</v>
      </c>
      <c r="I857">
        <v>3</v>
      </c>
      <c r="J857">
        <v>2</v>
      </c>
      <c r="K857" t="s">
        <v>110</v>
      </c>
      <c r="L857" t="s">
        <v>111</v>
      </c>
      <c r="M857" s="4">
        <v>1450000000</v>
      </c>
      <c r="N857">
        <v>0</v>
      </c>
      <c r="O857">
        <v>4.6437371699999996</v>
      </c>
      <c r="P857">
        <v>-74.055443339999997</v>
      </c>
      <c r="Q857" t="s">
        <v>872</v>
      </c>
      <c r="R857">
        <v>8682634.7310000006</v>
      </c>
      <c r="S857">
        <v>0</v>
      </c>
      <c r="T857" t="s">
        <v>126</v>
      </c>
      <c r="U857" t="s">
        <v>127</v>
      </c>
      <c r="V857" t="s">
        <v>77</v>
      </c>
      <c r="W857" t="s">
        <v>128</v>
      </c>
      <c r="X857" t="s">
        <v>129</v>
      </c>
      <c r="Y857">
        <v>2.4013538042646498</v>
      </c>
      <c r="Z857">
        <v>2401.3538042646501</v>
      </c>
      <c r="AA857">
        <v>4.6254861111111101</v>
      </c>
      <c r="AB857">
        <v>-74.066980555555503</v>
      </c>
      <c r="AC857">
        <v>2621</v>
      </c>
      <c r="AD857">
        <v>15</v>
      </c>
      <c r="AE857" t="s">
        <v>80</v>
      </c>
      <c r="AF857" t="s">
        <v>81</v>
      </c>
      <c r="AG857" t="s">
        <v>82</v>
      </c>
      <c r="AH857" t="s">
        <v>83</v>
      </c>
      <c r="AI857" t="s">
        <v>130</v>
      </c>
      <c r="AJ857">
        <v>1.15457344087577</v>
      </c>
      <c r="AK857">
        <v>0.22048350913641401</v>
      </c>
      <c r="AL857">
        <v>0.52373873030157203</v>
      </c>
      <c r="AM857">
        <v>0.15956150835054</v>
      </c>
      <c r="AN857">
        <v>0.402376357581745</v>
      </c>
      <c r="AO857">
        <v>0.29999660504940101</v>
      </c>
      <c r="AP857">
        <v>0.29999660504940101</v>
      </c>
      <c r="AQ857">
        <v>0</v>
      </c>
      <c r="AR857">
        <v>0</v>
      </c>
      <c r="AS857">
        <v>18</v>
      </c>
      <c r="AT857">
        <v>58</v>
      </c>
      <c r="AU857">
        <v>5</v>
      </c>
      <c r="AV857">
        <v>29</v>
      </c>
      <c r="AW857">
        <v>1</v>
      </c>
      <c r="AX857">
        <v>0</v>
      </c>
      <c r="AZ857">
        <v>6.8</v>
      </c>
      <c r="BA857">
        <v>19.899999999999999</v>
      </c>
      <c r="BB857">
        <v>564</v>
      </c>
      <c r="BC857">
        <v>68</v>
      </c>
      <c r="BD857">
        <v>1.5</v>
      </c>
      <c r="BE857">
        <v>135</v>
      </c>
      <c r="BF857">
        <v>0.8</v>
      </c>
      <c r="BG857">
        <v>162</v>
      </c>
      <c r="BH857">
        <v>9.1</v>
      </c>
      <c r="BI857">
        <v>9.1999999999999993</v>
      </c>
      <c r="BJ857">
        <v>18.3</v>
      </c>
      <c r="BK857">
        <v>0.34</v>
      </c>
      <c r="BL857">
        <v>7.3</v>
      </c>
      <c r="BM857">
        <v>0.9</v>
      </c>
      <c r="BN857">
        <v>7.5</v>
      </c>
      <c r="BO857">
        <v>2.9</v>
      </c>
      <c r="BP857">
        <f t="shared" si="26"/>
        <v>6.0378959515826676</v>
      </c>
      <c r="BQ857">
        <f t="shared" si="27"/>
        <v>18.785536533601668</v>
      </c>
    </row>
    <row r="858" spans="1:69" hidden="1" x14ac:dyDescent="0.2">
      <c r="A858" t="s">
        <v>534</v>
      </c>
      <c r="B858" t="s">
        <v>68</v>
      </c>
      <c r="C858" t="s">
        <v>69</v>
      </c>
      <c r="D858" t="s">
        <v>70</v>
      </c>
      <c r="E858" t="s">
        <v>535</v>
      </c>
      <c r="F858">
        <v>3</v>
      </c>
      <c r="G858">
        <v>167</v>
      </c>
      <c r="H858">
        <v>3</v>
      </c>
      <c r="I858">
        <v>3</v>
      </c>
      <c r="J858">
        <v>2</v>
      </c>
      <c r="K858" t="s">
        <v>110</v>
      </c>
      <c r="L858" t="s">
        <v>162</v>
      </c>
      <c r="M858" s="4">
        <v>975000000</v>
      </c>
      <c r="N858">
        <v>0</v>
      </c>
      <c r="O858">
        <v>4.6002819800000001</v>
      </c>
      <c r="P858">
        <v>-74.067775870000006</v>
      </c>
      <c r="Q858" t="s">
        <v>536</v>
      </c>
      <c r="R858">
        <v>5838323.3530000001</v>
      </c>
      <c r="S858">
        <v>0</v>
      </c>
      <c r="T858" t="s">
        <v>126</v>
      </c>
      <c r="U858" t="s">
        <v>127</v>
      </c>
      <c r="V858" t="s">
        <v>77</v>
      </c>
      <c r="W858" t="s">
        <v>128</v>
      </c>
      <c r="X858" t="s">
        <v>129</v>
      </c>
      <c r="Y858">
        <v>2.80709850531131</v>
      </c>
      <c r="Z858">
        <v>2807.09850531131</v>
      </c>
      <c r="AA858">
        <v>4.6254861111111101</v>
      </c>
      <c r="AB858">
        <v>-74.066980555555503</v>
      </c>
      <c r="AC858">
        <v>2621</v>
      </c>
      <c r="AD858">
        <v>15</v>
      </c>
      <c r="AE858" t="s">
        <v>80</v>
      </c>
      <c r="AF858" t="s">
        <v>81</v>
      </c>
      <c r="AG858" t="s">
        <v>82</v>
      </c>
      <c r="AH858" t="s">
        <v>83</v>
      </c>
      <c r="AI858" t="s">
        <v>537</v>
      </c>
      <c r="AJ858">
        <v>0.26323753680371798</v>
      </c>
      <c r="AK858">
        <v>0.40034510329892498</v>
      </c>
      <c r="AL858">
        <v>0.20479265949544201</v>
      </c>
      <c r="AM858">
        <v>0.172510387047351</v>
      </c>
      <c r="AN858">
        <v>1.5765406272932501</v>
      </c>
      <c r="AO858">
        <v>0.24203447158785499</v>
      </c>
      <c r="AP858">
        <v>0.24203447158785499</v>
      </c>
      <c r="AQ858">
        <v>2</v>
      </c>
      <c r="AR858">
        <v>4</v>
      </c>
      <c r="AS858">
        <v>6</v>
      </c>
      <c r="AT858">
        <v>68</v>
      </c>
      <c r="AU858">
        <v>13</v>
      </c>
      <c r="AV858">
        <v>39</v>
      </c>
      <c r="AW858">
        <v>0</v>
      </c>
      <c r="AX858">
        <v>7</v>
      </c>
      <c r="AZ858">
        <v>6.8</v>
      </c>
      <c r="BA858">
        <v>19.899999999999999</v>
      </c>
      <c r="BB858">
        <v>564</v>
      </c>
      <c r="BC858">
        <v>68</v>
      </c>
      <c r="BD858">
        <v>1.5</v>
      </c>
      <c r="BE858">
        <v>135</v>
      </c>
      <c r="BF858">
        <v>0.8</v>
      </c>
      <c r="BG858">
        <v>162</v>
      </c>
      <c r="BH858">
        <v>9.1</v>
      </c>
      <c r="BI858">
        <v>9.1999999999999993</v>
      </c>
      <c r="BJ858">
        <v>18.3</v>
      </c>
      <c r="BK858">
        <v>0.34</v>
      </c>
      <c r="BL858">
        <v>7.3</v>
      </c>
      <c r="BM858">
        <v>0.9</v>
      </c>
      <c r="BN858">
        <v>7.5</v>
      </c>
      <c r="BO858">
        <v>2.9</v>
      </c>
      <c r="BP858">
        <f t="shared" si="26"/>
        <v>5.9178383354152979</v>
      </c>
      <c r="BQ858">
        <f t="shared" si="27"/>
        <v>18.603493164013972</v>
      </c>
    </row>
    <row r="859" spans="1:69" hidden="1" x14ac:dyDescent="0.2">
      <c r="A859" t="s">
        <v>1290</v>
      </c>
      <c r="B859" t="s">
        <v>68</v>
      </c>
      <c r="C859" t="s">
        <v>69</v>
      </c>
      <c r="D859" t="s">
        <v>70</v>
      </c>
      <c r="E859" t="s">
        <v>1291</v>
      </c>
      <c r="F859">
        <v>5</v>
      </c>
      <c r="G859">
        <v>166.85</v>
      </c>
      <c r="H859">
        <v>3</v>
      </c>
      <c r="I859">
        <v>3</v>
      </c>
      <c r="J859">
        <v>2</v>
      </c>
      <c r="K859" t="s">
        <v>110</v>
      </c>
      <c r="L859" t="s">
        <v>124</v>
      </c>
      <c r="M859" s="4">
        <v>1550000000</v>
      </c>
      <c r="N859">
        <v>0</v>
      </c>
      <c r="O859">
        <v>4.6431801999999998</v>
      </c>
      <c r="P859">
        <v>-74.054895500000001</v>
      </c>
      <c r="Q859" t="s">
        <v>1292</v>
      </c>
      <c r="R859">
        <v>9289781.2410000004</v>
      </c>
      <c r="S859">
        <v>0</v>
      </c>
      <c r="T859" t="s">
        <v>126</v>
      </c>
      <c r="U859" t="s">
        <v>127</v>
      </c>
      <c r="V859" t="s">
        <v>77</v>
      </c>
      <c r="W859" t="s">
        <v>128</v>
      </c>
      <c r="X859" t="s">
        <v>129</v>
      </c>
      <c r="Y859">
        <v>2.3827986780041699</v>
      </c>
      <c r="Z859">
        <v>2382.7986780041701</v>
      </c>
      <c r="AA859">
        <v>4.6254861111111101</v>
      </c>
      <c r="AB859">
        <v>-74.066980555555503</v>
      </c>
      <c r="AC859">
        <v>2621</v>
      </c>
      <c r="AD859">
        <v>15</v>
      </c>
      <c r="AE859" t="s">
        <v>80</v>
      </c>
      <c r="AF859" t="s">
        <v>81</v>
      </c>
      <c r="AG859" t="s">
        <v>82</v>
      </c>
      <c r="AH859" t="s">
        <v>83</v>
      </c>
      <c r="AI859" t="s">
        <v>130</v>
      </c>
      <c r="AJ859">
        <v>1.21249749632268</v>
      </c>
      <c r="AK859">
        <v>0.15325436824528901</v>
      </c>
      <c r="AL859">
        <v>0.59793891570019497</v>
      </c>
      <c r="AM859">
        <v>0.13169353696438199</v>
      </c>
      <c r="AN859">
        <v>0.42448345820176298</v>
      </c>
      <c r="AO859">
        <v>0.38525137292240302</v>
      </c>
      <c r="AP859">
        <v>0.38525137292240302</v>
      </c>
      <c r="AQ859">
        <v>0</v>
      </c>
      <c r="AR859">
        <v>0</v>
      </c>
      <c r="AS859">
        <v>22</v>
      </c>
      <c r="AT859">
        <v>58</v>
      </c>
      <c r="AU859">
        <v>4</v>
      </c>
      <c r="AV859">
        <v>21</v>
      </c>
      <c r="AW859">
        <v>1</v>
      </c>
      <c r="AX859">
        <v>0</v>
      </c>
      <c r="AZ859">
        <v>6.8</v>
      </c>
      <c r="BA859">
        <v>19.899999999999999</v>
      </c>
      <c r="BB859">
        <v>564</v>
      </c>
      <c r="BC859">
        <v>68</v>
      </c>
      <c r="BD859">
        <v>1.5</v>
      </c>
      <c r="BE859">
        <v>135</v>
      </c>
      <c r="BF859">
        <v>0.8</v>
      </c>
      <c r="BG859">
        <v>162</v>
      </c>
      <c r="BH859">
        <v>9.1</v>
      </c>
      <c r="BI859">
        <v>9.1999999999999993</v>
      </c>
      <c r="BJ859">
        <v>18.3</v>
      </c>
      <c r="BK859">
        <v>0.34</v>
      </c>
      <c r="BL859">
        <v>7.3</v>
      </c>
      <c r="BM859">
        <v>0.9</v>
      </c>
      <c r="BN859">
        <v>7.5</v>
      </c>
      <c r="BO859">
        <v>2.9</v>
      </c>
      <c r="BP859">
        <f t="shared" si="26"/>
        <v>6.0434441782823853</v>
      </c>
      <c r="BQ859">
        <f t="shared" si="27"/>
        <v>18.793904028636554</v>
      </c>
    </row>
    <row r="860" spans="1:69" hidden="1" x14ac:dyDescent="0.2">
      <c r="A860" t="s">
        <v>2326</v>
      </c>
      <c r="B860" t="s">
        <v>68</v>
      </c>
      <c r="C860" t="s">
        <v>1956</v>
      </c>
      <c r="D860" t="s">
        <v>70</v>
      </c>
      <c r="E860" t="s">
        <v>138</v>
      </c>
      <c r="F860">
        <v>3</v>
      </c>
      <c r="G860">
        <v>165</v>
      </c>
      <c r="H860">
        <v>5</v>
      </c>
      <c r="I860">
        <v>5</v>
      </c>
      <c r="J860">
        <v>0</v>
      </c>
      <c r="K860" t="s">
        <v>110</v>
      </c>
      <c r="L860" t="s">
        <v>162</v>
      </c>
      <c r="M860" s="4">
        <v>650000000</v>
      </c>
      <c r="N860">
        <v>0</v>
      </c>
      <c r="O860">
        <v>4.6157164999999996</v>
      </c>
      <c r="P860">
        <v>-74.079530000000005</v>
      </c>
      <c r="Q860" t="s">
        <v>2327</v>
      </c>
      <c r="R860">
        <v>3939393.9389999998</v>
      </c>
      <c r="S860">
        <v>0</v>
      </c>
      <c r="T860" t="s">
        <v>126</v>
      </c>
      <c r="U860" t="s">
        <v>127</v>
      </c>
      <c r="V860" t="s">
        <v>77</v>
      </c>
      <c r="W860" t="s">
        <v>128</v>
      </c>
      <c r="X860" t="s">
        <v>129</v>
      </c>
      <c r="Y860">
        <v>1.7668329871269099</v>
      </c>
      <c r="Z860">
        <v>1766.83298712691</v>
      </c>
      <c r="AA860">
        <v>4.6254861111111101</v>
      </c>
      <c r="AB860">
        <v>-74.066980555555503</v>
      </c>
      <c r="AC860">
        <v>2621</v>
      </c>
      <c r="AD860">
        <v>15</v>
      </c>
      <c r="AE860" t="s">
        <v>80</v>
      </c>
      <c r="AF860" t="s">
        <v>81</v>
      </c>
      <c r="AG860" t="s">
        <v>82</v>
      </c>
      <c r="AH860" t="s">
        <v>83</v>
      </c>
      <c r="AI860" t="s">
        <v>308</v>
      </c>
      <c r="AJ860">
        <v>0.634068957331829</v>
      </c>
      <c r="AK860">
        <v>1.73260071082098</v>
      </c>
      <c r="AL860">
        <v>0.62261858178055796</v>
      </c>
      <c r="AM860">
        <v>0.21905586304070901</v>
      </c>
      <c r="AN860">
        <v>1.2571129799971701</v>
      </c>
      <c r="AO860">
        <v>0.136361270052791</v>
      </c>
      <c r="AP860">
        <v>0.136361270052791</v>
      </c>
      <c r="AQ860">
        <v>0</v>
      </c>
      <c r="AR860">
        <v>5</v>
      </c>
      <c r="AS860">
        <v>0</v>
      </c>
      <c r="AT860">
        <v>0</v>
      </c>
      <c r="AU860">
        <v>3</v>
      </c>
      <c r="AV860">
        <v>34</v>
      </c>
      <c r="AW860">
        <v>0</v>
      </c>
      <c r="AX860">
        <v>1</v>
      </c>
      <c r="AZ860">
        <v>6.8</v>
      </c>
      <c r="BA860">
        <v>19.899999999999999</v>
      </c>
      <c r="BB860">
        <v>564</v>
      </c>
      <c r="BC860">
        <v>68</v>
      </c>
      <c r="BD860">
        <v>1.5</v>
      </c>
      <c r="BE860">
        <v>135</v>
      </c>
      <c r="BF860">
        <v>0.8</v>
      </c>
      <c r="BG860">
        <v>162</v>
      </c>
      <c r="BH860">
        <v>9.1</v>
      </c>
      <c r="BI860">
        <v>9.1999999999999993</v>
      </c>
      <c r="BJ860">
        <v>18.3</v>
      </c>
      <c r="BK860">
        <v>0.34</v>
      </c>
      <c r="BL860">
        <v>7.3</v>
      </c>
      <c r="BM860">
        <v>0.9</v>
      </c>
      <c r="BN860">
        <v>7.5</v>
      </c>
      <c r="BO860">
        <v>2.9</v>
      </c>
      <c r="BP860">
        <f t="shared" si="26"/>
        <v>6.2305485539678642</v>
      </c>
      <c r="BQ860">
        <f t="shared" si="27"/>
        <v>19.073801419381965</v>
      </c>
    </row>
    <row r="861" spans="1:69" hidden="1" x14ac:dyDescent="0.2">
      <c r="A861" t="s">
        <v>1259</v>
      </c>
      <c r="B861" t="s">
        <v>68</v>
      </c>
      <c r="C861" t="s">
        <v>69</v>
      </c>
      <c r="D861" t="s">
        <v>70</v>
      </c>
      <c r="E861" t="s">
        <v>86</v>
      </c>
      <c r="F861">
        <v>5</v>
      </c>
      <c r="G861">
        <v>160.93</v>
      </c>
      <c r="H861">
        <v>3</v>
      </c>
      <c r="I861">
        <v>3</v>
      </c>
      <c r="J861">
        <v>2</v>
      </c>
      <c r="K861" t="s">
        <v>110</v>
      </c>
      <c r="L861" t="s">
        <v>124</v>
      </c>
      <c r="M861" s="4">
        <v>1400000000</v>
      </c>
      <c r="N861">
        <v>0</v>
      </c>
      <c r="O861">
        <v>4.654865</v>
      </c>
      <c r="P861">
        <v>-74.106080000000006</v>
      </c>
      <c r="Q861" t="s">
        <v>1260</v>
      </c>
      <c r="R861">
        <v>8699434.5370000005</v>
      </c>
      <c r="S861">
        <v>0</v>
      </c>
      <c r="T861" t="s">
        <v>75</v>
      </c>
      <c r="U861" t="s">
        <v>76</v>
      </c>
      <c r="V861" t="s">
        <v>77</v>
      </c>
      <c r="W861" t="s">
        <v>78</v>
      </c>
      <c r="X861" t="s">
        <v>79</v>
      </c>
      <c r="Y861">
        <v>2.4860624243703899</v>
      </c>
      <c r="Z861">
        <v>2486.0624243703901</v>
      </c>
      <c r="AA861">
        <v>4.6584666666666701</v>
      </c>
      <c r="AB861">
        <v>-74.083966666666697</v>
      </c>
      <c r="AC861">
        <v>2552</v>
      </c>
      <c r="AD861">
        <v>0</v>
      </c>
      <c r="AE861" t="s">
        <v>80</v>
      </c>
      <c r="AF861" t="s">
        <v>81</v>
      </c>
      <c r="AG861" t="s">
        <v>82</v>
      </c>
      <c r="AH861" t="s">
        <v>83</v>
      </c>
      <c r="AI861" t="s">
        <v>92</v>
      </c>
      <c r="AJ861">
        <v>0.24805502086537001</v>
      </c>
      <c r="AK861">
        <v>5.5974197008917903</v>
      </c>
      <c r="AL861">
        <v>0.33784835768424498</v>
      </c>
      <c r="AM861">
        <v>0.164716292250698</v>
      </c>
      <c r="AN861">
        <v>1.0249029159713301</v>
      </c>
      <c r="AO861">
        <v>0.37361554688146298</v>
      </c>
      <c r="AP861">
        <v>0.37361554688146298</v>
      </c>
      <c r="AQ861">
        <v>1</v>
      </c>
      <c r="AR861">
        <v>3</v>
      </c>
      <c r="AS861">
        <v>0</v>
      </c>
      <c r="AT861">
        <v>0</v>
      </c>
      <c r="AU861">
        <v>1</v>
      </c>
      <c r="AV861">
        <v>66</v>
      </c>
      <c r="AW861">
        <v>0</v>
      </c>
      <c r="AX861">
        <v>0</v>
      </c>
      <c r="AZ861">
        <v>6.8</v>
      </c>
      <c r="BA861">
        <v>19.899999999999999</v>
      </c>
      <c r="BB861">
        <v>564</v>
      </c>
      <c r="BC861">
        <v>68</v>
      </c>
      <c r="BD861">
        <v>1.5</v>
      </c>
      <c r="BE861">
        <v>135</v>
      </c>
      <c r="BF861">
        <v>0.8</v>
      </c>
      <c r="BG861">
        <v>162</v>
      </c>
      <c r="BH861">
        <v>9.1</v>
      </c>
      <c r="BI861">
        <v>9.1999999999999993</v>
      </c>
      <c r="BJ861">
        <v>18.3</v>
      </c>
      <c r="BK861">
        <v>0.34</v>
      </c>
      <c r="BL861">
        <v>7.3</v>
      </c>
      <c r="BM861">
        <v>0.9</v>
      </c>
      <c r="BN861">
        <v>7.5</v>
      </c>
      <c r="BO861">
        <v>2.9</v>
      </c>
      <c r="BP861">
        <f t="shared" si="26"/>
        <v>6.0126315954874743</v>
      </c>
      <c r="BQ861">
        <f t="shared" si="27"/>
        <v>18.747384203652047</v>
      </c>
    </row>
    <row r="862" spans="1:69" hidden="1" x14ac:dyDescent="0.2">
      <c r="A862" t="s">
        <v>1836</v>
      </c>
      <c r="B862" t="s">
        <v>68</v>
      </c>
      <c r="C862" t="s">
        <v>69</v>
      </c>
      <c r="D862" t="s">
        <v>70</v>
      </c>
      <c r="E862" t="s">
        <v>404</v>
      </c>
      <c r="F862">
        <v>6</v>
      </c>
      <c r="G862">
        <v>160</v>
      </c>
      <c r="H862">
        <v>3</v>
      </c>
      <c r="I862">
        <v>2</v>
      </c>
      <c r="J862">
        <v>2</v>
      </c>
      <c r="K862" t="s">
        <v>110</v>
      </c>
      <c r="L862" t="s">
        <v>124</v>
      </c>
      <c r="M862" s="4">
        <v>1750000000</v>
      </c>
      <c r="N862">
        <v>0</v>
      </c>
      <c r="O862">
        <v>4.6731403780000003</v>
      </c>
      <c r="P862">
        <v>-74.056423010000003</v>
      </c>
      <c r="Q862" t="s">
        <v>1837</v>
      </c>
      <c r="R862">
        <v>10937500</v>
      </c>
      <c r="S862">
        <v>0</v>
      </c>
      <c r="T862" t="s">
        <v>75</v>
      </c>
      <c r="U862" t="s">
        <v>76</v>
      </c>
      <c r="V862" t="s">
        <v>77</v>
      </c>
      <c r="W862" t="s">
        <v>78</v>
      </c>
      <c r="X862" t="s">
        <v>79</v>
      </c>
      <c r="Y862">
        <v>3.4651505883307698</v>
      </c>
      <c r="Z862">
        <v>3465.15058833077</v>
      </c>
      <c r="AA862">
        <v>4.6584666666666701</v>
      </c>
      <c r="AB862">
        <v>-74.083966666666697</v>
      </c>
      <c r="AC862">
        <v>2552</v>
      </c>
      <c r="AD862">
        <v>0</v>
      </c>
      <c r="AE862" t="s">
        <v>80</v>
      </c>
      <c r="AF862" t="s">
        <v>81</v>
      </c>
      <c r="AG862" t="s">
        <v>82</v>
      </c>
      <c r="AH862" t="s">
        <v>83</v>
      </c>
      <c r="AI862" t="s">
        <v>130</v>
      </c>
      <c r="AJ862">
        <v>0.36863494006070902</v>
      </c>
      <c r="AK862">
        <v>1.55797306389862</v>
      </c>
      <c r="AL862">
        <v>0.62607009278039605</v>
      </c>
      <c r="AM862">
        <v>0.112550888508444</v>
      </c>
      <c r="AN862">
        <v>2.82168808495816</v>
      </c>
      <c r="AO862">
        <v>0.83732717917230304</v>
      </c>
      <c r="AP862">
        <v>0.83732717917230304</v>
      </c>
      <c r="AQ862">
        <v>2</v>
      </c>
      <c r="AR862">
        <v>5</v>
      </c>
      <c r="AS862">
        <v>0</v>
      </c>
      <c r="AT862">
        <v>0</v>
      </c>
      <c r="AU862">
        <v>6</v>
      </c>
      <c r="AV862">
        <v>295</v>
      </c>
      <c r="AW862">
        <v>0</v>
      </c>
      <c r="AX862">
        <v>0</v>
      </c>
      <c r="AZ862">
        <v>6.8</v>
      </c>
      <c r="BA862">
        <v>19.899999999999999</v>
      </c>
      <c r="BB862">
        <v>564</v>
      </c>
      <c r="BC862">
        <v>68</v>
      </c>
      <c r="BD862">
        <v>1.5</v>
      </c>
      <c r="BE862">
        <v>135</v>
      </c>
      <c r="BF862">
        <v>0.8</v>
      </c>
      <c r="BG862">
        <v>162</v>
      </c>
      <c r="BH862">
        <v>9.1</v>
      </c>
      <c r="BI862">
        <v>9.1999999999999993</v>
      </c>
      <c r="BJ862">
        <v>18.3</v>
      </c>
      <c r="BK862">
        <v>0.34</v>
      </c>
      <c r="BL862">
        <v>7.3</v>
      </c>
      <c r="BM862">
        <v>0.9</v>
      </c>
      <c r="BN862">
        <v>7.5</v>
      </c>
      <c r="BO862">
        <v>2.9</v>
      </c>
      <c r="BP862">
        <f t="shared" si="26"/>
        <v>5.7281788790759345</v>
      </c>
      <c r="BQ862">
        <f t="shared" si="27"/>
        <v>18.311991484193943</v>
      </c>
    </row>
    <row r="863" spans="1:69" hidden="1" x14ac:dyDescent="0.2">
      <c r="A863" t="s">
        <v>1321</v>
      </c>
      <c r="B863" t="s">
        <v>68</v>
      </c>
      <c r="C863" t="s">
        <v>69</v>
      </c>
      <c r="D863" t="s">
        <v>70</v>
      </c>
      <c r="E863" t="s">
        <v>310</v>
      </c>
      <c r="F863">
        <v>6</v>
      </c>
      <c r="G863">
        <v>154</v>
      </c>
      <c r="H863">
        <v>3</v>
      </c>
      <c r="I863">
        <v>3</v>
      </c>
      <c r="J863">
        <v>2</v>
      </c>
      <c r="K863" t="s">
        <v>110</v>
      </c>
      <c r="L863" t="s">
        <v>124</v>
      </c>
      <c r="M863" s="4">
        <v>1900000000</v>
      </c>
      <c r="N863">
        <v>0</v>
      </c>
      <c r="O863">
        <v>4.663471296</v>
      </c>
      <c r="P863">
        <v>-74.046739040000006</v>
      </c>
      <c r="Q863" t="s">
        <v>1322</v>
      </c>
      <c r="R863">
        <v>12337662.34</v>
      </c>
      <c r="S863">
        <v>0</v>
      </c>
      <c r="T863" t="s">
        <v>75</v>
      </c>
      <c r="U863" t="s">
        <v>76</v>
      </c>
      <c r="V863" t="s">
        <v>77</v>
      </c>
      <c r="W863" t="s">
        <v>78</v>
      </c>
      <c r="X863" t="s">
        <v>79</v>
      </c>
      <c r="Y863">
        <v>4.1678577324960999</v>
      </c>
      <c r="Z863">
        <v>4167.8577324960997</v>
      </c>
      <c r="AA863">
        <v>4.6584666666666701</v>
      </c>
      <c r="AB863">
        <v>-74.083966666666697</v>
      </c>
      <c r="AC863">
        <v>2552</v>
      </c>
      <c r="AD863">
        <v>0</v>
      </c>
      <c r="AE863" t="s">
        <v>80</v>
      </c>
      <c r="AF863" t="s">
        <v>81</v>
      </c>
      <c r="AG863" t="s">
        <v>82</v>
      </c>
      <c r="AH863" t="s">
        <v>83</v>
      </c>
      <c r="AI863" t="s">
        <v>130</v>
      </c>
      <c r="AJ863">
        <v>1.59063604565238</v>
      </c>
      <c r="AK863">
        <v>0.17728916037539799</v>
      </c>
      <c r="AL863">
        <v>0.78234618637439102</v>
      </c>
      <c r="AM863">
        <v>0.151761697286208</v>
      </c>
      <c r="AN863">
        <v>2.7394196617733102</v>
      </c>
      <c r="AO863">
        <v>0.41366893506633601</v>
      </c>
      <c r="AP863">
        <v>0.41366893506633601</v>
      </c>
      <c r="AQ863">
        <v>0</v>
      </c>
      <c r="AR863">
        <v>0</v>
      </c>
      <c r="AS863">
        <v>9</v>
      </c>
      <c r="AT863">
        <v>37</v>
      </c>
      <c r="AU863">
        <v>2</v>
      </c>
      <c r="AV863">
        <v>16</v>
      </c>
      <c r="AW863">
        <v>0</v>
      </c>
      <c r="AX863">
        <v>0</v>
      </c>
      <c r="AZ863">
        <v>6.8</v>
      </c>
      <c r="BA863">
        <v>19.899999999999999</v>
      </c>
      <c r="BB863">
        <v>564</v>
      </c>
      <c r="BC863">
        <v>68</v>
      </c>
      <c r="BD863">
        <v>1.5</v>
      </c>
      <c r="BE863">
        <v>135</v>
      </c>
      <c r="BF863">
        <v>0.8</v>
      </c>
      <c r="BG863">
        <v>162</v>
      </c>
      <c r="BH863">
        <v>9.1</v>
      </c>
      <c r="BI863">
        <v>9.1999999999999993</v>
      </c>
      <c r="BJ863">
        <v>18.3</v>
      </c>
      <c r="BK863">
        <v>0.34</v>
      </c>
      <c r="BL863">
        <v>7.3</v>
      </c>
      <c r="BM863">
        <v>0.9</v>
      </c>
      <c r="BN863">
        <v>7.5</v>
      </c>
      <c r="BO863">
        <v>2.9</v>
      </c>
      <c r="BP863">
        <f t="shared" si="26"/>
        <v>5.5323553905304612</v>
      </c>
      <c r="BQ863">
        <f t="shared" si="27"/>
        <v>18.005749906756222</v>
      </c>
    </row>
    <row r="864" spans="1:69" hidden="1" x14ac:dyDescent="0.2">
      <c r="A864" t="s">
        <v>1335</v>
      </c>
      <c r="B864" t="s">
        <v>68</v>
      </c>
      <c r="C864" t="s">
        <v>69</v>
      </c>
      <c r="D864" t="s">
        <v>70</v>
      </c>
      <c r="E864" t="s">
        <v>310</v>
      </c>
      <c r="F864">
        <v>6</v>
      </c>
      <c r="G864">
        <v>154</v>
      </c>
      <c r="H864">
        <v>3</v>
      </c>
      <c r="I864">
        <v>3</v>
      </c>
      <c r="J864">
        <v>2</v>
      </c>
      <c r="K864" t="s">
        <v>110</v>
      </c>
      <c r="L864" t="s">
        <v>124</v>
      </c>
      <c r="M864" s="4">
        <v>1900000000</v>
      </c>
      <c r="N864">
        <v>0</v>
      </c>
      <c r="O864">
        <v>4.663471296</v>
      </c>
      <c r="P864">
        <v>-74.046739040000006</v>
      </c>
      <c r="Q864" t="s">
        <v>1336</v>
      </c>
      <c r="R864">
        <v>12337662.34</v>
      </c>
      <c r="S864">
        <v>0</v>
      </c>
      <c r="T864" t="s">
        <v>75</v>
      </c>
      <c r="U864" t="s">
        <v>76</v>
      </c>
      <c r="V864" t="s">
        <v>77</v>
      </c>
      <c r="W864" t="s">
        <v>78</v>
      </c>
      <c r="X864" t="s">
        <v>79</v>
      </c>
      <c r="Y864">
        <v>4.1678577324960999</v>
      </c>
      <c r="Z864">
        <v>4167.8577324960997</v>
      </c>
      <c r="AA864">
        <v>4.6584666666666701</v>
      </c>
      <c r="AB864">
        <v>-74.083966666666697</v>
      </c>
      <c r="AC864">
        <v>2552</v>
      </c>
      <c r="AD864">
        <v>0</v>
      </c>
      <c r="AE864" t="s">
        <v>80</v>
      </c>
      <c r="AF864" t="s">
        <v>81</v>
      </c>
      <c r="AG864" t="s">
        <v>82</v>
      </c>
      <c r="AH864" t="s">
        <v>83</v>
      </c>
      <c r="AI864" t="s">
        <v>130</v>
      </c>
      <c r="AJ864">
        <v>1.59063604565238</v>
      </c>
      <c r="AK864">
        <v>0.17728916037539799</v>
      </c>
      <c r="AL864">
        <v>0.78234618637439102</v>
      </c>
      <c r="AM864">
        <v>0.151761697286208</v>
      </c>
      <c r="AN864">
        <v>2.7394196617733102</v>
      </c>
      <c r="AO864">
        <v>0.41366893506633601</v>
      </c>
      <c r="AP864">
        <v>0.41366893506633601</v>
      </c>
      <c r="AQ864">
        <v>0</v>
      </c>
      <c r="AR864">
        <v>0</v>
      </c>
      <c r="AS864">
        <v>9</v>
      </c>
      <c r="AT864">
        <v>37</v>
      </c>
      <c r="AU864">
        <v>2</v>
      </c>
      <c r="AV864">
        <v>16</v>
      </c>
      <c r="AW864">
        <v>0</v>
      </c>
      <c r="AX864">
        <v>0</v>
      </c>
      <c r="AZ864">
        <v>6.8</v>
      </c>
      <c r="BA864">
        <v>19.899999999999999</v>
      </c>
      <c r="BB864">
        <v>564</v>
      </c>
      <c r="BC864">
        <v>68</v>
      </c>
      <c r="BD864">
        <v>1.5</v>
      </c>
      <c r="BE864">
        <v>135</v>
      </c>
      <c r="BF864">
        <v>0.8</v>
      </c>
      <c r="BG864">
        <v>162</v>
      </c>
      <c r="BH864">
        <v>9.1</v>
      </c>
      <c r="BI864">
        <v>9.1999999999999993</v>
      </c>
      <c r="BJ864">
        <v>18.3</v>
      </c>
      <c r="BK864">
        <v>0.34</v>
      </c>
      <c r="BL864">
        <v>7.3</v>
      </c>
      <c r="BM864">
        <v>0.9</v>
      </c>
      <c r="BN864">
        <v>7.5</v>
      </c>
      <c r="BO864">
        <v>2.9</v>
      </c>
      <c r="BP864">
        <f t="shared" si="26"/>
        <v>5.5323553905304612</v>
      </c>
      <c r="BQ864">
        <f t="shared" si="27"/>
        <v>18.005749906756222</v>
      </c>
    </row>
    <row r="865" spans="1:69" hidden="1" x14ac:dyDescent="0.2">
      <c r="A865" t="s">
        <v>1000</v>
      </c>
      <c r="B865" t="s">
        <v>68</v>
      </c>
      <c r="C865" t="s">
        <v>69</v>
      </c>
      <c r="D865" t="s">
        <v>70</v>
      </c>
      <c r="E865" t="s">
        <v>1001</v>
      </c>
      <c r="F865">
        <v>5</v>
      </c>
      <c r="G865">
        <v>153.88</v>
      </c>
      <c r="H865">
        <v>3</v>
      </c>
      <c r="I865">
        <v>3</v>
      </c>
      <c r="J865">
        <v>2</v>
      </c>
      <c r="K865" t="s">
        <v>110</v>
      </c>
      <c r="L865" t="s">
        <v>162</v>
      </c>
      <c r="M865" s="4">
        <v>890000000</v>
      </c>
      <c r="N865">
        <v>0</v>
      </c>
      <c r="O865">
        <v>4.6926519999999998</v>
      </c>
      <c r="P865">
        <v>-74.067013000000003</v>
      </c>
      <c r="Q865" t="s">
        <v>1002</v>
      </c>
      <c r="R865">
        <v>5783727.5800000001</v>
      </c>
      <c r="S865">
        <v>0</v>
      </c>
      <c r="T865" t="s">
        <v>75</v>
      </c>
      <c r="U865" t="s">
        <v>76</v>
      </c>
      <c r="V865" t="s">
        <v>77</v>
      </c>
      <c r="W865" t="s">
        <v>78</v>
      </c>
      <c r="X865" t="s">
        <v>79</v>
      </c>
      <c r="Y865">
        <v>4.2449875136102397</v>
      </c>
      <c r="Z865">
        <v>4244.9875136102401</v>
      </c>
      <c r="AA865">
        <v>4.6584666666666701</v>
      </c>
      <c r="AB865">
        <v>-74.083966666666697</v>
      </c>
      <c r="AC865">
        <v>2552</v>
      </c>
      <c r="AD865">
        <v>0</v>
      </c>
      <c r="AE865" t="s">
        <v>80</v>
      </c>
      <c r="AF865" t="s">
        <v>81</v>
      </c>
      <c r="AG865" t="s">
        <v>82</v>
      </c>
      <c r="AH865" t="s">
        <v>83</v>
      </c>
      <c r="AI865" t="s">
        <v>121</v>
      </c>
      <c r="AJ865">
        <v>8.5547384214619299E-2</v>
      </c>
      <c r="AK865">
        <v>3.6820291035741799</v>
      </c>
      <c r="AL865">
        <v>0.64009972320415898</v>
      </c>
      <c r="AM865">
        <v>7.4067633132527205E-2</v>
      </c>
      <c r="AN865">
        <v>2.6543850689285802</v>
      </c>
      <c r="AO865">
        <v>0.33150094849200801</v>
      </c>
      <c r="AP865">
        <v>0.33150094849200801</v>
      </c>
      <c r="AQ865">
        <v>1</v>
      </c>
      <c r="AR865">
        <v>4</v>
      </c>
      <c r="AS865">
        <v>0</v>
      </c>
      <c r="AT865">
        <v>0</v>
      </c>
      <c r="AU865">
        <v>1</v>
      </c>
      <c r="AV865">
        <v>72</v>
      </c>
      <c r="AW865">
        <v>0</v>
      </c>
      <c r="AX865">
        <v>0</v>
      </c>
      <c r="AZ865">
        <v>6.8</v>
      </c>
      <c r="BA865">
        <v>19.899999999999999</v>
      </c>
      <c r="BB865">
        <v>564</v>
      </c>
      <c r="BC865">
        <v>68</v>
      </c>
      <c r="BD865">
        <v>1.5</v>
      </c>
      <c r="BE865">
        <v>135</v>
      </c>
      <c r="BF865">
        <v>0.8</v>
      </c>
      <c r="BG865">
        <v>162</v>
      </c>
      <c r="BH865">
        <v>9.1</v>
      </c>
      <c r="BI865">
        <v>9.1999999999999993</v>
      </c>
      <c r="BJ865">
        <v>18.3</v>
      </c>
      <c r="BK865">
        <v>0.34</v>
      </c>
      <c r="BL865">
        <v>7.3</v>
      </c>
      <c r="BM865">
        <v>0.9</v>
      </c>
      <c r="BN865">
        <v>7.5</v>
      </c>
      <c r="BO865">
        <v>2.9</v>
      </c>
      <c r="BP865">
        <f t="shared" si="26"/>
        <v>5.5112735472425882</v>
      </c>
      <c r="BQ865">
        <f t="shared" si="27"/>
        <v>17.97245002803486</v>
      </c>
    </row>
    <row r="866" spans="1:69" hidden="1" x14ac:dyDescent="0.2">
      <c r="A866" t="s">
        <v>847</v>
      </c>
      <c r="B866" t="s">
        <v>68</v>
      </c>
      <c r="C866" t="s">
        <v>69</v>
      </c>
      <c r="D866" t="s">
        <v>70</v>
      </c>
      <c r="E866" t="s">
        <v>229</v>
      </c>
      <c r="F866">
        <v>6</v>
      </c>
      <c r="G866">
        <v>150</v>
      </c>
      <c r="H866">
        <v>2</v>
      </c>
      <c r="I866">
        <v>3</v>
      </c>
      <c r="J866">
        <v>2</v>
      </c>
      <c r="K866" t="s">
        <v>110</v>
      </c>
      <c r="L866" t="s">
        <v>111</v>
      </c>
      <c r="M866" s="4">
        <v>2000000000</v>
      </c>
      <c r="N866">
        <v>0</v>
      </c>
      <c r="O866">
        <v>4.6782651270000004</v>
      </c>
      <c r="P866">
        <v>-74.052178979999994</v>
      </c>
      <c r="Q866" t="s">
        <v>848</v>
      </c>
      <c r="R866">
        <v>13333333.33</v>
      </c>
      <c r="S866">
        <v>0</v>
      </c>
      <c r="T866" t="s">
        <v>75</v>
      </c>
      <c r="U866" t="s">
        <v>76</v>
      </c>
      <c r="V866" t="s">
        <v>77</v>
      </c>
      <c r="W866" t="s">
        <v>78</v>
      </c>
      <c r="X866" t="s">
        <v>79</v>
      </c>
      <c r="Y866">
        <v>4.1588561480430304</v>
      </c>
      <c r="Z866">
        <v>4158.8561480430299</v>
      </c>
      <c r="AA866">
        <v>4.6584666666666701</v>
      </c>
      <c r="AB866">
        <v>-74.083966666666697</v>
      </c>
      <c r="AC866">
        <v>2552</v>
      </c>
      <c r="AD866">
        <v>0</v>
      </c>
      <c r="AE866" t="s">
        <v>80</v>
      </c>
      <c r="AF866" t="s">
        <v>81</v>
      </c>
      <c r="AG866" t="s">
        <v>82</v>
      </c>
      <c r="AH866" t="s">
        <v>83</v>
      </c>
      <c r="AI866" t="s">
        <v>130</v>
      </c>
      <c r="AJ866">
        <v>0.79881863643165596</v>
      </c>
      <c r="AK866">
        <v>1.4779748863062001</v>
      </c>
      <c r="AL866">
        <v>0.83112080084184103</v>
      </c>
      <c r="AM866">
        <v>0.12310919354198201</v>
      </c>
      <c r="AN866">
        <v>3.3278746001452202</v>
      </c>
      <c r="AO866">
        <v>0.76825519482849702</v>
      </c>
      <c r="AP866">
        <v>0.76825519482849702</v>
      </c>
      <c r="AQ866">
        <v>0</v>
      </c>
      <c r="AR866">
        <v>2</v>
      </c>
      <c r="AS866">
        <v>0</v>
      </c>
      <c r="AT866">
        <v>0</v>
      </c>
      <c r="AU866">
        <v>2</v>
      </c>
      <c r="AV866">
        <v>206</v>
      </c>
      <c r="AW866">
        <v>0</v>
      </c>
      <c r="AX866">
        <v>0</v>
      </c>
      <c r="AZ866">
        <v>6.8</v>
      </c>
      <c r="BA866">
        <v>19.899999999999999</v>
      </c>
      <c r="BB866">
        <v>564</v>
      </c>
      <c r="BC866">
        <v>68</v>
      </c>
      <c r="BD866">
        <v>1.5</v>
      </c>
      <c r="BE866">
        <v>135</v>
      </c>
      <c r="BF866">
        <v>0.8</v>
      </c>
      <c r="BG866">
        <v>162</v>
      </c>
      <c r="BH866">
        <v>9.1</v>
      </c>
      <c r="BI866">
        <v>9.1999999999999993</v>
      </c>
      <c r="BJ866">
        <v>18.3</v>
      </c>
      <c r="BK866">
        <v>0.34</v>
      </c>
      <c r="BL866">
        <v>7.3</v>
      </c>
      <c r="BM866">
        <v>0.9</v>
      </c>
      <c r="BN866">
        <v>7.5</v>
      </c>
      <c r="BO866">
        <v>2.9</v>
      </c>
      <c r="BP866">
        <f t="shared" si="26"/>
        <v>5.5348210380408167</v>
      </c>
      <c r="BQ866">
        <f t="shared" si="27"/>
        <v>18.009640253654762</v>
      </c>
    </row>
    <row r="867" spans="1:69" hidden="1" x14ac:dyDescent="0.2">
      <c r="A867" t="s">
        <v>1281</v>
      </c>
      <c r="B867" t="s">
        <v>68</v>
      </c>
      <c r="C867" t="s">
        <v>69</v>
      </c>
      <c r="D867" t="s">
        <v>70</v>
      </c>
      <c r="E867" t="s">
        <v>310</v>
      </c>
      <c r="F867">
        <v>6</v>
      </c>
      <c r="G867">
        <v>150</v>
      </c>
      <c r="H867">
        <v>2</v>
      </c>
      <c r="I867">
        <v>2</v>
      </c>
      <c r="J867">
        <v>2</v>
      </c>
      <c r="K867" t="s">
        <v>110</v>
      </c>
      <c r="L867" t="s">
        <v>162</v>
      </c>
      <c r="M867" s="4">
        <v>1360000000</v>
      </c>
      <c r="N867">
        <v>0</v>
      </c>
      <c r="O867">
        <v>4.6589102999999996</v>
      </c>
      <c r="P867">
        <v>-74.047290000000004</v>
      </c>
      <c r="Q867" t="s">
        <v>1282</v>
      </c>
      <c r="R867">
        <v>9066666.6669999994</v>
      </c>
      <c r="S867">
        <v>0</v>
      </c>
      <c r="T867" t="s">
        <v>75</v>
      </c>
      <c r="U867" t="s">
        <v>76</v>
      </c>
      <c r="V867" t="s">
        <v>77</v>
      </c>
      <c r="W867" t="s">
        <v>78</v>
      </c>
      <c r="X867" t="s">
        <v>79</v>
      </c>
      <c r="Y867">
        <v>4.0696386942164304</v>
      </c>
      <c r="Z867">
        <v>4069.6386942164299</v>
      </c>
      <c r="AA867">
        <v>4.6584666666666701</v>
      </c>
      <c r="AB867">
        <v>-74.083966666666697</v>
      </c>
      <c r="AC867">
        <v>2552</v>
      </c>
      <c r="AD867">
        <v>0</v>
      </c>
      <c r="AE867" t="s">
        <v>80</v>
      </c>
      <c r="AF867" t="s">
        <v>81</v>
      </c>
      <c r="AG867" t="s">
        <v>82</v>
      </c>
      <c r="AH867" t="s">
        <v>83</v>
      </c>
      <c r="AI867" t="s">
        <v>130</v>
      </c>
      <c r="AJ867">
        <v>1.6146827282153999</v>
      </c>
      <c r="AK867">
        <v>5.6547040808427998E-2</v>
      </c>
      <c r="AL867">
        <v>0.96128084301957994</v>
      </c>
      <c r="AM867">
        <v>0.46132959261655998</v>
      </c>
      <c r="AN867">
        <v>2.2735863778938401</v>
      </c>
      <c r="AO867">
        <v>0.42263829788567098</v>
      </c>
      <c r="AP867">
        <v>0.42263829788567098</v>
      </c>
      <c r="AQ867">
        <v>0</v>
      </c>
      <c r="AR867">
        <v>0</v>
      </c>
      <c r="AS867">
        <v>15</v>
      </c>
      <c r="AT867">
        <v>35</v>
      </c>
      <c r="AU867">
        <v>2</v>
      </c>
      <c r="AV867">
        <v>11</v>
      </c>
      <c r="AW867">
        <v>0</v>
      </c>
      <c r="AX867">
        <v>0</v>
      </c>
      <c r="AZ867">
        <v>6.8</v>
      </c>
      <c r="BA867">
        <v>19.899999999999999</v>
      </c>
      <c r="BB867">
        <v>564</v>
      </c>
      <c r="BC867">
        <v>68</v>
      </c>
      <c r="BD867">
        <v>1.5</v>
      </c>
      <c r="BE867">
        <v>135</v>
      </c>
      <c r="BF867">
        <v>0.8</v>
      </c>
      <c r="BG867">
        <v>162</v>
      </c>
      <c r="BH867">
        <v>9.1</v>
      </c>
      <c r="BI867">
        <v>9.1999999999999993</v>
      </c>
      <c r="BJ867">
        <v>18.3</v>
      </c>
      <c r="BK867">
        <v>0.34</v>
      </c>
      <c r="BL867">
        <v>7.3</v>
      </c>
      <c r="BM867">
        <v>0.9</v>
      </c>
      <c r="BN867">
        <v>7.5</v>
      </c>
      <c r="BO867">
        <v>2.9</v>
      </c>
      <c r="BP867">
        <f t="shared" si="26"/>
        <v>5.5593183221621691</v>
      </c>
      <c r="BQ867">
        <f t="shared" si="27"/>
        <v>18.048244150548445</v>
      </c>
    </row>
    <row r="868" spans="1:69" hidden="1" x14ac:dyDescent="0.2">
      <c r="A868" t="s">
        <v>3163</v>
      </c>
      <c r="B868" t="s">
        <v>68</v>
      </c>
      <c r="C868" t="s">
        <v>1956</v>
      </c>
      <c r="D868" t="s">
        <v>70</v>
      </c>
      <c r="E868" t="s">
        <v>3164</v>
      </c>
      <c r="F868">
        <v>3</v>
      </c>
      <c r="G868">
        <v>150</v>
      </c>
      <c r="H868">
        <v>5</v>
      </c>
      <c r="I868">
        <v>4</v>
      </c>
      <c r="J868">
        <v>1</v>
      </c>
      <c r="K868" t="s">
        <v>110</v>
      </c>
      <c r="L868" t="s">
        <v>162</v>
      </c>
      <c r="M868" s="4">
        <v>950000000</v>
      </c>
      <c r="N868">
        <v>0</v>
      </c>
      <c r="O868">
        <v>4.6653971670000001</v>
      </c>
      <c r="P868">
        <v>-74.063537600000004</v>
      </c>
      <c r="Q868" t="s">
        <v>3165</v>
      </c>
      <c r="R868">
        <v>6333333.3329999996</v>
      </c>
      <c r="S868">
        <v>0</v>
      </c>
      <c r="T868" t="s">
        <v>75</v>
      </c>
      <c r="U868" t="s">
        <v>76</v>
      </c>
      <c r="V868" t="s">
        <v>77</v>
      </c>
      <c r="W868" t="s">
        <v>78</v>
      </c>
      <c r="X868" t="s">
        <v>79</v>
      </c>
      <c r="Y868">
        <v>2.3943310571477499</v>
      </c>
      <c r="Z868">
        <v>2394.33105714775</v>
      </c>
      <c r="AA868">
        <v>4.6584666666666701</v>
      </c>
      <c r="AB868">
        <v>-74.083966666666697</v>
      </c>
      <c r="AC868">
        <v>2552</v>
      </c>
      <c r="AD868">
        <v>0</v>
      </c>
      <c r="AE868" t="s">
        <v>80</v>
      </c>
      <c r="AF868" t="s">
        <v>81</v>
      </c>
      <c r="AG868" t="s">
        <v>82</v>
      </c>
      <c r="AH868" t="s">
        <v>83</v>
      </c>
      <c r="AI868" t="s">
        <v>342</v>
      </c>
      <c r="AJ868">
        <v>0.363561331613242</v>
      </c>
      <c r="AK868">
        <v>1.94186076800437</v>
      </c>
      <c r="AL868">
        <v>0.38070648819852598</v>
      </c>
      <c r="AM868">
        <v>7.4482649113024296E-2</v>
      </c>
      <c r="AN868">
        <v>2.2345425222159299</v>
      </c>
      <c r="AO868">
        <v>2.5459880514312101E-2</v>
      </c>
      <c r="AP868">
        <v>2.5459880514312101E-2</v>
      </c>
      <c r="AQ868">
        <v>2</v>
      </c>
      <c r="AR868">
        <v>5</v>
      </c>
      <c r="AS868">
        <v>0</v>
      </c>
      <c r="AT868">
        <v>0</v>
      </c>
      <c r="AU868">
        <v>17</v>
      </c>
      <c r="AV868">
        <v>238</v>
      </c>
      <c r="AW868">
        <v>0</v>
      </c>
      <c r="AX868">
        <v>0</v>
      </c>
      <c r="AZ868">
        <v>6.8</v>
      </c>
      <c r="BA868">
        <v>19.899999999999999</v>
      </c>
      <c r="BB868">
        <v>564</v>
      </c>
      <c r="BC868">
        <v>68</v>
      </c>
      <c r="BD868">
        <v>1.5</v>
      </c>
      <c r="BE868">
        <v>135</v>
      </c>
      <c r="BF868">
        <v>0.8</v>
      </c>
      <c r="BG868">
        <v>162</v>
      </c>
      <c r="BH868">
        <v>9.1</v>
      </c>
      <c r="BI868">
        <v>9.1999999999999993</v>
      </c>
      <c r="BJ868">
        <v>18.3</v>
      </c>
      <c r="BK868">
        <v>0.34</v>
      </c>
      <c r="BL868">
        <v>7.3</v>
      </c>
      <c r="BM868">
        <v>0.9</v>
      </c>
      <c r="BN868">
        <v>7.5</v>
      </c>
      <c r="BO868">
        <v>2.9</v>
      </c>
      <c r="BP868">
        <f t="shared" si="26"/>
        <v>6.0399952459572752</v>
      </c>
      <c r="BQ868">
        <f t="shared" si="27"/>
        <v>18.788703026184631</v>
      </c>
    </row>
    <row r="869" spans="1:69" hidden="1" x14ac:dyDescent="0.2">
      <c r="A869" t="s">
        <v>317</v>
      </c>
      <c r="B869" t="s">
        <v>68</v>
      </c>
      <c r="C869" t="s">
        <v>69</v>
      </c>
      <c r="D869" t="s">
        <v>70</v>
      </c>
      <c r="E869" t="s">
        <v>318</v>
      </c>
      <c r="F869">
        <v>5</v>
      </c>
      <c r="G869">
        <v>149</v>
      </c>
      <c r="H869">
        <v>3</v>
      </c>
      <c r="I869">
        <v>5</v>
      </c>
      <c r="J869">
        <v>3</v>
      </c>
      <c r="K869" t="s">
        <v>110</v>
      </c>
      <c r="L869" t="s">
        <v>111</v>
      </c>
      <c r="M869" s="4">
        <v>2400000000</v>
      </c>
      <c r="N869">
        <v>0</v>
      </c>
      <c r="O869">
        <v>4.6621990000000002</v>
      </c>
      <c r="P869">
        <v>-74.112179999999995</v>
      </c>
      <c r="Q869" t="s">
        <v>319</v>
      </c>
      <c r="R869">
        <v>16107382.550000001</v>
      </c>
      <c r="S869">
        <v>0</v>
      </c>
      <c r="T869" t="s">
        <v>75</v>
      </c>
      <c r="U869" t="s">
        <v>76</v>
      </c>
      <c r="V869" t="s">
        <v>77</v>
      </c>
      <c r="W869" t="s">
        <v>78</v>
      </c>
      <c r="X869" t="s">
        <v>79</v>
      </c>
      <c r="Y869">
        <v>3.1577631132181398</v>
      </c>
      <c r="Z869">
        <v>3157.76311321814</v>
      </c>
      <c r="AA869">
        <v>4.6584666666666701</v>
      </c>
      <c r="AB869">
        <v>-74.083966666666697</v>
      </c>
      <c r="AC869">
        <v>2552</v>
      </c>
      <c r="AD869">
        <v>0</v>
      </c>
      <c r="AE869" t="s">
        <v>80</v>
      </c>
      <c r="AF869" t="s">
        <v>81</v>
      </c>
      <c r="AG869" t="s">
        <v>82</v>
      </c>
      <c r="AH869" t="s">
        <v>83</v>
      </c>
      <c r="AI869" t="s">
        <v>92</v>
      </c>
      <c r="AJ869">
        <v>0.37894431192144901</v>
      </c>
      <c r="AK869">
        <v>5.0352485816544599</v>
      </c>
      <c r="AL869">
        <v>0.76787829109810202</v>
      </c>
      <c r="AM869">
        <v>0.26298597952182801</v>
      </c>
      <c r="AN869">
        <v>1.2508965816861399</v>
      </c>
      <c r="AO869">
        <v>0.49572847825128702</v>
      </c>
      <c r="AP869">
        <v>0.49572847825128702</v>
      </c>
      <c r="AQ869">
        <v>1</v>
      </c>
      <c r="AR869">
        <v>3</v>
      </c>
      <c r="AS869">
        <v>0</v>
      </c>
      <c r="AT869">
        <v>0</v>
      </c>
      <c r="AU869">
        <v>1</v>
      </c>
      <c r="AV869">
        <v>50</v>
      </c>
      <c r="AW869">
        <v>0</v>
      </c>
      <c r="AX869">
        <v>0</v>
      </c>
      <c r="AZ869">
        <v>6.8</v>
      </c>
      <c r="BA869">
        <v>19.899999999999999</v>
      </c>
      <c r="BB869">
        <v>564</v>
      </c>
      <c r="BC869">
        <v>68</v>
      </c>
      <c r="BD869">
        <v>1.5</v>
      </c>
      <c r="BE869">
        <v>135</v>
      </c>
      <c r="BF869">
        <v>0.8</v>
      </c>
      <c r="BG869">
        <v>162</v>
      </c>
      <c r="BH869">
        <v>9.1</v>
      </c>
      <c r="BI869">
        <v>9.1999999999999993</v>
      </c>
      <c r="BJ869">
        <v>18.3</v>
      </c>
      <c r="BK869">
        <v>0.34</v>
      </c>
      <c r="BL869">
        <v>7.3</v>
      </c>
      <c r="BM869">
        <v>0.9</v>
      </c>
      <c r="BN869">
        <v>7.5</v>
      </c>
      <c r="BO869">
        <v>2.9</v>
      </c>
      <c r="BP869">
        <f t="shared" si="26"/>
        <v>5.8160034770765439</v>
      </c>
      <c r="BQ869">
        <f t="shared" si="27"/>
        <v>18.447584066608044</v>
      </c>
    </row>
    <row r="870" spans="1:69" hidden="1" x14ac:dyDescent="0.2">
      <c r="A870" t="s">
        <v>228</v>
      </c>
      <c r="B870" t="s">
        <v>68</v>
      </c>
      <c r="C870" t="s">
        <v>69</v>
      </c>
      <c r="D870" t="s">
        <v>70</v>
      </c>
      <c r="E870" t="s">
        <v>229</v>
      </c>
      <c r="F870">
        <v>5</v>
      </c>
      <c r="G870">
        <v>148</v>
      </c>
      <c r="H870">
        <v>3</v>
      </c>
      <c r="I870">
        <v>5</v>
      </c>
      <c r="J870">
        <v>3</v>
      </c>
      <c r="K870" t="s">
        <v>110</v>
      </c>
      <c r="L870" t="s">
        <v>133</v>
      </c>
      <c r="M870" s="4">
        <v>1350000000</v>
      </c>
      <c r="N870">
        <v>0</v>
      </c>
      <c r="O870">
        <v>4.6794376370000004</v>
      </c>
      <c r="P870">
        <v>-74.055374150000006</v>
      </c>
      <c r="Q870" t="s">
        <v>230</v>
      </c>
      <c r="R870">
        <v>9121621.6219999995</v>
      </c>
      <c r="S870">
        <v>0</v>
      </c>
      <c r="T870" t="s">
        <v>75</v>
      </c>
      <c r="U870" t="s">
        <v>76</v>
      </c>
      <c r="V870" t="s">
        <v>77</v>
      </c>
      <c r="W870" t="s">
        <v>78</v>
      </c>
      <c r="X870" t="s">
        <v>79</v>
      </c>
      <c r="Y870">
        <v>3.9387234441054901</v>
      </c>
      <c r="Z870">
        <v>3938.7234441054902</v>
      </c>
      <c r="AA870">
        <v>4.6584666666666701</v>
      </c>
      <c r="AB870">
        <v>-74.083966666666697</v>
      </c>
      <c r="AC870">
        <v>2552</v>
      </c>
      <c r="AD870">
        <v>0</v>
      </c>
      <c r="AE870" t="s">
        <v>80</v>
      </c>
      <c r="AF870" t="s">
        <v>81</v>
      </c>
      <c r="AG870" t="s">
        <v>82</v>
      </c>
      <c r="AH870" t="s">
        <v>83</v>
      </c>
      <c r="AI870" t="s">
        <v>130</v>
      </c>
      <c r="AJ870">
        <v>0.55490994601209498</v>
      </c>
      <c r="AK870">
        <v>1.8208425266167201</v>
      </c>
      <c r="AL870">
        <v>0.691819454602423</v>
      </c>
      <c r="AM870">
        <v>0.107583526261594</v>
      </c>
      <c r="AN870">
        <v>3.0020781530768699</v>
      </c>
      <c r="AO870">
        <v>0.39188716182501399</v>
      </c>
      <c r="AP870">
        <v>0.39188716182501399</v>
      </c>
      <c r="AQ870">
        <v>0</v>
      </c>
      <c r="AR870">
        <v>3</v>
      </c>
      <c r="AS870">
        <v>0</v>
      </c>
      <c r="AT870">
        <v>0</v>
      </c>
      <c r="AU870">
        <v>3</v>
      </c>
      <c r="AV870">
        <v>230</v>
      </c>
      <c r="AW870">
        <v>0</v>
      </c>
      <c r="AX870">
        <v>0</v>
      </c>
      <c r="AZ870">
        <v>6.8</v>
      </c>
      <c r="BA870">
        <v>19.899999999999999</v>
      </c>
      <c r="BB870">
        <v>564</v>
      </c>
      <c r="BC870">
        <v>68</v>
      </c>
      <c r="BD870">
        <v>1.5</v>
      </c>
      <c r="BE870">
        <v>135</v>
      </c>
      <c r="BF870">
        <v>0.8</v>
      </c>
      <c r="BG870">
        <v>162</v>
      </c>
      <c r="BH870">
        <v>9.1</v>
      </c>
      <c r="BI870">
        <v>9.1999999999999993</v>
      </c>
      <c r="BJ870">
        <v>18.3</v>
      </c>
      <c r="BK870">
        <v>0.34</v>
      </c>
      <c r="BL870">
        <v>7.3</v>
      </c>
      <c r="BM870">
        <v>0.9</v>
      </c>
      <c r="BN870">
        <v>7.5</v>
      </c>
      <c r="BO870">
        <v>2.9</v>
      </c>
      <c r="BP870">
        <f t="shared" si="26"/>
        <v>5.5954613823585673</v>
      </c>
      <c r="BQ870">
        <f t="shared" si="27"/>
        <v>18.105040299137137</v>
      </c>
    </row>
    <row r="871" spans="1:69" hidden="1" x14ac:dyDescent="0.2">
      <c r="A871" t="s">
        <v>497</v>
      </c>
      <c r="B871" t="s">
        <v>68</v>
      </c>
      <c r="C871" t="s">
        <v>69</v>
      </c>
      <c r="D871" t="s">
        <v>70</v>
      </c>
      <c r="E871" t="s">
        <v>310</v>
      </c>
      <c r="F871">
        <v>6</v>
      </c>
      <c r="G871">
        <v>148</v>
      </c>
      <c r="H871">
        <v>2</v>
      </c>
      <c r="I871">
        <v>4</v>
      </c>
      <c r="J871">
        <v>3</v>
      </c>
      <c r="K871" t="s">
        <v>110</v>
      </c>
      <c r="L871" t="s">
        <v>162</v>
      </c>
      <c r="M871" s="4">
        <v>1320000000</v>
      </c>
      <c r="N871">
        <v>0</v>
      </c>
      <c r="O871">
        <v>4.6588382719999997</v>
      </c>
      <c r="P871">
        <v>-74.050422670000003</v>
      </c>
      <c r="Q871" t="s">
        <v>498</v>
      </c>
      <c r="R871">
        <v>8918918.9189999998</v>
      </c>
      <c r="S871">
        <v>0</v>
      </c>
      <c r="T871" t="s">
        <v>75</v>
      </c>
      <c r="U871" t="s">
        <v>76</v>
      </c>
      <c r="V871" t="s">
        <v>77</v>
      </c>
      <c r="W871" t="s">
        <v>78</v>
      </c>
      <c r="X871" t="s">
        <v>79</v>
      </c>
      <c r="Y871">
        <v>3.7219940104779701</v>
      </c>
      <c r="Z871">
        <v>3721.9940104779698</v>
      </c>
      <c r="AA871">
        <v>4.6584666666666701</v>
      </c>
      <c r="AB871">
        <v>-74.083966666666697</v>
      </c>
      <c r="AC871">
        <v>2552</v>
      </c>
      <c r="AD871">
        <v>0</v>
      </c>
      <c r="AE871" t="s">
        <v>80</v>
      </c>
      <c r="AF871" t="s">
        <v>81</v>
      </c>
      <c r="AG871" t="s">
        <v>82</v>
      </c>
      <c r="AH871" t="s">
        <v>83</v>
      </c>
      <c r="AI871" t="s">
        <v>130</v>
      </c>
      <c r="AJ871">
        <v>1.2879885892933001</v>
      </c>
      <c r="AK871">
        <v>0.387508485771491</v>
      </c>
      <c r="AL871">
        <v>0.68456624607831695</v>
      </c>
      <c r="AM871">
        <v>0.24212242059070199</v>
      </c>
      <c r="AN871">
        <v>2.0986593799119699</v>
      </c>
      <c r="AO871">
        <v>8.5054838302340799E-2</v>
      </c>
      <c r="AP871">
        <v>8.5054838302340799E-2</v>
      </c>
      <c r="AQ871">
        <v>0</v>
      </c>
      <c r="AR871">
        <v>0</v>
      </c>
      <c r="AS871">
        <v>9</v>
      </c>
      <c r="AT871">
        <v>26</v>
      </c>
      <c r="AU871">
        <v>7</v>
      </c>
      <c r="AV871">
        <v>40</v>
      </c>
      <c r="AW871">
        <v>0</v>
      </c>
      <c r="AX871">
        <v>0</v>
      </c>
      <c r="AZ871">
        <v>6.8</v>
      </c>
      <c r="BA871">
        <v>19.899999999999999</v>
      </c>
      <c r="BB871">
        <v>564</v>
      </c>
      <c r="BC871">
        <v>68</v>
      </c>
      <c r="BD871">
        <v>1.5</v>
      </c>
      <c r="BE871">
        <v>135</v>
      </c>
      <c r="BF871">
        <v>0.8</v>
      </c>
      <c r="BG871">
        <v>162</v>
      </c>
      <c r="BH871">
        <v>9.1</v>
      </c>
      <c r="BI871">
        <v>9.1999999999999993</v>
      </c>
      <c r="BJ871">
        <v>18.3</v>
      </c>
      <c r="BK871">
        <v>0.34</v>
      </c>
      <c r="BL871">
        <v>7.3</v>
      </c>
      <c r="BM871">
        <v>0.9</v>
      </c>
      <c r="BN871">
        <v>7.5</v>
      </c>
      <c r="BO871">
        <v>2.9</v>
      </c>
      <c r="BP871">
        <f t="shared" si="26"/>
        <v>5.6558132423543777</v>
      </c>
      <c r="BQ871">
        <f t="shared" si="27"/>
        <v>18.199459129448307</v>
      </c>
    </row>
    <row r="872" spans="1:69" hidden="1" x14ac:dyDescent="0.2">
      <c r="A872" t="s">
        <v>2607</v>
      </c>
      <c r="B872" t="s">
        <v>68</v>
      </c>
      <c r="C872" t="s">
        <v>1956</v>
      </c>
      <c r="D872" t="s">
        <v>70</v>
      </c>
      <c r="E872" t="s">
        <v>2521</v>
      </c>
      <c r="F872">
        <v>4</v>
      </c>
      <c r="G872">
        <v>148</v>
      </c>
      <c r="H872">
        <v>5</v>
      </c>
      <c r="I872">
        <v>4</v>
      </c>
      <c r="J872">
        <v>2</v>
      </c>
      <c r="K872" t="s">
        <v>110</v>
      </c>
      <c r="L872" t="s">
        <v>162</v>
      </c>
      <c r="M872" s="4">
        <v>900000000</v>
      </c>
      <c r="N872">
        <v>0</v>
      </c>
      <c r="O872">
        <v>4.6746154000000004</v>
      </c>
      <c r="P872">
        <v>-74.064279999999997</v>
      </c>
      <c r="Q872" t="s">
        <v>2608</v>
      </c>
      <c r="R872">
        <v>6081081.0810000002</v>
      </c>
      <c r="S872">
        <v>0</v>
      </c>
      <c r="T872" t="s">
        <v>75</v>
      </c>
      <c r="U872" t="s">
        <v>76</v>
      </c>
      <c r="V872" t="s">
        <v>77</v>
      </c>
      <c r="W872" t="s">
        <v>78</v>
      </c>
      <c r="X872" t="s">
        <v>79</v>
      </c>
      <c r="Y872">
        <v>2.8288759602556701</v>
      </c>
      <c r="Z872">
        <v>2828.8759602556702</v>
      </c>
      <c r="AA872">
        <v>4.6584666666666701</v>
      </c>
      <c r="AB872">
        <v>-74.083966666666697</v>
      </c>
      <c r="AC872">
        <v>2552</v>
      </c>
      <c r="AD872">
        <v>0</v>
      </c>
      <c r="AE872" t="s">
        <v>80</v>
      </c>
      <c r="AF872" t="s">
        <v>81</v>
      </c>
      <c r="AG872" t="s">
        <v>82</v>
      </c>
      <c r="AH872" t="s">
        <v>83</v>
      </c>
      <c r="AI872" t="s">
        <v>342</v>
      </c>
      <c r="AJ872">
        <v>0.11152053814004401</v>
      </c>
      <c r="AK872">
        <v>2.3873693954232502</v>
      </c>
      <c r="AL872">
        <v>0.581690743096545</v>
      </c>
      <c r="AM872">
        <v>0.186719546669606</v>
      </c>
      <c r="AN872">
        <v>1.95153112785254</v>
      </c>
      <c r="AO872">
        <v>0.41904079364373198</v>
      </c>
      <c r="AP872">
        <v>0.41904079364373198</v>
      </c>
      <c r="AQ872">
        <v>3</v>
      </c>
      <c r="AR872">
        <v>9</v>
      </c>
      <c r="AS872">
        <v>0</v>
      </c>
      <c r="AT872">
        <v>0</v>
      </c>
      <c r="AU872">
        <v>2</v>
      </c>
      <c r="AV872">
        <v>201</v>
      </c>
      <c r="AW872">
        <v>0</v>
      </c>
      <c r="AX872">
        <v>0</v>
      </c>
      <c r="AZ872">
        <v>6.8</v>
      </c>
      <c r="BA872">
        <v>19.899999999999999</v>
      </c>
      <c r="BB872">
        <v>564</v>
      </c>
      <c r="BC872">
        <v>68</v>
      </c>
      <c r="BD872">
        <v>1.5</v>
      </c>
      <c r="BE872">
        <v>135</v>
      </c>
      <c r="BF872">
        <v>0.8</v>
      </c>
      <c r="BG872">
        <v>162</v>
      </c>
      <c r="BH872">
        <v>9.1</v>
      </c>
      <c r="BI872">
        <v>9.1999999999999993</v>
      </c>
      <c r="BJ872">
        <v>18.3</v>
      </c>
      <c r="BK872">
        <v>0.34</v>
      </c>
      <c r="BL872">
        <v>7.3</v>
      </c>
      <c r="BM872">
        <v>0.9</v>
      </c>
      <c r="BN872">
        <v>7.5</v>
      </c>
      <c r="BO872">
        <v>2.9</v>
      </c>
      <c r="BP872">
        <f t="shared" si="26"/>
        <v>5.9114624374337748</v>
      </c>
      <c r="BQ872">
        <f t="shared" si="27"/>
        <v>18.59377242293078</v>
      </c>
    </row>
    <row r="873" spans="1:69" hidden="1" x14ac:dyDescent="0.2">
      <c r="A873" t="s">
        <v>849</v>
      </c>
      <c r="B873" t="s">
        <v>68</v>
      </c>
      <c r="C873" t="s">
        <v>69</v>
      </c>
      <c r="D873" t="s">
        <v>70</v>
      </c>
      <c r="E873" t="s">
        <v>71</v>
      </c>
      <c r="F873">
        <v>4</v>
      </c>
      <c r="G873">
        <v>146</v>
      </c>
      <c r="H873">
        <v>4</v>
      </c>
      <c r="I873">
        <v>3</v>
      </c>
      <c r="J873">
        <v>2</v>
      </c>
      <c r="K873" t="s">
        <v>110</v>
      </c>
      <c r="L873" t="s">
        <v>111</v>
      </c>
      <c r="M873" s="4">
        <v>1400000000</v>
      </c>
      <c r="N873">
        <v>0</v>
      </c>
      <c r="O873">
        <v>4.6491102150000003</v>
      </c>
      <c r="P873">
        <v>-74.0727677</v>
      </c>
      <c r="Q873" t="s">
        <v>850</v>
      </c>
      <c r="R873">
        <v>9589041.0960000008</v>
      </c>
      <c r="S873">
        <v>0</v>
      </c>
      <c r="T873" t="s">
        <v>75</v>
      </c>
      <c r="U873" t="s">
        <v>76</v>
      </c>
      <c r="V873" t="s">
        <v>77</v>
      </c>
      <c r="W873" t="s">
        <v>78</v>
      </c>
      <c r="X873" t="s">
        <v>79</v>
      </c>
      <c r="Y873">
        <v>1.62135011242037</v>
      </c>
      <c r="Z873">
        <v>1621.3501124203699</v>
      </c>
      <c r="AA873">
        <v>4.6584666666666701</v>
      </c>
      <c r="AB873">
        <v>-74.083966666666697</v>
      </c>
      <c r="AC873">
        <v>2552</v>
      </c>
      <c r="AD873">
        <v>0</v>
      </c>
      <c r="AE873" t="s">
        <v>80</v>
      </c>
      <c r="AF873" t="s">
        <v>81</v>
      </c>
      <c r="AG873" t="s">
        <v>82</v>
      </c>
      <c r="AH873" t="s">
        <v>83</v>
      </c>
      <c r="AI873" t="s">
        <v>84</v>
      </c>
      <c r="AJ873">
        <v>0.628831541072436</v>
      </c>
      <c r="AK873">
        <v>1.9164420985202</v>
      </c>
      <c r="AL873">
        <v>0.21756823641296499</v>
      </c>
      <c r="AM873">
        <v>7.7206653070716502E-2</v>
      </c>
      <c r="AN873">
        <v>1.7967165948955</v>
      </c>
      <c r="AO873">
        <v>0.38121279546856901</v>
      </c>
      <c r="AP873">
        <v>0.38121279546856901</v>
      </c>
      <c r="AQ873">
        <v>0</v>
      </c>
      <c r="AR873">
        <v>3</v>
      </c>
      <c r="AS873">
        <v>0</v>
      </c>
      <c r="AT873">
        <v>0</v>
      </c>
      <c r="AU873">
        <v>7</v>
      </c>
      <c r="AV873">
        <v>75</v>
      </c>
      <c r="AW873">
        <v>0</v>
      </c>
      <c r="AX873">
        <v>0</v>
      </c>
      <c r="AZ873">
        <v>6.8</v>
      </c>
      <c r="BA873">
        <v>19.899999999999999</v>
      </c>
      <c r="BB873">
        <v>564</v>
      </c>
      <c r="BC873">
        <v>68</v>
      </c>
      <c r="BD873">
        <v>1.5</v>
      </c>
      <c r="BE873">
        <v>135</v>
      </c>
      <c r="BF873">
        <v>0.8</v>
      </c>
      <c r="BG873">
        <v>162</v>
      </c>
      <c r="BH873">
        <v>9.1</v>
      </c>
      <c r="BI873">
        <v>9.1999999999999993</v>
      </c>
      <c r="BJ873">
        <v>18.3</v>
      </c>
      <c r="BK873">
        <v>0.34</v>
      </c>
      <c r="BL873">
        <v>7.3</v>
      </c>
      <c r="BM873">
        <v>0.9</v>
      </c>
      <c r="BN873">
        <v>7.5</v>
      </c>
      <c r="BO873">
        <v>2.9</v>
      </c>
      <c r="BP873">
        <f t="shared" si="26"/>
        <v>6.2755791878893916</v>
      </c>
      <c r="BQ873">
        <f t="shared" si="27"/>
        <v>19.14051569611167</v>
      </c>
    </row>
    <row r="874" spans="1:69" hidden="1" x14ac:dyDescent="0.2">
      <c r="A874" t="s">
        <v>436</v>
      </c>
      <c r="B874" t="s">
        <v>68</v>
      </c>
      <c r="C874" t="s">
        <v>69</v>
      </c>
      <c r="D874" t="s">
        <v>70</v>
      </c>
      <c r="E874" t="s">
        <v>310</v>
      </c>
      <c r="F874">
        <v>6</v>
      </c>
      <c r="G874">
        <v>145</v>
      </c>
      <c r="H874">
        <v>3</v>
      </c>
      <c r="I874">
        <v>4</v>
      </c>
      <c r="J874">
        <v>2</v>
      </c>
      <c r="K874" t="s">
        <v>110</v>
      </c>
      <c r="L874" t="s">
        <v>124</v>
      </c>
      <c r="M874" s="4">
        <v>1480000000</v>
      </c>
      <c r="N874">
        <v>0</v>
      </c>
      <c r="O874">
        <v>4.6582689290000001</v>
      </c>
      <c r="P874">
        <v>-74.0478363</v>
      </c>
      <c r="Q874" t="s">
        <v>437</v>
      </c>
      <c r="R874">
        <v>10206896.550000001</v>
      </c>
      <c r="S874">
        <v>0</v>
      </c>
      <c r="T874" t="s">
        <v>75</v>
      </c>
      <c r="U874" t="s">
        <v>76</v>
      </c>
      <c r="V874" t="s">
        <v>77</v>
      </c>
      <c r="W874" t="s">
        <v>78</v>
      </c>
      <c r="X874" t="s">
        <v>79</v>
      </c>
      <c r="Y874">
        <v>4.0087883804830398</v>
      </c>
      <c r="Z874">
        <v>4008.7883804830399</v>
      </c>
      <c r="AA874">
        <v>4.6584666666666701</v>
      </c>
      <c r="AB874">
        <v>-74.083966666666697</v>
      </c>
      <c r="AC874">
        <v>2552</v>
      </c>
      <c r="AD874">
        <v>0</v>
      </c>
      <c r="AE874" t="s">
        <v>80</v>
      </c>
      <c r="AF874" t="s">
        <v>81</v>
      </c>
      <c r="AG874" t="s">
        <v>82</v>
      </c>
      <c r="AH874" t="s">
        <v>83</v>
      </c>
      <c r="AI874" t="s">
        <v>130</v>
      </c>
      <c r="AJ874">
        <v>1.5780599844972001</v>
      </c>
      <c r="AK874">
        <v>9.4334444970711501E-2</v>
      </c>
      <c r="AL874">
        <v>0.94722278297964002</v>
      </c>
      <c r="AM874">
        <v>0.52527643163428805</v>
      </c>
      <c r="AN874">
        <v>2.1812345073152</v>
      </c>
      <c r="AO874">
        <v>0.37627928492084001</v>
      </c>
      <c r="AP874">
        <v>0.37627928492084001</v>
      </c>
      <c r="AQ874">
        <v>0</v>
      </c>
      <c r="AR874">
        <v>0</v>
      </c>
      <c r="AS874">
        <v>15</v>
      </c>
      <c r="AT874">
        <v>31</v>
      </c>
      <c r="AU874">
        <v>2</v>
      </c>
      <c r="AV874">
        <v>14</v>
      </c>
      <c r="AW874">
        <v>0</v>
      </c>
      <c r="AX874">
        <v>0</v>
      </c>
      <c r="AZ874">
        <v>6.8</v>
      </c>
      <c r="BA874">
        <v>19.899999999999999</v>
      </c>
      <c r="BB874">
        <v>564</v>
      </c>
      <c r="BC874">
        <v>68</v>
      </c>
      <c r="BD874">
        <v>1.5</v>
      </c>
      <c r="BE874">
        <v>135</v>
      </c>
      <c r="BF874">
        <v>0.8</v>
      </c>
      <c r="BG874">
        <v>162</v>
      </c>
      <c r="BH874">
        <v>9.1</v>
      </c>
      <c r="BI874">
        <v>9.1999999999999993</v>
      </c>
      <c r="BJ874">
        <v>18.3</v>
      </c>
      <c r="BK874">
        <v>0.34</v>
      </c>
      <c r="BL874">
        <v>7.3</v>
      </c>
      <c r="BM874">
        <v>0.9</v>
      </c>
      <c r="BN874">
        <v>7.5</v>
      </c>
      <c r="BO874">
        <v>2.9</v>
      </c>
      <c r="BP874">
        <f t="shared" si="26"/>
        <v>5.576088736556307</v>
      </c>
      <c r="BQ874">
        <f t="shared" si="27"/>
        <v>18.074621198133379</v>
      </c>
    </row>
    <row r="875" spans="1:69" hidden="1" x14ac:dyDescent="0.2">
      <c r="A875" t="s">
        <v>1485</v>
      </c>
      <c r="B875" t="s">
        <v>68</v>
      </c>
      <c r="C875" t="s">
        <v>69</v>
      </c>
      <c r="D875" t="s">
        <v>70</v>
      </c>
      <c r="E875" t="s">
        <v>1486</v>
      </c>
      <c r="F875">
        <v>6</v>
      </c>
      <c r="G875">
        <v>144</v>
      </c>
      <c r="H875">
        <v>4</v>
      </c>
      <c r="I875">
        <v>4</v>
      </c>
      <c r="J875">
        <v>2</v>
      </c>
      <c r="K875" t="s">
        <v>110</v>
      </c>
      <c r="L875" t="s">
        <v>124</v>
      </c>
      <c r="M875" s="4">
        <v>990000000</v>
      </c>
      <c r="N875">
        <v>0</v>
      </c>
      <c r="O875">
        <v>4.6811299320000002</v>
      </c>
      <c r="P875">
        <v>-74.05705261</v>
      </c>
      <c r="Q875" t="s">
        <v>1487</v>
      </c>
      <c r="R875">
        <v>6875000</v>
      </c>
      <c r="S875">
        <v>0</v>
      </c>
      <c r="T875" t="s">
        <v>75</v>
      </c>
      <c r="U875" t="s">
        <v>76</v>
      </c>
      <c r="V875" t="s">
        <v>77</v>
      </c>
      <c r="W875" t="s">
        <v>78</v>
      </c>
      <c r="X875" t="s">
        <v>79</v>
      </c>
      <c r="Y875">
        <v>3.90918305148268</v>
      </c>
      <c r="Z875">
        <v>3909.1830514826802</v>
      </c>
      <c r="AA875">
        <v>4.6584666666666701</v>
      </c>
      <c r="AB875">
        <v>-74.083966666666697</v>
      </c>
      <c r="AC875">
        <v>2552</v>
      </c>
      <c r="AD875">
        <v>0</v>
      </c>
      <c r="AE875" t="s">
        <v>80</v>
      </c>
      <c r="AF875" t="s">
        <v>81</v>
      </c>
      <c r="AG875" t="s">
        <v>82</v>
      </c>
      <c r="AH875" t="s">
        <v>83</v>
      </c>
      <c r="AI875" t="s">
        <v>130</v>
      </c>
      <c r="AJ875">
        <v>0.32005982876356198</v>
      </c>
      <c r="AK875">
        <v>2.0843669781365901</v>
      </c>
      <c r="AL875">
        <v>0.55057169873103295</v>
      </c>
      <c r="AM875">
        <v>5.6212287957116601E-2</v>
      </c>
      <c r="AN875">
        <v>2.8672984404184398</v>
      </c>
      <c r="AO875">
        <v>0.21213503961099001</v>
      </c>
      <c r="AP875">
        <v>0.21213503961099001</v>
      </c>
      <c r="AQ875">
        <v>1</v>
      </c>
      <c r="AR875">
        <v>4</v>
      </c>
      <c r="AS875">
        <v>0</v>
      </c>
      <c r="AT875">
        <v>0</v>
      </c>
      <c r="AU875">
        <v>3</v>
      </c>
      <c r="AV875">
        <v>242</v>
      </c>
      <c r="AW875">
        <v>0</v>
      </c>
      <c r="AX875">
        <v>0</v>
      </c>
      <c r="AZ875">
        <v>6.8</v>
      </c>
      <c r="BA875">
        <v>19.899999999999999</v>
      </c>
      <c r="BB875">
        <v>564</v>
      </c>
      <c r="BC875">
        <v>68</v>
      </c>
      <c r="BD875">
        <v>1.5</v>
      </c>
      <c r="BE875">
        <v>135</v>
      </c>
      <c r="BF875">
        <v>0.8</v>
      </c>
      <c r="BG875">
        <v>162</v>
      </c>
      <c r="BH875">
        <v>9.1</v>
      </c>
      <c r="BI875">
        <v>9.1999999999999993</v>
      </c>
      <c r="BJ875">
        <v>18.3</v>
      </c>
      <c r="BK875">
        <v>0.34</v>
      </c>
      <c r="BL875">
        <v>7.3</v>
      </c>
      <c r="BM875">
        <v>0.9</v>
      </c>
      <c r="BN875">
        <v>7.5</v>
      </c>
      <c r="BO875">
        <v>2.9</v>
      </c>
      <c r="BP875">
        <f t="shared" si="26"/>
        <v>5.6036493275527075</v>
      </c>
      <c r="BQ875">
        <f t="shared" si="27"/>
        <v>18.117880770323342</v>
      </c>
    </row>
    <row r="876" spans="1:69" hidden="1" x14ac:dyDescent="0.2">
      <c r="A876" t="s">
        <v>851</v>
      </c>
      <c r="B876" t="s">
        <v>68</v>
      </c>
      <c r="C876" t="s">
        <v>69</v>
      </c>
      <c r="D876" t="s">
        <v>70</v>
      </c>
      <c r="E876" t="s">
        <v>73</v>
      </c>
      <c r="F876">
        <v>6</v>
      </c>
      <c r="G876">
        <v>143.9</v>
      </c>
      <c r="H876">
        <v>2</v>
      </c>
      <c r="I876">
        <v>2</v>
      </c>
      <c r="J876">
        <v>3</v>
      </c>
      <c r="K876" t="s">
        <v>110</v>
      </c>
      <c r="L876" t="s">
        <v>124</v>
      </c>
      <c r="M876" s="4">
        <v>1500000000</v>
      </c>
      <c r="N876">
        <v>0</v>
      </c>
      <c r="O876">
        <v>4.6820087429999999</v>
      </c>
      <c r="P876">
        <v>-74.055541989999995</v>
      </c>
      <c r="Q876" t="s">
        <v>852</v>
      </c>
      <c r="R876">
        <v>10423905.49</v>
      </c>
      <c r="S876">
        <v>0</v>
      </c>
      <c r="T876" t="s">
        <v>75</v>
      </c>
      <c r="U876" t="s">
        <v>76</v>
      </c>
      <c r="V876" t="s">
        <v>77</v>
      </c>
      <c r="W876" t="s">
        <v>78</v>
      </c>
      <c r="X876" t="s">
        <v>79</v>
      </c>
      <c r="Y876">
        <v>4.1004807994441403</v>
      </c>
      <c r="Z876">
        <v>4100.4807994441398</v>
      </c>
      <c r="AA876">
        <v>4.6584666666666701</v>
      </c>
      <c r="AB876">
        <v>-74.083966666666697</v>
      </c>
      <c r="AC876">
        <v>2552</v>
      </c>
      <c r="AD876">
        <v>0</v>
      </c>
      <c r="AE876" t="s">
        <v>80</v>
      </c>
      <c r="AF876" t="s">
        <v>81</v>
      </c>
      <c r="AG876" t="s">
        <v>82</v>
      </c>
      <c r="AH876" t="s">
        <v>83</v>
      </c>
      <c r="AI876" t="s">
        <v>130</v>
      </c>
      <c r="AJ876">
        <v>0.32234648993794102</v>
      </c>
      <c r="AK876">
        <v>1.9860292729834399</v>
      </c>
      <c r="AL876">
        <v>0.51348968679673901</v>
      </c>
      <c r="AM876">
        <v>2.2452641776897701E-2</v>
      </c>
      <c r="AN876">
        <v>3.05573345433264</v>
      </c>
      <c r="AO876">
        <v>0.34536186370305699</v>
      </c>
      <c r="AP876">
        <v>0.34536186370305699</v>
      </c>
      <c r="AQ876">
        <v>1</v>
      </c>
      <c r="AR876">
        <v>3</v>
      </c>
      <c r="AS876">
        <v>0</v>
      </c>
      <c r="AT876">
        <v>0</v>
      </c>
      <c r="AU876">
        <v>5</v>
      </c>
      <c r="AV876">
        <v>243</v>
      </c>
      <c r="AW876">
        <v>0</v>
      </c>
      <c r="AX876">
        <v>0</v>
      </c>
      <c r="AZ876">
        <v>6.8</v>
      </c>
      <c r="BA876">
        <v>19.899999999999999</v>
      </c>
      <c r="BB876">
        <v>564</v>
      </c>
      <c r="BC876">
        <v>68</v>
      </c>
      <c r="BD876">
        <v>1.5</v>
      </c>
      <c r="BE876">
        <v>135</v>
      </c>
      <c r="BF876">
        <v>0.8</v>
      </c>
      <c r="BG876">
        <v>162</v>
      </c>
      <c r="BH876">
        <v>9.1</v>
      </c>
      <c r="BI876">
        <v>9.1999999999999993</v>
      </c>
      <c r="BJ876">
        <v>18.3</v>
      </c>
      <c r="BK876">
        <v>0.34</v>
      </c>
      <c r="BL876">
        <v>7.3</v>
      </c>
      <c r="BM876">
        <v>0.9</v>
      </c>
      <c r="BN876">
        <v>7.5</v>
      </c>
      <c r="BO876">
        <v>2.9</v>
      </c>
      <c r="BP876">
        <f t="shared" si="26"/>
        <v>5.5508374741038313</v>
      </c>
      <c r="BQ876">
        <f t="shared" si="27"/>
        <v>18.034889593463664</v>
      </c>
    </row>
    <row r="877" spans="1:69" hidden="1" x14ac:dyDescent="0.2">
      <c r="A877" t="s">
        <v>3099</v>
      </c>
      <c r="B877" t="s">
        <v>68</v>
      </c>
      <c r="C877" t="s">
        <v>1956</v>
      </c>
      <c r="D877" t="s">
        <v>70</v>
      </c>
      <c r="E877" t="s">
        <v>1145</v>
      </c>
      <c r="F877">
        <v>4</v>
      </c>
      <c r="G877">
        <v>142</v>
      </c>
      <c r="H877">
        <v>5</v>
      </c>
      <c r="I877">
        <v>4</v>
      </c>
      <c r="J877">
        <v>2</v>
      </c>
      <c r="K877" t="s">
        <v>110</v>
      </c>
      <c r="L877" t="s">
        <v>162</v>
      </c>
      <c r="M877" s="4">
        <v>670000000</v>
      </c>
      <c r="N877">
        <v>0</v>
      </c>
      <c r="O877">
        <v>4.6683599999999998</v>
      </c>
      <c r="P877">
        <v>-74.105069999999998</v>
      </c>
      <c r="Q877" t="s">
        <v>3100</v>
      </c>
      <c r="R877">
        <v>4718309.8590000002</v>
      </c>
      <c r="S877">
        <v>0</v>
      </c>
      <c r="T877" t="s">
        <v>75</v>
      </c>
      <c r="U877" t="s">
        <v>76</v>
      </c>
      <c r="V877" t="s">
        <v>77</v>
      </c>
      <c r="W877" t="s">
        <v>78</v>
      </c>
      <c r="X877" t="s">
        <v>79</v>
      </c>
      <c r="Y877">
        <v>2.5875136070052598</v>
      </c>
      <c r="Z877">
        <v>2587.5136070052599</v>
      </c>
      <c r="AA877">
        <v>4.6584666666666701</v>
      </c>
      <c r="AB877">
        <v>-74.083966666666697</v>
      </c>
      <c r="AC877">
        <v>2552</v>
      </c>
      <c r="AD877">
        <v>0</v>
      </c>
      <c r="AE877" t="s">
        <v>80</v>
      </c>
      <c r="AF877" t="s">
        <v>81</v>
      </c>
      <c r="AG877" t="s">
        <v>82</v>
      </c>
      <c r="AH877" t="s">
        <v>83</v>
      </c>
      <c r="AI877" t="s">
        <v>412</v>
      </c>
      <c r="AJ877">
        <v>0.81926765685126202</v>
      </c>
      <c r="AK877">
        <v>5.8480545890212898</v>
      </c>
      <c r="AL877">
        <v>1.1783171815603599</v>
      </c>
      <c r="AM877">
        <v>0.169728743057382</v>
      </c>
      <c r="AN877">
        <v>2.17446513629895</v>
      </c>
      <c r="AO877">
        <v>0.171288406258746</v>
      </c>
      <c r="AP877">
        <v>0.171288406258746</v>
      </c>
      <c r="AQ877">
        <v>0</v>
      </c>
      <c r="AR877">
        <v>2</v>
      </c>
      <c r="AS877">
        <v>0</v>
      </c>
      <c r="AT877">
        <v>0</v>
      </c>
      <c r="AU877">
        <v>0</v>
      </c>
      <c r="AV877">
        <v>31</v>
      </c>
      <c r="AW877">
        <v>0</v>
      </c>
      <c r="AX877">
        <v>0</v>
      </c>
      <c r="AZ877">
        <v>6.8</v>
      </c>
      <c r="BA877">
        <v>19.899999999999999</v>
      </c>
      <c r="BB877">
        <v>564</v>
      </c>
      <c r="BC877">
        <v>68</v>
      </c>
      <c r="BD877">
        <v>1.5</v>
      </c>
      <c r="BE877">
        <v>135</v>
      </c>
      <c r="BF877">
        <v>0.8</v>
      </c>
      <c r="BG877">
        <v>162</v>
      </c>
      <c r="BH877">
        <v>9.1</v>
      </c>
      <c r="BI877">
        <v>9.1999999999999993</v>
      </c>
      <c r="BJ877">
        <v>18.3</v>
      </c>
      <c r="BK877">
        <v>0.34</v>
      </c>
      <c r="BL877">
        <v>7.3</v>
      </c>
      <c r="BM877">
        <v>0.9</v>
      </c>
      <c r="BN877">
        <v>7.5</v>
      </c>
      <c r="BO877">
        <v>2.9</v>
      </c>
      <c r="BP877">
        <f t="shared" si="26"/>
        <v>5.9825128494361444</v>
      </c>
      <c r="BQ877">
        <f t="shared" si="27"/>
        <v>18.70179306630267</v>
      </c>
    </row>
    <row r="878" spans="1:69" hidden="1" x14ac:dyDescent="0.2">
      <c r="A878" t="s">
        <v>339</v>
      </c>
      <c r="B878" t="s">
        <v>68</v>
      </c>
      <c r="C878" t="s">
        <v>69</v>
      </c>
      <c r="D878" t="s">
        <v>70</v>
      </c>
      <c r="E878" t="s">
        <v>340</v>
      </c>
      <c r="F878">
        <v>4</v>
      </c>
      <c r="G878">
        <v>142</v>
      </c>
      <c r="H878">
        <v>5</v>
      </c>
      <c r="I878">
        <v>3</v>
      </c>
      <c r="J878">
        <v>1</v>
      </c>
      <c r="K878" t="s">
        <v>110</v>
      </c>
      <c r="L878" t="s">
        <v>162</v>
      </c>
      <c r="M878" s="4">
        <v>550000000</v>
      </c>
      <c r="N878">
        <v>0</v>
      </c>
      <c r="O878">
        <v>4.6626105000000004</v>
      </c>
      <c r="P878">
        <v>-74.079149999999998</v>
      </c>
      <c r="Q878" t="s">
        <v>341</v>
      </c>
      <c r="R878">
        <v>3873239.4369999999</v>
      </c>
      <c r="S878">
        <v>0</v>
      </c>
      <c r="T878" t="s">
        <v>75</v>
      </c>
      <c r="U878" t="s">
        <v>76</v>
      </c>
      <c r="V878" t="s">
        <v>77</v>
      </c>
      <c r="W878" t="s">
        <v>78</v>
      </c>
      <c r="X878" t="s">
        <v>79</v>
      </c>
      <c r="Y878">
        <v>0.705966291817126</v>
      </c>
      <c r="Z878">
        <v>705.96629181712603</v>
      </c>
      <c r="AA878">
        <v>4.6584666666666701</v>
      </c>
      <c r="AB878">
        <v>-74.083966666666697</v>
      </c>
      <c r="AC878">
        <v>2552</v>
      </c>
      <c r="AD878">
        <v>0</v>
      </c>
      <c r="AE878" t="s">
        <v>80</v>
      </c>
      <c r="AF878" t="s">
        <v>81</v>
      </c>
      <c r="AG878" t="s">
        <v>82</v>
      </c>
      <c r="AH878" t="s">
        <v>83</v>
      </c>
      <c r="AI878" t="s">
        <v>342</v>
      </c>
      <c r="AJ878">
        <v>0.609404881021126</v>
      </c>
      <c r="AK878">
        <v>3.3868481000108202</v>
      </c>
      <c r="AL878">
        <v>1.4410549588025801</v>
      </c>
      <c r="AM878">
        <v>0.168969643495894</v>
      </c>
      <c r="AN878">
        <v>1.2739052016994601</v>
      </c>
      <c r="AO878">
        <v>2.3227011137243899E-2</v>
      </c>
      <c r="AP878">
        <v>2.3227011137243899E-2</v>
      </c>
      <c r="AQ878">
        <v>0</v>
      </c>
      <c r="AR878">
        <v>2</v>
      </c>
      <c r="AS878">
        <v>0</v>
      </c>
      <c r="AT878">
        <v>0</v>
      </c>
      <c r="AU878">
        <v>0</v>
      </c>
      <c r="AV878">
        <v>21</v>
      </c>
      <c r="AW878">
        <v>0</v>
      </c>
      <c r="AX878">
        <v>0</v>
      </c>
      <c r="AZ878">
        <v>6.8</v>
      </c>
      <c r="BA878">
        <v>19.899999999999999</v>
      </c>
      <c r="BB878">
        <v>564</v>
      </c>
      <c r="BC878">
        <v>68</v>
      </c>
      <c r="BD878">
        <v>1.5</v>
      </c>
      <c r="BE878">
        <v>135</v>
      </c>
      <c r="BF878">
        <v>0.8</v>
      </c>
      <c r="BG878">
        <v>162</v>
      </c>
      <c r="BH878">
        <v>9.1</v>
      </c>
      <c r="BI878">
        <v>9.1999999999999993</v>
      </c>
      <c r="BJ878">
        <v>18.3</v>
      </c>
      <c r="BK878">
        <v>0.34</v>
      </c>
      <c r="BL878">
        <v>7.3</v>
      </c>
      <c r="BM878">
        <v>0.9</v>
      </c>
      <c r="BN878">
        <v>7.5</v>
      </c>
      <c r="BO878">
        <v>2.9</v>
      </c>
      <c r="BP878">
        <f t="shared" si="26"/>
        <v>6.5664758004829764</v>
      </c>
      <c r="BQ878">
        <f t="shared" si="27"/>
        <v>19.56567079878528</v>
      </c>
    </row>
    <row r="879" spans="1:69" hidden="1" x14ac:dyDescent="0.2">
      <c r="A879" t="s">
        <v>1594</v>
      </c>
      <c r="B879" t="s">
        <v>68</v>
      </c>
      <c r="C879" t="s">
        <v>69</v>
      </c>
      <c r="D879" t="s">
        <v>70</v>
      </c>
      <c r="E879" t="s">
        <v>310</v>
      </c>
      <c r="F879">
        <v>6</v>
      </c>
      <c r="G879">
        <v>139</v>
      </c>
      <c r="H879">
        <v>3</v>
      </c>
      <c r="I879">
        <v>3</v>
      </c>
      <c r="J879">
        <v>2</v>
      </c>
      <c r="K879" t="s">
        <v>110</v>
      </c>
      <c r="L879" t="s">
        <v>162</v>
      </c>
      <c r="M879" s="4">
        <v>1200000000</v>
      </c>
      <c r="N879">
        <v>0</v>
      </c>
      <c r="O879">
        <v>4.6530300000000002</v>
      </c>
      <c r="P879">
        <v>-74.049509999999998</v>
      </c>
      <c r="Q879" t="s">
        <v>1595</v>
      </c>
      <c r="R879">
        <v>8633093.5250000004</v>
      </c>
      <c r="S879">
        <v>0</v>
      </c>
      <c r="T879" t="s">
        <v>126</v>
      </c>
      <c r="U879" t="s">
        <v>127</v>
      </c>
      <c r="V879" t="s">
        <v>77</v>
      </c>
      <c r="W879" t="s">
        <v>128</v>
      </c>
      <c r="X879" t="s">
        <v>129</v>
      </c>
      <c r="Y879">
        <v>3.6275286836245102</v>
      </c>
      <c r="Z879">
        <v>3627.52868362451</v>
      </c>
      <c r="AA879">
        <v>4.6254861111111101</v>
      </c>
      <c r="AB879">
        <v>-74.066980555555503</v>
      </c>
      <c r="AC879">
        <v>2621</v>
      </c>
      <c r="AD879">
        <v>15</v>
      </c>
      <c r="AE879" t="s">
        <v>80</v>
      </c>
      <c r="AF879" t="s">
        <v>81</v>
      </c>
      <c r="AG879" t="s">
        <v>82</v>
      </c>
      <c r="AH879" t="s">
        <v>83</v>
      </c>
      <c r="AI879" t="s">
        <v>130</v>
      </c>
      <c r="AJ879">
        <v>1.5067120225696899</v>
      </c>
      <c r="AK879">
        <v>0.100889298550527</v>
      </c>
      <c r="AL879">
        <v>0.916378485101772</v>
      </c>
      <c r="AM879">
        <v>0.52115725939928403</v>
      </c>
      <c r="AN879">
        <v>1.60051311441138</v>
      </c>
      <c r="AO879">
        <v>0.104498795105733</v>
      </c>
      <c r="AP879">
        <v>0.104498795105733</v>
      </c>
      <c r="AQ879">
        <v>0</v>
      </c>
      <c r="AR879">
        <v>0</v>
      </c>
      <c r="AS879">
        <v>24</v>
      </c>
      <c r="AT879">
        <v>43</v>
      </c>
      <c r="AU879">
        <v>1</v>
      </c>
      <c r="AV879">
        <v>11</v>
      </c>
      <c r="AW879">
        <v>0</v>
      </c>
      <c r="AX879">
        <v>0</v>
      </c>
      <c r="AZ879">
        <v>6.8</v>
      </c>
      <c r="BA879">
        <v>19.899999999999999</v>
      </c>
      <c r="BB879">
        <v>564</v>
      </c>
      <c r="BC879">
        <v>68</v>
      </c>
      <c r="BD879">
        <v>1.5</v>
      </c>
      <c r="BE879">
        <v>135</v>
      </c>
      <c r="BF879">
        <v>0.8</v>
      </c>
      <c r="BG879">
        <v>162</v>
      </c>
      <c r="BH879">
        <v>9.1</v>
      </c>
      <c r="BI879">
        <v>9.1999999999999993</v>
      </c>
      <c r="BJ879">
        <v>18.3</v>
      </c>
      <c r="BK879">
        <v>0.34</v>
      </c>
      <c r="BL879">
        <v>7.3</v>
      </c>
      <c r="BM879">
        <v>0.9</v>
      </c>
      <c r="BN879">
        <v>7.5</v>
      </c>
      <c r="BO879">
        <v>2.9</v>
      </c>
      <c r="BP879">
        <f t="shared" si="26"/>
        <v>5.6823219450507638</v>
      </c>
      <c r="BQ879">
        <f t="shared" si="27"/>
        <v>18.24076716640635</v>
      </c>
    </row>
    <row r="880" spans="1:69" hidden="1" x14ac:dyDescent="0.2">
      <c r="A880" t="s">
        <v>1972</v>
      </c>
      <c r="B880" t="s">
        <v>68</v>
      </c>
      <c r="C880" t="s">
        <v>1956</v>
      </c>
      <c r="D880" t="s">
        <v>70</v>
      </c>
      <c r="E880" t="s">
        <v>574</v>
      </c>
      <c r="F880">
        <v>3</v>
      </c>
      <c r="G880">
        <v>139</v>
      </c>
      <c r="H880">
        <v>3</v>
      </c>
      <c r="I880">
        <v>2</v>
      </c>
      <c r="J880">
        <v>2</v>
      </c>
      <c r="K880" t="s">
        <v>110</v>
      </c>
      <c r="L880" t="s">
        <v>162</v>
      </c>
      <c r="M880" s="4">
        <v>870000000</v>
      </c>
      <c r="N880">
        <v>0</v>
      </c>
      <c r="O880">
        <v>4.6958489419999996</v>
      </c>
      <c r="P880">
        <v>-74.075424190000007</v>
      </c>
      <c r="Q880" t="s">
        <v>1973</v>
      </c>
      <c r="R880">
        <v>6258992.8059999999</v>
      </c>
      <c r="S880">
        <v>0</v>
      </c>
      <c r="T880" t="s">
        <v>75</v>
      </c>
      <c r="U880" t="s">
        <v>76</v>
      </c>
      <c r="V880" t="s">
        <v>77</v>
      </c>
      <c r="W880" t="s">
        <v>78</v>
      </c>
      <c r="X880" t="s">
        <v>79</v>
      </c>
      <c r="Y880">
        <v>4.2679422596460803</v>
      </c>
      <c r="Z880">
        <v>4267.9422596460799</v>
      </c>
      <c r="AA880">
        <v>4.6584666666666701</v>
      </c>
      <c r="AB880">
        <v>-74.083966666666697</v>
      </c>
      <c r="AC880">
        <v>2552</v>
      </c>
      <c r="AD880">
        <v>0</v>
      </c>
      <c r="AE880" t="s">
        <v>80</v>
      </c>
      <c r="AF880" t="s">
        <v>81</v>
      </c>
      <c r="AG880" t="s">
        <v>82</v>
      </c>
      <c r="AH880" t="s">
        <v>83</v>
      </c>
      <c r="AI880" t="s">
        <v>121</v>
      </c>
      <c r="AJ880">
        <v>0.72343671536224996</v>
      </c>
      <c r="AK880">
        <v>4.6591731917035801</v>
      </c>
      <c r="AL880">
        <v>0.68055565954372499</v>
      </c>
      <c r="AM880">
        <v>6.4789111731504798E-2</v>
      </c>
      <c r="AN880">
        <v>2.5378178913801199</v>
      </c>
      <c r="AO880">
        <v>4.8537277989458803E-2</v>
      </c>
      <c r="AP880">
        <v>4.8537277989458803E-2</v>
      </c>
      <c r="AQ880">
        <v>0</v>
      </c>
      <c r="AR880">
        <v>2</v>
      </c>
      <c r="AS880">
        <v>0</v>
      </c>
      <c r="AT880">
        <v>0</v>
      </c>
      <c r="AU880">
        <v>1</v>
      </c>
      <c r="AV880">
        <v>38</v>
      </c>
      <c r="AW880">
        <v>0</v>
      </c>
      <c r="AX880">
        <v>0</v>
      </c>
      <c r="AZ880">
        <v>6.8</v>
      </c>
      <c r="BA880">
        <v>19.899999999999999</v>
      </c>
      <c r="BB880">
        <v>564</v>
      </c>
      <c r="BC880">
        <v>68</v>
      </c>
      <c r="BD880">
        <v>1.5</v>
      </c>
      <c r="BE880">
        <v>135</v>
      </c>
      <c r="BF880">
        <v>0.8</v>
      </c>
      <c r="BG880">
        <v>162</v>
      </c>
      <c r="BH880">
        <v>9.1</v>
      </c>
      <c r="BI880">
        <v>9.1999999999999993</v>
      </c>
      <c r="BJ880">
        <v>18.3</v>
      </c>
      <c r="BK880">
        <v>0.34</v>
      </c>
      <c r="BL880">
        <v>7.3</v>
      </c>
      <c r="BM880">
        <v>0.9</v>
      </c>
      <c r="BN880">
        <v>7.5</v>
      </c>
      <c r="BO880">
        <v>2.9</v>
      </c>
      <c r="BP880">
        <f t="shared" si="26"/>
        <v>5.5050148643729946</v>
      </c>
      <c r="BQ880">
        <f t="shared" si="27"/>
        <v>17.962551482283612</v>
      </c>
    </row>
    <row r="881" spans="1:69" hidden="1" x14ac:dyDescent="0.2">
      <c r="A881" t="s">
        <v>3055</v>
      </c>
      <c r="B881" t="s">
        <v>68</v>
      </c>
      <c r="C881" t="s">
        <v>1956</v>
      </c>
      <c r="D881" t="s">
        <v>70</v>
      </c>
      <c r="E881" t="s">
        <v>3056</v>
      </c>
      <c r="F881">
        <v>3</v>
      </c>
      <c r="G881">
        <v>138.9</v>
      </c>
      <c r="H881">
        <v>4</v>
      </c>
      <c r="I881">
        <v>3</v>
      </c>
      <c r="J881">
        <v>1</v>
      </c>
      <c r="K881" t="s">
        <v>110</v>
      </c>
      <c r="L881" t="s">
        <v>162</v>
      </c>
      <c r="M881" s="4">
        <v>420000000</v>
      </c>
      <c r="N881">
        <v>0</v>
      </c>
      <c r="O881">
        <v>4.7078866960000001</v>
      </c>
      <c r="P881">
        <v>-74.122192380000001</v>
      </c>
      <c r="Q881" t="s">
        <v>3057</v>
      </c>
      <c r="R881">
        <v>3023758.0989999999</v>
      </c>
      <c r="S881">
        <v>0</v>
      </c>
      <c r="T881" t="s">
        <v>419</v>
      </c>
      <c r="U881" t="s">
        <v>420</v>
      </c>
      <c r="V881" t="s">
        <v>77</v>
      </c>
      <c r="W881" t="s">
        <v>78</v>
      </c>
      <c r="X881" t="s">
        <v>421</v>
      </c>
      <c r="Y881">
        <v>3.13485312434053</v>
      </c>
      <c r="Z881">
        <v>3134.85312434053</v>
      </c>
      <c r="AA881">
        <v>4.7358055555555598</v>
      </c>
      <c r="AB881">
        <v>-74.125888888888895</v>
      </c>
      <c r="AC881">
        <v>2574</v>
      </c>
      <c r="AD881">
        <v>0</v>
      </c>
      <c r="AE881" t="s">
        <v>154</v>
      </c>
      <c r="AF881" t="s">
        <v>107</v>
      </c>
      <c r="AG881" t="s">
        <v>82</v>
      </c>
      <c r="AH881" t="s">
        <v>83</v>
      </c>
      <c r="AI881" t="s">
        <v>412</v>
      </c>
      <c r="AJ881">
        <v>1.3134071389475801</v>
      </c>
      <c r="AK881">
        <v>1.8755004357977001</v>
      </c>
      <c r="AL881">
        <v>2.3241223401663702</v>
      </c>
      <c r="AM881">
        <v>0.27601402525306301</v>
      </c>
      <c r="AN881">
        <v>2.60097519499157</v>
      </c>
      <c r="AO881">
        <v>7.2836474215994595E-2</v>
      </c>
      <c r="AP881">
        <v>7.2836474215994595E-2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17</v>
      </c>
      <c r="AW881">
        <v>0</v>
      </c>
      <c r="AX881">
        <v>0</v>
      </c>
      <c r="AZ881">
        <v>6.8</v>
      </c>
      <c r="BA881">
        <v>19.899999999999999</v>
      </c>
      <c r="BB881">
        <v>564</v>
      </c>
      <c r="BC881">
        <v>68</v>
      </c>
      <c r="BD881">
        <v>1.5</v>
      </c>
      <c r="BE881">
        <v>135</v>
      </c>
      <c r="BF881">
        <v>0.8</v>
      </c>
      <c r="BG881">
        <v>162</v>
      </c>
      <c r="BH881">
        <v>9.1</v>
      </c>
      <c r="BI881">
        <v>9.1999999999999993</v>
      </c>
      <c r="BJ881">
        <v>18.3</v>
      </c>
      <c r="BK881">
        <v>0.34</v>
      </c>
      <c r="BL881">
        <v>7.3</v>
      </c>
      <c r="BM881">
        <v>0.9</v>
      </c>
      <c r="BN881">
        <v>7.5</v>
      </c>
      <c r="BO881">
        <v>2.9</v>
      </c>
      <c r="BP881">
        <f t="shared" si="26"/>
        <v>5.8226028248072268</v>
      </c>
      <c r="BQ881">
        <f t="shared" si="27"/>
        <v>18.457730070389267</v>
      </c>
    </row>
    <row r="882" spans="1:69" hidden="1" x14ac:dyDescent="0.2">
      <c r="A882" t="s">
        <v>2794</v>
      </c>
      <c r="B882" t="s">
        <v>68</v>
      </c>
      <c r="C882" t="s">
        <v>1956</v>
      </c>
      <c r="D882" t="s">
        <v>70</v>
      </c>
      <c r="E882" t="s">
        <v>1022</v>
      </c>
      <c r="F882">
        <v>4</v>
      </c>
      <c r="G882">
        <v>138.78</v>
      </c>
      <c r="H882">
        <v>3</v>
      </c>
      <c r="I882">
        <v>2</v>
      </c>
      <c r="J882">
        <v>2</v>
      </c>
      <c r="K882" t="s">
        <v>110</v>
      </c>
      <c r="L882" t="s">
        <v>162</v>
      </c>
      <c r="M882" s="4">
        <v>1200000000</v>
      </c>
      <c r="N882">
        <v>0</v>
      </c>
      <c r="O882">
        <v>4.6927199999999996</v>
      </c>
      <c r="P882">
        <v>-74.079490000000007</v>
      </c>
      <c r="Q882" t="s">
        <v>2795</v>
      </c>
      <c r="R882">
        <v>8646779.0749999993</v>
      </c>
      <c r="S882">
        <v>0</v>
      </c>
      <c r="T882" t="s">
        <v>75</v>
      </c>
      <c r="U882" t="s">
        <v>76</v>
      </c>
      <c r="V882" t="s">
        <v>77</v>
      </c>
      <c r="W882" t="s">
        <v>78</v>
      </c>
      <c r="X882" t="s">
        <v>79</v>
      </c>
      <c r="Y882">
        <v>3.8452759439627502</v>
      </c>
      <c r="Z882">
        <v>3845.2759439627498</v>
      </c>
      <c r="AA882">
        <v>4.6584666666666701</v>
      </c>
      <c r="AB882">
        <v>-74.083966666666697</v>
      </c>
      <c r="AC882">
        <v>2552</v>
      </c>
      <c r="AD882">
        <v>0</v>
      </c>
      <c r="AE882" t="s">
        <v>80</v>
      </c>
      <c r="AF882" t="s">
        <v>81</v>
      </c>
      <c r="AG882" t="s">
        <v>82</v>
      </c>
      <c r="AH882" t="s">
        <v>83</v>
      </c>
      <c r="AI882" t="s">
        <v>121</v>
      </c>
      <c r="AJ882">
        <v>0.60189213403054798</v>
      </c>
      <c r="AK882">
        <v>4.84023126188821</v>
      </c>
      <c r="AL882">
        <v>0.83078330552737001</v>
      </c>
      <c r="AM882">
        <v>0.45671907508308102</v>
      </c>
      <c r="AN882">
        <v>2.10606185878917</v>
      </c>
      <c r="AO882">
        <v>0.19121028337951301</v>
      </c>
      <c r="AP882">
        <v>0.19121028337951301</v>
      </c>
      <c r="AQ882">
        <v>0</v>
      </c>
      <c r="AR882">
        <v>3</v>
      </c>
      <c r="AS882">
        <v>0</v>
      </c>
      <c r="AT882">
        <v>0</v>
      </c>
      <c r="AU882">
        <v>1</v>
      </c>
      <c r="AV882">
        <v>45</v>
      </c>
      <c r="AW882">
        <v>0</v>
      </c>
      <c r="AX882">
        <v>0</v>
      </c>
      <c r="AZ882">
        <v>6.8</v>
      </c>
      <c r="BA882">
        <v>19.899999999999999</v>
      </c>
      <c r="BB882">
        <v>564</v>
      </c>
      <c r="BC882">
        <v>68</v>
      </c>
      <c r="BD882">
        <v>1.5</v>
      </c>
      <c r="BE882">
        <v>135</v>
      </c>
      <c r="BF882">
        <v>0.8</v>
      </c>
      <c r="BG882">
        <v>162</v>
      </c>
      <c r="BH882">
        <v>9.1</v>
      </c>
      <c r="BI882">
        <v>9.1999999999999993</v>
      </c>
      <c r="BJ882">
        <v>18.3</v>
      </c>
      <c r="BK882">
        <v>0.34</v>
      </c>
      <c r="BL882">
        <v>7.3</v>
      </c>
      <c r="BM882">
        <v>0.9</v>
      </c>
      <c r="BN882">
        <v>7.5</v>
      </c>
      <c r="BO882">
        <v>2.9</v>
      </c>
      <c r="BP882">
        <f t="shared" si="26"/>
        <v>5.6214039898060548</v>
      </c>
      <c r="BQ882">
        <f t="shared" si="27"/>
        <v>18.145690764453089</v>
      </c>
    </row>
    <row r="883" spans="1:69" hidden="1" x14ac:dyDescent="0.2">
      <c r="A883" t="s">
        <v>1966</v>
      </c>
      <c r="B883" t="s">
        <v>68</v>
      </c>
      <c r="C883" t="s">
        <v>1956</v>
      </c>
      <c r="D883" t="s">
        <v>70</v>
      </c>
      <c r="E883" t="s">
        <v>1127</v>
      </c>
      <c r="F883">
        <v>4</v>
      </c>
      <c r="G883">
        <v>137.5</v>
      </c>
      <c r="H883">
        <v>5</v>
      </c>
      <c r="I883">
        <v>3</v>
      </c>
      <c r="J883">
        <v>1</v>
      </c>
      <c r="K883" t="s">
        <v>110</v>
      </c>
      <c r="L883" t="s">
        <v>162</v>
      </c>
      <c r="M883" s="4">
        <v>950000000</v>
      </c>
      <c r="N883">
        <v>0</v>
      </c>
      <c r="O883">
        <v>4.6448273999999996</v>
      </c>
      <c r="P883">
        <v>-74.070999999999998</v>
      </c>
      <c r="Q883" t="s">
        <v>1967</v>
      </c>
      <c r="R883">
        <v>6909090.909</v>
      </c>
      <c r="S883">
        <v>0</v>
      </c>
      <c r="T883" t="s">
        <v>75</v>
      </c>
      <c r="U883" t="s">
        <v>76</v>
      </c>
      <c r="V883" t="s">
        <v>77</v>
      </c>
      <c r="W883" t="s">
        <v>78</v>
      </c>
      <c r="X883" t="s">
        <v>79</v>
      </c>
      <c r="Y883">
        <v>2.0916759155814102</v>
      </c>
      <c r="Z883">
        <v>2091.6759155814102</v>
      </c>
      <c r="AA883">
        <v>4.6584666666666701</v>
      </c>
      <c r="AB883">
        <v>-74.083966666666697</v>
      </c>
      <c r="AC883">
        <v>2552</v>
      </c>
      <c r="AD883">
        <v>0</v>
      </c>
      <c r="AE883" t="s">
        <v>80</v>
      </c>
      <c r="AF883" t="s">
        <v>81</v>
      </c>
      <c r="AG883" t="s">
        <v>82</v>
      </c>
      <c r="AH883" t="s">
        <v>83</v>
      </c>
      <c r="AI883" t="s">
        <v>84</v>
      </c>
      <c r="AJ883">
        <v>0.60867590635408697</v>
      </c>
      <c r="AK883">
        <v>1.5525255810177001</v>
      </c>
      <c r="AL883">
        <v>0.17151672856398401</v>
      </c>
      <c r="AM883">
        <v>7.9506737131104593E-2</v>
      </c>
      <c r="AN883">
        <v>1.4426765276150499</v>
      </c>
      <c r="AO883">
        <v>0.19257246269815601</v>
      </c>
      <c r="AP883">
        <v>0.19257246269815601</v>
      </c>
      <c r="AQ883">
        <v>0</v>
      </c>
      <c r="AR883">
        <v>6</v>
      </c>
      <c r="AS883">
        <v>0</v>
      </c>
      <c r="AT883">
        <v>0</v>
      </c>
      <c r="AU883">
        <v>8</v>
      </c>
      <c r="AV883">
        <v>102</v>
      </c>
      <c r="AW883">
        <v>0</v>
      </c>
      <c r="AX883">
        <v>0</v>
      </c>
      <c r="AZ883">
        <v>6.8</v>
      </c>
      <c r="BA883">
        <v>19.899999999999999</v>
      </c>
      <c r="BB883">
        <v>564</v>
      </c>
      <c r="BC883">
        <v>68</v>
      </c>
      <c r="BD883">
        <v>1.5</v>
      </c>
      <c r="BE883">
        <v>135</v>
      </c>
      <c r="BF883">
        <v>0.8</v>
      </c>
      <c r="BG883">
        <v>162</v>
      </c>
      <c r="BH883">
        <v>9.1</v>
      </c>
      <c r="BI883">
        <v>9.1999999999999993</v>
      </c>
      <c r="BJ883">
        <v>18.3</v>
      </c>
      <c r="BK883">
        <v>0.34</v>
      </c>
      <c r="BL883">
        <v>7.3</v>
      </c>
      <c r="BM883">
        <v>0.9</v>
      </c>
      <c r="BN883">
        <v>7.5</v>
      </c>
      <c r="BO883">
        <v>2.9</v>
      </c>
      <c r="BP883">
        <f t="shared" si="26"/>
        <v>6.1311642245918074</v>
      </c>
      <c r="BQ883">
        <f t="shared" si="27"/>
        <v>18.925675832011208</v>
      </c>
    </row>
    <row r="884" spans="1:69" hidden="1" x14ac:dyDescent="0.2">
      <c r="A884" t="s">
        <v>2701</v>
      </c>
      <c r="B884" t="s">
        <v>68</v>
      </c>
      <c r="C884" t="s">
        <v>1956</v>
      </c>
      <c r="D884" t="s">
        <v>70</v>
      </c>
      <c r="E884" t="s">
        <v>2702</v>
      </c>
      <c r="F884">
        <v>3</v>
      </c>
      <c r="G884">
        <v>137.06</v>
      </c>
      <c r="H884">
        <v>5</v>
      </c>
      <c r="I884">
        <v>4</v>
      </c>
      <c r="J884">
        <v>0</v>
      </c>
      <c r="K884" t="s">
        <v>110</v>
      </c>
      <c r="L884" t="s">
        <v>162</v>
      </c>
      <c r="M884" s="4">
        <v>500000000</v>
      </c>
      <c r="N884">
        <v>0</v>
      </c>
      <c r="O884">
        <v>4.5680366000000001</v>
      </c>
      <c r="P884">
        <v>-74.125045999999998</v>
      </c>
      <c r="Q884" t="s">
        <v>2703</v>
      </c>
      <c r="R884">
        <v>3648037.3560000001</v>
      </c>
      <c r="S884">
        <v>0</v>
      </c>
      <c r="T884" t="s">
        <v>1843</v>
      </c>
      <c r="U884" t="s">
        <v>1844</v>
      </c>
      <c r="V884" t="s">
        <v>77</v>
      </c>
      <c r="W884" t="s">
        <v>1845</v>
      </c>
      <c r="X884" t="s">
        <v>1846</v>
      </c>
      <c r="Y884">
        <v>1.1228976973275</v>
      </c>
      <c r="Z884">
        <v>1122.8976973275001</v>
      </c>
      <c r="AA884">
        <v>4.576225</v>
      </c>
      <c r="AB884">
        <v>-74.130955555555502</v>
      </c>
      <c r="AC884">
        <v>2589</v>
      </c>
      <c r="AD884">
        <v>0</v>
      </c>
      <c r="AE884" t="s">
        <v>80</v>
      </c>
      <c r="AF884" t="s">
        <v>107</v>
      </c>
      <c r="AG884" t="s">
        <v>82</v>
      </c>
      <c r="AH884" t="s">
        <v>83</v>
      </c>
      <c r="AI884" t="s">
        <v>1847</v>
      </c>
      <c r="AJ884">
        <v>0.32616653602536899</v>
      </c>
      <c r="AK884">
        <v>4.9297880626305997</v>
      </c>
      <c r="AL884">
        <v>2.0646765885551601</v>
      </c>
      <c r="AM884">
        <v>8.9200862776363701E-2</v>
      </c>
      <c r="AN884">
        <v>2.1920821635671501</v>
      </c>
      <c r="AO884">
        <v>0.23351502828735801</v>
      </c>
      <c r="AP884">
        <v>0.23351502828735801</v>
      </c>
      <c r="AQ884">
        <v>2</v>
      </c>
      <c r="AR884">
        <v>4</v>
      </c>
      <c r="AS884">
        <v>0</v>
      </c>
      <c r="AT884">
        <v>0</v>
      </c>
      <c r="AU884">
        <v>0</v>
      </c>
      <c r="AV884">
        <v>13</v>
      </c>
      <c r="AW884">
        <v>0</v>
      </c>
      <c r="AX884">
        <v>0</v>
      </c>
      <c r="AZ884">
        <v>6.8</v>
      </c>
      <c r="BA884">
        <v>19.899999999999999</v>
      </c>
      <c r="BB884">
        <v>564</v>
      </c>
      <c r="BC884">
        <v>68</v>
      </c>
      <c r="BD884">
        <v>1.5</v>
      </c>
      <c r="BE884">
        <v>135</v>
      </c>
      <c r="BF884">
        <v>0.8</v>
      </c>
      <c r="BG884">
        <v>162</v>
      </c>
      <c r="BH884">
        <v>9.1</v>
      </c>
      <c r="BI884">
        <v>9.1999999999999993</v>
      </c>
      <c r="BJ884">
        <v>18.3</v>
      </c>
      <c r="BK884">
        <v>0.34</v>
      </c>
      <c r="BL884">
        <v>7.3</v>
      </c>
      <c r="BM884">
        <v>0.9</v>
      </c>
      <c r="BN884">
        <v>7.5</v>
      </c>
      <c r="BO884">
        <v>2.9</v>
      </c>
      <c r="BP884">
        <f t="shared" si="26"/>
        <v>6.4323450493132661</v>
      </c>
      <c r="BQ884">
        <f t="shared" si="27"/>
        <v>19.370866043841044</v>
      </c>
    </row>
    <row r="885" spans="1:69" hidden="1" x14ac:dyDescent="0.2">
      <c r="A885" t="s">
        <v>315</v>
      </c>
      <c r="B885" t="s">
        <v>68</v>
      </c>
      <c r="C885" t="s">
        <v>69</v>
      </c>
      <c r="D885" t="s">
        <v>70</v>
      </c>
      <c r="E885" t="s">
        <v>310</v>
      </c>
      <c r="F885">
        <v>6</v>
      </c>
      <c r="G885">
        <v>136</v>
      </c>
      <c r="H885">
        <v>2</v>
      </c>
      <c r="I885">
        <v>3</v>
      </c>
      <c r="J885">
        <v>3</v>
      </c>
      <c r="K885" t="s">
        <v>110</v>
      </c>
      <c r="L885" t="s">
        <v>111</v>
      </c>
      <c r="M885" s="4">
        <v>2400000000</v>
      </c>
      <c r="N885">
        <v>0</v>
      </c>
      <c r="O885">
        <v>4.6632809640000001</v>
      </c>
      <c r="P885">
        <v>-74.046417239999997</v>
      </c>
      <c r="Q885" t="s">
        <v>316</v>
      </c>
      <c r="R885">
        <v>17647058.82</v>
      </c>
      <c r="S885">
        <v>0</v>
      </c>
      <c r="T885" t="s">
        <v>75</v>
      </c>
      <c r="U885" t="s">
        <v>76</v>
      </c>
      <c r="V885" t="s">
        <v>77</v>
      </c>
      <c r="W885" t="s">
        <v>78</v>
      </c>
      <c r="X885" t="s">
        <v>79</v>
      </c>
      <c r="Y885">
        <v>4.20048895085732</v>
      </c>
      <c r="Z885">
        <v>4200.4889508573197</v>
      </c>
      <c r="AA885">
        <v>4.6584666666666701</v>
      </c>
      <c r="AB885">
        <v>-74.083966666666697</v>
      </c>
      <c r="AC885">
        <v>2552</v>
      </c>
      <c r="AD885">
        <v>0</v>
      </c>
      <c r="AE885" t="s">
        <v>80</v>
      </c>
      <c r="AF885" t="s">
        <v>81</v>
      </c>
      <c r="AG885" t="s">
        <v>82</v>
      </c>
      <c r="AH885" t="s">
        <v>83</v>
      </c>
      <c r="AI885" t="s">
        <v>130</v>
      </c>
      <c r="AJ885">
        <v>1.6312305925311601</v>
      </c>
      <c r="AK885">
        <v>0.14417073379659501</v>
      </c>
      <c r="AL885">
        <v>0.82149002898493795</v>
      </c>
      <c r="AM885">
        <v>0.18128316882024201</v>
      </c>
      <c r="AN885">
        <v>2.7380131423358298</v>
      </c>
      <c r="AO885">
        <v>0.45467248501431101</v>
      </c>
      <c r="AP885">
        <v>0.45467248501431101</v>
      </c>
      <c r="AQ885">
        <v>0</v>
      </c>
      <c r="AR885">
        <v>0</v>
      </c>
      <c r="AS885">
        <v>10</v>
      </c>
      <c r="AT885">
        <v>38</v>
      </c>
      <c r="AU885">
        <v>2</v>
      </c>
      <c r="AV885">
        <v>16</v>
      </c>
      <c r="AW885">
        <v>0</v>
      </c>
      <c r="AX885">
        <v>0</v>
      </c>
      <c r="AZ885">
        <v>6.8</v>
      </c>
      <c r="BA885">
        <v>19.899999999999999</v>
      </c>
      <c r="BB885">
        <v>564</v>
      </c>
      <c r="BC885">
        <v>68</v>
      </c>
      <c r="BD885">
        <v>1.5</v>
      </c>
      <c r="BE885">
        <v>135</v>
      </c>
      <c r="BF885">
        <v>0.8</v>
      </c>
      <c r="BG885">
        <v>162</v>
      </c>
      <c r="BH885">
        <v>9.1</v>
      </c>
      <c r="BI885">
        <v>9.1999999999999993</v>
      </c>
      <c r="BJ885">
        <v>18.3</v>
      </c>
      <c r="BK885">
        <v>0.34</v>
      </c>
      <c r="BL885">
        <v>7.3</v>
      </c>
      <c r="BM885">
        <v>0.9</v>
      </c>
      <c r="BN885">
        <v>7.5</v>
      </c>
      <c r="BO885">
        <v>2.9</v>
      </c>
      <c r="BP885">
        <f t="shared" si="26"/>
        <v>5.5234264925604313</v>
      </c>
      <c r="BQ885">
        <f t="shared" si="27"/>
        <v>17.991654237615791</v>
      </c>
    </row>
    <row r="886" spans="1:69" hidden="1" x14ac:dyDescent="0.2">
      <c r="A886" t="s">
        <v>2208</v>
      </c>
      <c r="B886" t="s">
        <v>68</v>
      </c>
      <c r="C886" t="s">
        <v>1956</v>
      </c>
      <c r="D886" t="s">
        <v>70</v>
      </c>
      <c r="E886" t="s">
        <v>1103</v>
      </c>
      <c r="F886">
        <v>3</v>
      </c>
      <c r="G886">
        <v>135.6</v>
      </c>
      <c r="H886">
        <v>5</v>
      </c>
      <c r="I886">
        <v>5</v>
      </c>
      <c r="J886">
        <v>2</v>
      </c>
      <c r="K886" t="s">
        <v>110</v>
      </c>
      <c r="L886" t="s">
        <v>124</v>
      </c>
      <c r="M886" s="4">
        <v>2100000000</v>
      </c>
      <c r="N886">
        <v>0</v>
      </c>
      <c r="O886">
        <v>4.7039875999999996</v>
      </c>
      <c r="P886">
        <v>-74.109409999999997</v>
      </c>
      <c r="Q886" t="s">
        <v>2209</v>
      </c>
      <c r="R886">
        <v>15486725.66</v>
      </c>
      <c r="S886">
        <v>0</v>
      </c>
      <c r="T886" t="s">
        <v>419</v>
      </c>
      <c r="U886" t="s">
        <v>420</v>
      </c>
      <c r="V886" t="s">
        <v>77</v>
      </c>
      <c r="W886" t="s">
        <v>78</v>
      </c>
      <c r="X886" t="s">
        <v>421</v>
      </c>
      <c r="Y886">
        <v>3.9859489134806299</v>
      </c>
      <c r="Z886">
        <v>3985.9489134806299</v>
      </c>
      <c r="AA886">
        <v>4.7358055555555598</v>
      </c>
      <c r="AB886">
        <v>-74.125888888888895</v>
      </c>
      <c r="AC886">
        <v>2574</v>
      </c>
      <c r="AD886">
        <v>0</v>
      </c>
      <c r="AE886" t="s">
        <v>154</v>
      </c>
      <c r="AF886" t="s">
        <v>107</v>
      </c>
      <c r="AG886" t="s">
        <v>82</v>
      </c>
      <c r="AH886" t="s">
        <v>83</v>
      </c>
      <c r="AI886" t="s">
        <v>412</v>
      </c>
      <c r="AJ886">
        <v>0.31155307687282802</v>
      </c>
      <c r="AK886">
        <v>2.9702881445100902</v>
      </c>
      <c r="AL886">
        <v>1.28204215809407</v>
      </c>
      <c r="AM886">
        <v>0.33008012711152301</v>
      </c>
      <c r="AN886">
        <v>1.7156117383496801</v>
      </c>
      <c r="AO886">
        <v>9.0081137835891098E-2</v>
      </c>
      <c r="AP886">
        <v>9.0081137835891098E-2</v>
      </c>
      <c r="AQ886">
        <v>1</v>
      </c>
      <c r="AR886">
        <v>3</v>
      </c>
      <c r="AS886">
        <v>0</v>
      </c>
      <c r="AT886">
        <v>0</v>
      </c>
      <c r="AU886">
        <v>0</v>
      </c>
      <c r="AV886">
        <v>41</v>
      </c>
      <c r="AW886">
        <v>0</v>
      </c>
      <c r="AX886">
        <v>0</v>
      </c>
      <c r="AZ886">
        <v>6.8</v>
      </c>
      <c r="BA886">
        <v>19.899999999999999</v>
      </c>
      <c r="BB886">
        <v>564</v>
      </c>
      <c r="BC886">
        <v>68</v>
      </c>
      <c r="BD886">
        <v>1.5</v>
      </c>
      <c r="BE886">
        <v>135</v>
      </c>
      <c r="BF886">
        <v>0.8</v>
      </c>
      <c r="BG886">
        <v>162</v>
      </c>
      <c r="BH886">
        <v>9.1</v>
      </c>
      <c r="BI886">
        <v>9.1999999999999993</v>
      </c>
      <c r="BJ886">
        <v>18.3</v>
      </c>
      <c r="BK886">
        <v>0.34</v>
      </c>
      <c r="BL886">
        <v>7.3</v>
      </c>
      <c r="BM886">
        <v>0.9</v>
      </c>
      <c r="BN886">
        <v>7.5</v>
      </c>
      <c r="BO886">
        <v>2.9</v>
      </c>
      <c r="BP886">
        <f t="shared" si="26"/>
        <v>5.5823963687303522</v>
      </c>
      <c r="BQ886">
        <f t="shared" si="27"/>
        <v>18.084531467174852</v>
      </c>
    </row>
    <row r="887" spans="1:69" hidden="1" x14ac:dyDescent="0.2">
      <c r="A887" t="s">
        <v>1276</v>
      </c>
      <c r="B887" t="s">
        <v>68</v>
      </c>
      <c r="C887" t="s">
        <v>69</v>
      </c>
      <c r="D887" t="s">
        <v>70</v>
      </c>
      <c r="E887" t="s">
        <v>620</v>
      </c>
      <c r="F887">
        <v>6</v>
      </c>
      <c r="G887">
        <v>133</v>
      </c>
      <c r="H887">
        <v>2</v>
      </c>
      <c r="I887">
        <v>3</v>
      </c>
      <c r="J887">
        <v>2</v>
      </c>
      <c r="K887" t="s">
        <v>110</v>
      </c>
      <c r="L887" t="s">
        <v>111</v>
      </c>
      <c r="M887" s="4">
        <v>2300000000</v>
      </c>
      <c r="N887">
        <v>0</v>
      </c>
      <c r="O887">
        <v>4.6674518020000004</v>
      </c>
      <c r="P887">
        <v>-74.049632549999998</v>
      </c>
      <c r="Q887" t="s">
        <v>1277</v>
      </c>
      <c r="R887">
        <v>17293233.079999998</v>
      </c>
      <c r="S887">
        <v>0</v>
      </c>
      <c r="T887" t="s">
        <v>75</v>
      </c>
      <c r="U887" t="s">
        <v>76</v>
      </c>
      <c r="V887" t="s">
        <v>77</v>
      </c>
      <c r="W887" t="s">
        <v>78</v>
      </c>
      <c r="X887" t="s">
        <v>79</v>
      </c>
      <c r="Y887">
        <v>3.93852956143308</v>
      </c>
      <c r="Z887">
        <v>3938.5295614330798</v>
      </c>
      <c r="AA887">
        <v>4.6584666666666701</v>
      </c>
      <c r="AB887">
        <v>-74.083966666666697</v>
      </c>
      <c r="AC887">
        <v>2552</v>
      </c>
      <c r="AD887">
        <v>0</v>
      </c>
      <c r="AE887" t="s">
        <v>80</v>
      </c>
      <c r="AF887" t="s">
        <v>81</v>
      </c>
      <c r="AG887" t="s">
        <v>82</v>
      </c>
      <c r="AH887" t="s">
        <v>83</v>
      </c>
      <c r="AI887" t="s">
        <v>130</v>
      </c>
      <c r="AJ887">
        <v>1.18635205820274</v>
      </c>
      <c r="AK887">
        <v>0.58296362550855996</v>
      </c>
      <c r="AL887">
        <v>0.53380476274635502</v>
      </c>
      <c r="AM887">
        <v>0.224628278108779</v>
      </c>
      <c r="AN887">
        <v>3.0161353999372</v>
      </c>
      <c r="AO887">
        <v>0.115077207606091</v>
      </c>
      <c r="AP887">
        <v>0.115077207606091</v>
      </c>
      <c r="AQ887">
        <v>0</v>
      </c>
      <c r="AR887">
        <v>0</v>
      </c>
      <c r="AS887">
        <v>0</v>
      </c>
      <c r="AT887">
        <v>23</v>
      </c>
      <c r="AU887">
        <v>7</v>
      </c>
      <c r="AV887">
        <v>160</v>
      </c>
      <c r="AW887">
        <v>0</v>
      </c>
      <c r="AX887">
        <v>0</v>
      </c>
      <c r="AZ887">
        <v>6.8</v>
      </c>
      <c r="BA887">
        <v>19.899999999999999</v>
      </c>
      <c r="BB887">
        <v>564</v>
      </c>
      <c r="BC887">
        <v>68</v>
      </c>
      <c r="BD887">
        <v>1.5</v>
      </c>
      <c r="BE887">
        <v>135</v>
      </c>
      <c r="BF887">
        <v>0.8</v>
      </c>
      <c r="BG887">
        <v>162</v>
      </c>
      <c r="BH887">
        <v>9.1</v>
      </c>
      <c r="BI887">
        <v>9.1999999999999993</v>
      </c>
      <c r="BJ887">
        <v>18.3</v>
      </c>
      <c r="BK887">
        <v>0.34</v>
      </c>
      <c r="BL887">
        <v>7.3</v>
      </c>
      <c r="BM887">
        <v>0.9</v>
      </c>
      <c r="BN887">
        <v>7.5</v>
      </c>
      <c r="BO887">
        <v>2.9</v>
      </c>
      <c r="BP887">
        <f t="shared" si="26"/>
        <v>5.5955150833350622</v>
      </c>
      <c r="BQ887">
        <f t="shared" si="27"/>
        <v>18.105124545419482</v>
      </c>
    </row>
    <row r="888" spans="1:69" hidden="1" x14ac:dyDescent="0.2">
      <c r="A888" t="s">
        <v>2392</v>
      </c>
      <c r="B888" t="s">
        <v>68</v>
      </c>
      <c r="C888" t="s">
        <v>1956</v>
      </c>
      <c r="D888" t="s">
        <v>70</v>
      </c>
      <c r="E888" t="s">
        <v>1569</v>
      </c>
      <c r="F888">
        <v>3</v>
      </c>
      <c r="G888">
        <v>130.30000000000001</v>
      </c>
      <c r="H888">
        <v>5</v>
      </c>
      <c r="I888">
        <v>5</v>
      </c>
      <c r="J888">
        <v>2</v>
      </c>
      <c r="K888" t="s">
        <v>110</v>
      </c>
      <c r="L888" t="s">
        <v>162</v>
      </c>
      <c r="M888" s="4">
        <v>730000000</v>
      </c>
      <c r="N888">
        <v>0</v>
      </c>
      <c r="O888">
        <v>4.7011700000000003</v>
      </c>
      <c r="P888">
        <v>-74.104039999999998</v>
      </c>
      <c r="Q888" t="s">
        <v>2393</v>
      </c>
      <c r="R888">
        <v>5602455.8710000003</v>
      </c>
      <c r="S888">
        <v>0</v>
      </c>
      <c r="T888" t="s">
        <v>419</v>
      </c>
      <c r="U888" t="s">
        <v>420</v>
      </c>
      <c r="V888" t="s">
        <v>77</v>
      </c>
      <c r="W888" t="s">
        <v>78</v>
      </c>
      <c r="X888" t="s">
        <v>421</v>
      </c>
      <c r="Y888">
        <v>4.5542671429301302</v>
      </c>
      <c r="Z888">
        <v>4554.2671429301299</v>
      </c>
      <c r="AA888">
        <v>4.7358055555555598</v>
      </c>
      <c r="AB888">
        <v>-74.125888888888895</v>
      </c>
      <c r="AC888">
        <v>2574</v>
      </c>
      <c r="AD888">
        <v>0</v>
      </c>
      <c r="AE888" t="s">
        <v>154</v>
      </c>
      <c r="AF888" t="s">
        <v>107</v>
      </c>
      <c r="AG888" t="s">
        <v>82</v>
      </c>
      <c r="AH888" t="s">
        <v>83</v>
      </c>
      <c r="AI888" t="s">
        <v>412</v>
      </c>
      <c r="AJ888">
        <v>0.39085469815984403</v>
      </c>
      <c r="AK888">
        <v>3.5989866462029898</v>
      </c>
      <c r="AL888">
        <v>1.05206112028545</v>
      </c>
      <c r="AM888">
        <v>0.11887505683981101</v>
      </c>
      <c r="AN888">
        <v>1.2424621821028501</v>
      </c>
      <c r="AO888">
        <v>8.3678675129626595E-2</v>
      </c>
      <c r="AP888">
        <v>8.3678675129626595E-2</v>
      </c>
      <c r="AQ888">
        <v>2</v>
      </c>
      <c r="AR888">
        <v>4</v>
      </c>
      <c r="AS888">
        <v>0</v>
      </c>
      <c r="AT888">
        <v>0</v>
      </c>
      <c r="AU888">
        <v>0</v>
      </c>
      <c r="AV888">
        <v>31</v>
      </c>
      <c r="AW888">
        <v>0</v>
      </c>
      <c r="AX888">
        <v>0</v>
      </c>
      <c r="AZ888">
        <v>6.8</v>
      </c>
      <c r="BA888">
        <v>19.899999999999999</v>
      </c>
      <c r="BB888">
        <v>564</v>
      </c>
      <c r="BC888">
        <v>68</v>
      </c>
      <c r="BD888">
        <v>1.5</v>
      </c>
      <c r="BE888">
        <v>135</v>
      </c>
      <c r="BF888">
        <v>0.8</v>
      </c>
      <c r="BG888">
        <v>162</v>
      </c>
      <c r="BH888">
        <v>9.1</v>
      </c>
      <c r="BI888">
        <v>9.1999999999999993</v>
      </c>
      <c r="BJ888">
        <v>18.3</v>
      </c>
      <c r="BK888">
        <v>0.34</v>
      </c>
      <c r="BL888">
        <v>7.3</v>
      </c>
      <c r="BM888">
        <v>0.9</v>
      </c>
      <c r="BN888">
        <v>7.5</v>
      </c>
      <c r="BO888">
        <v>2.9</v>
      </c>
      <c r="BP888">
        <f t="shared" si="26"/>
        <v>5.4275421492424041</v>
      </c>
      <c r="BQ888">
        <f t="shared" si="27"/>
        <v>17.839539611705575</v>
      </c>
    </row>
    <row r="889" spans="1:69" hidden="1" x14ac:dyDescent="0.2">
      <c r="A889" t="s">
        <v>1364</v>
      </c>
      <c r="B889" t="s">
        <v>68</v>
      </c>
      <c r="C889" t="s">
        <v>69</v>
      </c>
      <c r="D889" t="s">
        <v>70</v>
      </c>
      <c r="E889" t="s">
        <v>1098</v>
      </c>
      <c r="F889">
        <v>3</v>
      </c>
      <c r="G889">
        <v>127</v>
      </c>
      <c r="H889">
        <v>3</v>
      </c>
      <c r="I889">
        <v>3</v>
      </c>
      <c r="J889">
        <v>0</v>
      </c>
      <c r="K889" t="s">
        <v>110</v>
      </c>
      <c r="L889" t="s">
        <v>162</v>
      </c>
      <c r="M889" s="4">
        <v>762000000</v>
      </c>
      <c r="N889">
        <v>0</v>
      </c>
      <c r="O889">
        <v>4.6070150700000001</v>
      </c>
      <c r="P889">
        <v>-74.066707780000002</v>
      </c>
      <c r="Q889" t="s">
        <v>1365</v>
      </c>
      <c r="R889">
        <v>6000000</v>
      </c>
      <c r="S889">
        <v>0</v>
      </c>
      <c r="T889" t="s">
        <v>126</v>
      </c>
      <c r="U889" t="s">
        <v>127</v>
      </c>
      <c r="V889" t="s">
        <v>77</v>
      </c>
      <c r="W889" t="s">
        <v>128</v>
      </c>
      <c r="X889" t="s">
        <v>129</v>
      </c>
      <c r="Y889">
        <v>2.0564096395237002</v>
      </c>
      <c r="Z889">
        <v>2056.4096395237002</v>
      </c>
      <c r="AA889">
        <v>4.6254861111111101</v>
      </c>
      <c r="AB889">
        <v>-74.066980555555503</v>
      </c>
      <c r="AC889">
        <v>2621</v>
      </c>
      <c r="AD889">
        <v>15</v>
      </c>
      <c r="AE889" t="s">
        <v>80</v>
      </c>
      <c r="AF889" t="s">
        <v>81</v>
      </c>
      <c r="AG889" t="s">
        <v>82</v>
      </c>
      <c r="AH889" t="s">
        <v>83</v>
      </c>
      <c r="AI889" t="s">
        <v>138</v>
      </c>
      <c r="AJ889">
        <v>0.27033088744983802</v>
      </c>
      <c r="AK889">
        <v>0.223943986962651</v>
      </c>
      <c r="AL889">
        <v>9.91974108203698E-2</v>
      </c>
      <c r="AM889">
        <v>0.392901744695907</v>
      </c>
      <c r="AN889">
        <v>0.91450155293346602</v>
      </c>
      <c r="AO889">
        <v>0.14476419998323201</v>
      </c>
      <c r="AP889">
        <v>0.14476419998323201</v>
      </c>
      <c r="AQ889">
        <v>1</v>
      </c>
      <c r="AR889">
        <v>6</v>
      </c>
      <c r="AS889">
        <v>24</v>
      </c>
      <c r="AT889">
        <v>32</v>
      </c>
      <c r="AU889">
        <v>9</v>
      </c>
      <c r="AV889">
        <v>46</v>
      </c>
      <c r="AW889">
        <v>1</v>
      </c>
      <c r="AX889">
        <v>7</v>
      </c>
      <c r="AZ889">
        <v>6.8</v>
      </c>
      <c r="BA889">
        <v>19.899999999999999</v>
      </c>
      <c r="BB889">
        <v>564</v>
      </c>
      <c r="BC889">
        <v>68</v>
      </c>
      <c r="BD889">
        <v>1.5</v>
      </c>
      <c r="BE889">
        <v>135</v>
      </c>
      <c r="BF889">
        <v>0.8</v>
      </c>
      <c r="BG889">
        <v>162</v>
      </c>
      <c r="BH889">
        <v>9.1</v>
      </c>
      <c r="BI889">
        <v>9.1999999999999993</v>
      </c>
      <c r="BJ889">
        <v>18.3</v>
      </c>
      <c r="BK889">
        <v>0.34</v>
      </c>
      <c r="BL889">
        <v>7.3</v>
      </c>
      <c r="BM889">
        <v>0.9</v>
      </c>
      <c r="BN889">
        <v>7.5</v>
      </c>
      <c r="BO889">
        <v>2.9</v>
      </c>
      <c r="BP889">
        <f t="shared" si="26"/>
        <v>6.1418766269281395</v>
      </c>
      <c r="BQ889">
        <f t="shared" si="27"/>
        <v>18.94170112748775</v>
      </c>
    </row>
    <row r="890" spans="1:69" hidden="1" x14ac:dyDescent="0.2">
      <c r="A890" t="s">
        <v>2841</v>
      </c>
      <c r="B890" t="s">
        <v>68</v>
      </c>
      <c r="C890" t="s">
        <v>1956</v>
      </c>
      <c r="D890" t="s">
        <v>70</v>
      </c>
      <c r="E890" t="s">
        <v>2842</v>
      </c>
      <c r="F890">
        <v>4</v>
      </c>
      <c r="G890">
        <v>126</v>
      </c>
      <c r="H890">
        <v>3</v>
      </c>
      <c r="I890">
        <v>3</v>
      </c>
      <c r="J890">
        <v>2</v>
      </c>
      <c r="K890" t="s">
        <v>110</v>
      </c>
      <c r="L890" t="s">
        <v>162</v>
      </c>
      <c r="M890" s="4">
        <v>950000000</v>
      </c>
      <c r="N890">
        <v>0</v>
      </c>
      <c r="O890">
        <v>4.6691637000000004</v>
      </c>
      <c r="P890">
        <v>-74.085850100000002</v>
      </c>
      <c r="Q890" t="s">
        <v>2843</v>
      </c>
      <c r="R890">
        <v>7539682.54</v>
      </c>
      <c r="S890">
        <v>0</v>
      </c>
      <c r="T890" t="s">
        <v>75</v>
      </c>
      <c r="U890" t="s">
        <v>76</v>
      </c>
      <c r="V890" t="s">
        <v>77</v>
      </c>
      <c r="W890" t="s">
        <v>78</v>
      </c>
      <c r="X890" t="s">
        <v>79</v>
      </c>
      <c r="Y890">
        <v>1.2089849764924301</v>
      </c>
      <c r="Z890">
        <v>1208.98497649243</v>
      </c>
      <c r="AA890">
        <v>4.6584666666666701</v>
      </c>
      <c r="AB890">
        <v>-74.083966666666697</v>
      </c>
      <c r="AC890">
        <v>2552</v>
      </c>
      <c r="AD890">
        <v>0</v>
      </c>
      <c r="AE890" t="s">
        <v>80</v>
      </c>
      <c r="AF890" t="s">
        <v>81</v>
      </c>
      <c r="AG890" t="s">
        <v>82</v>
      </c>
      <c r="AH890" t="s">
        <v>83</v>
      </c>
      <c r="AI890" t="s">
        <v>342</v>
      </c>
      <c r="AJ890">
        <v>1.28829111634911</v>
      </c>
      <c r="AK890">
        <v>4.4243403090621296</v>
      </c>
      <c r="AL890">
        <v>2.1461170314008999</v>
      </c>
      <c r="AM890">
        <v>9.05302389918652E-2</v>
      </c>
      <c r="AN890">
        <v>0.67783383305669398</v>
      </c>
      <c r="AO890">
        <v>0.28370949738295098</v>
      </c>
      <c r="AP890">
        <v>0.28370949738295098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19</v>
      </c>
      <c r="AW890">
        <v>1</v>
      </c>
      <c r="AX890">
        <v>0</v>
      </c>
      <c r="AZ890">
        <v>6.8</v>
      </c>
      <c r="BA890">
        <v>19.899999999999999</v>
      </c>
      <c r="BB890">
        <v>564</v>
      </c>
      <c r="BC890">
        <v>68</v>
      </c>
      <c r="BD890">
        <v>1.5</v>
      </c>
      <c r="BE890">
        <v>135</v>
      </c>
      <c r="BF890">
        <v>0.8</v>
      </c>
      <c r="BG890">
        <v>162</v>
      </c>
      <c r="BH890">
        <v>9.1</v>
      </c>
      <c r="BI890">
        <v>9.1999999999999993</v>
      </c>
      <c r="BJ890">
        <v>18.3</v>
      </c>
      <c r="BK890">
        <v>0.34</v>
      </c>
      <c r="BL890">
        <v>7.3</v>
      </c>
      <c r="BM890">
        <v>0.9</v>
      </c>
      <c r="BN890">
        <v>7.5</v>
      </c>
      <c r="BO890">
        <v>2.9</v>
      </c>
      <c r="BP890">
        <f t="shared" si="26"/>
        <v>6.4049930857869413</v>
      </c>
      <c r="BQ890">
        <f t="shared" si="27"/>
        <v>19.330885316381117</v>
      </c>
    </row>
    <row r="891" spans="1:69" hidden="1" x14ac:dyDescent="0.2">
      <c r="A891" t="s">
        <v>2423</v>
      </c>
      <c r="B891" t="s">
        <v>68</v>
      </c>
      <c r="C891" t="s">
        <v>1956</v>
      </c>
      <c r="D891" t="s">
        <v>70</v>
      </c>
      <c r="E891" t="s">
        <v>1117</v>
      </c>
      <c r="F891">
        <v>4</v>
      </c>
      <c r="G891">
        <v>126</v>
      </c>
      <c r="H891">
        <v>3</v>
      </c>
      <c r="I891">
        <v>3</v>
      </c>
      <c r="J891">
        <v>2</v>
      </c>
      <c r="K891" t="s">
        <v>110</v>
      </c>
      <c r="L891" t="s">
        <v>124</v>
      </c>
      <c r="M891" s="4">
        <v>900000000</v>
      </c>
      <c r="N891">
        <v>0</v>
      </c>
      <c r="O891">
        <v>4.6693454000000001</v>
      </c>
      <c r="P891">
        <v>-74.085650000000001</v>
      </c>
      <c r="Q891" t="s">
        <v>2424</v>
      </c>
      <c r="R891">
        <v>7142857.1430000002</v>
      </c>
      <c r="S891">
        <v>0</v>
      </c>
      <c r="T891" t="s">
        <v>75</v>
      </c>
      <c r="U891" t="s">
        <v>76</v>
      </c>
      <c r="V891" t="s">
        <v>77</v>
      </c>
      <c r="W891" t="s">
        <v>78</v>
      </c>
      <c r="X891" t="s">
        <v>79</v>
      </c>
      <c r="Y891">
        <v>1.2253324039144999</v>
      </c>
      <c r="Z891">
        <v>1225.3324039145</v>
      </c>
      <c r="AA891">
        <v>4.6584666666666701</v>
      </c>
      <c r="AB891">
        <v>-74.083966666666697</v>
      </c>
      <c r="AC891">
        <v>2552</v>
      </c>
      <c r="AD891">
        <v>0</v>
      </c>
      <c r="AE891" t="s">
        <v>80</v>
      </c>
      <c r="AF891" t="s">
        <v>81</v>
      </c>
      <c r="AG891" t="s">
        <v>82</v>
      </c>
      <c r="AH891" t="s">
        <v>83</v>
      </c>
      <c r="AI891" t="s">
        <v>342</v>
      </c>
      <c r="AJ891">
        <v>1.27184252975858</v>
      </c>
      <c r="AK891">
        <v>4.41885841573127</v>
      </c>
      <c r="AL891">
        <v>2.1622781003072902</v>
      </c>
      <c r="AM891">
        <v>6.6413343556685503E-2</v>
      </c>
      <c r="AN891">
        <v>0.64815072494577197</v>
      </c>
      <c r="AO891">
        <v>0.25426072115731102</v>
      </c>
      <c r="AP891">
        <v>0.25426072115731102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19</v>
      </c>
      <c r="AW891">
        <v>1</v>
      </c>
      <c r="AX891">
        <v>0</v>
      </c>
      <c r="AZ891">
        <v>6.8</v>
      </c>
      <c r="BA891">
        <v>19.899999999999999</v>
      </c>
      <c r="BB891">
        <v>564</v>
      </c>
      <c r="BC891">
        <v>68</v>
      </c>
      <c r="BD891">
        <v>1.5</v>
      </c>
      <c r="BE891">
        <v>135</v>
      </c>
      <c r="BF891">
        <v>0.8</v>
      </c>
      <c r="BG891">
        <v>162</v>
      </c>
      <c r="BH891">
        <v>9.1</v>
      </c>
      <c r="BI891">
        <v>9.1999999999999993</v>
      </c>
      <c r="BJ891">
        <v>18.3</v>
      </c>
      <c r="BK891">
        <v>0.34</v>
      </c>
      <c r="BL891">
        <v>7.3</v>
      </c>
      <c r="BM891">
        <v>0.9</v>
      </c>
      <c r="BN891">
        <v>7.5</v>
      </c>
      <c r="BO891">
        <v>2.9</v>
      </c>
      <c r="BP891">
        <f t="shared" si="26"/>
        <v>6.3998122768182473</v>
      </c>
      <c r="BQ891">
        <f t="shared" si="27"/>
        <v>19.323302558108335</v>
      </c>
    </row>
    <row r="892" spans="1:69" hidden="1" x14ac:dyDescent="0.2">
      <c r="A892" t="s">
        <v>554</v>
      </c>
      <c r="B892" t="s">
        <v>68</v>
      </c>
      <c r="C892" t="s">
        <v>69</v>
      </c>
      <c r="D892" t="s">
        <v>70</v>
      </c>
      <c r="E892" t="s">
        <v>535</v>
      </c>
      <c r="F892">
        <v>3</v>
      </c>
      <c r="G892">
        <v>126</v>
      </c>
      <c r="H892">
        <v>3</v>
      </c>
      <c r="I892">
        <v>2</v>
      </c>
      <c r="J892">
        <v>0</v>
      </c>
      <c r="K892" t="s">
        <v>110</v>
      </c>
      <c r="L892" t="s">
        <v>162</v>
      </c>
      <c r="M892" s="4">
        <v>780000000</v>
      </c>
      <c r="N892">
        <v>0</v>
      </c>
      <c r="O892">
        <v>4.6049466130000001</v>
      </c>
      <c r="P892">
        <v>-74.066543580000001</v>
      </c>
      <c r="Q892" t="s">
        <v>555</v>
      </c>
      <c r="R892">
        <v>6190476.1900000004</v>
      </c>
      <c r="S892">
        <v>0</v>
      </c>
      <c r="T892" t="s">
        <v>126</v>
      </c>
      <c r="U892" t="s">
        <v>127</v>
      </c>
      <c r="V892" t="s">
        <v>77</v>
      </c>
      <c r="W892" t="s">
        <v>128</v>
      </c>
      <c r="X892" t="s">
        <v>129</v>
      </c>
      <c r="Y892">
        <v>2.2869605096965699</v>
      </c>
      <c r="Z892">
        <v>2286.9605096965702</v>
      </c>
      <c r="AA892">
        <v>4.6254861111111101</v>
      </c>
      <c r="AB892">
        <v>-74.066980555555503</v>
      </c>
      <c r="AC892">
        <v>2621</v>
      </c>
      <c r="AD892">
        <v>15</v>
      </c>
      <c r="AE892" t="s">
        <v>80</v>
      </c>
      <c r="AF892" t="s">
        <v>81</v>
      </c>
      <c r="AG892" t="s">
        <v>82</v>
      </c>
      <c r="AH892" t="s">
        <v>83</v>
      </c>
      <c r="AI892" t="s">
        <v>138</v>
      </c>
      <c r="AJ892">
        <v>9.1847888220908405E-2</v>
      </c>
      <c r="AK892">
        <v>0.24273609508341401</v>
      </c>
      <c r="AL892">
        <v>0.23260249858958801</v>
      </c>
      <c r="AM892">
        <v>0.26069611793023201</v>
      </c>
      <c r="AN892">
        <v>1.1424697195975799</v>
      </c>
      <c r="AO892">
        <v>9.5799130257334802E-2</v>
      </c>
      <c r="AP892">
        <v>9.5799130257334802E-2</v>
      </c>
      <c r="AQ892">
        <v>2</v>
      </c>
      <c r="AR892">
        <v>5</v>
      </c>
      <c r="AS892">
        <v>24</v>
      </c>
      <c r="AT892">
        <v>41</v>
      </c>
      <c r="AU892">
        <v>11</v>
      </c>
      <c r="AV892">
        <v>41</v>
      </c>
      <c r="AW892">
        <v>0</v>
      </c>
      <c r="AX892">
        <v>8</v>
      </c>
      <c r="AZ892">
        <v>6.8</v>
      </c>
      <c r="BA892">
        <v>19.899999999999999</v>
      </c>
      <c r="BB892">
        <v>564</v>
      </c>
      <c r="BC892">
        <v>68</v>
      </c>
      <c r="BD892">
        <v>1.5</v>
      </c>
      <c r="BE892">
        <v>135</v>
      </c>
      <c r="BF892">
        <v>0.8</v>
      </c>
      <c r="BG892">
        <v>162</v>
      </c>
      <c r="BH892">
        <v>9.1</v>
      </c>
      <c r="BI892">
        <v>9.1999999999999993</v>
      </c>
      <c r="BJ892">
        <v>18.3</v>
      </c>
      <c r="BK892">
        <v>0.34</v>
      </c>
      <c r="BL892">
        <v>7.3</v>
      </c>
      <c r="BM892">
        <v>0.9</v>
      </c>
      <c r="BN892">
        <v>7.5</v>
      </c>
      <c r="BO892">
        <v>2.9</v>
      </c>
      <c r="BP892">
        <f t="shared" si="26"/>
        <v>6.0721823258236647</v>
      </c>
      <c r="BQ892">
        <f t="shared" si="27"/>
        <v>18.837181941766232</v>
      </c>
    </row>
    <row r="893" spans="1:69" hidden="1" x14ac:dyDescent="0.2">
      <c r="A893" t="s">
        <v>3106</v>
      </c>
      <c r="B893" t="s">
        <v>68</v>
      </c>
      <c r="C893" t="s">
        <v>1956</v>
      </c>
      <c r="D893" t="s">
        <v>70</v>
      </c>
      <c r="E893" t="s">
        <v>3107</v>
      </c>
      <c r="F893">
        <v>3</v>
      </c>
      <c r="G893">
        <v>126</v>
      </c>
      <c r="H893">
        <v>5</v>
      </c>
      <c r="I893">
        <v>4</v>
      </c>
      <c r="J893">
        <v>1</v>
      </c>
      <c r="K893" t="s">
        <v>110</v>
      </c>
      <c r="L893" t="s">
        <v>162</v>
      </c>
      <c r="M893" s="4">
        <v>560000000</v>
      </c>
      <c r="N893">
        <v>0</v>
      </c>
      <c r="O893">
        <v>4.6015100000000002</v>
      </c>
      <c r="P893">
        <v>-74.189869999999999</v>
      </c>
      <c r="Q893" t="s">
        <v>3108</v>
      </c>
      <c r="R893">
        <v>4444444.4440000001</v>
      </c>
      <c r="S893">
        <v>0</v>
      </c>
      <c r="T893" t="s">
        <v>365</v>
      </c>
      <c r="U893" t="s">
        <v>366</v>
      </c>
      <c r="V893" t="s">
        <v>77</v>
      </c>
      <c r="W893" t="s">
        <v>365</v>
      </c>
      <c r="X893" t="s">
        <v>367</v>
      </c>
      <c r="Y893">
        <v>1.6389042568568499</v>
      </c>
      <c r="Z893">
        <v>1638.90425685685</v>
      </c>
      <c r="AA893">
        <v>4.6056111111111102</v>
      </c>
      <c r="AB893">
        <v>-74.204055555555598</v>
      </c>
      <c r="AC893">
        <v>2546</v>
      </c>
      <c r="AD893">
        <v>0</v>
      </c>
      <c r="AE893" t="s">
        <v>80</v>
      </c>
      <c r="AF893" t="s">
        <v>107</v>
      </c>
      <c r="AG893" t="s">
        <v>82</v>
      </c>
      <c r="AH893" t="s">
        <v>83</v>
      </c>
      <c r="AI893" t="s">
        <v>368</v>
      </c>
      <c r="AJ893">
        <v>0.78882084696815002</v>
      </c>
      <c r="AK893">
        <v>3.6348324778224801</v>
      </c>
      <c r="AL893">
        <v>5.7418089342741299</v>
      </c>
      <c r="AM893">
        <v>0.17791874385429199</v>
      </c>
      <c r="AN893">
        <v>0.37315977760148</v>
      </c>
      <c r="AO893">
        <v>0.18768756678078699</v>
      </c>
      <c r="AP893">
        <v>0.18768756678078699</v>
      </c>
      <c r="AQ893">
        <v>0</v>
      </c>
      <c r="AR893">
        <v>1</v>
      </c>
      <c r="AS893">
        <v>0</v>
      </c>
      <c r="AT893">
        <v>0</v>
      </c>
      <c r="AU893">
        <v>0</v>
      </c>
      <c r="AV893">
        <v>22</v>
      </c>
      <c r="AW893">
        <v>1</v>
      </c>
      <c r="AX893">
        <v>0</v>
      </c>
      <c r="AZ893">
        <v>6.8</v>
      </c>
      <c r="BA893">
        <v>19.899999999999999</v>
      </c>
      <c r="BB893">
        <v>564</v>
      </c>
      <c r="BC893">
        <v>68</v>
      </c>
      <c r="BD893">
        <v>1.5</v>
      </c>
      <c r="BE893">
        <v>135</v>
      </c>
      <c r="BF893">
        <v>0.8</v>
      </c>
      <c r="BG893">
        <v>162</v>
      </c>
      <c r="BH893">
        <v>9.1</v>
      </c>
      <c r="BI893">
        <v>9.1999999999999993</v>
      </c>
      <c r="BJ893">
        <v>18.3</v>
      </c>
      <c r="BK893">
        <v>0.34</v>
      </c>
      <c r="BL893">
        <v>7.3</v>
      </c>
      <c r="BM893">
        <v>0.9</v>
      </c>
      <c r="BN893">
        <v>7.5</v>
      </c>
      <c r="BO893">
        <v>2.9</v>
      </c>
      <c r="BP893">
        <f t="shared" si="26"/>
        <v>6.2701285163961504</v>
      </c>
      <c r="BQ893">
        <f t="shared" si="27"/>
        <v>19.132453505478384</v>
      </c>
    </row>
    <row r="894" spans="1:69" hidden="1" x14ac:dyDescent="0.2">
      <c r="A894" t="s">
        <v>1702</v>
      </c>
      <c r="B894" t="s">
        <v>68</v>
      </c>
      <c r="C894" t="s">
        <v>69</v>
      </c>
      <c r="D894" t="s">
        <v>70</v>
      </c>
      <c r="E894" t="s">
        <v>229</v>
      </c>
      <c r="F894">
        <v>6</v>
      </c>
      <c r="G894">
        <v>123</v>
      </c>
      <c r="H894">
        <v>2</v>
      </c>
      <c r="I894">
        <v>2</v>
      </c>
      <c r="J894">
        <v>2</v>
      </c>
      <c r="K894" t="s">
        <v>110</v>
      </c>
      <c r="L894" t="s">
        <v>115</v>
      </c>
      <c r="M894" s="4">
        <v>1100000000</v>
      </c>
      <c r="N894">
        <v>0</v>
      </c>
      <c r="O894">
        <v>4.6739754680000001</v>
      </c>
      <c r="P894">
        <v>-74.048332209999998</v>
      </c>
      <c r="Q894" t="s">
        <v>1703</v>
      </c>
      <c r="R894">
        <v>8943089.4309999999</v>
      </c>
      <c r="S894">
        <v>0</v>
      </c>
      <c r="T894" t="s">
        <v>75</v>
      </c>
      <c r="U894" t="s">
        <v>76</v>
      </c>
      <c r="V894" t="s">
        <v>77</v>
      </c>
      <c r="W894" t="s">
        <v>78</v>
      </c>
      <c r="X894" t="s">
        <v>79</v>
      </c>
      <c r="Y894">
        <v>4.3141635847213804</v>
      </c>
      <c r="Z894">
        <v>4314.1635847213802</v>
      </c>
      <c r="AA894">
        <v>4.6584666666666701</v>
      </c>
      <c r="AB894">
        <v>-74.083966666666697</v>
      </c>
      <c r="AC894">
        <v>2552</v>
      </c>
      <c r="AD894">
        <v>0</v>
      </c>
      <c r="AE894" t="s">
        <v>80</v>
      </c>
      <c r="AF894" t="s">
        <v>81</v>
      </c>
      <c r="AG894" t="s">
        <v>82</v>
      </c>
      <c r="AH894" t="s">
        <v>83</v>
      </c>
      <c r="AI894" t="s">
        <v>130</v>
      </c>
      <c r="AJ894">
        <v>1.2059075870374301</v>
      </c>
      <c r="AK894">
        <v>0.84030004789027402</v>
      </c>
      <c r="AL894">
        <v>1.1724265028465499</v>
      </c>
      <c r="AM894">
        <v>4.6211697241759803E-2</v>
      </c>
      <c r="AN894">
        <v>3.7178757701118599</v>
      </c>
      <c r="AO894">
        <v>0.82746526797525</v>
      </c>
      <c r="AP894">
        <v>0.82746526797525</v>
      </c>
      <c r="AQ894">
        <v>0</v>
      </c>
      <c r="AR894">
        <v>0</v>
      </c>
      <c r="AS894">
        <v>0</v>
      </c>
      <c r="AT894">
        <v>8</v>
      </c>
      <c r="AU894">
        <v>0</v>
      </c>
      <c r="AV894">
        <v>101</v>
      </c>
      <c r="AW894">
        <v>0</v>
      </c>
      <c r="AX894">
        <v>0</v>
      </c>
      <c r="AZ894">
        <v>6.8</v>
      </c>
      <c r="BA894">
        <v>19.899999999999999</v>
      </c>
      <c r="BB894">
        <v>564</v>
      </c>
      <c r="BC894">
        <v>68</v>
      </c>
      <c r="BD894">
        <v>1.5</v>
      </c>
      <c r="BE894">
        <v>135</v>
      </c>
      <c r="BF894">
        <v>0.8</v>
      </c>
      <c r="BG894">
        <v>162</v>
      </c>
      <c r="BH894">
        <v>9.1</v>
      </c>
      <c r="BI894">
        <v>9.1999999999999993</v>
      </c>
      <c r="BJ894">
        <v>18.3</v>
      </c>
      <c r="BK894">
        <v>0.34</v>
      </c>
      <c r="BL894">
        <v>7.3</v>
      </c>
      <c r="BM894">
        <v>0.9</v>
      </c>
      <c r="BN894">
        <v>7.5</v>
      </c>
      <c r="BO894">
        <v>2.9</v>
      </c>
      <c r="BP894">
        <f t="shared" si="26"/>
        <v>5.4924340325146748</v>
      </c>
      <c r="BQ894">
        <f t="shared" si="27"/>
        <v>17.942636459960632</v>
      </c>
    </row>
    <row r="895" spans="1:69" hidden="1" x14ac:dyDescent="0.2">
      <c r="A895" t="s">
        <v>403</v>
      </c>
      <c r="B895" t="s">
        <v>68</v>
      </c>
      <c r="C895" t="s">
        <v>69</v>
      </c>
      <c r="D895" t="s">
        <v>70</v>
      </c>
      <c r="E895" t="s">
        <v>404</v>
      </c>
      <c r="F895">
        <v>6</v>
      </c>
      <c r="G895">
        <v>122</v>
      </c>
      <c r="H895">
        <v>3</v>
      </c>
      <c r="I895">
        <v>3</v>
      </c>
      <c r="J895">
        <v>2</v>
      </c>
      <c r="K895" t="s">
        <v>110</v>
      </c>
      <c r="L895" t="s">
        <v>162</v>
      </c>
      <c r="M895" s="4">
        <v>980000000</v>
      </c>
      <c r="N895">
        <v>0</v>
      </c>
      <c r="O895">
        <v>4.6733312610000004</v>
      </c>
      <c r="P895">
        <v>-74.058006289999994</v>
      </c>
      <c r="Q895" t="s">
        <v>405</v>
      </c>
      <c r="R895">
        <v>8032786.8849999998</v>
      </c>
      <c r="S895">
        <v>0</v>
      </c>
      <c r="T895" t="s">
        <v>75</v>
      </c>
      <c r="U895" t="s">
        <v>76</v>
      </c>
      <c r="V895" t="s">
        <v>77</v>
      </c>
      <c r="W895" t="s">
        <v>78</v>
      </c>
      <c r="X895" t="s">
        <v>79</v>
      </c>
      <c r="Y895">
        <v>3.3217963757870002</v>
      </c>
      <c r="Z895">
        <v>3321.7963757870002</v>
      </c>
      <c r="AA895">
        <v>4.6584666666666701</v>
      </c>
      <c r="AB895">
        <v>-74.083966666666697</v>
      </c>
      <c r="AC895">
        <v>2552</v>
      </c>
      <c r="AD895">
        <v>0</v>
      </c>
      <c r="AE895" t="s">
        <v>80</v>
      </c>
      <c r="AF895" t="s">
        <v>81</v>
      </c>
      <c r="AG895" t="s">
        <v>82</v>
      </c>
      <c r="AH895" t="s">
        <v>83</v>
      </c>
      <c r="AI895" t="s">
        <v>130</v>
      </c>
      <c r="AJ895">
        <v>0.21361040019649699</v>
      </c>
      <c r="AK895">
        <v>1.7155477937797801</v>
      </c>
      <c r="AL895">
        <v>0.60691502714465295</v>
      </c>
      <c r="AM895">
        <v>4.0064203525069501E-2</v>
      </c>
      <c r="AN895">
        <v>2.6456876664798799</v>
      </c>
      <c r="AO895">
        <v>0.77881204529357595</v>
      </c>
      <c r="AP895">
        <v>0.77881204529357595</v>
      </c>
      <c r="AQ895">
        <v>2</v>
      </c>
      <c r="AR895">
        <v>5</v>
      </c>
      <c r="AS895">
        <v>0</v>
      </c>
      <c r="AT895">
        <v>0</v>
      </c>
      <c r="AU895">
        <v>5</v>
      </c>
      <c r="AV895">
        <v>303</v>
      </c>
      <c r="AW895">
        <v>0</v>
      </c>
      <c r="AX895">
        <v>0</v>
      </c>
      <c r="AZ895">
        <v>6.8</v>
      </c>
      <c r="BA895">
        <v>19.899999999999999</v>
      </c>
      <c r="BB895">
        <v>564</v>
      </c>
      <c r="BC895">
        <v>68</v>
      </c>
      <c r="BD895">
        <v>1.5</v>
      </c>
      <c r="BE895">
        <v>135</v>
      </c>
      <c r="BF895">
        <v>0.8</v>
      </c>
      <c r="BG895">
        <v>162</v>
      </c>
      <c r="BH895">
        <v>9.1</v>
      </c>
      <c r="BI895">
        <v>9.1999999999999993</v>
      </c>
      <c r="BJ895">
        <v>18.3</v>
      </c>
      <c r="BK895">
        <v>0.34</v>
      </c>
      <c r="BL895">
        <v>7.3</v>
      </c>
      <c r="BM895">
        <v>0.9</v>
      </c>
      <c r="BN895">
        <v>7.5</v>
      </c>
      <c r="BO895">
        <v>2.9</v>
      </c>
      <c r="BP895">
        <f t="shared" si="26"/>
        <v>5.7689707876224219</v>
      </c>
      <c r="BQ895">
        <f t="shared" si="27"/>
        <v>18.375102415418009</v>
      </c>
    </row>
    <row r="896" spans="1:69" hidden="1" x14ac:dyDescent="0.2">
      <c r="A896" t="s">
        <v>2114</v>
      </c>
      <c r="B896" t="s">
        <v>68</v>
      </c>
      <c r="C896" t="s">
        <v>1956</v>
      </c>
      <c r="D896" t="s">
        <v>70</v>
      </c>
      <c r="E896" t="s">
        <v>2115</v>
      </c>
      <c r="F896">
        <v>3</v>
      </c>
      <c r="G896">
        <v>120</v>
      </c>
      <c r="H896">
        <v>4</v>
      </c>
      <c r="I896">
        <v>3</v>
      </c>
      <c r="J896">
        <v>1</v>
      </c>
      <c r="K896" t="s">
        <v>110</v>
      </c>
      <c r="L896" t="s">
        <v>115</v>
      </c>
      <c r="M896" s="4">
        <v>470000000</v>
      </c>
      <c r="N896">
        <v>0</v>
      </c>
      <c r="O896">
        <v>4.7194753</v>
      </c>
      <c r="P896">
        <v>-74.110755999999995</v>
      </c>
      <c r="Q896" t="s">
        <v>2116</v>
      </c>
      <c r="R896">
        <v>3916666.6669999999</v>
      </c>
      <c r="S896">
        <v>0</v>
      </c>
      <c r="T896" t="s">
        <v>419</v>
      </c>
      <c r="U896" t="s">
        <v>420</v>
      </c>
      <c r="V896" t="s">
        <v>77</v>
      </c>
      <c r="W896" t="s">
        <v>78</v>
      </c>
      <c r="X896" t="s">
        <v>421</v>
      </c>
      <c r="Y896">
        <v>2.47451474465301</v>
      </c>
      <c r="Z896">
        <v>2474.51474465301</v>
      </c>
      <c r="AA896">
        <v>4.7358055555555598</v>
      </c>
      <c r="AB896">
        <v>-74.125888888888895</v>
      </c>
      <c r="AC896">
        <v>2574</v>
      </c>
      <c r="AD896">
        <v>0</v>
      </c>
      <c r="AE896" t="s">
        <v>154</v>
      </c>
      <c r="AF896" t="s">
        <v>107</v>
      </c>
      <c r="AG896" t="s">
        <v>82</v>
      </c>
      <c r="AH896" t="s">
        <v>83</v>
      </c>
      <c r="AI896" t="s">
        <v>412</v>
      </c>
      <c r="AJ896">
        <v>1.0663575216308501</v>
      </c>
      <c r="AK896">
        <v>1.78618775830233</v>
      </c>
      <c r="AL896">
        <v>2.9994937494564899</v>
      </c>
      <c r="AM896">
        <v>0.33106230048453</v>
      </c>
      <c r="AN896">
        <v>3.3772136096983698</v>
      </c>
      <c r="AO896">
        <v>0.19464300405141499</v>
      </c>
      <c r="AP896">
        <v>0.19464300405141499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12</v>
      </c>
      <c r="AW896">
        <v>0</v>
      </c>
      <c r="AX896">
        <v>0</v>
      </c>
      <c r="AZ896">
        <v>6.8</v>
      </c>
      <c r="BA896">
        <v>19.899999999999999</v>
      </c>
      <c r="BB896">
        <v>564</v>
      </c>
      <c r="BC896">
        <v>68</v>
      </c>
      <c r="BD896">
        <v>1.5</v>
      </c>
      <c r="BE896">
        <v>135</v>
      </c>
      <c r="BF896">
        <v>0.8</v>
      </c>
      <c r="BG896">
        <v>162</v>
      </c>
      <c r="BH896">
        <v>9.1</v>
      </c>
      <c r="BI896">
        <v>9.1999999999999993</v>
      </c>
      <c r="BJ896">
        <v>18.3</v>
      </c>
      <c r="BK896">
        <v>0.34</v>
      </c>
      <c r="BL896">
        <v>7.3</v>
      </c>
      <c r="BM896">
        <v>0.9</v>
      </c>
      <c r="BN896">
        <v>7.5</v>
      </c>
      <c r="BO896">
        <v>2.9</v>
      </c>
      <c r="BP896">
        <f t="shared" si="26"/>
        <v>6.0160694591769523</v>
      </c>
      <c r="BQ896">
        <f t="shared" si="27"/>
        <v>18.752580654621941</v>
      </c>
    </row>
    <row r="897" spans="1:69" hidden="1" x14ac:dyDescent="0.2">
      <c r="A897" t="s">
        <v>2199</v>
      </c>
      <c r="B897" t="s">
        <v>68</v>
      </c>
      <c r="C897" t="s">
        <v>1956</v>
      </c>
      <c r="D897" t="s">
        <v>70</v>
      </c>
      <c r="E897" t="s">
        <v>2200</v>
      </c>
      <c r="F897">
        <v>3</v>
      </c>
      <c r="G897">
        <v>120</v>
      </c>
      <c r="H897">
        <v>4</v>
      </c>
      <c r="I897">
        <v>3</v>
      </c>
      <c r="J897">
        <v>1</v>
      </c>
      <c r="K897" t="s">
        <v>110</v>
      </c>
      <c r="L897" t="s">
        <v>124</v>
      </c>
      <c r="M897" s="4">
        <v>400000000</v>
      </c>
      <c r="N897">
        <v>0</v>
      </c>
      <c r="O897">
        <v>4.7115235330000003</v>
      </c>
      <c r="P897">
        <v>-74.118904110000003</v>
      </c>
      <c r="Q897" t="s">
        <v>2201</v>
      </c>
      <c r="R897">
        <v>3333333.3330000001</v>
      </c>
      <c r="S897">
        <v>0</v>
      </c>
      <c r="T897" t="s">
        <v>419</v>
      </c>
      <c r="U897" t="s">
        <v>420</v>
      </c>
      <c r="V897" t="s">
        <v>77</v>
      </c>
      <c r="W897" t="s">
        <v>78</v>
      </c>
      <c r="X897" t="s">
        <v>421</v>
      </c>
      <c r="Y897">
        <v>2.81194202158055</v>
      </c>
      <c r="Z897">
        <v>2811.9420215805499</v>
      </c>
      <c r="AA897">
        <v>4.7358055555555598</v>
      </c>
      <c r="AB897">
        <v>-74.125888888888895</v>
      </c>
      <c r="AC897">
        <v>2574</v>
      </c>
      <c r="AD897">
        <v>0</v>
      </c>
      <c r="AE897" t="s">
        <v>154</v>
      </c>
      <c r="AF897" t="s">
        <v>107</v>
      </c>
      <c r="AG897" t="s">
        <v>82</v>
      </c>
      <c r="AH897" t="s">
        <v>83</v>
      </c>
      <c r="AI897" t="s">
        <v>412</v>
      </c>
      <c r="AJ897">
        <v>0.94977198695455001</v>
      </c>
      <c r="AK897">
        <v>1.67581835558266</v>
      </c>
      <c r="AL897">
        <v>2.4311592474868098</v>
      </c>
      <c r="AM897">
        <v>0.221373210822845</v>
      </c>
      <c r="AN897">
        <v>2.9815978907724898</v>
      </c>
      <c r="AO897">
        <v>8.0148165572668795E-2</v>
      </c>
      <c r="AP897">
        <v>8.0148165572668795E-2</v>
      </c>
      <c r="AQ897">
        <v>0</v>
      </c>
      <c r="AR897">
        <v>1</v>
      </c>
      <c r="AS897">
        <v>0</v>
      </c>
      <c r="AT897">
        <v>0</v>
      </c>
      <c r="AU897">
        <v>0</v>
      </c>
      <c r="AV897">
        <v>15</v>
      </c>
      <c r="AW897">
        <v>0</v>
      </c>
      <c r="AX897">
        <v>0</v>
      </c>
      <c r="AZ897">
        <v>6.8</v>
      </c>
      <c r="BA897">
        <v>19.899999999999999</v>
      </c>
      <c r="BB897">
        <v>564</v>
      </c>
      <c r="BC897">
        <v>68</v>
      </c>
      <c r="BD897">
        <v>1.5</v>
      </c>
      <c r="BE897">
        <v>135</v>
      </c>
      <c r="BF897">
        <v>0.8</v>
      </c>
      <c r="BG897">
        <v>162</v>
      </c>
      <c r="BH897">
        <v>9.1</v>
      </c>
      <c r="BI897">
        <v>9.1999999999999993</v>
      </c>
      <c r="BJ897">
        <v>18.3</v>
      </c>
      <c r="BK897">
        <v>0.34</v>
      </c>
      <c r="BL897">
        <v>7.3</v>
      </c>
      <c r="BM897">
        <v>0.9</v>
      </c>
      <c r="BN897">
        <v>7.5</v>
      </c>
      <c r="BO897">
        <v>2.9</v>
      </c>
      <c r="BP897">
        <f t="shared" si="26"/>
        <v>5.9164196797466309</v>
      </c>
      <c r="BQ897">
        <f t="shared" si="27"/>
        <v>18.601330737978046</v>
      </c>
    </row>
    <row r="898" spans="1:69" hidden="1" x14ac:dyDescent="0.2">
      <c r="A898" t="s">
        <v>1813</v>
      </c>
      <c r="B898" t="s">
        <v>68</v>
      </c>
      <c r="C898" t="s">
        <v>69</v>
      </c>
      <c r="D898" t="s">
        <v>70</v>
      </c>
      <c r="E898" t="s">
        <v>1814</v>
      </c>
      <c r="F898">
        <v>6</v>
      </c>
      <c r="G898">
        <v>118</v>
      </c>
      <c r="H898">
        <v>3</v>
      </c>
      <c r="I898">
        <v>4</v>
      </c>
      <c r="J898">
        <v>2</v>
      </c>
      <c r="K898" t="s">
        <v>110</v>
      </c>
      <c r="L898" t="s">
        <v>111</v>
      </c>
      <c r="M898" s="4">
        <v>1650000000</v>
      </c>
      <c r="N898">
        <v>0</v>
      </c>
      <c r="O898">
        <v>4.673942566</v>
      </c>
      <c r="P898">
        <v>-74.058097840000002</v>
      </c>
      <c r="Q898" t="s">
        <v>1815</v>
      </c>
      <c r="R898">
        <v>13983050.85</v>
      </c>
      <c r="S898">
        <v>0</v>
      </c>
      <c r="T898" t="s">
        <v>75</v>
      </c>
      <c r="U898" t="s">
        <v>76</v>
      </c>
      <c r="V898" t="s">
        <v>77</v>
      </c>
      <c r="W898" t="s">
        <v>78</v>
      </c>
      <c r="X898" t="s">
        <v>79</v>
      </c>
      <c r="Y898">
        <v>3.3474993598453602</v>
      </c>
      <c r="Z898">
        <v>3347.4993598453598</v>
      </c>
      <c r="AA898">
        <v>4.6584666666666701</v>
      </c>
      <c r="AB898">
        <v>-74.083966666666697</v>
      </c>
      <c r="AC898">
        <v>2552</v>
      </c>
      <c r="AD898">
        <v>0</v>
      </c>
      <c r="AE898" t="s">
        <v>80</v>
      </c>
      <c r="AF898" t="s">
        <v>81</v>
      </c>
      <c r="AG898" t="s">
        <v>82</v>
      </c>
      <c r="AH898" t="s">
        <v>83</v>
      </c>
      <c r="AI898" t="s">
        <v>130</v>
      </c>
      <c r="AJ898">
        <v>0.24863193569903699</v>
      </c>
      <c r="AK898">
        <v>1.76231132323115</v>
      </c>
      <c r="AL898">
        <v>0.67356739252260101</v>
      </c>
      <c r="AM898">
        <v>9.4984429613736696E-2</v>
      </c>
      <c r="AN898">
        <v>2.6350413171991902</v>
      </c>
      <c r="AO898">
        <v>0.71054781072594597</v>
      </c>
      <c r="AP898">
        <v>0.71054781072594597</v>
      </c>
      <c r="AQ898">
        <v>2</v>
      </c>
      <c r="AR898">
        <v>5</v>
      </c>
      <c r="AS898">
        <v>0</v>
      </c>
      <c r="AT898">
        <v>0</v>
      </c>
      <c r="AU898">
        <v>5</v>
      </c>
      <c r="AV898">
        <v>310</v>
      </c>
      <c r="AW898">
        <v>0</v>
      </c>
      <c r="AX898">
        <v>0</v>
      </c>
      <c r="AZ898">
        <v>6.8</v>
      </c>
      <c r="BA898">
        <v>19.899999999999999</v>
      </c>
      <c r="BB898">
        <v>564</v>
      </c>
      <c r="BC898">
        <v>68</v>
      </c>
      <c r="BD898">
        <v>1.5</v>
      </c>
      <c r="BE898">
        <v>135</v>
      </c>
      <c r="BF898">
        <v>0.8</v>
      </c>
      <c r="BG898">
        <v>162</v>
      </c>
      <c r="BH898">
        <v>9.1</v>
      </c>
      <c r="BI898">
        <v>9.1999999999999993</v>
      </c>
      <c r="BJ898">
        <v>18.3</v>
      </c>
      <c r="BK898">
        <v>0.34</v>
      </c>
      <c r="BL898">
        <v>7.3</v>
      </c>
      <c r="BM898">
        <v>0.9</v>
      </c>
      <c r="BN898">
        <v>7.5</v>
      </c>
      <c r="BO898">
        <v>2.9</v>
      </c>
      <c r="BP898">
        <f t="shared" ref="BP898:BP961" si="28">+AZ898*EXP(-0.0495*Y898)</f>
        <v>5.7616356065516685</v>
      </c>
      <c r="BQ898">
        <f t="shared" ref="BQ898:BQ961" si="29">+BA898*EXP(-0.024*Y898)</f>
        <v>18.36377083169663</v>
      </c>
    </row>
    <row r="899" spans="1:69" hidden="1" x14ac:dyDescent="0.2">
      <c r="A899" t="s">
        <v>1314</v>
      </c>
      <c r="B899" t="s">
        <v>68</v>
      </c>
      <c r="C899" t="s">
        <v>69</v>
      </c>
      <c r="D899" t="s">
        <v>70</v>
      </c>
      <c r="E899" t="s">
        <v>71</v>
      </c>
      <c r="F899">
        <v>4</v>
      </c>
      <c r="G899">
        <v>118</v>
      </c>
      <c r="H899">
        <v>3</v>
      </c>
      <c r="I899">
        <v>3</v>
      </c>
      <c r="J899">
        <v>1</v>
      </c>
      <c r="K899" t="s">
        <v>110</v>
      </c>
      <c r="L899" t="s">
        <v>133</v>
      </c>
      <c r="M899" s="4">
        <v>830000000</v>
      </c>
      <c r="N899">
        <v>0</v>
      </c>
      <c r="O899">
        <v>4.6472153660000002</v>
      </c>
      <c r="P899">
        <v>-74.070571900000004</v>
      </c>
      <c r="Q899" t="s">
        <v>1315</v>
      </c>
      <c r="R899">
        <v>7033898.3049999997</v>
      </c>
      <c r="S899">
        <v>0</v>
      </c>
      <c r="T899" t="s">
        <v>75</v>
      </c>
      <c r="U899" t="s">
        <v>76</v>
      </c>
      <c r="V899" t="s">
        <v>77</v>
      </c>
      <c r="W899" t="s">
        <v>78</v>
      </c>
      <c r="X899" t="s">
        <v>79</v>
      </c>
      <c r="Y899">
        <v>1.9435724148028199</v>
      </c>
      <c r="Z899">
        <v>1943.57241480282</v>
      </c>
      <c r="AA899">
        <v>4.6584666666666701</v>
      </c>
      <c r="AB899">
        <v>-74.083966666666697</v>
      </c>
      <c r="AC899">
        <v>2552</v>
      </c>
      <c r="AD899">
        <v>0</v>
      </c>
      <c r="AE899" t="s">
        <v>80</v>
      </c>
      <c r="AF899" t="s">
        <v>81</v>
      </c>
      <c r="AG899" t="s">
        <v>82</v>
      </c>
      <c r="AH899" t="s">
        <v>83</v>
      </c>
      <c r="AI899" t="s">
        <v>84</v>
      </c>
      <c r="AJ899">
        <v>0.64570553616987603</v>
      </c>
      <c r="AK899">
        <v>1.6042475682238799</v>
      </c>
      <c r="AL899">
        <v>0.40705244938268198</v>
      </c>
      <c r="AM899">
        <v>0.16919420196943999</v>
      </c>
      <c r="AN899">
        <v>1.48592104262841</v>
      </c>
      <c r="AO899">
        <v>0.1921891310535</v>
      </c>
      <c r="AP899">
        <v>0.1921891310535</v>
      </c>
      <c r="AQ899">
        <v>0</v>
      </c>
      <c r="AR899">
        <v>4</v>
      </c>
      <c r="AS899">
        <v>0</v>
      </c>
      <c r="AT899">
        <v>0</v>
      </c>
      <c r="AU899">
        <v>9</v>
      </c>
      <c r="AV899">
        <v>92</v>
      </c>
      <c r="AW899">
        <v>0</v>
      </c>
      <c r="AX899">
        <v>0</v>
      </c>
      <c r="AZ899">
        <v>6.8</v>
      </c>
      <c r="BA899">
        <v>19.899999999999999</v>
      </c>
      <c r="BB899">
        <v>564</v>
      </c>
      <c r="BC899">
        <v>68</v>
      </c>
      <c r="BD899">
        <v>1.5</v>
      </c>
      <c r="BE899">
        <v>135</v>
      </c>
      <c r="BF899">
        <v>0.8</v>
      </c>
      <c r="BG899">
        <v>162</v>
      </c>
      <c r="BH899">
        <v>9.1</v>
      </c>
      <c r="BI899">
        <v>9.1999999999999993</v>
      </c>
      <c r="BJ899">
        <v>18.3</v>
      </c>
      <c r="BK899">
        <v>0.34</v>
      </c>
      <c r="BL899">
        <v>7.3</v>
      </c>
      <c r="BM899">
        <v>0.9</v>
      </c>
      <c r="BN899">
        <v>7.5</v>
      </c>
      <c r="BO899">
        <v>2.9</v>
      </c>
      <c r="BP899">
        <f t="shared" si="28"/>
        <v>6.1762777096317532</v>
      </c>
      <c r="BQ899">
        <f t="shared" si="29"/>
        <v>18.99306654294827</v>
      </c>
    </row>
    <row r="900" spans="1:69" hidden="1" x14ac:dyDescent="0.2">
      <c r="A900" t="s">
        <v>4628</v>
      </c>
      <c r="B900" t="s">
        <v>68</v>
      </c>
      <c r="C900" t="s">
        <v>3294</v>
      </c>
      <c r="D900" t="s">
        <v>70</v>
      </c>
      <c r="E900" t="s">
        <v>1832</v>
      </c>
      <c r="F900">
        <v>6</v>
      </c>
      <c r="G900">
        <v>116</v>
      </c>
      <c r="H900">
        <v>1</v>
      </c>
      <c r="I900">
        <v>2</v>
      </c>
      <c r="J900">
        <v>1</v>
      </c>
      <c r="K900" t="s">
        <v>110</v>
      </c>
      <c r="L900" t="s">
        <v>111</v>
      </c>
      <c r="M900" s="4">
        <v>1900000000</v>
      </c>
      <c r="N900">
        <v>0</v>
      </c>
      <c r="O900">
        <v>4.6626098550000004</v>
      </c>
      <c r="P900">
        <v>-74.049316489999995</v>
      </c>
      <c r="Q900" t="s">
        <v>4629</v>
      </c>
      <c r="R900">
        <v>16379310.34</v>
      </c>
      <c r="S900">
        <v>0</v>
      </c>
      <c r="T900" t="s">
        <v>75</v>
      </c>
      <c r="U900" t="s">
        <v>76</v>
      </c>
      <c r="V900" t="s">
        <v>77</v>
      </c>
      <c r="W900" t="s">
        <v>78</v>
      </c>
      <c r="X900" t="s">
        <v>79</v>
      </c>
      <c r="Y900">
        <v>3.8720533621040301</v>
      </c>
      <c r="Z900">
        <v>3872.0533621040299</v>
      </c>
      <c r="AA900">
        <v>4.6584666666666701</v>
      </c>
      <c r="AB900">
        <v>-74.083966666666697</v>
      </c>
      <c r="AC900">
        <v>2552</v>
      </c>
      <c r="AD900">
        <v>0</v>
      </c>
      <c r="AE900" t="s">
        <v>80</v>
      </c>
      <c r="AF900" t="s">
        <v>81</v>
      </c>
      <c r="AG900" t="s">
        <v>82</v>
      </c>
      <c r="AH900" t="s">
        <v>83</v>
      </c>
      <c r="AI900" t="s">
        <v>130</v>
      </c>
      <c r="AJ900">
        <v>1.32529028144001</v>
      </c>
      <c r="AK900">
        <v>0.40574172705353401</v>
      </c>
      <c r="AL900">
        <v>0.54040578990907495</v>
      </c>
      <c r="AM900">
        <v>0.14950650249817801</v>
      </c>
      <c r="AN900">
        <v>2.5291809657995601</v>
      </c>
      <c r="AO900">
        <v>0.291862022006529</v>
      </c>
      <c r="AP900">
        <v>0.291862022006529</v>
      </c>
      <c r="AQ900">
        <v>0</v>
      </c>
      <c r="AR900">
        <v>0</v>
      </c>
      <c r="AS900">
        <v>8</v>
      </c>
      <c r="AT900">
        <v>31</v>
      </c>
      <c r="AU900">
        <v>6</v>
      </c>
      <c r="AV900">
        <v>34</v>
      </c>
      <c r="AW900">
        <v>0</v>
      </c>
      <c r="AX900">
        <v>0</v>
      </c>
      <c r="AZ900">
        <v>6.8</v>
      </c>
      <c r="BA900">
        <v>19.899999999999999</v>
      </c>
      <c r="BB900">
        <v>564</v>
      </c>
      <c r="BC900">
        <v>68</v>
      </c>
      <c r="BD900">
        <v>1.5</v>
      </c>
      <c r="BE900">
        <v>135</v>
      </c>
      <c r="BF900">
        <v>0.8</v>
      </c>
      <c r="BG900">
        <v>162</v>
      </c>
      <c r="BH900">
        <v>9.1</v>
      </c>
      <c r="BI900">
        <v>9.1999999999999993</v>
      </c>
      <c r="BJ900">
        <v>18.3</v>
      </c>
      <c r="BK900">
        <v>0.34</v>
      </c>
      <c r="BL900">
        <v>7.3</v>
      </c>
      <c r="BM900">
        <v>0.9</v>
      </c>
      <c r="BN900">
        <v>7.5</v>
      </c>
      <c r="BO900">
        <v>2.9</v>
      </c>
      <c r="BP900">
        <f t="shared" si="28"/>
        <v>5.6139578548396871</v>
      </c>
      <c r="BQ900">
        <f t="shared" si="29"/>
        <v>18.13403303684299</v>
      </c>
    </row>
    <row r="901" spans="1:69" hidden="1" x14ac:dyDescent="0.2">
      <c r="A901" t="s">
        <v>1739</v>
      </c>
      <c r="B901" t="s">
        <v>68</v>
      </c>
      <c r="C901" t="s">
        <v>69</v>
      </c>
      <c r="D901" t="s">
        <v>70</v>
      </c>
      <c r="E901" t="s">
        <v>1001</v>
      </c>
      <c r="F901">
        <v>5</v>
      </c>
      <c r="G901">
        <v>113.11</v>
      </c>
      <c r="H901">
        <v>4</v>
      </c>
      <c r="I901">
        <v>3</v>
      </c>
      <c r="J901">
        <v>1</v>
      </c>
      <c r="K901" t="s">
        <v>110</v>
      </c>
      <c r="L901" t="s">
        <v>162</v>
      </c>
      <c r="M901" s="4">
        <v>550000000</v>
      </c>
      <c r="N901">
        <v>0</v>
      </c>
      <c r="O901">
        <v>4.6931057000000003</v>
      </c>
      <c r="P901">
        <v>-74.066370000000006</v>
      </c>
      <c r="Q901" t="s">
        <v>1740</v>
      </c>
      <c r="R901">
        <v>4862523.2070000004</v>
      </c>
      <c r="S901">
        <v>0</v>
      </c>
      <c r="T901" t="s">
        <v>75</v>
      </c>
      <c r="U901" t="s">
        <v>76</v>
      </c>
      <c r="V901" t="s">
        <v>77</v>
      </c>
      <c r="W901" t="s">
        <v>78</v>
      </c>
      <c r="X901" t="s">
        <v>79</v>
      </c>
      <c r="Y901">
        <v>4.3220753888882104</v>
      </c>
      <c r="Z901">
        <v>4322.07538888821</v>
      </c>
      <c r="AA901">
        <v>4.6584666666666701</v>
      </c>
      <c r="AB901">
        <v>-74.083966666666697</v>
      </c>
      <c r="AC901">
        <v>2552</v>
      </c>
      <c r="AD901">
        <v>0</v>
      </c>
      <c r="AE901" t="s">
        <v>80</v>
      </c>
      <c r="AF901" t="s">
        <v>81</v>
      </c>
      <c r="AG901" t="s">
        <v>82</v>
      </c>
      <c r="AH901" t="s">
        <v>83</v>
      </c>
      <c r="AI901" t="s">
        <v>121</v>
      </c>
      <c r="AJ901">
        <v>9.8550113391973906E-2</v>
      </c>
      <c r="AK901">
        <v>3.6512587182069201</v>
      </c>
      <c r="AL901">
        <v>0.63330365819299494</v>
      </c>
      <c r="AM901">
        <v>8.3077763329537202E-2</v>
      </c>
      <c r="AN901">
        <v>2.7380491232778201</v>
      </c>
      <c r="AO901">
        <v>0.32421841068726198</v>
      </c>
      <c r="AP901">
        <v>0.32421841068726198</v>
      </c>
      <c r="AQ901">
        <v>1</v>
      </c>
      <c r="AR901">
        <v>4</v>
      </c>
      <c r="AS901">
        <v>0</v>
      </c>
      <c r="AT901">
        <v>0</v>
      </c>
      <c r="AU901">
        <v>1</v>
      </c>
      <c r="AV901">
        <v>73</v>
      </c>
      <c r="AW901">
        <v>0</v>
      </c>
      <c r="AX901">
        <v>0</v>
      </c>
      <c r="AZ901">
        <v>6.8</v>
      </c>
      <c r="BA901">
        <v>19.899999999999999</v>
      </c>
      <c r="BB901">
        <v>564</v>
      </c>
      <c r="BC901">
        <v>68</v>
      </c>
      <c r="BD901">
        <v>1.5</v>
      </c>
      <c r="BE901">
        <v>135</v>
      </c>
      <c r="BF901">
        <v>0.8</v>
      </c>
      <c r="BG901">
        <v>162</v>
      </c>
      <c r="BH901">
        <v>9.1</v>
      </c>
      <c r="BI901">
        <v>9.1999999999999993</v>
      </c>
      <c r="BJ901">
        <v>18.3</v>
      </c>
      <c r="BK901">
        <v>0.34</v>
      </c>
      <c r="BL901">
        <v>7.3</v>
      </c>
      <c r="BM901">
        <v>0.9</v>
      </c>
      <c r="BN901">
        <v>7.5</v>
      </c>
      <c r="BO901">
        <v>2.9</v>
      </c>
      <c r="BP901">
        <f t="shared" si="28"/>
        <v>5.4902834280754087</v>
      </c>
      <c r="BQ901">
        <f t="shared" si="29"/>
        <v>17.93922977638524</v>
      </c>
    </row>
    <row r="902" spans="1:69" hidden="1" x14ac:dyDescent="0.2">
      <c r="A902" t="s">
        <v>1848</v>
      </c>
      <c r="B902" t="s">
        <v>68</v>
      </c>
      <c r="C902" t="s">
        <v>69</v>
      </c>
      <c r="D902" t="s">
        <v>70</v>
      </c>
      <c r="E902" t="s">
        <v>948</v>
      </c>
      <c r="F902">
        <v>4</v>
      </c>
      <c r="G902">
        <v>113</v>
      </c>
      <c r="H902">
        <v>4</v>
      </c>
      <c r="I902">
        <v>3</v>
      </c>
      <c r="J902">
        <v>0</v>
      </c>
      <c r="K902" t="s">
        <v>110</v>
      </c>
      <c r="L902" t="s">
        <v>162</v>
      </c>
      <c r="M902" s="4">
        <v>482000000</v>
      </c>
      <c r="N902">
        <v>0</v>
      </c>
      <c r="O902">
        <v>4.6358480450000004</v>
      </c>
      <c r="P902">
        <v>-74.0668869</v>
      </c>
      <c r="Q902" t="s">
        <v>1849</v>
      </c>
      <c r="R902">
        <v>4265486.7259999998</v>
      </c>
      <c r="S902">
        <v>0</v>
      </c>
      <c r="T902" t="s">
        <v>126</v>
      </c>
      <c r="U902" t="s">
        <v>127</v>
      </c>
      <c r="V902" t="s">
        <v>77</v>
      </c>
      <c r="W902" t="s">
        <v>128</v>
      </c>
      <c r="X902" t="s">
        <v>129</v>
      </c>
      <c r="Y902">
        <v>1.1535320120057699</v>
      </c>
      <c r="Z902">
        <v>1153.53201200577</v>
      </c>
      <c r="AA902">
        <v>4.6254861111111101</v>
      </c>
      <c r="AB902">
        <v>-74.066980555555503</v>
      </c>
      <c r="AC902">
        <v>2621</v>
      </c>
      <c r="AD902">
        <v>15</v>
      </c>
      <c r="AE902" t="s">
        <v>80</v>
      </c>
      <c r="AF902" t="s">
        <v>81</v>
      </c>
      <c r="AG902" t="s">
        <v>82</v>
      </c>
      <c r="AH902" t="s">
        <v>83</v>
      </c>
      <c r="AI902" t="s">
        <v>130</v>
      </c>
      <c r="AJ902">
        <v>0.18940454846758301</v>
      </c>
      <c r="AK902">
        <v>0.80638898540497495</v>
      </c>
      <c r="AL902">
        <v>0.18908795447638299</v>
      </c>
      <c r="AM902">
        <v>3.4627828324497699E-2</v>
      </c>
      <c r="AN902">
        <v>0.92285787967898503</v>
      </c>
      <c r="AO902">
        <v>6.4421241048538594E-2</v>
      </c>
      <c r="AP902">
        <v>6.4421241048538594E-2</v>
      </c>
      <c r="AQ902">
        <v>3</v>
      </c>
      <c r="AR902">
        <v>4</v>
      </c>
      <c r="AS902">
        <v>0</v>
      </c>
      <c r="AT902">
        <v>8</v>
      </c>
      <c r="AU902">
        <v>14</v>
      </c>
      <c r="AV902">
        <v>187</v>
      </c>
      <c r="AW902">
        <v>1</v>
      </c>
      <c r="AX902">
        <v>0</v>
      </c>
      <c r="AZ902">
        <v>6.8</v>
      </c>
      <c r="BA902">
        <v>19.899999999999999</v>
      </c>
      <c r="BB902">
        <v>564</v>
      </c>
      <c r="BC902">
        <v>68</v>
      </c>
      <c r="BD902">
        <v>1.5</v>
      </c>
      <c r="BE902">
        <v>135</v>
      </c>
      <c r="BF902">
        <v>0.8</v>
      </c>
      <c r="BG902">
        <v>162</v>
      </c>
      <c r="BH902">
        <v>9.1</v>
      </c>
      <c r="BI902">
        <v>9.1999999999999993</v>
      </c>
      <c r="BJ902">
        <v>18.3</v>
      </c>
      <c r="BK902">
        <v>0.34</v>
      </c>
      <c r="BL902">
        <v>7.3</v>
      </c>
      <c r="BM902">
        <v>0.9</v>
      </c>
      <c r="BN902">
        <v>7.5</v>
      </c>
      <c r="BO902">
        <v>2.9</v>
      </c>
      <c r="BP902">
        <f t="shared" si="28"/>
        <v>6.4225984421747127</v>
      </c>
      <c r="BQ902">
        <f t="shared" si="29"/>
        <v>19.356629361111114</v>
      </c>
    </row>
    <row r="903" spans="1:69" hidden="1" x14ac:dyDescent="0.2">
      <c r="A903" t="s">
        <v>413</v>
      </c>
      <c r="B903" t="s">
        <v>68</v>
      </c>
      <c r="C903" t="s">
        <v>69</v>
      </c>
      <c r="D903" t="s">
        <v>70</v>
      </c>
      <c r="E903" t="s">
        <v>414</v>
      </c>
      <c r="F903">
        <v>5</v>
      </c>
      <c r="G903">
        <v>110</v>
      </c>
      <c r="H903">
        <v>2</v>
      </c>
      <c r="I903">
        <v>3</v>
      </c>
      <c r="J903">
        <v>2</v>
      </c>
      <c r="K903" t="s">
        <v>110</v>
      </c>
      <c r="L903" t="s">
        <v>124</v>
      </c>
      <c r="M903" s="4">
        <v>950000000</v>
      </c>
      <c r="N903">
        <v>0</v>
      </c>
      <c r="O903">
        <v>4.6500282290000001</v>
      </c>
      <c r="P903">
        <v>-74.081726070000002</v>
      </c>
      <c r="Q903" t="s">
        <v>415</v>
      </c>
      <c r="R903">
        <v>8636363.6359999999</v>
      </c>
      <c r="S903">
        <v>0</v>
      </c>
      <c r="T903" t="s">
        <v>75</v>
      </c>
      <c r="U903" t="s">
        <v>76</v>
      </c>
      <c r="V903" t="s">
        <v>77</v>
      </c>
      <c r="W903" t="s">
        <v>78</v>
      </c>
      <c r="X903" t="s">
        <v>79</v>
      </c>
      <c r="Y903">
        <v>0.97170151320737597</v>
      </c>
      <c r="Z903">
        <v>971.70151320737602</v>
      </c>
      <c r="AA903">
        <v>4.6584666666666701</v>
      </c>
      <c r="AB903">
        <v>-74.083966666666697</v>
      </c>
      <c r="AC903">
        <v>2552</v>
      </c>
      <c r="AD903">
        <v>0</v>
      </c>
      <c r="AE903" t="s">
        <v>80</v>
      </c>
      <c r="AF903" t="s">
        <v>81</v>
      </c>
      <c r="AG903" t="s">
        <v>82</v>
      </c>
      <c r="AH903" t="s">
        <v>83</v>
      </c>
      <c r="AI903" t="s">
        <v>84</v>
      </c>
      <c r="AJ903">
        <v>0.37298110377888699</v>
      </c>
      <c r="AK903">
        <v>2.8642876152967802</v>
      </c>
      <c r="AL903">
        <v>9.2239037673290197E-2</v>
      </c>
      <c r="AM903">
        <v>0.18352596482310801</v>
      </c>
      <c r="AN903">
        <v>2.6284549236544201</v>
      </c>
      <c r="AO903">
        <v>1.2923302804193499E-2</v>
      </c>
      <c r="AP903">
        <v>1.2923302804193499E-2</v>
      </c>
      <c r="AQ903">
        <v>1</v>
      </c>
      <c r="AR903">
        <v>3</v>
      </c>
      <c r="AS903">
        <v>0</v>
      </c>
      <c r="AT903">
        <v>0</v>
      </c>
      <c r="AU903">
        <v>1</v>
      </c>
      <c r="AV903">
        <v>17</v>
      </c>
      <c r="AW903">
        <v>0</v>
      </c>
      <c r="AX903">
        <v>0</v>
      </c>
      <c r="AZ903">
        <v>6.8</v>
      </c>
      <c r="BA903">
        <v>19.899999999999999</v>
      </c>
      <c r="BB903">
        <v>564</v>
      </c>
      <c r="BC903">
        <v>68</v>
      </c>
      <c r="BD903">
        <v>1.5</v>
      </c>
      <c r="BE903">
        <v>135</v>
      </c>
      <c r="BF903">
        <v>0.8</v>
      </c>
      <c r="BG903">
        <v>162</v>
      </c>
      <c r="BH903">
        <v>9.1</v>
      </c>
      <c r="BI903">
        <v>9.1999999999999993</v>
      </c>
      <c r="BJ903">
        <v>18.3</v>
      </c>
      <c r="BK903">
        <v>0.34</v>
      </c>
      <c r="BL903">
        <v>7.3</v>
      </c>
      <c r="BM903">
        <v>0.9</v>
      </c>
      <c r="BN903">
        <v>7.5</v>
      </c>
      <c r="BO903">
        <v>2.9</v>
      </c>
      <c r="BP903">
        <f t="shared" si="28"/>
        <v>6.480666676695682</v>
      </c>
      <c r="BQ903">
        <f t="shared" si="29"/>
        <v>19.44128495611508</v>
      </c>
    </row>
    <row r="904" spans="1:69" hidden="1" x14ac:dyDescent="0.2">
      <c r="A904" t="s">
        <v>942</v>
      </c>
      <c r="B904" t="s">
        <v>68</v>
      </c>
      <c r="C904" t="s">
        <v>69</v>
      </c>
      <c r="D904" t="s">
        <v>70</v>
      </c>
      <c r="E904" t="s">
        <v>943</v>
      </c>
      <c r="F904">
        <v>3</v>
      </c>
      <c r="G904">
        <v>110</v>
      </c>
      <c r="H904">
        <v>3</v>
      </c>
      <c r="I904">
        <v>2</v>
      </c>
      <c r="J904">
        <v>1</v>
      </c>
      <c r="K904" t="s">
        <v>110</v>
      </c>
      <c r="L904" t="s">
        <v>162</v>
      </c>
      <c r="M904" s="4">
        <v>690000000</v>
      </c>
      <c r="N904">
        <v>0</v>
      </c>
      <c r="O904">
        <v>4.6411299709999998</v>
      </c>
      <c r="P904">
        <v>-74.067474369999999</v>
      </c>
      <c r="Q904" t="s">
        <v>944</v>
      </c>
      <c r="R904">
        <v>6272727.273</v>
      </c>
      <c r="S904">
        <v>0</v>
      </c>
      <c r="T904" t="s">
        <v>126</v>
      </c>
      <c r="U904" t="s">
        <v>127</v>
      </c>
      <c r="V904" t="s">
        <v>77</v>
      </c>
      <c r="W904" t="s">
        <v>128</v>
      </c>
      <c r="X904" t="s">
        <v>129</v>
      </c>
      <c r="Y904">
        <v>1.7423282530268001</v>
      </c>
      <c r="Z904">
        <v>1742.3282530268</v>
      </c>
      <c r="AA904">
        <v>4.6254861111111101</v>
      </c>
      <c r="AB904">
        <v>-74.066980555555503</v>
      </c>
      <c r="AC904">
        <v>2621</v>
      </c>
      <c r="AD904">
        <v>15</v>
      </c>
      <c r="AE904" t="s">
        <v>80</v>
      </c>
      <c r="AF904" t="s">
        <v>81</v>
      </c>
      <c r="AG904" t="s">
        <v>82</v>
      </c>
      <c r="AH904" t="s">
        <v>83</v>
      </c>
      <c r="AI904" t="s">
        <v>84</v>
      </c>
      <c r="AJ904">
        <v>0.27421114216963699</v>
      </c>
      <c r="AK904">
        <v>1.08986883724287</v>
      </c>
      <c r="AL904">
        <v>0.41404577742034299</v>
      </c>
      <c r="AM904">
        <v>7.6673223240646696E-2</v>
      </c>
      <c r="AN904">
        <v>1.00871732404503</v>
      </c>
      <c r="AO904">
        <v>0.194521177008734</v>
      </c>
      <c r="AP904">
        <v>0.194521177008734</v>
      </c>
      <c r="AQ904">
        <v>3</v>
      </c>
      <c r="AR904">
        <v>4</v>
      </c>
      <c r="AS904">
        <v>0</v>
      </c>
      <c r="AT904">
        <v>0</v>
      </c>
      <c r="AU904">
        <v>10</v>
      </c>
      <c r="AV904">
        <v>187</v>
      </c>
      <c r="AW904">
        <v>0</v>
      </c>
      <c r="AX904">
        <v>0</v>
      </c>
      <c r="AZ904">
        <v>6.8</v>
      </c>
      <c r="BA904">
        <v>19.899999999999999</v>
      </c>
      <c r="BB904">
        <v>564</v>
      </c>
      <c r="BC904">
        <v>68</v>
      </c>
      <c r="BD904">
        <v>1.5</v>
      </c>
      <c r="BE904">
        <v>135</v>
      </c>
      <c r="BF904">
        <v>0.8</v>
      </c>
      <c r="BG904">
        <v>162</v>
      </c>
      <c r="BH904">
        <v>9.1</v>
      </c>
      <c r="BI904">
        <v>9.1999999999999993</v>
      </c>
      <c r="BJ904">
        <v>18.3</v>
      </c>
      <c r="BK904">
        <v>0.34</v>
      </c>
      <c r="BL904">
        <v>7.3</v>
      </c>
      <c r="BM904">
        <v>0.9</v>
      </c>
      <c r="BN904">
        <v>7.5</v>
      </c>
      <c r="BO904">
        <v>2.9</v>
      </c>
      <c r="BP904">
        <f t="shared" si="28"/>
        <v>6.2381106972341671</v>
      </c>
      <c r="BQ904">
        <f t="shared" si="29"/>
        <v>19.085022280998754</v>
      </c>
    </row>
    <row r="905" spans="1:69" hidden="1" x14ac:dyDescent="0.2">
      <c r="A905" t="s">
        <v>452</v>
      </c>
      <c r="B905" t="s">
        <v>68</v>
      </c>
      <c r="C905" t="s">
        <v>69</v>
      </c>
      <c r="D905" t="s">
        <v>70</v>
      </c>
      <c r="E905" t="s">
        <v>229</v>
      </c>
      <c r="F905">
        <v>6</v>
      </c>
      <c r="G905">
        <v>108</v>
      </c>
      <c r="H905">
        <v>2</v>
      </c>
      <c r="I905">
        <v>3</v>
      </c>
      <c r="J905">
        <v>2</v>
      </c>
      <c r="K905" t="s">
        <v>110</v>
      </c>
      <c r="L905" t="s">
        <v>111</v>
      </c>
      <c r="M905" s="4">
        <v>1395000000</v>
      </c>
      <c r="N905">
        <v>0</v>
      </c>
      <c r="O905">
        <v>4.6784443859999998</v>
      </c>
      <c r="P905">
        <v>-74.053642269999997</v>
      </c>
      <c r="Q905" t="s">
        <v>453</v>
      </c>
      <c r="R905">
        <v>12916666.67</v>
      </c>
      <c r="S905">
        <v>0</v>
      </c>
      <c r="T905" t="s">
        <v>75</v>
      </c>
      <c r="U905" t="s">
        <v>76</v>
      </c>
      <c r="V905" t="s">
        <v>77</v>
      </c>
      <c r="W905" t="s">
        <v>78</v>
      </c>
      <c r="X905" t="s">
        <v>79</v>
      </c>
      <c r="Y905">
        <v>4.0330650445091303</v>
      </c>
      <c r="Z905">
        <v>4033.0650445091301</v>
      </c>
      <c r="AA905">
        <v>4.6584666666666701</v>
      </c>
      <c r="AB905">
        <v>-74.083966666666697</v>
      </c>
      <c r="AC905">
        <v>2552</v>
      </c>
      <c r="AD905">
        <v>0</v>
      </c>
      <c r="AE905" t="s">
        <v>80</v>
      </c>
      <c r="AF905" t="s">
        <v>81</v>
      </c>
      <c r="AG905" t="s">
        <v>82</v>
      </c>
      <c r="AH905" t="s">
        <v>83</v>
      </c>
      <c r="AI905" t="s">
        <v>130</v>
      </c>
      <c r="AJ905">
        <v>0.65469624608459798</v>
      </c>
      <c r="AK905">
        <v>1.6054952546022301</v>
      </c>
      <c r="AL905">
        <v>0.81365011334761295</v>
      </c>
      <c r="AM905">
        <v>5.40015475079497E-2</v>
      </c>
      <c r="AN905">
        <v>3.1706356400228199</v>
      </c>
      <c r="AO905">
        <v>0.60817089196421403</v>
      </c>
      <c r="AP905">
        <v>0.60817089196421403</v>
      </c>
      <c r="AQ905">
        <v>0</v>
      </c>
      <c r="AR905">
        <v>3</v>
      </c>
      <c r="AS905">
        <v>0</v>
      </c>
      <c r="AT905">
        <v>0</v>
      </c>
      <c r="AU905">
        <v>3</v>
      </c>
      <c r="AV905">
        <v>222</v>
      </c>
      <c r="AW905">
        <v>0</v>
      </c>
      <c r="AX905">
        <v>0</v>
      </c>
      <c r="AZ905">
        <v>6.8</v>
      </c>
      <c r="BA905">
        <v>19.899999999999999</v>
      </c>
      <c r="BB905">
        <v>564</v>
      </c>
      <c r="BC905">
        <v>68</v>
      </c>
      <c r="BD905">
        <v>1.5</v>
      </c>
      <c r="BE905">
        <v>135</v>
      </c>
      <c r="BF905">
        <v>0.8</v>
      </c>
      <c r="BG905">
        <v>162</v>
      </c>
      <c r="BH905">
        <v>9.1</v>
      </c>
      <c r="BI905">
        <v>9.1999999999999993</v>
      </c>
      <c r="BJ905">
        <v>18.3</v>
      </c>
      <c r="BK905">
        <v>0.34</v>
      </c>
      <c r="BL905">
        <v>7.3</v>
      </c>
      <c r="BM905">
        <v>0.9</v>
      </c>
      <c r="BN905">
        <v>7.5</v>
      </c>
      <c r="BO905">
        <v>2.9</v>
      </c>
      <c r="BP905">
        <f t="shared" si="28"/>
        <v>5.5693920038514193</v>
      </c>
      <c r="BQ905">
        <f t="shared" si="29"/>
        <v>18.064093269277684</v>
      </c>
    </row>
    <row r="906" spans="1:69" hidden="1" x14ac:dyDescent="0.2">
      <c r="A906" t="s">
        <v>1580</v>
      </c>
      <c r="B906" t="s">
        <v>68</v>
      </c>
      <c r="C906" t="s">
        <v>69</v>
      </c>
      <c r="D906" t="s">
        <v>70</v>
      </c>
      <c r="E906" t="s">
        <v>130</v>
      </c>
      <c r="F906">
        <v>4</v>
      </c>
      <c r="G906">
        <v>108</v>
      </c>
      <c r="H906">
        <v>3</v>
      </c>
      <c r="I906">
        <v>2</v>
      </c>
      <c r="J906">
        <v>2</v>
      </c>
      <c r="K906" t="s">
        <v>110</v>
      </c>
      <c r="L906" t="s">
        <v>133</v>
      </c>
      <c r="M906" s="4">
        <v>975000000</v>
      </c>
      <c r="N906">
        <v>0</v>
      </c>
      <c r="O906">
        <v>4.6435029999999999</v>
      </c>
      <c r="P906">
        <v>-74.057832399999995</v>
      </c>
      <c r="Q906" t="s">
        <v>1581</v>
      </c>
      <c r="R906">
        <v>9027777.7780000009</v>
      </c>
      <c r="S906">
        <v>0</v>
      </c>
      <c r="T906" t="s">
        <v>126</v>
      </c>
      <c r="U906" t="s">
        <v>127</v>
      </c>
      <c r="V906" t="s">
        <v>77</v>
      </c>
      <c r="W906" t="s">
        <v>128</v>
      </c>
      <c r="X906" t="s">
        <v>129</v>
      </c>
      <c r="Y906">
        <v>2.2478563548584098</v>
      </c>
      <c r="Z906">
        <v>2247.8563548584102</v>
      </c>
      <c r="AA906">
        <v>4.6254861111111101</v>
      </c>
      <c r="AB906">
        <v>-74.066980555555503</v>
      </c>
      <c r="AC906">
        <v>2621</v>
      </c>
      <c r="AD906">
        <v>15</v>
      </c>
      <c r="AE906" t="s">
        <v>80</v>
      </c>
      <c r="AF906" t="s">
        <v>81</v>
      </c>
      <c r="AG906" t="s">
        <v>82</v>
      </c>
      <c r="AH906" t="s">
        <v>83</v>
      </c>
      <c r="AI906" t="s">
        <v>130</v>
      </c>
      <c r="AJ906">
        <v>0.88850577509068496</v>
      </c>
      <c r="AK906">
        <v>0.24581933507018899</v>
      </c>
      <c r="AL906">
        <v>0.282017959354115</v>
      </c>
      <c r="AM906">
        <v>0.26854839137632902</v>
      </c>
      <c r="AN906">
        <v>0.21786907208065801</v>
      </c>
      <c r="AO906">
        <v>0.10575016255849801</v>
      </c>
      <c r="AP906">
        <v>0.10575016255849801</v>
      </c>
      <c r="AQ906">
        <v>0</v>
      </c>
      <c r="AR906">
        <v>2</v>
      </c>
      <c r="AS906">
        <v>11</v>
      </c>
      <c r="AT906">
        <v>50</v>
      </c>
      <c r="AU906">
        <v>8</v>
      </c>
      <c r="AV906">
        <v>52</v>
      </c>
      <c r="AW906">
        <v>1</v>
      </c>
      <c r="AX906">
        <v>0</v>
      </c>
      <c r="AZ906">
        <v>6.8</v>
      </c>
      <c r="BA906">
        <v>19.899999999999999</v>
      </c>
      <c r="BB906">
        <v>564</v>
      </c>
      <c r="BC906">
        <v>68</v>
      </c>
      <c r="BD906">
        <v>1.5</v>
      </c>
      <c r="BE906">
        <v>135</v>
      </c>
      <c r="BF906">
        <v>0.8</v>
      </c>
      <c r="BG906">
        <v>162</v>
      </c>
      <c r="BH906">
        <v>9.1</v>
      </c>
      <c r="BI906">
        <v>9.1999999999999993</v>
      </c>
      <c r="BJ906">
        <v>18.3</v>
      </c>
      <c r="BK906">
        <v>0.34</v>
      </c>
      <c r="BL906">
        <v>7.3</v>
      </c>
      <c r="BM906">
        <v>0.9</v>
      </c>
      <c r="BN906">
        <v>7.5</v>
      </c>
      <c r="BO906">
        <v>2.9</v>
      </c>
      <c r="BP906">
        <f t="shared" si="28"/>
        <v>6.0839473627952829</v>
      </c>
      <c r="BQ906">
        <f t="shared" si="29"/>
        <v>18.854868929989518</v>
      </c>
    </row>
    <row r="907" spans="1:69" hidden="1" x14ac:dyDescent="0.2">
      <c r="A907" t="s">
        <v>967</v>
      </c>
      <c r="B907" t="s">
        <v>68</v>
      </c>
      <c r="C907" t="s">
        <v>69</v>
      </c>
      <c r="D907" t="s">
        <v>70</v>
      </c>
      <c r="E907" t="s">
        <v>763</v>
      </c>
      <c r="F907">
        <v>6</v>
      </c>
      <c r="G907">
        <v>101.87</v>
      </c>
      <c r="H907">
        <v>2</v>
      </c>
      <c r="I907">
        <v>3</v>
      </c>
      <c r="J907">
        <v>2</v>
      </c>
      <c r="K907" t="s">
        <v>110</v>
      </c>
      <c r="L907" t="s">
        <v>162</v>
      </c>
      <c r="M907" s="4">
        <v>890000000</v>
      </c>
      <c r="N907">
        <v>0</v>
      </c>
      <c r="O907">
        <v>4.6534386000000003</v>
      </c>
      <c r="P907">
        <v>-74.054050000000004</v>
      </c>
      <c r="Q907" t="s">
        <v>968</v>
      </c>
      <c r="R907">
        <v>8736625.1099999994</v>
      </c>
      <c r="S907">
        <v>0</v>
      </c>
      <c r="T907" t="s">
        <v>75</v>
      </c>
      <c r="U907" t="s">
        <v>76</v>
      </c>
      <c r="V907" t="s">
        <v>77</v>
      </c>
      <c r="W907" t="s">
        <v>78</v>
      </c>
      <c r="X907" t="s">
        <v>79</v>
      </c>
      <c r="Y907">
        <v>3.36617927430986</v>
      </c>
      <c r="Z907">
        <v>3366.1792743098599</v>
      </c>
      <c r="AA907">
        <v>4.6584666666666701</v>
      </c>
      <c r="AB907">
        <v>-74.083966666666697</v>
      </c>
      <c r="AC907">
        <v>2552</v>
      </c>
      <c r="AD907">
        <v>0</v>
      </c>
      <c r="AE907" t="s">
        <v>80</v>
      </c>
      <c r="AF907" t="s">
        <v>81</v>
      </c>
      <c r="AG907" t="s">
        <v>82</v>
      </c>
      <c r="AH907" t="s">
        <v>83</v>
      </c>
      <c r="AI907" t="s">
        <v>130</v>
      </c>
      <c r="AJ907">
        <v>1.00652889262474</v>
      </c>
      <c r="AK907">
        <v>0.59964942075880601</v>
      </c>
      <c r="AL907">
        <v>0.51332210438035197</v>
      </c>
      <c r="AM907">
        <v>2.3727021204565501E-2</v>
      </c>
      <c r="AN907">
        <v>1.3927042310862501</v>
      </c>
      <c r="AO907">
        <v>5.1102222547240598E-3</v>
      </c>
      <c r="AP907">
        <v>5.1102222547240598E-3</v>
      </c>
      <c r="AQ907">
        <v>0</v>
      </c>
      <c r="AR907">
        <v>0</v>
      </c>
      <c r="AS907">
        <v>0</v>
      </c>
      <c r="AT907">
        <v>39</v>
      </c>
      <c r="AU907">
        <v>12</v>
      </c>
      <c r="AV907">
        <v>43</v>
      </c>
      <c r="AW907">
        <v>0</v>
      </c>
      <c r="AX907">
        <v>0</v>
      </c>
      <c r="AZ907">
        <v>6.8</v>
      </c>
      <c r="BA907">
        <v>19.899999999999999</v>
      </c>
      <c r="BB907">
        <v>564</v>
      </c>
      <c r="BC907">
        <v>68</v>
      </c>
      <c r="BD907">
        <v>1.5</v>
      </c>
      <c r="BE907">
        <v>135</v>
      </c>
      <c r="BF907">
        <v>0.8</v>
      </c>
      <c r="BG907">
        <v>162</v>
      </c>
      <c r="BH907">
        <v>9.1</v>
      </c>
      <c r="BI907">
        <v>9.1999999999999993</v>
      </c>
      <c r="BJ907">
        <v>18.3</v>
      </c>
      <c r="BK907">
        <v>0.34</v>
      </c>
      <c r="BL907">
        <v>7.3</v>
      </c>
      <c r="BM907">
        <v>0.9</v>
      </c>
      <c r="BN907">
        <v>7.5</v>
      </c>
      <c r="BO907">
        <v>2.9</v>
      </c>
      <c r="BP907">
        <f t="shared" si="28"/>
        <v>5.7563105392730094</v>
      </c>
      <c r="BQ907">
        <f t="shared" si="29"/>
        <v>18.355539868837514</v>
      </c>
    </row>
    <row r="908" spans="1:69" hidden="1" x14ac:dyDescent="0.2">
      <c r="A908" t="s">
        <v>4479</v>
      </c>
      <c r="B908" t="s">
        <v>68</v>
      </c>
      <c r="C908" t="s">
        <v>3294</v>
      </c>
      <c r="D908" t="s">
        <v>70</v>
      </c>
      <c r="E908" t="s">
        <v>1832</v>
      </c>
      <c r="F908">
        <v>6</v>
      </c>
      <c r="G908">
        <v>100</v>
      </c>
      <c r="H908">
        <v>1</v>
      </c>
      <c r="I908">
        <v>1</v>
      </c>
      <c r="J908">
        <v>2</v>
      </c>
      <c r="K908" t="s">
        <v>110</v>
      </c>
      <c r="L908" t="s">
        <v>162</v>
      </c>
      <c r="M908" s="4">
        <v>1200000000</v>
      </c>
      <c r="N908">
        <v>0</v>
      </c>
      <c r="O908">
        <v>4.6676571129999997</v>
      </c>
      <c r="P908">
        <v>-74.047426920000007</v>
      </c>
      <c r="Q908" t="s">
        <v>4480</v>
      </c>
      <c r="R908">
        <v>12000000</v>
      </c>
      <c r="S908">
        <v>0</v>
      </c>
      <c r="T908" t="s">
        <v>75</v>
      </c>
      <c r="U908" t="s">
        <v>76</v>
      </c>
      <c r="V908" t="s">
        <v>77</v>
      </c>
      <c r="W908" t="s">
        <v>78</v>
      </c>
      <c r="X908" t="s">
        <v>79</v>
      </c>
      <c r="Y908">
        <v>4.1812189261209296</v>
      </c>
      <c r="Z908">
        <v>4181.2189261209296</v>
      </c>
      <c r="AA908">
        <v>4.6584666666666701</v>
      </c>
      <c r="AB908">
        <v>-74.083966666666697</v>
      </c>
      <c r="AC908">
        <v>2552</v>
      </c>
      <c r="AD908">
        <v>0</v>
      </c>
      <c r="AE908" t="s">
        <v>80</v>
      </c>
      <c r="AF908" t="s">
        <v>81</v>
      </c>
      <c r="AG908" t="s">
        <v>82</v>
      </c>
      <c r="AH908" t="s">
        <v>83</v>
      </c>
      <c r="AI908" t="s">
        <v>130</v>
      </c>
      <c r="AJ908">
        <v>1.4294855998673299</v>
      </c>
      <c r="AK908">
        <v>0.41365108119163901</v>
      </c>
      <c r="AL908">
        <v>0.759785096675619</v>
      </c>
      <c r="AM908">
        <v>8.1436748841366993E-2</v>
      </c>
      <c r="AN908">
        <v>3.12441704381588</v>
      </c>
      <c r="AO908">
        <v>0.22748097705988499</v>
      </c>
      <c r="AP908">
        <v>0.22748097705988499</v>
      </c>
      <c r="AQ908">
        <v>0</v>
      </c>
      <c r="AR908">
        <v>0</v>
      </c>
      <c r="AS908">
        <v>4</v>
      </c>
      <c r="AT908">
        <v>32</v>
      </c>
      <c r="AU908">
        <v>3</v>
      </c>
      <c r="AV908">
        <v>34</v>
      </c>
      <c r="AW908">
        <v>0</v>
      </c>
      <c r="AX908">
        <v>0</v>
      </c>
      <c r="AZ908">
        <v>6.8</v>
      </c>
      <c r="BA908">
        <v>19.899999999999999</v>
      </c>
      <c r="BB908">
        <v>564</v>
      </c>
      <c r="BC908">
        <v>68</v>
      </c>
      <c r="BD908">
        <v>1.5</v>
      </c>
      <c r="BE908">
        <v>135</v>
      </c>
      <c r="BF908">
        <v>0.8</v>
      </c>
      <c r="BG908">
        <v>162</v>
      </c>
      <c r="BH908">
        <v>9.1</v>
      </c>
      <c r="BI908">
        <v>9.1999999999999993</v>
      </c>
      <c r="BJ908">
        <v>18.3</v>
      </c>
      <c r="BK908">
        <v>0.34</v>
      </c>
      <c r="BL908">
        <v>7.3</v>
      </c>
      <c r="BM908">
        <v>0.9</v>
      </c>
      <c r="BN908">
        <v>7.5</v>
      </c>
      <c r="BO908">
        <v>2.9</v>
      </c>
      <c r="BP908">
        <f t="shared" si="28"/>
        <v>5.5286976161086177</v>
      </c>
      <c r="BQ908">
        <f t="shared" si="29"/>
        <v>17.999976952947588</v>
      </c>
    </row>
    <row r="909" spans="1:69" hidden="1" x14ac:dyDescent="0.2">
      <c r="A909" t="s">
        <v>1628</v>
      </c>
      <c r="B909" t="s">
        <v>68</v>
      </c>
      <c r="C909" t="s">
        <v>69</v>
      </c>
      <c r="D909" t="s">
        <v>70</v>
      </c>
      <c r="E909" t="s">
        <v>1022</v>
      </c>
      <c r="F909">
        <v>4</v>
      </c>
      <c r="G909">
        <v>98</v>
      </c>
      <c r="H909">
        <v>3</v>
      </c>
      <c r="I909">
        <v>2</v>
      </c>
      <c r="J909">
        <v>2</v>
      </c>
      <c r="K909" t="s">
        <v>110</v>
      </c>
      <c r="L909" t="s">
        <v>162</v>
      </c>
      <c r="M909" s="4">
        <v>550000000</v>
      </c>
      <c r="N909">
        <v>0</v>
      </c>
      <c r="O909">
        <v>4.6950701060000002</v>
      </c>
      <c r="P909">
        <v>-74.078663250000005</v>
      </c>
      <c r="Q909" t="s">
        <v>1629</v>
      </c>
      <c r="R909">
        <v>5612244.898</v>
      </c>
      <c r="S909">
        <v>0</v>
      </c>
      <c r="T909" t="s">
        <v>75</v>
      </c>
      <c r="U909" t="s">
        <v>76</v>
      </c>
      <c r="V909" t="s">
        <v>77</v>
      </c>
      <c r="W909" t="s">
        <v>78</v>
      </c>
      <c r="X909" t="s">
        <v>79</v>
      </c>
      <c r="Y909">
        <v>4.1169418670604401</v>
      </c>
      <c r="Z909">
        <v>4116.94186706044</v>
      </c>
      <c r="AA909">
        <v>4.6584666666666701</v>
      </c>
      <c r="AB909">
        <v>-74.083966666666697</v>
      </c>
      <c r="AC909">
        <v>2552</v>
      </c>
      <c r="AD909">
        <v>0</v>
      </c>
      <c r="AE909" t="s">
        <v>80</v>
      </c>
      <c r="AF909" t="s">
        <v>81</v>
      </c>
      <c r="AG909" t="s">
        <v>82</v>
      </c>
      <c r="AH909" t="s">
        <v>83</v>
      </c>
      <c r="AI909" t="s">
        <v>121</v>
      </c>
      <c r="AJ909">
        <v>0.80456081670255097</v>
      </c>
      <c r="AK909">
        <v>4.9155617280810198</v>
      </c>
      <c r="AL909">
        <v>1.0093339829675601</v>
      </c>
      <c r="AM909">
        <v>0.37797933795521999</v>
      </c>
      <c r="AN909">
        <v>2.3759135949065402</v>
      </c>
      <c r="AO909">
        <v>0.31387808864864303</v>
      </c>
      <c r="AP909">
        <v>0.31387808864864303</v>
      </c>
      <c r="AQ909">
        <v>0</v>
      </c>
      <c r="AR909">
        <v>2</v>
      </c>
      <c r="AS909">
        <v>0</v>
      </c>
      <c r="AT909">
        <v>0</v>
      </c>
      <c r="AU909">
        <v>0</v>
      </c>
      <c r="AV909">
        <v>42</v>
      </c>
      <c r="AW909">
        <v>0</v>
      </c>
      <c r="AX909">
        <v>0</v>
      </c>
      <c r="AZ909">
        <v>6.8</v>
      </c>
      <c r="BA909">
        <v>19.899999999999999</v>
      </c>
      <c r="BB909">
        <v>564</v>
      </c>
      <c r="BC909">
        <v>68</v>
      </c>
      <c r="BD909">
        <v>1.5</v>
      </c>
      <c r="BE909">
        <v>135</v>
      </c>
      <c r="BF909">
        <v>0.8</v>
      </c>
      <c r="BG909">
        <v>162</v>
      </c>
      <c r="BH909">
        <v>9.1</v>
      </c>
      <c r="BI909">
        <v>9.1999999999999993</v>
      </c>
      <c r="BJ909">
        <v>18.3</v>
      </c>
      <c r="BK909">
        <v>0.34</v>
      </c>
      <c r="BL909">
        <v>7.3</v>
      </c>
      <c r="BM909">
        <v>0.9</v>
      </c>
      <c r="BN909">
        <v>7.5</v>
      </c>
      <c r="BO909">
        <v>2.9</v>
      </c>
      <c r="BP909">
        <f t="shared" si="28"/>
        <v>5.5463163671106894</v>
      </c>
      <c r="BQ909">
        <f t="shared" si="29"/>
        <v>18.027766035803477</v>
      </c>
    </row>
    <row r="910" spans="1:69" hidden="1" x14ac:dyDescent="0.2">
      <c r="A910" t="s">
        <v>1735</v>
      </c>
      <c r="B910" t="s">
        <v>68</v>
      </c>
      <c r="C910" t="s">
        <v>69</v>
      </c>
      <c r="D910" t="s">
        <v>70</v>
      </c>
      <c r="E910" t="s">
        <v>1022</v>
      </c>
      <c r="F910">
        <v>4</v>
      </c>
      <c r="G910">
        <v>98</v>
      </c>
      <c r="H910">
        <v>3</v>
      </c>
      <c r="I910">
        <v>2</v>
      </c>
      <c r="J910">
        <v>2</v>
      </c>
      <c r="K910" t="s">
        <v>110</v>
      </c>
      <c r="L910" t="s">
        <v>162</v>
      </c>
      <c r="M910" s="4">
        <v>550000000</v>
      </c>
      <c r="N910">
        <v>0</v>
      </c>
      <c r="O910">
        <v>4.6950701060000002</v>
      </c>
      <c r="P910">
        <v>-74.078663250000005</v>
      </c>
      <c r="Q910" t="s">
        <v>1736</v>
      </c>
      <c r="R910">
        <v>5612244.898</v>
      </c>
      <c r="S910">
        <v>0</v>
      </c>
      <c r="T910" t="s">
        <v>75</v>
      </c>
      <c r="U910" t="s">
        <v>76</v>
      </c>
      <c r="V910" t="s">
        <v>77</v>
      </c>
      <c r="W910" t="s">
        <v>78</v>
      </c>
      <c r="X910" t="s">
        <v>79</v>
      </c>
      <c r="Y910">
        <v>4.1169418670604401</v>
      </c>
      <c r="Z910">
        <v>4116.94186706044</v>
      </c>
      <c r="AA910">
        <v>4.6584666666666701</v>
      </c>
      <c r="AB910">
        <v>-74.083966666666697</v>
      </c>
      <c r="AC910">
        <v>2552</v>
      </c>
      <c r="AD910">
        <v>0</v>
      </c>
      <c r="AE910" t="s">
        <v>80</v>
      </c>
      <c r="AF910" t="s">
        <v>81</v>
      </c>
      <c r="AG910" t="s">
        <v>82</v>
      </c>
      <c r="AH910" t="s">
        <v>83</v>
      </c>
      <c r="AI910" t="s">
        <v>121</v>
      </c>
      <c r="AJ910">
        <v>0.80456081670255097</v>
      </c>
      <c r="AK910">
        <v>4.9155617280810198</v>
      </c>
      <c r="AL910">
        <v>1.0093339829675601</v>
      </c>
      <c r="AM910">
        <v>0.37797933795521999</v>
      </c>
      <c r="AN910">
        <v>2.3759135949065402</v>
      </c>
      <c r="AO910">
        <v>0.31387808864864303</v>
      </c>
      <c r="AP910">
        <v>0.31387808864864303</v>
      </c>
      <c r="AQ910">
        <v>0</v>
      </c>
      <c r="AR910">
        <v>2</v>
      </c>
      <c r="AS910">
        <v>0</v>
      </c>
      <c r="AT910">
        <v>0</v>
      </c>
      <c r="AU910">
        <v>0</v>
      </c>
      <c r="AV910">
        <v>42</v>
      </c>
      <c r="AW910">
        <v>0</v>
      </c>
      <c r="AX910">
        <v>0</v>
      </c>
      <c r="AZ910">
        <v>6.8</v>
      </c>
      <c r="BA910">
        <v>19.899999999999999</v>
      </c>
      <c r="BB910">
        <v>564</v>
      </c>
      <c r="BC910">
        <v>68</v>
      </c>
      <c r="BD910">
        <v>1.5</v>
      </c>
      <c r="BE910">
        <v>135</v>
      </c>
      <c r="BF910">
        <v>0.8</v>
      </c>
      <c r="BG910">
        <v>162</v>
      </c>
      <c r="BH910">
        <v>9.1</v>
      </c>
      <c r="BI910">
        <v>9.1999999999999993</v>
      </c>
      <c r="BJ910">
        <v>18.3</v>
      </c>
      <c r="BK910">
        <v>0.34</v>
      </c>
      <c r="BL910">
        <v>7.3</v>
      </c>
      <c r="BM910">
        <v>0.9</v>
      </c>
      <c r="BN910">
        <v>7.5</v>
      </c>
      <c r="BO910">
        <v>2.9</v>
      </c>
      <c r="BP910">
        <f t="shared" si="28"/>
        <v>5.5463163671106894</v>
      </c>
      <c r="BQ910">
        <f t="shared" si="29"/>
        <v>18.027766035803477</v>
      </c>
    </row>
    <row r="911" spans="1:69" hidden="1" x14ac:dyDescent="0.2">
      <c r="A911" t="s">
        <v>1473</v>
      </c>
      <c r="B911" t="s">
        <v>68</v>
      </c>
      <c r="C911" t="s">
        <v>69</v>
      </c>
      <c r="D911" t="s">
        <v>70</v>
      </c>
      <c r="E911" t="s">
        <v>130</v>
      </c>
      <c r="F911">
        <v>4</v>
      </c>
      <c r="G911">
        <v>97</v>
      </c>
      <c r="H911">
        <v>3</v>
      </c>
      <c r="I911">
        <v>3</v>
      </c>
      <c r="J911">
        <v>1</v>
      </c>
      <c r="K911" t="s">
        <v>110</v>
      </c>
      <c r="L911" t="s">
        <v>162</v>
      </c>
      <c r="M911" s="4">
        <v>605000000</v>
      </c>
      <c r="N911">
        <v>0</v>
      </c>
      <c r="O911">
        <v>4.6320565</v>
      </c>
      <c r="P911">
        <v>-74.064320800000004</v>
      </c>
      <c r="Q911" t="s">
        <v>1474</v>
      </c>
      <c r="R911">
        <v>6237113.4019999998</v>
      </c>
      <c r="S911">
        <v>0</v>
      </c>
      <c r="T911" t="s">
        <v>126</v>
      </c>
      <c r="U911" t="s">
        <v>127</v>
      </c>
      <c r="V911" t="s">
        <v>77</v>
      </c>
      <c r="W911" t="s">
        <v>128</v>
      </c>
      <c r="X911" t="s">
        <v>129</v>
      </c>
      <c r="Y911">
        <v>0.78870655884255103</v>
      </c>
      <c r="Z911">
        <v>788.70655884255098</v>
      </c>
      <c r="AA911">
        <v>4.6254861111111101</v>
      </c>
      <c r="AB911">
        <v>-74.066980555555503</v>
      </c>
      <c r="AC911">
        <v>2621</v>
      </c>
      <c r="AD911">
        <v>15</v>
      </c>
      <c r="AE911" t="s">
        <v>80</v>
      </c>
      <c r="AF911" t="s">
        <v>81</v>
      </c>
      <c r="AG911" t="s">
        <v>82</v>
      </c>
      <c r="AH911" t="s">
        <v>83</v>
      </c>
      <c r="AI911" t="s">
        <v>130</v>
      </c>
      <c r="AJ911">
        <v>0.400142137697724</v>
      </c>
      <c r="AK911">
        <v>0.50563954242073805</v>
      </c>
      <c r="AL911">
        <v>0.13727556202660901</v>
      </c>
      <c r="AM911">
        <v>7.6276384568499098E-2</v>
      </c>
      <c r="AN911">
        <v>0.56551810452599205</v>
      </c>
      <c r="AO911">
        <v>0.11864055142747899</v>
      </c>
      <c r="AP911">
        <v>0.11864055142747899</v>
      </c>
      <c r="AQ911">
        <v>1</v>
      </c>
      <c r="AR911">
        <v>5</v>
      </c>
      <c r="AS911">
        <v>0</v>
      </c>
      <c r="AT911">
        <v>37</v>
      </c>
      <c r="AU911">
        <v>11</v>
      </c>
      <c r="AV911">
        <v>126</v>
      </c>
      <c r="AW911">
        <v>1</v>
      </c>
      <c r="AX911">
        <v>1</v>
      </c>
      <c r="AZ911">
        <v>6.8</v>
      </c>
      <c r="BA911">
        <v>19.899999999999999</v>
      </c>
      <c r="BB911">
        <v>564</v>
      </c>
      <c r="BC911">
        <v>68</v>
      </c>
      <c r="BD911">
        <v>1.5</v>
      </c>
      <c r="BE911">
        <v>135</v>
      </c>
      <c r="BF911">
        <v>0.8</v>
      </c>
      <c r="BG911">
        <v>162</v>
      </c>
      <c r="BH911">
        <v>9.1</v>
      </c>
      <c r="BI911">
        <v>9.1999999999999993</v>
      </c>
      <c r="BJ911">
        <v>18.3</v>
      </c>
      <c r="BK911">
        <v>0.34</v>
      </c>
      <c r="BL911">
        <v>7.3</v>
      </c>
      <c r="BM911">
        <v>0.9</v>
      </c>
      <c r="BN911">
        <v>7.5</v>
      </c>
      <c r="BO911">
        <v>2.9</v>
      </c>
      <c r="BP911">
        <f t="shared" si="28"/>
        <v>6.5396368572909962</v>
      </c>
      <c r="BQ911">
        <f t="shared" si="29"/>
        <v>19.526856497773288</v>
      </c>
    </row>
    <row r="912" spans="1:69" hidden="1" x14ac:dyDescent="0.2">
      <c r="A912" t="s">
        <v>380</v>
      </c>
      <c r="B912" t="s">
        <v>68</v>
      </c>
      <c r="C912" t="s">
        <v>69</v>
      </c>
      <c r="D912" t="s">
        <v>70</v>
      </c>
      <c r="E912" t="s">
        <v>381</v>
      </c>
      <c r="F912">
        <v>3</v>
      </c>
      <c r="G912">
        <v>95.9</v>
      </c>
      <c r="H912">
        <v>3</v>
      </c>
      <c r="I912">
        <v>2</v>
      </c>
      <c r="J912">
        <v>0</v>
      </c>
      <c r="K912" t="s">
        <v>110</v>
      </c>
      <c r="L912" t="s">
        <v>115</v>
      </c>
      <c r="M912" s="4">
        <v>570000000</v>
      </c>
      <c r="N912">
        <v>0</v>
      </c>
      <c r="O912">
        <v>4.602834702</v>
      </c>
      <c r="P912">
        <v>-74.06939697</v>
      </c>
      <c r="Q912" t="s">
        <v>382</v>
      </c>
      <c r="R912">
        <v>5943691.3449999997</v>
      </c>
      <c r="S912">
        <v>0</v>
      </c>
      <c r="T912" t="s">
        <v>126</v>
      </c>
      <c r="U912" t="s">
        <v>127</v>
      </c>
      <c r="V912" t="s">
        <v>77</v>
      </c>
      <c r="W912" t="s">
        <v>128</v>
      </c>
      <c r="X912" t="s">
        <v>129</v>
      </c>
      <c r="Y912">
        <v>2.5357583245619399</v>
      </c>
      <c r="Z912">
        <v>2535.7583245619398</v>
      </c>
      <c r="AA912">
        <v>4.6254861111111101</v>
      </c>
      <c r="AB912">
        <v>-74.066980555555503</v>
      </c>
      <c r="AC912">
        <v>2621</v>
      </c>
      <c r="AD912">
        <v>15</v>
      </c>
      <c r="AE912" t="s">
        <v>80</v>
      </c>
      <c r="AF912" t="s">
        <v>81</v>
      </c>
      <c r="AG912" t="s">
        <v>82</v>
      </c>
      <c r="AH912" t="s">
        <v>83</v>
      </c>
      <c r="AI912" t="s">
        <v>138</v>
      </c>
      <c r="AJ912">
        <v>0.113936399157512</v>
      </c>
      <c r="AK912">
        <v>0.60300872963191199</v>
      </c>
      <c r="AL912">
        <v>0.17018660567506899</v>
      </c>
      <c r="AM912">
        <v>0.132550679810715</v>
      </c>
      <c r="AN912">
        <v>1.41620585809183</v>
      </c>
      <c r="AO912">
        <v>0.14971253865780099</v>
      </c>
      <c r="AP912">
        <v>0.14971253865780099</v>
      </c>
      <c r="AQ912">
        <v>3</v>
      </c>
      <c r="AR912">
        <v>7</v>
      </c>
      <c r="AS912">
        <v>0</v>
      </c>
      <c r="AT912">
        <v>46</v>
      </c>
      <c r="AU912">
        <v>12</v>
      </c>
      <c r="AV912">
        <v>50</v>
      </c>
      <c r="AW912">
        <v>0</v>
      </c>
      <c r="AX912">
        <v>8</v>
      </c>
      <c r="AZ912">
        <v>6.8</v>
      </c>
      <c r="BA912">
        <v>19.899999999999999</v>
      </c>
      <c r="BB912">
        <v>564</v>
      </c>
      <c r="BC912">
        <v>68</v>
      </c>
      <c r="BD912">
        <v>1.5</v>
      </c>
      <c r="BE912">
        <v>135</v>
      </c>
      <c r="BF912">
        <v>0.8</v>
      </c>
      <c r="BG912">
        <v>162</v>
      </c>
      <c r="BH912">
        <v>9.1</v>
      </c>
      <c r="BI912">
        <v>9.1999999999999993</v>
      </c>
      <c r="BJ912">
        <v>18.3</v>
      </c>
      <c r="BK912">
        <v>0.34</v>
      </c>
      <c r="BL912">
        <v>7.3</v>
      </c>
      <c r="BM912">
        <v>0.9</v>
      </c>
      <c r="BN912">
        <v>7.5</v>
      </c>
      <c r="BO912">
        <v>2.9</v>
      </c>
      <c r="BP912">
        <f t="shared" si="28"/>
        <v>5.9978590174039059</v>
      </c>
      <c r="BQ912">
        <f t="shared" si="29"/>
        <v>18.725037497555544</v>
      </c>
    </row>
    <row r="913" spans="1:69" hidden="1" x14ac:dyDescent="0.2">
      <c r="A913" t="s">
        <v>925</v>
      </c>
      <c r="B913" t="s">
        <v>68</v>
      </c>
      <c r="C913" t="s">
        <v>69</v>
      </c>
      <c r="D913" t="s">
        <v>70</v>
      </c>
      <c r="E913" t="s">
        <v>627</v>
      </c>
      <c r="F913">
        <v>4</v>
      </c>
      <c r="G913">
        <v>94.4</v>
      </c>
      <c r="H913">
        <v>4</v>
      </c>
      <c r="I913">
        <v>4</v>
      </c>
      <c r="J913">
        <v>2</v>
      </c>
      <c r="K913" t="s">
        <v>110</v>
      </c>
      <c r="L913" t="s">
        <v>111</v>
      </c>
      <c r="M913" s="4">
        <v>690000000</v>
      </c>
      <c r="N913">
        <v>0</v>
      </c>
      <c r="O913">
        <v>4.7239009999999997</v>
      </c>
      <c r="P913">
        <v>-74.126230000000007</v>
      </c>
      <c r="Q913" t="s">
        <v>926</v>
      </c>
      <c r="R913">
        <v>7309322.034</v>
      </c>
      <c r="S913">
        <v>0</v>
      </c>
      <c r="T913" t="s">
        <v>419</v>
      </c>
      <c r="U913" t="s">
        <v>420</v>
      </c>
      <c r="V913" t="s">
        <v>77</v>
      </c>
      <c r="W913" t="s">
        <v>78</v>
      </c>
      <c r="X913" t="s">
        <v>421</v>
      </c>
      <c r="Y913">
        <v>1.32574927959682</v>
      </c>
      <c r="Z913">
        <v>1325.7492795968201</v>
      </c>
      <c r="AA913">
        <v>4.7358055555555598</v>
      </c>
      <c r="AB913">
        <v>-74.125888888888895</v>
      </c>
      <c r="AC913">
        <v>2574</v>
      </c>
      <c r="AD913">
        <v>0</v>
      </c>
      <c r="AE913" t="s">
        <v>154</v>
      </c>
      <c r="AF913" t="s">
        <v>107</v>
      </c>
      <c r="AG913" t="s">
        <v>82</v>
      </c>
      <c r="AH913" t="s">
        <v>83</v>
      </c>
      <c r="AI913" t="s">
        <v>412</v>
      </c>
      <c r="AJ913">
        <v>2.3361961818796502</v>
      </c>
      <c r="AK913">
        <v>8.7749185661705004E-2</v>
      </c>
      <c r="AL913">
        <v>4.0219834313198204</v>
      </c>
      <c r="AM913">
        <v>0.215872878379293</v>
      </c>
      <c r="AN913">
        <v>3.6361019770188601</v>
      </c>
      <c r="AO913">
        <v>4.4315284296825103E-2</v>
      </c>
      <c r="AP913">
        <v>4.4315284296825103E-2</v>
      </c>
      <c r="AQ913">
        <v>0</v>
      </c>
      <c r="AR913">
        <v>0</v>
      </c>
      <c r="AS913">
        <v>10</v>
      </c>
      <c r="AT913">
        <v>13</v>
      </c>
      <c r="AU913">
        <v>0</v>
      </c>
      <c r="AV913">
        <v>4</v>
      </c>
      <c r="AW913">
        <v>0</v>
      </c>
      <c r="AX913">
        <v>0</v>
      </c>
      <c r="AZ913">
        <v>6.8</v>
      </c>
      <c r="BA913">
        <v>19.899999999999999</v>
      </c>
      <c r="BB913">
        <v>564</v>
      </c>
      <c r="BC913">
        <v>68</v>
      </c>
      <c r="BD913">
        <v>1.5</v>
      </c>
      <c r="BE913">
        <v>135</v>
      </c>
      <c r="BF913">
        <v>0.8</v>
      </c>
      <c r="BG913">
        <v>162</v>
      </c>
      <c r="BH913">
        <v>9.1</v>
      </c>
      <c r="BI913">
        <v>9.1999999999999993</v>
      </c>
      <c r="BJ913">
        <v>18.3</v>
      </c>
      <c r="BK913">
        <v>0.34</v>
      </c>
      <c r="BL913">
        <v>7.3</v>
      </c>
      <c r="BM913">
        <v>0.9</v>
      </c>
      <c r="BN913">
        <v>7.5</v>
      </c>
      <c r="BO913">
        <v>2.9</v>
      </c>
      <c r="BP913">
        <f t="shared" si="28"/>
        <v>6.3680800736454293</v>
      </c>
      <c r="BQ913">
        <f t="shared" si="29"/>
        <v>19.276789373027896</v>
      </c>
    </row>
    <row r="914" spans="1:69" hidden="1" x14ac:dyDescent="0.2">
      <c r="A914" t="s">
        <v>1891</v>
      </c>
      <c r="B914" t="s">
        <v>68</v>
      </c>
      <c r="C914" t="s">
        <v>69</v>
      </c>
      <c r="D914" t="s">
        <v>70</v>
      </c>
      <c r="E914" t="s">
        <v>1385</v>
      </c>
      <c r="F914">
        <v>4</v>
      </c>
      <c r="G914">
        <v>94</v>
      </c>
      <c r="H914">
        <v>3</v>
      </c>
      <c r="I914">
        <v>2</v>
      </c>
      <c r="J914">
        <v>2</v>
      </c>
      <c r="K914" t="s">
        <v>110</v>
      </c>
      <c r="L914" t="s">
        <v>133</v>
      </c>
      <c r="M914" s="4">
        <v>900000000</v>
      </c>
      <c r="N914">
        <v>0</v>
      </c>
      <c r="O914">
        <v>4.6560800000000002</v>
      </c>
      <c r="P914">
        <v>-74.0792</v>
      </c>
      <c r="Q914" t="s">
        <v>1892</v>
      </c>
      <c r="R914">
        <v>9574468.0850000009</v>
      </c>
      <c r="S914">
        <v>0</v>
      </c>
      <c r="T914" t="s">
        <v>75</v>
      </c>
      <c r="U914" t="s">
        <v>76</v>
      </c>
      <c r="V914" t="s">
        <v>77</v>
      </c>
      <c r="W914" t="s">
        <v>78</v>
      </c>
      <c r="X914" t="s">
        <v>79</v>
      </c>
      <c r="Y914">
        <v>0.59185440069684003</v>
      </c>
      <c r="Z914">
        <v>591.85440069684</v>
      </c>
      <c r="AA914">
        <v>4.6584666666666701</v>
      </c>
      <c r="AB914">
        <v>-74.083966666666697</v>
      </c>
      <c r="AC914">
        <v>2552</v>
      </c>
      <c r="AD914">
        <v>0</v>
      </c>
      <c r="AE914" t="s">
        <v>80</v>
      </c>
      <c r="AF914" t="s">
        <v>81</v>
      </c>
      <c r="AG914" t="s">
        <v>82</v>
      </c>
      <c r="AH914" t="s">
        <v>83</v>
      </c>
      <c r="AI914" t="s">
        <v>342</v>
      </c>
      <c r="AJ914">
        <v>0.21495177925070899</v>
      </c>
      <c r="AK914">
        <v>2.92895141540277</v>
      </c>
      <c r="AL914">
        <v>0.76556989518264396</v>
      </c>
      <c r="AM914">
        <v>0.23592890950878601</v>
      </c>
      <c r="AN914">
        <v>1.9817152625058001</v>
      </c>
      <c r="AO914">
        <v>0.197649675389137</v>
      </c>
      <c r="AP914">
        <v>0.197649675389137</v>
      </c>
      <c r="AQ914">
        <v>1</v>
      </c>
      <c r="AR914">
        <v>2</v>
      </c>
      <c r="AS914">
        <v>0</v>
      </c>
      <c r="AT914">
        <v>0</v>
      </c>
      <c r="AU914">
        <v>2</v>
      </c>
      <c r="AV914">
        <v>29</v>
      </c>
      <c r="AW914">
        <v>0</v>
      </c>
      <c r="AX914">
        <v>0</v>
      </c>
      <c r="AZ914">
        <v>6.8</v>
      </c>
      <c r="BA914">
        <v>19.899999999999999</v>
      </c>
      <c r="BB914">
        <v>564</v>
      </c>
      <c r="BC914">
        <v>68</v>
      </c>
      <c r="BD914">
        <v>1.5</v>
      </c>
      <c r="BE914">
        <v>135</v>
      </c>
      <c r="BF914">
        <v>0.8</v>
      </c>
      <c r="BG914">
        <v>162</v>
      </c>
      <c r="BH914">
        <v>9.1</v>
      </c>
      <c r="BI914">
        <v>9.1999999999999993</v>
      </c>
      <c r="BJ914">
        <v>18.3</v>
      </c>
      <c r="BK914">
        <v>0.34</v>
      </c>
      <c r="BL914">
        <v>7.3</v>
      </c>
      <c r="BM914">
        <v>0.9</v>
      </c>
      <c r="BN914">
        <v>7.5</v>
      </c>
      <c r="BO914">
        <v>2.9</v>
      </c>
      <c r="BP914">
        <f t="shared" si="28"/>
        <v>6.6036717450433899</v>
      </c>
      <c r="BQ914">
        <f t="shared" si="29"/>
        <v>19.619328457671887</v>
      </c>
    </row>
    <row r="915" spans="1:69" hidden="1" x14ac:dyDescent="0.2">
      <c r="A915" t="s">
        <v>1271</v>
      </c>
      <c r="B915" t="s">
        <v>68</v>
      </c>
      <c r="C915" t="s">
        <v>69</v>
      </c>
      <c r="D915" t="s">
        <v>70</v>
      </c>
      <c r="E915" t="s">
        <v>404</v>
      </c>
      <c r="F915">
        <v>5</v>
      </c>
      <c r="G915">
        <v>92</v>
      </c>
      <c r="H915">
        <v>2</v>
      </c>
      <c r="I915">
        <v>2</v>
      </c>
      <c r="J915">
        <v>2</v>
      </c>
      <c r="K915" t="s">
        <v>110</v>
      </c>
      <c r="L915" t="s">
        <v>124</v>
      </c>
      <c r="M915" s="4">
        <v>906000000</v>
      </c>
      <c r="N915">
        <v>0</v>
      </c>
      <c r="O915">
        <v>4.6722431179999999</v>
      </c>
      <c r="P915">
        <v>-74.058692930000007</v>
      </c>
      <c r="Q915" t="s">
        <v>1272</v>
      </c>
      <c r="R915">
        <v>9847826.0869999994</v>
      </c>
      <c r="S915">
        <v>0</v>
      </c>
      <c r="T915" t="s">
        <v>75</v>
      </c>
      <c r="U915" t="s">
        <v>76</v>
      </c>
      <c r="V915" t="s">
        <v>77</v>
      </c>
      <c r="W915" t="s">
        <v>78</v>
      </c>
      <c r="X915" t="s">
        <v>79</v>
      </c>
      <c r="Y915">
        <v>3.19610380670056</v>
      </c>
      <c r="Z915">
        <v>3196.1038067005602</v>
      </c>
      <c r="AA915">
        <v>4.6584666666666701</v>
      </c>
      <c r="AB915">
        <v>-74.083966666666697</v>
      </c>
      <c r="AC915">
        <v>2552</v>
      </c>
      <c r="AD915">
        <v>0</v>
      </c>
      <c r="AE915" t="s">
        <v>80</v>
      </c>
      <c r="AF915" t="s">
        <v>81</v>
      </c>
      <c r="AG915" t="s">
        <v>82</v>
      </c>
      <c r="AH915" t="s">
        <v>83</v>
      </c>
      <c r="AI915" t="s">
        <v>130</v>
      </c>
      <c r="AJ915">
        <v>0.105696631265358</v>
      </c>
      <c r="AK915">
        <v>1.71775359708495</v>
      </c>
      <c r="AL915">
        <v>0.485182287736378</v>
      </c>
      <c r="AM915">
        <v>2.4927912276709499E-2</v>
      </c>
      <c r="AN915">
        <v>2.5748641726155301</v>
      </c>
      <c r="AO915">
        <v>0.73969791729020795</v>
      </c>
      <c r="AP915">
        <v>0.73969791729020795</v>
      </c>
      <c r="AQ915">
        <v>3</v>
      </c>
      <c r="AR915">
        <v>5</v>
      </c>
      <c r="AS915">
        <v>0</v>
      </c>
      <c r="AT915">
        <v>0</v>
      </c>
      <c r="AU915">
        <v>7</v>
      </c>
      <c r="AV915">
        <v>287</v>
      </c>
      <c r="AW915">
        <v>0</v>
      </c>
      <c r="AX915">
        <v>0</v>
      </c>
      <c r="AZ915">
        <v>6.8</v>
      </c>
      <c r="BA915">
        <v>19.899999999999999</v>
      </c>
      <c r="BB915">
        <v>564</v>
      </c>
      <c r="BC915">
        <v>68</v>
      </c>
      <c r="BD915">
        <v>1.5</v>
      </c>
      <c r="BE915">
        <v>135</v>
      </c>
      <c r="BF915">
        <v>0.8</v>
      </c>
      <c r="BG915">
        <v>162</v>
      </c>
      <c r="BH915">
        <v>9.1</v>
      </c>
      <c r="BI915">
        <v>9.1999999999999993</v>
      </c>
      <c r="BJ915">
        <v>18.3</v>
      </c>
      <c r="BK915">
        <v>0.34</v>
      </c>
      <c r="BL915">
        <v>7.3</v>
      </c>
      <c r="BM915">
        <v>0.9</v>
      </c>
      <c r="BN915">
        <v>7.5</v>
      </c>
      <c r="BO915">
        <v>2.9</v>
      </c>
      <c r="BP915">
        <f t="shared" si="28"/>
        <v>5.8049759592258487</v>
      </c>
      <c r="BQ915">
        <f t="shared" si="29"/>
        <v>18.430616838240347</v>
      </c>
    </row>
    <row r="916" spans="1:69" hidden="1" x14ac:dyDescent="0.2">
      <c r="A916" t="s">
        <v>465</v>
      </c>
      <c r="B916" t="s">
        <v>68</v>
      </c>
      <c r="C916" t="s">
        <v>69</v>
      </c>
      <c r="D916" t="s">
        <v>70</v>
      </c>
      <c r="E916" t="s">
        <v>329</v>
      </c>
      <c r="F916">
        <v>4</v>
      </c>
      <c r="G916">
        <v>91.45</v>
      </c>
      <c r="H916">
        <v>3</v>
      </c>
      <c r="I916">
        <v>3</v>
      </c>
      <c r="J916">
        <v>1</v>
      </c>
      <c r="K916" t="s">
        <v>110</v>
      </c>
      <c r="L916" t="s">
        <v>115</v>
      </c>
      <c r="M916" s="4">
        <v>749000000</v>
      </c>
      <c r="N916">
        <v>0</v>
      </c>
      <c r="O916">
        <v>4.6947739999999998</v>
      </c>
      <c r="P916">
        <v>-74.08184</v>
      </c>
      <c r="Q916" t="s">
        <v>466</v>
      </c>
      <c r="R916">
        <v>8190267.9060000004</v>
      </c>
      <c r="S916">
        <v>0</v>
      </c>
      <c r="T916" t="s">
        <v>75</v>
      </c>
      <c r="U916" t="s">
        <v>76</v>
      </c>
      <c r="V916" t="s">
        <v>77</v>
      </c>
      <c r="W916" t="s">
        <v>78</v>
      </c>
      <c r="X916" t="s">
        <v>79</v>
      </c>
      <c r="Y916">
        <v>4.0485953023102397</v>
      </c>
      <c r="Z916">
        <v>4048.5953023102402</v>
      </c>
      <c r="AA916">
        <v>4.6584666666666701</v>
      </c>
      <c r="AB916">
        <v>-74.083966666666697</v>
      </c>
      <c r="AC916">
        <v>2552</v>
      </c>
      <c r="AD916">
        <v>0</v>
      </c>
      <c r="AE916" t="s">
        <v>80</v>
      </c>
      <c r="AF916" t="s">
        <v>81</v>
      </c>
      <c r="AG916" t="s">
        <v>82</v>
      </c>
      <c r="AH916" t="s">
        <v>83</v>
      </c>
      <c r="AI916" t="s">
        <v>121</v>
      </c>
      <c r="AJ916">
        <v>0.52760472462101704</v>
      </c>
      <c r="AK916">
        <v>5.1831837322507903</v>
      </c>
      <c r="AL916">
        <v>1.1087947308487101</v>
      </c>
      <c r="AM916">
        <v>0.47784447686614301</v>
      </c>
      <c r="AN916">
        <v>2.3165733214386099</v>
      </c>
      <c r="AO916">
        <v>0.492441930088516</v>
      </c>
      <c r="AP916">
        <v>0.492441930088516</v>
      </c>
      <c r="AQ916">
        <v>0</v>
      </c>
      <c r="AR916">
        <v>3</v>
      </c>
      <c r="AS916">
        <v>0</v>
      </c>
      <c r="AT916">
        <v>0</v>
      </c>
      <c r="AU916">
        <v>0</v>
      </c>
      <c r="AV916">
        <v>30</v>
      </c>
      <c r="AW916">
        <v>0</v>
      </c>
      <c r="AX916">
        <v>0</v>
      </c>
      <c r="AZ916">
        <v>6.8</v>
      </c>
      <c r="BA916">
        <v>19.899999999999999</v>
      </c>
      <c r="BB916">
        <v>564</v>
      </c>
      <c r="BC916">
        <v>68</v>
      </c>
      <c r="BD916">
        <v>1.5</v>
      </c>
      <c r="BE916">
        <v>135</v>
      </c>
      <c r="BF916">
        <v>0.8</v>
      </c>
      <c r="BG916">
        <v>162</v>
      </c>
      <c r="BH916">
        <v>9.1</v>
      </c>
      <c r="BI916">
        <v>9.1999999999999993</v>
      </c>
      <c r="BJ916">
        <v>18.3</v>
      </c>
      <c r="BK916">
        <v>0.34</v>
      </c>
      <c r="BL916">
        <v>7.3</v>
      </c>
      <c r="BM916">
        <v>0.9</v>
      </c>
      <c r="BN916">
        <v>7.5</v>
      </c>
      <c r="BO916">
        <v>2.9</v>
      </c>
      <c r="BP916">
        <f t="shared" si="28"/>
        <v>5.5651121914763264</v>
      </c>
      <c r="BQ916">
        <f t="shared" si="29"/>
        <v>18.057361563287209</v>
      </c>
    </row>
    <row r="917" spans="1:69" hidden="1" x14ac:dyDescent="0.2">
      <c r="A917" t="s">
        <v>1021</v>
      </c>
      <c r="B917" t="s">
        <v>68</v>
      </c>
      <c r="C917" t="s">
        <v>69</v>
      </c>
      <c r="D917" t="s">
        <v>70</v>
      </c>
      <c r="E917" t="s">
        <v>1022</v>
      </c>
      <c r="F917">
        <v>4</v>
      </c>
      <c r="G917">
        <v>90.6</v>
      </c>
      <c r="H917">
        <v>3</v>
      </c>
      <c r="I917">
        <v>2</v>
      </c>
      <c r="J917">
        <v>1</v>
      </c>
      <c r="K917" t="s">
        <v>110</v>
      </c>
      <c r="L917" t="s">
        <v>124</v>
      </c>
      <c r="M917" s="4">
        <v>650000000</v>
      </c>
      <c r="N917">
        <v>0</v>
      </c>
      <c r="O917">
        <v>4.6735110000000004</v>
      </c>
      <c r="P917">
        <v>-74.060440999999997</v>
      </c>
      <c r="Q917" t="s">
        <v>1023</v>
      </c>
      <c r="R917">
        <v>7174392.9359999998</v>
      </c>
      <c r="S917">
        <v>0</v>
      </c>
      <c r="T917" t="s">
        <v>75</v>
      </c>
      <c r="U917" t="s">
        <v>76</v>
      </c>
      <c r="V917" t="s">
        <v>77</v>
      </c>
      <c r="W917" t="s">
        <v>78</v>
      </c>
      <c r="X917" t="s">
        <v>79</v>
      </c>
      <c r="Y917">
        <v>3.10125503597189</v>
      </c>
      <c r="Z917">
        <v>3101.2550359718898</v>
      </c>
      <c r="AA917">
        <v>4.6584666666666701</v>
      </c>
      <c r="AB917">
        <v>-74.083966666666697</v>
      </c>
      <c r="AC917">
        <v>2552</v>
      </c>
      <c r="AD917">
        <v>0</v>
      </c>
      <c r="AE917" t="s">
        <v>80</v>
      </c>
      <c r="AF917" t="s">
        <v>81</v>
      </c>
      <c r="AG917" t="s">
        <v>82</v>
      </c>
      <c r="AH917" t="s">
        <v>83</v>
      </c>
      <c r="AI917" t="s">
        <v>342</v>
      </c>
      <c r="AJ917">
        <v>0.159220941356882</v>
      </c>
      <c r="AK917">
        <v>1.9554540845975299</v>
      </c>
      <c r="AL917">
        <v>0.63581495815789102</v>
      </c>
      <c r="AM917">
        <v>1.6807899925153899E-2</v>
      </c>
      <c r="AN917">
        <v>2.3754212605882401</v>
      </c>
      <c r="AO917">
        <v>0.60262416035129995</v>
      </c>
      <c r="AP917">
        <v>0.60262416035129995</v>
      </c>
      <c r="AQ917">
        <v>2</v>
      </c>
      <c r="AR917">
        <v>7</v>
      </c>
      <c r="AS917">
        <v>0</v>
      </c>
      <c r="AT917">
        <v>0</v>
      </c>
      <c r="AU917">
        <v>5</v>
      </c>
      <c r="AV917">
        <v>292</v>
      </c>
      <c r="AW917">
        <v>0</v>
      </c>
      <c r="AX917">
        <v>0</v>
      </c>
      <c r="AZ917">
        <v>6.8</v>
      </c>
      <c r="BA917">
        <v>19.899999999999999</v>
      </c>
      <c r="BB917">
        <v>564</v>
      </c>
      <c r="BC917">
        <v>68</v>
      </c>
      <c r="BD917">
        <v>1.5</v>
      </c>
      <c r="BE917">
        <v>135</v>
      </c>
      <c r="BF917">
        <v>0.8</v>
      </c>
      <c r="BG917">
        <v>162</v>
      </c>
      <c r="BH917">
        <v>9.1</v>
      </c>
      <c r="BI917">
        <v>9.1999999999999993</v>
      </c>
      <c r="BJ917">
        <v>18.3</v>
      </c>
      <c r="BK917">
        <v>0.34</v>
      </c>
      <c r="BL917">
        <v>7.3</v>
      </c>
      <c r="BM917">
        <v>0.9</v>
      </c>
      <c r="BN917">
        <v>7.5</v>
      </c>
      <c r="BO917">
        <v>2.9</v>
      </c>
      <c r="BP917">
        <f t="shared" si="28"/>
        <v>5.8322944837484467</v>
      </c>
      <c r="BQ917">
        <f t="shared" si="29"/>
        <v>18.472619539378581</v>
      </c>
    </row>
    <row r="918" spans="1:69" hidden="1" x14ac:dyDescent="0.2">
      <c r="A918" t="s">
        <v>309</v>
      </c>
      <c r="B918" t="s">
        <v>68</v>
      </c>
      <c r="C918" t="s">
        <v>69</v>
      </c>
      <c r="D918" t="s">
        <v>70</v>
      </c>
      <c r="E918" t="s">
        <v>310</v>
      </c>
      <c r="F918">
        <v>6</v>
      </c>
      <c r="G918">
        <v>90</v>
      </c>
      <c r="H918">
        <v>2</v>
      </c>
      <c r="I918">
        <v>2</v>
      </c>
      <c r="J918">
        <v>2</v>
      </c>
      <c r="K918" t="s">
        <v>110</v>
      </c>
      <c r="L918" t="s">
        <v>133</v>
      </c>
      <c r="M918" s="4">
        <v>1100000000</v>
      </c>
      <c r="N918">
        <v>0</v>
      </c>
      <c r="O918">
        <v>4.6629991530000003</v>
      </c>
      <c r="P918">
        <v>-74.046852110000003</v>
      </c>
      <c r="Q918" t="s">
        <v>311</v>
      </c>
      <c r="R918">
        <v>12222222.220000001</v>
      </c>
      <c r="S918">
        <v>0</v>
      </c>
      <c r="T918" t="s">
        <v>75</v>
      </c>
      <c r="U918" t="s">
        <v>76</v>
      </c>
      <c r="V918" t="s">
        <v>77</v>
      </c>
      <c r="W918" t="s">
        <v>78</v>
      </c>
      <c r="X918" t="s">
        <v>79</v>
      </c>
      <c r="Y918">
        <v>4.1487072261891402</v>
      </c>
      <c r="Z918">
        <v>4148.7072261891399</v>
      </c>
      <c r="AA918">
        <v>4.6584666666666701</v>
      </c>
      <c r="AB918">
        <v>-74.083966666666697</v>
      </c>
      <c r="AC918">
        <v>2552</v>
      </c>
      <c r="AD918">
        <v>0</v>
      </c>
      <c r="AE918" t="s">
        <v>80</v>
      </c>
      <c r="AF918" t="s">
        <v>81</v>
      </c>
      <c r="AG918" t="s">
        <v>82</v>
      </c>
      <c r="AH918" t="s">
        <v>83</v>
      </c>
      <c r="AI918" t="s">
        <v>130</v>
      </c>
      <c r="AJ918">
        <v>1.5965799216794001</v>
      </c>
      <c r="AK918">
        <v>0.19557346174112999</v>
      </c>
      <c r="AL918">
        <v>0.78178302996239302</v>
      </c>
      <c r="AM918">
        <v>0.130736465025898</v>
      </c>
      <c r="AN918">
        <v>2.6875308374744402</v>
      </c>
      <c r="AO918">
        <v>0.43921922424918602</v>
      </c>
      <c r="AP918">
        <v>0.43921922424918602</v>
      </c>
      <c r="AQ918">
        <v>0</v>
      </c>
      <c r="AR918">
        <v>0</v>
      </c>
      <c r="AS918">
        <v>8</v>
      </c>
      <c r="AT918">
        <v>36</v>
      </c>
      <c r="AU918">
        <v>2</v>
      </c>
      <c r="AV918">
        <v>16</v>
      </c>
      <c r="AW918">
        <v>0</v>
      </c>
      <c r="AX918">
        <v>0</v>
      </c>
      <c r="AZ918">
        <v>6.8</v>
      </c>
      <c r="BA918">
        <v>19.899999999999999</v>
      </c>
      <c r="BB918">
        <v>564</v>
      </c>
      <c r="BC918">
        <v>68</v>
      </c>
      <c r="BD918">
        <v>1.5</v>
      </c>
      <c r="BE918">
        <v>135</v>
      </c>
      <c r="BF918">
        <v>0.8</v>
      </c>
      <c r="BG918">
        <v>162</v>
      </c>
      <c r="BH918">
        <v>9.1</v>
      </c>
      <c r="BI918">
        <v>9.1999999999999993</v>
      </c>
      <c r="BJ918">
        <v>18.3</v>
      </c>
      <c r="BK918">
        <v>0.34</v>
      </c>
      <c r="BL918">
        <v>7.3</v>
      </c>
      <c r="BM918">
        <v>0.9</v>
      </c>
      <c r="BN918">
        <v>7.5</v>
      </c>
      <c r="BO918">
        <v>2.9</v>
      </c>
      <c r="BP918">
        <f t="shared" si="28"/>
        <v>5.5376022736656854</v>
      </c>
      <c r="BQ918">
        <f t="shared" si="29"/>
        <v>18.014027470296522</v>
      </c>
    </row>
    <row r="919" spans="1:69" hidden="1" x14ac:dyDescent="0.2">
      <c r="A919" t="s">
        <v>2812</v>
      </c>
      <c r="B919" t="s">
        <v>68</v>
      </c>
      <c r="C919" t="s">
        <v>1956</v>
      </c>
      <c r="D919" t="s">
        <v>70</v>
      </c>
      <c r="E919" t="s">
        <v>2813</v>
      </c>
      <c r="F919">
        <v>3</v>
      </c>
      <c r="G919">
        <v>90</v>
      </c>
      <c r="H919">
        <v>5</v>
      </c>
      <c r="I919">
        <v>5</v>
      </c>
      <c r="J919">
        <v>1</v>
      </c>
      <c r="K919" t="s">
        <v>110</v>
      </c>
      <c r="L919" t="s">
        <v>162</v>
      </c>
      <c r="M919" s="4">
        <v>660000000</v>
      </c>
      <c r="N919">
        <v>0</v>
      </c>
      <c r="O919">
        <v>4.5766499999999999</v>
      </c>
      <c r="P919">
        <v>-74.108059999999995</v>
      </c>
      <c r="Q919" t="s">
        <v>2814</v>
      </c>
      <c r="R919">
        <v>7333333.3329999996</v>
      </c>
      <c r="S919">
        <v>0</v>
      </c>
      <c r="T919" t="s">
        <v>1843</v>
      </c>
      <c r="U919" t="s">
        <v>1844</v>
      </c>
      <c r="V919" t="s">
        <v>77</v>
      </c>
      <c r="W919" t="s">
        <v>1845</v>
      </c>
      <c r="X919" t="s">
        <v>1846</v>
      </c>
      <c r="Y919">
        <v>2.54103615973691</v>
      </c>
      <c r="Z919">
        <v>2541.0361597369101</v>
      </c>
      <c r="AA919">
        <v>4.576225</v>
      </c>
      <c r="AB919">
        <v>-74.130955555555502</v>
      </c>
      <c r="AC919">
        <v>2589</v>
      </c>
      <c r="AD919">
        <v>0</v>
      </c>
      <c r="AE919" t="s">
        <v>80</v>
      </c>
      <c r="AF919" t="s">
        <v>107</v>
      </c>
      <c r="AG919" t="s">
        <v>82</v>
      </c>
      <c r="AH919" t="s">
        <v>83</v>
      </c>
      <c r="AI919" t="s">
        <v>1847</v>
      </c>
      <c r="AJ919">
        <v>0.26196897325051799</v>
      </c>
      <c r="AK919">
        <v>3.6807484947177</v>
      </c>
      <c r="AL919">
        <v>1.5367442010779</v>
      </c>
      <c r="AM919">
        <v>0.17936402435912499</v>
      </c>
      <c r="AN919">
        <v>1.0040570965073501</v>
      </c>
      <c r="AO919">
        <v>0.168278136370384</v>
      </c>
      <c r="AP919">
        <v>0.168278136370384</v>
      </c>
      <c r="AQ919">
        <v>1</v>
      </c>
      <c r="AR919">
        <v>3</v>
      </c>
      <c r="AS919">
        <v>0</v>
      </c>
      <c r="AT919">
        <v>0</v>
      </c>
      <c r="AU919">
        <v>0</v>
      </c>
      <c r="AV919">
        <v>52</v>
      </c>
      <c r="AW919">
        <v>0</v>
      </c>
      <c r="AX919">
        <v>0</v>
      </c>
      <c r="AZ919">
        <v>6.8</v>
      </c>
      <c r="BA919">
        <v>19.899999999999999</v>
      </c>
      <c r="BB919">
        <v>564</v>
      </c>
      <c r="BC919">
        <v>68</v>
      </c>
      <c r="BD919">
        <v>1.5</v>
      </c>
      <c r="BE919">
        <v>135</v>
      </c>
      <c r="BF919">
        <v>0.8</v>
      </c>
      <c r="BG919">
        <v>162</v>
      </c>
      <c r="BH919">
        <v>9.1</v>
      </c>
      <c r="BI919">
        <v>9.1999999999999993</v>
      </c>
      <c r="BJ919">
        <v>18.3</v>
      </c>
      <c r="BK919">
        <v>0.34</v>
      </c>
      <c r="BL919">
        <v>7.3</v>
      </c>
      <c r="BM919">
        <v>0.9</v>
      </c>
      <c r="BN919">
        <v>7.5</v>
      </c>
      <c r="BO919">
        <v>2.9</v>
      </c>
      <c r="BP919">
        <f t="shared" si="28"/>
        <v>5.996292264362979</v>
      </c>
      <c r="BQ919">
        <f t="shared" si="29"/>
        <v>18.722665783891507</v>
      </c>
    </row>
    <row r="920" spans="1:69" hidden="1" x14ac:dyDescent="0.2">
      <c r="A920" t="s">
        <v>1989</v>
      </c>
      <c r="B920" t="s">
        <v>68</v>
      </c>
      <c r="C920" t="s">
        <v>1956</v>
      </c>
      <c r="D920" t="s">
        <v>70</v>
      </c>
      <c r="E920" t="s">
        <v>1990</v>
      </c>
      <c r="F920">
        <v>4</v>
      </c>
      <c r="G920">
        <v>89.84</v>
      </c>
      <c r="H920">
        <v>3</v>
      </c>
      <c r="I920">
        <v>2</v>
      </c>
      <c r="J920">
        <v>1</v>
      </c>
      <c r="K920" t="s">
        <v>110</v>
      </c>
      <c r="L920" t="s">
        <v>162</v>
      </c>
      <c r="M920" s="4">
        <v>770000000</v>
      </c>
      <c r="N920">
        <v>0</v>
      </c>
      <c r="O920">
        <v>4.6893563</v>
      </c>
      <c r="P920">
        <v>-74.076909999999998</v>
      </c>
      <c r="Q920" t="s">
        <v>1991</v>
      </c>
      <c r="R920">
        <v>8570792.5199999996</v>
      </c>
      <c r="S920">
        <v>0</v>
      </c>
      <c r="T920" t="s">
        <v>75</v>
      </c>
      <c r="U920" t="s">
        <v>76</v>
      </c>
      <c r="V920" t="s">
        <v>77</v>
      </c>
      <c r="W920" t="s">
        <v>78</v>
      </c>
      <c r="X920" t="s">
        <v>79</v>
      </c>
      <c r="Y920">
        <v>3.5266242271941999</v>
      </c>
      <c r="Z920">
        <v>3526.6242271942001</v>
      </c>
      <c r="AA920">
        <v>4.6584666666666701</v>
      </c>
      <c r="AB920">
        <v>-74.083966666666697</v>
      </c>
      <c r="AC920">
        <v>2552</v>
      </c>
      <c r="AD920">
        <v>0</v>
      </c>
      <c r="AE920" t="s">
        <v>80</v>
      </c>
      <c r="AF920" t="s">
        <v>81</v>
      </c>
      <c r="AG920" t="s">
        <v>82</v>
      </c>
      <c r="AH920" t="s">
        <v>83</v>
      </c>
      <c r="AI920" t="s">
        <v>121</v>
      </c>
      <c r="AJ920">
        <v>0.55867601348211304</v>
      </c>
      <c r="AK920">
        <v>4.3984063240658902</v>
      </c>
      <c r="AL920">
        <v>0.36176720252762701</v>
      </c>
      <c r="AM920">
        <v>0.26831829795241102</v>
      </c>
      <c r="AN920">
        <v>1.8034573372293301</v>
      </c>
      <c r="AO920">
        <v>0.125783832354258</v>
      </c>
      <c r="AP920">
        <v>0.125783832354258</v>
      </c>
      <c r="AQ920">
        <v>0</v>
      </c>
      <c r="AR920">
        <v>3</v>
      </c>
      <c r="AS920">
        <v>0</v>
      </c>
      <c r="AT920">
        <v>0</v>
      </c>
      <c r="AU920">
        <v>1</v>
      </c>
      <c r="AV920">
        <v>28</v>
      </c>
      <c r="AW920">
        <v>0</v>
      </c>
      <c r="AX920">
        <v>0</v>
      </c>
      <c r="AZ920">
        <v>6.8</v>
      </c>
      <c r="BA920">
        <v>19.899999999999999</v>
      </c>
      <c r="BB920">
        <v>564</v>
      </c>
      <c r="BC920">
        <v>68</v>
      </c>
      <c r="BD920">
        <v>1.5</v>
      </c>
      <c r="BE920">
        <v>135</v>
      </c>
      <c r="BF920">
        <v>0.8</v>
      </c>
      <c r="BG920">
        <v>162</v>
      </c>
      <c r="BH920">
        <v>9.1</v>
      </c>
      <c r="BI920">
        <v>9.1999999999999993</v>
      </c>
      <c r="BJ920">
        <v>18.3</v>
      </c>
      <c r="BK920">
        <v>0.34</v>
      </c>
      <c r="BL920">
        <v>7.3</v>
      </c>
      <c r="BM920">
        <v>0.9</v>
      </c>
      <c r="BN920">
        <v>7.5</v>
      </c>
      <c r="BO920">
        <v>2.9</v>
      </c>
      <c r="BP920">
        <f t="shared" si="28"/>
        <v>5.710774838287878</v>
      </c>
      <c r="BQ920">
        <f t="shared" si="29"/>
        <v>18.284994490299557</v>
      </c>
    </row>
    <row r="921" spans="1:69" hidden="1" x14ac:dyDescent="0.2">
      <c r="A921" t="s">
        <v>573</v>
      </c>
      <c r="B921" t="s">
        <v>68</v>
      </c>
      <c r="C921" t="s">
        <v>69</v>
      </c>
      <c r="D921" t="s">
        <v>70</v>
      </c>
      <c r="E921" t="s">
        <v>574</v>
      </c>
      <c r="F921">
        <v>4</v>
      </c>
      <c r="G921">
        <v>89</v>
      </c>
      <c r="H921">
        <v>3</v>
      </c>
      <c r="I921">
        <v>2</v>
      </c>
      <c r="J921">
        <v>1</v>
      </c>
      <c r="K921" t="s">
        <v>110</v>
      </c>
      <c r="L921" t="s">
        <v>124</v>
      </c>
      <c r="M921" s="4">
        <v>725000000</v>
      </c>
      <c r="N921">
        <v>0</v>
      </c>
      <c r="O921">
        <v>4.6938848499999999</v>
      </c>
      <c r="P921">
        <v>-74.085372919999998</v>
      </c>
      <c r="Q921" t="s">
        <v>575</v>
      </c>
      <c r="R921">
        <v>8146067.4160000002</v>
      </c>
      <c r="S921">
        <v>0</v>
      </c>
      <c r="T921" t="s">
        <v>75</v>
      </c>
      <c r="U921" t="s">
        <v>76</v>
      </c>
      <c r="V921" t="s">
        <v>77</v>
      </c>
      <c r="W921" t="s">
        <v>78</v>
      </c>
      <c r="X921" t="s">
        <v>79</v>
      </c>
      <c r="Y921">
        <v>3.94581999261298</v>
      </c>
      <c r="Z921">
        <v>3945.8199926129801</v>
      </c>
      <c r="AA921">
        <v>4.6584666666666701</v>
      </c>
      <c r="AB921">
        <v>-74.083966666666697</v>
      </c>
      <c r="AC921">
        <v>2552</v>
      </c>
      <c r="AD921">
        <v>0</v>
      </c>
      <c r="AE921" t="s">
        <v>80</v>
      </c>
      <c r="AF921" t="s">
        <v>81</v>
      </c>
      <c r="AG921" t="s">
        <v>82</v>
      </c>
      <c r="AH921" t="s">
        <v>83</v>
      </c>
      <c r="AI921" t="s">
        <v>412</v>
      </c>
      <c r="AJ921">
        <v>0.195111079666168</v>
      </c>
      <c r="AK921">
        <v>5.4600823255238096</v>
      </c>
      <c r="AL921">
        <v>0.93129926168764998</v>
      </c>
      <c r="AM921">
        <v>0.14922298197003001</v>
      </c>
      <c r="AN921">
        <v>1.9657566733198899</v>
      </c>
      <c r="AO921">
        <v>0.17717784682625701</v>
      </c>
      <c r="AP921">
        <v>0.17717784682625701</v>
      </c>
      <c r="AQ921">
        <v>2</v>
      </c>
      <c r="AR921">
        <v>3</v>
      </c>
      <c r="AS921">
        <v>0</v>
      </c>
      <c r="AT921">
        <v>0</v>
      </c>
      <c r="AU921">
        <v>2</v>
      </c>
      <c r="AV921">
        <v>20</v>
      </c>
      <c r="AW921">
        <v>0</v>
      </c>
      <c r="AX921">
        <v>0</v>
      </c>
      <c r="AZ921">
        <v>6.8</v>
      </c>
      <c r="BA921">
        <v>19.899999999999999</v>
      </c>
      <c r="BB921">
        <v>564</v>
      </c>
      <c r="BC921">
        <v>68</v>
      </c>
      <c r="BD921">
        <v>1.5</v>
      </c>
      <c r="BE921">
        <v>135</v>
      </c>
      <c r="BF921">
        <v>0.8</v>
      </c>
      <c r="BG921">
        <v>162</v>
      </c>
      <c r="BH921">
        <v>9.1</v>
      </c>
      <c r="BI921">
        <v>9.1999999999999993</v>
      </c>
      <c r="BJ921">
        <v>18.3</v>
      </c>
      <c r="BK921">
        <v>0.34</v>
      </c>
      <c r="BL921">
        <v>7.3</v>
      </c>
      <c r="BM921">
        <v>0.9</v>
      </c>
      <c r="BN921">
        <v>7.5</v>
      </c>
      <c r="BO921">
        <v>2.9</v>
      </c>
      <c r="BP921">
        <f t="shared" si="28"/>
        <v>5.5934961586253147</v>
      </c>
      <c r="BQ921">
        <f t="shared" si="29"/>
        <v>18.101956962596052</v>
      </c>
    </row>
    <row r="922" spans="1:69" hidden="1" x14ac:dyDescent="0.2">
      <c r="A922" t="s">
        <v>888</v>
      </c>
      <c r="B922" t="s">
        <v>68</v>
      </c>
      <c r="C922" t="s">
        <v>69</v>
      </c>
      <c r="D922" t="s">
        <v>70</v>
      </c>
      <c r="E922" t="s">
        <v>130</v>
      </c>
      <c r="F922">
        <v>3</v>
      </c>
      <c r="G922">
        <v>87</v>
      </c>
      <c r="H922">
        <v>3</v>
      </c>
      <c r="I922">
        <v>2</v>
      </c>
      <c r="J922">
        <v>1</v>
      </c>
      <c r="K922" t="s">
        <v>110</v>
      </c>
      <c r="L922" t="s">
        <v>124</v>
      </c>
      <c r="M922" s="4">
        <v>590000000</v>
      </c>
      <c r="N922">
        <v>0</v>
      </c>
      <c r="O922">
        <v>4.6525116000000004</v>
      </c>
      <c r="P922">
        <v>-74.062298889999994</v>
      </c>
      <c r="Q922" t="s">
        <v>889</v>
      </c>
      <c r="R922">
        <v>6781609.1950000003</v>
      </c>
      <c r="S922">
        <v>0</v>
      </c>
      <c r="T922" t="s">
        <v>75</v>
      </c>
      <c r="U922" t="s">
        <v>76</v>
      </c>
      <c r="V922" t="s">
        <v>77</v>
      </c>
      <c r="W922" t="s">
        <v>78</v>
      </c>
      <c r="X922" t="s">
        <v>79</v>
      </c>
      <c r="Y922">
        <v>2.4938113224972702</v>
      </c>
      <c r="Z922">
        <v>2493.8113224972699</v>
      </c>
      <c r="AA922">
        <v>4.6584666666666701</v>
      </c>
      <c r="AB922">
        <v>-74.083966666666697</v>
      </c>
      <c r="AC922">
        <v>2552</v>
      </c>
      <c r="AD922">
        <v>0</v>
      </c>
      <c r="AE922" t="s">
        <v>80</v>
      </c>
      <c r="AF922" t="s">
        <v>81</v>
      </c>
      <c r="AG922" t="s">
        <v>82</v>
      </c>
      <c r="AH922" t="s">
        <v>83</v>
      </c>
      <c r="AI922" t="s">
        <v>130</v>
      </c>
      <c r="AJ922">
        <v>0.27576299493269502</v>
      </c>
      <c r="AK922">
        <v>1.27970696855363</v>
      </c>
      <c r="AL922">
        <v>0.10332665561992301</v>
      </c>
      <c r="AM922">
        <v>7.9264910174481496E-3</v>
      </c>
      <c r="AN922">
        <v>1.28006463823703</v>
      </c>
      <c r="AO922">
        <v>7.3330259160430997E-2</v>
      </c>
      <c r="AP922">
        <v>7.3330259160430997E-2</v>
      </c>
      <c r="AQ922">
        <v>1</v>
      </c>
      <c r="AR922">
        <v>3</v>
      </c>
      <c r="AS922">
        <v>0</v>
      </c>
      <c r="AT922">
        <v>0</v>
      </c>
      <c r="AU922">
        <v>23</v>
      </c>
      <c r="AV922">
        <v>83</v>
      </c>
      <c r="AW922">
        <v>0</v>
      </c>
      <c r="AX922">
        <v>0</v>
      </c>
      <c r="AZ922">
        <v>6.8</v>
      </c>
      <c r="BA922">
        <v>19.899999999999999</v>
      </c>
      <c r="BB922">
        <v>564</v>
      </c>
      <c r="BC922">
        <v>68</v>
      </c>
      <c r="BD922">
        <v>1.5</v>
      </c>
      <c r="BE922">
        <v>135</v>
      </c>
      <c r="BF922">
        <v>0.8</v>
      </c>
      <c r="BG922">
        <v>162</v>
      </c>
      <c r="BH922">
        <v>9.1</v>
      </c>
      <c r="BI922">
        <v>9.1999999999999993</v>
      </c>
      <c r="BJ922">
        <v>18.3</v>
      </c>
      <c r="BK922">
        <v>0.34</v>
      </c>
      <c r="BL922">
        <v>7.3</v>
      </c>
      <c r="BM922">
        <v>0.9</v>
      </c>
      <c r="BN922">
        <v>7.5</v>
      </c>
      <c r="BO922">
        <v>2.9</v>
      </c>
      <c r="BP922">
        <f t="shared" si="28"/>
        <v>6.0103257698884933</v>
      </c>
      <c r="BQ922">
        <f t="shared" si="29"/>
        <v>18.743898010143845</v>
      </c>
    </row>
    <row r="923" spans="1:69" hidden="1" x14ac:dyDescent="0.2">
      <c r="A923" t="s">
        <v>1085</v>
      </c>
      <c r="B923" t="s">
        <v>68</v>
      </c>
      <c r="C923" t="s">
        <v>69</v>
      </c>
      <c r="D923" t="s">
        <v>70</v>
      </c>
      <c r="E923" t="s">
        <v>639</v>
      </c>
      <c r="F923">
        <v>3</v>
      </c>
      <c r="G923">
        <v>86.9</v>
      </c>
      <c r="H923">
        <v>2</v>
      </c>
      <c r="I923">
        <v>2</v>
      </c>
      <c r="J923">
        <v>1</v>
      </c>
      <c r="K923" t="s">
        <v>110</v>
      </c>
      <c r="L923" t="s">
        <v>111</v>
      </c>
      <c r="M923" s="4">
        <v>628700000</v>
      </c>
      <c r="N923">
        <v>0</v>
      </c>
      <c r="O923">
        <v>4.662922</v>
      </c>
      <c r="P923">
        <v>-74.077445999999995</v>
      </c>
      <c r="Q923" t="s">
        <v>1086</v>
      </c>
      <c r="R923">
        <v>7234752.5889999997</v>
      </c>
      <c r="S923">
        <v>0</v>
      </c>
      <c r="T923" t="s">
        <v>75</v>
      </c>
      <c r="U923" t="s">
        <v>76</v>
      </c>
      <c r="V923" t="s">
        <v>77</v>
      </c>
      <c r="W923" t="s">
        <v>78</v>
      </c>
      <c r="X923" t="s">
        <v>79</v>
      </c>
      <c r="Y923">
        <v>0.87715494712354303</v>
      </c>
      <c r="Z923">
        <v>877.15494712354302</v>
      </c>
      <c r="AA923">
        <v>4.6584666666666701</v>
      </c>
      <c r="AB923">
        <v>-74.083966666666697</v>
      </c>
      <c r="AC923">
        <v>2552</v>
      </c>
      <c r="AD923">
        <v>0</v>
      </c>
      <c r="AE923" t="s">
        <v>80</v>
      </c>
      <c r="AF923" t="s">
        <v>81</v>
      </c>
      <c r="AG923" t="s">
        <v>82</v>
      </c>
      <c r="AH923" t="s">
        <v>83</v>
      </c>
      <c r="AI923" t="s">
        <v>342</v>
      </c>
      <c r="AJ923">
        <v>0.49509193480542701</v>
      </c>
      <c r="AK923">
        <v>3.2803556290696601</v>
      </c>
      <c r="AL923">
        <v>1.42782731809617</v>
      </c>
      <c r="AM923">
        <v>8.9824461477754997E-2</v>
      </c>
      <c r="AN923">
        <v>1.29927617093864</v>
      </c>
      <c r="AO923">
        <v>7.0462238182893003E-2</v>
      </c>
      <c r="AP923">
        <v>7.0462238182893003E-2</v>
      </c>
      <c r="AQ923">
        <v>1</v>
      </c>
      <c r="AR923">
        <v>2</v>
      </c>
      <c r="AS923">
        <v>0</v>
      </c>
      <c r="AT923">
        <v>0</v>
      </c>
      <c r="AU923">
        <v>0</v>
      </c>
      <c r="AV923">
        <v>21</v>
      </c>
      <c r="AW923">
        <v>0</v>
      </c>
      <c r="AX923">
        <v>0</v>
      </c>
      <c r="AZ923">
        <v>6.8</v>
      </c>
      <c r="BA923">
        <v>19.899999999999999</v>
      </c>
      <c r="BB923">
        <v>564</v>
      </c>
      <c r="BC923">
        <v>68</v>
      </c>
      <c r="BD923">
        <v>1.5</v>
      </c>
      <c r="BE923">
        <v>135</v>
      </c>
      <c r="BF923">
        <v>0.8</v>
      </c>
      <c r="BG923">
        <v>162</v>
      </c>
      <c r="BH923">
        <v>9.1</v>
      </c>
      <c r="BI923">
        <v>9.1999999999999993</v>
      </c>
      <c r="BJ923">
        <v>18.3</v>
      </c>
      <c r="BK923">
        <v>0.34</v>
      </c>
      <c r="BL923">
        <v>7.3</v>
      </c>
      <c r="BM923">
        <v>0.9</v>
      </c>
      <c r="BN923">
        <v>7.5</v>
      </c>
      <c r="BO923">
        <v>2.9</v>
      </c>
      <c r="BP923">
        <f t="shared" si="28"/>
        <v>6.5110676369104823</v>
      </c>
      <c r="BQ923">
        <f t="shared" si="29"/>
        <v>19.485449606145778</v>
      </c>
    </row>
    <row r="924" spans="1:69" hidden="1" x14ac:dyDescent="0.2">
      <c r="A924" t="s">
        <v>292</v>
      </c>
      <c r="B924" t="s">
        <v>68</v>
      </c>
      <c r="C924" t="s">
        <v>69</v>
      </c>
      <c r="D924" t="s">
        <v>70</v>
      </c>
      <c r="E924" t="s">
        <v>293</v>
      </c>
      <c r="F924">
        <v>4</v>
      </c>
      <c r="G924">
        <v>86</v>
      </c>
      <c r="H924">
        <v>2</v>
      </c>
      <c r="I924">
        <v>3</v>
      </c>
      <c r="J924">
        <v>1</v>
      </c>
      <c r="K924" t="s">
        <v>72</v>
      </c>
      <c r="L924" t="s">
        <v>73</v>
      </c>
      <c r="M924" s="4">
        <v>1303000000</v>
      </c>
      <c r="N924">
        <v>0</v>
      </c>
      <c r="O924">
        <v>4.6110949999999997</v>
      </c>
      <c r="P924">
        <v>-74.0672</v>
      </c>
      <c r="Q924" t="s">
        <v>294</v>
      </c>
      <c r="R924">
        <v>15151162.789999999</v>
      </c>
      <c r="S924">
        <v>0</v>
      </c>
      <c r="T924" t="s">
        <v>126</v>
      </c>
      <c r="U924" t="s">
        <v>127</v>
      </c>
      <c r="V924" t="s">
        <v>77</v>
      </c>
      <c r="W924" t="s">
        <v>128</v>
      </c>
      <c r="X924" t="s">
        <v>129</v>
      </c>
      <c r="Y924">
        <v>1.60219619260187</v>
      </c>
      <c r="Z924">
        <v>1602.1961926018701</v>
      </c>
      <c r="AA924">
        <v>4.6254861111111101</v>
      </c>
      <c r="AB924">
        <v>-74.066980555555503</v>
      </c>
      <c r="AC924">
        <v>2621</v>
      </c>
      <c r="AD924">
        <v>15</v>
      </c>
      <c r="AE924" t="s">
        <v>80</v>
      </c>
      <c r="AF924" t="s">
        <v>81</v>
      </c>
      <c r="AG924" t="s">
        <v>82</v>
      </c>
      <c r="AH924" t="s">
        <v>83</v>
      </c>
      <c r="AI924" t="s">
        <v>138</v>
      </c>
      <c r="AJ924">
        <v>0.47733575772768</v>
      </c>
      <c r="AK924">
        <v>0.35692331491159202</v>
      </c>
      <c r="AL924">
        <v>0.46451264872717402</v>
      </c>
      <c r="AM924">
        <v>0.39257844270589998</v>
      </c>
      <c r="AN924">
        <v>0.47201820409333101</v>
      </c>
      <c r="AO924">
        <v>3.30575350259847E-2</v>
      </c>
      <c r="AP924">
        <v>3.30575350259847E-2</v>
      </c>
      <c r="AQ924">
        <v>1</v>
      </c>
      <c r="AR924">
        <v>7</v>
      </c>
      <c r="AS924">
        <v>6</v>
      </c>
      <c r="AT924">
        <v>28</v>
      </c>
      <c r="AU924">
        <v>8</v>
      </c>
      <c r="AV924">
        <v>53</v>
      </c>
      <c r="AW924">
        <v>1</v>
      </c>
      <c r="AX924">
        <v>5</v>
      </c>
      <c r="AZ924">
        <v>6.8</v>
      </c>
      <c r="BA924">
        <v>19.899999999999999</v>
      </c>
      <c r="BB924">
        <v>564</v>
      </c>
      <c r="BC924">
        <v>68</v>
      </c>
      <c r="BD924">
        <v>1.5</v>
      </c>
      <c r="BE924">
        <v>135</v>
      </c>
      <c r="BF924">
        <v>0.8</v>
      </c>
      <c r="BG924">
        <v>162</v>
      </c>
      <c r="BH924">
        <v>9.1</v>
      </c>
      <c r="BI924">
        <v>9.1999999999999993</v>
      </c>
      <c r="BJ924">
        <v>18.3</v>
      </c>
      <c r="BK924">
        <v>0.34</v>
      </c>
      <c r="BL924">
        <v>7.3</v>
      </c>
      <c r="BM924">
        <v>0.9</v>
      </c>
      <c r="BN924">
        <v>7.5</v>
      </c>
      <c r="BO924">
        <v>2.9</v>
      </c>
      <c r="BP924">
        <f t="shared" si="28"/>
        <v>6.2815320054919743</v>
      </c>
      <c r="BQ924">
        <f t="shared" si="29"/>
        <v>19.149316500465773</v>
      </c>
    </row>
    <row r="925" spans="1:69" hidden="1" x14ac:dyDescent="0.2">
      <c r="A925" t="s">
        <v>815</v>
      </c>
      <c r="B925" t="s">
        <v>68</v>
      </c>
      <c r="C925" t="s">
        <v>69</v>
      </c>
      <c r="D925" t="s">
        <v>70</v>
      </c>
      <c r="E925" t="s">
        <v>187</v>
      </c>
      <c r="F925">
        <v>6</v>
      </c>
      <c r="G925">
        <v>86</v>
      </c>
      <c r="H925">
        <v>1</v>
      </c>
      <c r="I925">
        <v>2</v>
      </c>
      <c r="J925">
        <v>2</v>
      </c>
      <c r="K925" t="s">
        <v>110</v>
      </c>
      <c r="L925" t="s">
        <v>115</v>
      </c>
      <c r="M925" s="4">
        <v>999000000</v>
      </c>
      <c r="N925">
        <v>0</v>
      </c>
      <c r="O925">
        <v>4.6665340000000004</v>
      </c>
      <c r="P925">
        <v>-74.044880000000006</v>
      </c>
      <c r="Q925" t="s">
        <v>816</v>
      </c>
      <c r="R925">
        <v>11616279.07</v>
      </c>
      <c r="S925">
        <v>0</v>
      </c>
      <c r="T925" t="s">
        <v>75</v>
      </c>
      <c r="U925" t="s">
        <v>76</v>
      </c>
      <c r="V925" t="s">
        <v>77</v>
      </c>
      <c r="W925" t="s">
        <v>78</v>
      </c>
      <c r="X925" t="s">
        <v>79</v>
      </c>
      <c r="Y925">
        <v>4.4287179417418701</v>
      </c>
      <c r="Z925">
        <v>4428.7179417418702</v>
      </c>
      <c r="AA925">
        <v>4.6584666666666701</v>
      </c>
      <c r="AB925">
        <v>-74.083966666666697</v>
      </c>
      <c r="AC925">
        <v>2552</v>
      </c>
      <c r="AD925">
        <v>0</v>
      </c>
      <c r="AE925" t="s">
        <v>80</v>
      </c>
      <c r="AF925" t="s">
        <v>81</v>
      </c>
      <c r="AG925" t="s">
        <v>82</v>
      </c>
      <c r="AH925" t="s">
        <v>83</v>
      </c>
      <c r="AI925" t="s">
        <v>130</v>
      </c>
      <c r="AJ925">
        <v>1.7200512542433699</v>
      </c>
      <c r="AK925">
        <v>0.18705768896112501</v>
      </c>
      <c r="AL925">
        <v>0.99259320914645199</v>
      </c>
      <c r="AM925">
        <v>0.312580254861198</v>
      </c>
      <c r="AN925">
        <v>3.1351739798365101</v>
      </c>
      <c r="AO925">
        <v>0.47293501518493603</v>
      </c>
      <c r="AP925">
        <v>0.47293501518493603</v>
      </c>
      <c r="AQ925">
        <v>0</v>
      </c>
      <c r="AR925">
        <v>0</v>
      </c>
      <c r="AS925">
        <v>19</v>
      </c>
      <c r="AT925">
        <v>38</v>
      </c>
      <c r="AU925">
        <v>1</v>
      </c>
      <c r="AV925">
        <v>14</v>
      </c>
      <c r="AW925">
        <v>0</v>
      </c>
      <c r="AX925">
        <v>0</v>
      </c>
      <c r="AZ925">
        <v>6.8</v>
      </c>
      <c r="BA925">
        <v>19.899999999999999</v>
      </c>
      <c r="BB925">
        <v>564</v>
      </c>
      <c r="BC925">
        <v>68</v>
      </c>
      <c r="BD925">
        <v>1.5</v>
      </c>
      <c r="BE925">
        <v>135</v>
      </c>
      <c r="BF925">
        <v>0.8</v>
      </c>
      <c r="BG925">
        <v>162</v>
      </c>
      <c r="BH925">
        <v>9.1</v>
      </c>
      <c r="BI925">
        <v>9.1999999999999993</v>
      </c>
      <c r="BJ925">
        <v>18.3</v>
      </c>
      <c r="BK925">
        <v>0.34</v>
      </c>
      <c r="BL925">
        <v>7.3</v>
      </c>
      <c r="BM925">
        <v>0.9</v>
      </c>
      <c r="BN925">
        <v>7.5</v>
      </c>
      <c r="BO925">
        <v>2.9</v>
      </c>
      <c r="BP925">
        <f t="shared" si="28"/>
        <v>5.4613776460992147</v>
      </c>
      <c r="BQ925">
        <f t="shared" si="29"/>
        <v>17.89337443675284</v>
      </c>
    </row>
    <row r="926" spans="1:69" hidden="1" x14ac:dyDescent="0.2">
      <c r="A926" t="s">
        <v>1283</v>
      </c>
      <c r="B926" t="s">
        <v>68</v>
      </c>
      <c r="C926" t="s">
        <v>69</v>
      </c>
      <c r="D926" t="s">
        <v>70</v>
      </c>
      <c r="E926" t="s">
        <v>84</v>
      </c>
      <c r="F926">
        <v>4</v>
      </c>
      <c r="G926">
        <v>85</v>
      </c>
      <c r="H926">
        <v>3</v>
      </c>
      <c r="I926">
        <v>3</v>
      </c>
      <c r="J926">
        <v>2</v>
      </c>
      <c r="K926" t="s">
        <v>110</v>
      </c>
      <c r="L926" t="s">
        <v>133</v>
      </c>
      <c r="M926" s="4">
        <v>820000000</v>
      </c>
      <c r="N926">
        <v>0</v>
      </c>
      <c r="O926">
        <v>4.6236309999999996</v>
      </c>
      <c r="P926">
        <v>-74.075069999999997</v>
      </c>
      <c r="Q926" t="s">
        <v>1284</v>
      </c>
      <c r="R926">
        <v>9647058.8239999991</v>
      </c>
      <c r="S926">
        <v>0</v>
      </c>
      <c r="T926" t="s">
        <v>126</v>
      </c>
      <c r="U926" t="s">
        <v>127</v>
      </c>
      <c r="V926" t="s">
        <v>77</v>
      </c>
      <c r="W926" t="s">
        <v>128</v>
      </c>
      <c r="X926" t="s">
        <v>129</v>
      </c>
      <c r="Y926">
        <v>0.92103110024526103</v>
      </c>
      <c r="Z926">
        <v>921.03110024526097</v>
      </c>
      <c r="AA926">
        <v>4.6254861111111101</v>
      </c>
      <c r="AB926">
        <v>-74.066980555555503</v>
      </c>
      <c r="AC926">
        <v>2621</v>
      </c>
      <c r="AD926">
        <v>15</v>
      </c>
      <c r="AE926" t="s">
        <v>80</v>
      </c>
      <c r="AF926" t="s">
        <v>81</v>
      </c>
      <c r="AG926" t="s">
        <v>82</v>
      </c>
      <c r="AH926" t="s">
        <v>83</v>
      </c>
      <c r="AI926" t="s">
        <v>84</v>
      </c>
      <c r="AJ926">
        <v>0.37636433047868001</v>
      </c>
      <c r="AK926">
        <v>1.5618427127810599</v>
      </c>
      <c r="AL926">
        <v>0.34449331331008298</v>
      </c>
      <c r="AM926">
        <v>0.12805098466053699</v>
      </c>
      <c r="AN926">
        <v>1.0276173903308701</v>
      </c>
      <c r="AO926">
        <v>0.101606398064307</v>
      </c>
      <c r="AP926">
        <v>0.101606398064307</v>
      </c>
      <c r="AQ926">
        <v>1</v>
      </c>
      <c r="AR926">
        <v>7</v>
      </c>
      <c r="AS926">
        <v>0</v>
      </c>
      <c r="AT926">
        <v>0</v>
      </c>
      <c r="AU926">
        <v>11</v>
      </c>
      <c r="AV926">
        <v>96</v>
      </c>
      <c r="AW926">
        <v>0</v>
      </c>
      <c r="AX926">
        <v>0</v>
      </c>
      <c r="AZ926">
        <v>6.8</v>
      </c>
      <c r="BA926">
        <v>19.899999999999999</v>
      </c>
      <c r="BB926">
        <v>564</v>
      </c>
      <c r="BC926">
        <v>68</v>
      </c>
      <c r="BD926">
        <v>1.5</v>
      </c>
      <c r="BE926">
        <v>135</v>
      </c>
      <c r="BF926">
        <v>0.8</v>
      </c>
      <c r="BG926">
        <v>162</v>
      </c>
      <c r="BH926">
        <v>9.1</v>
      </c>
      <c r="BI926">
        <v>9.1999999999999993</v>
      </c>
      <c r="BJ926">
        <v>18.3</v>
      </c>
      <c r="BK926">
        <v>0.34</v>
      </c>
      <c r="BL926">
        <v>7.3</v>
      </c>
      <c r="BM926">
        <v>0.9</v>
      </c>
      <c r="BN926">
        <v>7.5</v>
      </c>
      <c r="BO926">
        <v>2.9</v>
      </c>
      <c r="BP926">
        <f t="shared" si="28"/>
        <v>6.4969417924782045</v>
      </c>
      <c r="BQ926">
        <f t="shared" si="29"/>
        <v>19.464941688049926</v>
      </c>
    </row>
    <row r="927" spans="1:69" hidden="1" x14ac:dyDescent="0.2">
      <c r="A927" t="s">
        <v>1726</v>
      </c>
      <c r="B927" t="s">
        <v>68</v>
      </c>
      <c r="C927" t="s">
        <v>69</v>
      </c>
      <c r="D927" t="s">
        <v>70</v>
      </c>
      <c r="E927" t="s">
        <v>1727</v>
      </c>
      <c r="F927">
        <v>4</v>
      </c>
      <c r="G927">
        <v>85</v>
      </c>
      <c r="H927">
        <v>3</v>
      </c>
      <c r="I927">
        <v>2</v>
      </c>
      <c r="J927">
        <v>1</v>
      </c>
      <c r="K927" t="s">
        <v>110</v>
      </c>
      <c r="L927" t="s">
        <v>111</v>
      </c>
      <c r="M927" s="4">
        <v>480000000</v>
      </c>
      <c r="N927">
        <v>0</v>
      </c>
      <c r="O927">
        <v>4.7240525</v>
      </c>
      <c r="P927">
        <v>-74.131106299999999</v>
      </c>
      <c r="Q927" t="s">
        <v>1728</v>
      </c>
      <c r="R927">
        <v>5647058.824</v>
      </c>
      <c r="S927">
        <v>0</v>
      </c>
      <c r="T927" t="s">
        <v>419</v>
      </c>
      <c r="U927" t="s">
        <v>420</v>
      </c>
      <c r="V927" t="s">
        <v>77</v>
      </c>
      <c r="W927" t="s">
        <v>78</v>
      </c>
      <c r="X927" t="s">
        <v>421</v>
      </c>
      <c r="Y927">
        <v>1.4306637936739099</v>
      </c>
      <c r="Z927">
        <v>1430.66379367391</v>
      </c>
      <c r="AA927">
        <v>4.7358055555555598</v>
      </c>
      <c r="AB927">
        <v>-74.125888888888895</v>
      </c>
      <c r="AC927">
        <v>2574</v>
      </c>
      <c r="AD927">
        <v>0</v>
      </c>
      <c r="AE927" t="s">
        <v>154</v>
      </c>
      <c r="AF927" t="s">
        <v>107</v>
      </c>
      <c r="AG927" t="s">
        <v>82</v>
      </c>
      <c r="AH927" t="s">
        <v>83</v>
      </c>
      <c r="AI927" t="s">
        <v>412</v>
      </c>
      <c r="AJ927">
        <v>2.7726742589311599</v>
      </c>
      <c r="AK927">
        <v>5.0836017762988302E-2</v>
      </c>
      <c r="AL927">
        <v>4.33363702513115</v>
      </c>
      <c r="AM927">
        <v>0.74435361610223105</v>
      </c>
      <c r="AN927">
        <v>3.4288617778959298</v>
      </c>
      <c r="AO927">
        <v>4.37819721198551E-2</v>
      </c>
      <c r="AP927">
        <v>4.37819721198551E-2</v>
      </c>
      <c r="AQ927">
        <v>0</v>
      </c>
      <c r="AR927">
        <v>0</v>
      </c>
      <c r="AS927">
        <v>7</v>
      </c>
      <c r="AT927">
        <v>19</v>
      </c>
      <c r="AU927">
        <v>0</v>
      </c>
      <c r="AV927">
        <v>1</v>
      </c>
      <c r="AW927">
        <v>0</v>
      </c>
      <c r="AX927">
        <v>0</v>
      </c>
      <c r="AZ927">
        <v>6.8</v>
      </c>
      <c r="BA927">
        <v>19.899999999999999</v>
      </c>
      <c r="BB927">
        <v>564</v>
      </c>
      <c r="BC927">
        <v>68</v>
      </c>
      <c r="BD927">
        <v>1.5</v>
      </c>
      <c r="BE927">
        <v>135</v>
      </c>
      <c r="BF927">
        <v>0.8</v>
      </c>
      <c r="BG927">
        <v>162</v>
      </c>
      <c r="BH927">
        <v>9.1</v>
      </c>
      <c r="BI927">
        <v>9.1999999999999993</v>
      </c>
      <c r="BJ927">
        <v>18.3</v>
      </c>
      <c r="BK927">
        <v>0.34</v>
      </c>
      <c r="BL927">
        <v>7.3</v>
      </c>
      <c r="BM927">
        <v>0.9</v>
      </c>
      <c r="BN927">
        <v>7.5</v>
      </c>
      <c r="BO927">
        <v>2.9</v>
      </c>
      <c r="BP927">
        <f t="shared" si="28"/>
        <v>6.335094649548064</v>
      </c>
      <c r="BQ927">
        <f t="shared" si="29"/>
        <v>19.228312470047854</v>
      </c>
    </row>
    <row r="928" spans="1:69" hidden="1" x14ac:dyDescent="0.2">
      <c r="A928" t="s">
        <v>1126</v>
      </c>
      <c r="B928" t="s">
        <v>68</v>
      </c>
      <c r="C928" t="s">
        <v>69</v>
      </c>
      <c r="D928" t="s">
        <v>70</v>
      </c>
      <c r="E928" t="s">
        <v>1127</v>
      </c>
      <c r="F928">
        <v>3</v>
      </c>
      <c r="G928">
        <v>85</v>
      </c>
      <c r="H928">
        <v>3</v>
      </c>
      <c r="I928">
        <v>2</v>
      </c>
      <c r="J928">
        <v>1</v>
      </c>
      <c r="K928" t="s">
        <v>110</v>
      </c>
      <c r="L928" t="s">
        <v>162</v>
      </c>
      <c r="M928" s="4">
        <v>400000000</v>
      </c>
      <c r="N928">
        <v>0</v>
      </c>
      <c r="O928">
        <v>4.6420754999999998</v>
      </c>
      <c r="P928">
        <v>-74.07123</v>
      </c>
      <c r="Q928" t="s">
        <v>1128</v>
      </c>
      <c r="R928">
        <v>4705882.3530000001</v>
      </c>
      <c r="S928">
        <v>0</v>
      </c>
      <c r="T928" t="s">
        <v>126</v>
      </c>
      <c r="U928" t="s">
        <v>127</v>
      </c>
      <c r="V928" t="s">
        <v>77</v>
      </c>
      <c r="W928" t="s">
        <v>128</v>
      </c>
      <c r="X928" t="s">
        <v>129</v>
      </c>
      <c r="Y928">
        <v>1.9059631171489</v>
      </c>
      <c r="Z928">
        <v>1905.9631171489</v>
      </c>
      <c r="AA928">
        <v>4.6254861111111101</v>
      </c>
      <c r="AB928">
        <v>-74.066980555555503</v>
      </c>
      <c r="AC928">
        <v>2621</v>
      </c>
      <c r="AD928">
        <v>15</v>
      </c>
      <c r="AE928" t="s">
        <v>80</v>
      </c>
      <c r="AF928" t="s">
        <v>81</v>
      </c>
      <c r="AG928" t="s">
        <v>82</v>
      </c>
      <c r="AH928" t="s">
        <v>83</v>
      </c>
      <c r="AI928" t="s">
        <v>84</v>
      </c>
      <c r="AJ928">
        <v>0.60729692720778305</v>
      </c>
      <c r="AK928">
        <v>1.51458651497557</v>
      </c>
      <c r="AL928">
        <v>0.16001139111773299</v>
      </c>
      <c r="AM928">
        <v>4.0858904984764202E-2</v>
      </c>
      <c r="AN928">
        <v>1.4246752087536101</v>
      </c>
      <c r="AO928">
        <v>0.172605606221924</v>
      </c>
      <c r="AP928">
        <v>0.172605606221924</v>
      </c>
      <c r="AQ928">
        <v>0</v>
      </c>
      <c r="AR928">
        <v>5</v>
      </c>
      <c r="AS928">
        <v>0</v>
      </c>
      <c r="AT928">
        <v>0</v>
      </c>
      <c r="AU928">
        <v>9</v>
      </c>
      <c r="AV928">
        <v>176</v>
      </c>
      <c r="AW928">
        <v>0</v>
      </c>
      <c r="AX928">
        <v>0</v>
      </c>
      <c r="AZ928">
        <v>6.8</v>
      </c>
      <c r="BA928">
        <v>19.899999999999999</v>
      </c>
      <c r="BB928">
        <v>564</v>
      </c>
      <c r="BC928">
        <v>68</v>
      </c>
      <c r="BD928">
        <v>1.5</v>
      </c>
      <c r="BE928">
        <v>135</v>
      </c>
      <c r="BF928">
        <v>0.8</v>
      </c>
      <c r="BG928">
        <v>162</v>
      </c>
      <c r="BH928">
        <v>9.1</v>
      </c>
      <c r="BI928">
        <v>9.1999999999999993</v>
      </c>
      <c r="BJ928">
        <v>18.3</v>
      </c>
      <c r="BK928">
        <v>0.34</v>
      </c>
      <c r="BL928">
        <v>7.3</v>
      </c>
      <c r="BM928">
        <v>0.9</v>
      </c>
      <c r="BN928">
        <v>7.5</v>
      </c>
      <c r="BO928">
        <v>2.9</v>
      </c>
      <c r="BP928">
        <f t="shared" si="28"/>
        <v>6.1877865496881173</v>
      </c>
      <c r="BQ928">
        <f t="shared" si="29"/>
        <v>19.010217863804758</v>
      </c>
    </row>
    <row r="929" spans="1:69" hidden="1" x14ac:dyDescent="0.2">
      <c r="A929" t="s">
        <v>683</v>
      </c>
      <c r="B929" t="s">
        <v>68</v>
      </c>
      <c r="C929" t="s">
        <v>69</v>
      </c>
      <c r="D929" t="s">
        <v>70</v>
      </c>
      <c r="E929" t="s">
        <v>684</v>
      </c>
      <c r="F929">
        <v>5</v>
      </c>
      <c r="G929">
        <v>84</v>
      </c>
      <c r="H929">
        <v>3</v>
      </c>
      <c r="I929">
        <v>2</v>
      </c>
      <c r="J929">
        <v>1</v>
      </c>
      <c r="K929" t="s">
        <v>110</v>
      </c>
      <c r="L929" t="s">
        <v>162</v>
      </c>
      <c r="M929" s="4">
        <v>650000000</v>
      </c>
      <c r="N929">
        <v>0</v>
      </c>
      <c r="O929">
        <v>4.6820919999999999</v>
      </c>
      <c r="P929">
        <v>-74.059813399999996</v>
      </c>
      <c r="Q929" t="s">
        <v>685</v>
      </c>
      <c r="R929">
        <v>7738095.2379999999</v>
      </c>
      <c r="S929">
        <v>0</v>
      </c>
      <c r="T929" t="s">
        <v>75</v>
      </c>
      <c r="U929" t="s">
        <v>76</v>
      </c>
      <c r="V929" t="s">
        <v>77</v>
      </c>
      <c r="W929" t="s">
        <v>78</v>
      </c>
      <c r="X929" t="s">
        <v>79</v>
      </c>
      <c r="Y929">
        <v>3.75473424416806</v>
      </c>
      <c r="Z929">
        <v>3754.7342441680598</v>
      </c>
      <c r="AA929">
        <v>4.6584666666666701</v>
      </c>
      <c r="AB929">
        <v>-74.083966666666697</v>
      </c>
      <c r="AC929">
        <v>2552</v>
      </c>
      <c r="AD929">
        <v>0</v>
      </c>
      <c r="AE929" t="s">
        <v>80</v>
      </c>
      <c r="AF929" t="s">
        <v>81</v>
      </c>
      <c r="AG929" t="s">
        <v>82</v>
      </c>
      <c r="AH929" t="s">
        <v>83</v>
      </c>
      <c r="AI929" t="s">
        <v>342</v>
      </c>
      <c r="AJ929">
        <v>0.31050137483564899</v>
      </c>
      <c r="AK929">
        <v>2.3853266292352102</v>
      </c>
      <c r="AL929">
        <v>0.38164833016651101</v>
      </c>
      <c r="AM929">
        <v>2.2712572451965601E-2</v>
      </c>
      <c r="AN929">
        <v>2.6103967958836001</v>
      </c>
      <c r="AO929">
        <v>0.172309815697469</v>
      </c>
      <c r="AP929">
        <v>0.172309815697469</v>
      </c>
      <c r="AQ929">
        <v>2</v>
      </c>
      <c r="AR929">
        <v>6</v>
      </c>
      <c r="AS929">
        <v>0</v>
      </c>
      <c r="AT929">
        <v>0</v>
      </c>
      <c r="AU929">
        <v>2</v>
      </c>
      <c r="AV929">
        <v>205</v>
      </c>
      <c r="AW929">
        <v>0</v>
      </c>
      <c r="AX929">
        <v>0</v>
      </c>
      <c r="AZ929">
        <v>6.8</v>
      </c>
      <c r="BA929">
        <v>19.899999999999999</v>
      </c>
      <c r="BB929">
        <v>564</v>
      </c>
      <c r="BC929">
        <v>68</v>
      </c>
      <c r="BD929">
        <v>1.5</v>
      </c>
      <c r="BE929">
        <v>135</v>
      </c>
      <c r="BF929">
        <v>0.8</v>
      </c>
      <c r="BG929">
        <v>162</v>
      </c>
      <c r="BH929">
        <v>9.1</v>
      </c>
      <c r="BI929">
        <v>9.1999999999999993</v>
      </c>
      <c r="BJ929">
        <v>18.3</v>
      </c>
      <c r="BK929">
        <v>0.34</v>
      </c>
      <c r="BL929">
        <v>7.3</v>
      </c>
      <c r="BM929">
        <v>0.9</v>
      </c>
      <c r="BN929">
        <v>7.5</v>
      </c>
      <c r="BO929">
        <v>2.9</v>
      </c>
      <c r="BP929">
        <f t="shared" si="28"/>
        <v>5.6466546197417316</v>
      </c>
      <c r="BQ929">
        <f t="shared" si="29"/>
        <v>18.185164237322763</v>
      </c>
    </row>
    <row r="930" spans="1:69" hidden="1" x14ac:dyDescent="0.2">
      <c r="A930" t="s">
        <v>3904</v>
      </c>
      <c r="B930" t="s">
        <v>68</v>
      </c>
      <c r="C930" t="s">
        <v>3294</v>
      </c>
      <c r="D930" t="s">
        <v>70</v>
      </c>
      <c r="E930" t="s">
        <v>694</v>
      </c>
      <c r="F930">
        <v>4</v>
      </c>
      <c r="G930">
        <v>84</v>
      </c>
      <c r="H930">
        <v>1</v>
      </c>
      <c r="I930">
        <v>1</v>
      </c>
      <c r="J930">
        <v>1</v>
      </c>
      <c r="K930" t="s">
        <v>110</v>
      </c>
      <c r="L930" t="s">
        <v>133</v>
      </c>
      <c r="M930" s="4">
        <v>603453800</v>
      </c>
      <c r="N930">
        <v>0</v>
      </c>
      <c r="O930">
        <v>4.6438822750000002</v>
      </c>
      <c r="P930">
        <v>-74.05656433</v>
      </c>
      <c r="Q930" t="s">
        <v>3905</v>
      </c>
      <c r="R930">
        <v>7183973.8099999996</v>
      </c>
      <c r="S930">
        <v>0</v>
      </c>
      <c r="T930" t="s">
        <v>126</v>
      </c>
      <c r="U930" t="s">
        <v>127</v>
      </c>
      <c r="V930" t="s">
        <v>77</v>
      </c>
      <c r="W930" t="s">
        <v>128</v>
      </c>
      <c r="X930" t="s">
        <v>129</v>
      </c>
      <c r="Y930">
        <v>2.35147297897548</v>
      </c>
      <c r="Z930">
        <v>2351.4729789754801</v>
      </c>
      <c r="AA930">
        <v>4.6254861111111101</v>
      </c>
      <c r="AB930">
        <v>-74.066980555555503</v>
      </c>
      <c r="AC930">
        <v>2621</v>
      </c>
      <c r="AD930">
        <v>15</v>
      </c>
      <c r="AE930" t="s">
        <v>80</v>
      </c>
      <c r="AF930" t="s">
        <v>81</v>
      </c>
      <c r="AG930" t="s">
        <v>82</v>
      </c>
      <c r="AH930" t="s">
        <v>83</v>
      </c>
      <c r="AI930" t="s">
        <v>130</v>
      </c>
      <c r="AJ930">
        <v>1.0320581271707201</v>
      </c>
      <c r="AK930">
        <v>0.23283216895154801</v>
      </c>
      <c r="AL930">
        <v>0.39897559395527599</v>
      </c>
      <c r="AM930">
        <v>0.19658434007362899</v>
      </c>
      <c r="AN930">
        <v>0.32234361690684399</v>
      </c>
      <c r="AO930">
        <v>0.19564759063206</v>
      </c>
      <c r="AP930">
        <v>0.19564759063206</v>
      </c>
      <c r="AQ930">
        <v>0</v>
      </c>
      <c r="AR930">
        <v>0</v>
      </c>
      <c r="AS930">
        <v>12</v>
      </c>
      <c r="AT930">
        <v>54</v>
      </c>
      <c r="AU930">
        <v>5</v>
      </c>
      <c r="AV930">
        <v>43</v>
      </c>
      <c r="AW930">
        <v>1</v>
      </c>
      <c r="AX930">
        <v>0</v>
      </c>
      <c r="AZ930">
        <v>6.8</v>
      </c>
      <c r="BA930">
        <v>19.899999999999999</v>
      </c>
      <c r="BB930">
        <v>564</v>
      </c>
      <c r="BC930">
        <v>68</v>
      </c>
      <c r="BD930">
        <v>1.5</v>
      </c>
      <c r="BE930">
        <v>135</v>
      </c>
      <c r="BF930">
        <v>0.8</v>
      </c>
      <c r="BG930">
        <v>162</v>
      </c>
      <c r="BH930">
        <v>9.1</v>
      </c>
      <c r="BI930">
        <v>9.1999999999999993</v>
      </c>
      <c r="BJ930">
        <v>18.3</v>
      </c>
      <c r="BK930">
        <v>0.34</v>
      </c>
      <c r="BL930">
        <v>7.3</v>
      </c>
      <c r="BM930">
        <v>0.9</v>
      </c>
      <c r="BN930">
        <v>7.5</v>
      </c>
      <c r="BO930">
        <v>2.9</v>
      </c>
      <c r="BP930">
        <f t="shared" si="28"/>
        <v>6.0528225456696916</v>
      </c>
      <c r="BQ930">
        <f t="shared" si="29"/>
        <v>18.808038913740848</v>
      </c>
    </row>
    <row r="931" spans="1:69" hidden="1" x14ac:dyDescent="0.2">
      <c r="A931" t="s">
        <v>3736</v>
      </c>
      <c r="B931" t="s">
        <v>68</v>
      </c>
      <c r="C931" t="s">
        <v>3294</v>
      </c>
      <c r="D931" t="s">
        <v>70</v>
      </c>
      <c r="E931" t="s">
        <v>232</v>
      </c>
      <c r="F931">
        <v>3</v>
      </c>
      <c r="G931">
        <v>83.7</v>
      </c>
      <c r="H931">
        <v>1</v>
      </c>
      <c r="I931">
        <v>1</v>
      </c>
      <c r="J931">
        <v>1</v>
      </c>
      <c r="K931" t="s">
        <v>110</v>
      </c>
      <c r="L931" t="s">
        <v>162</v>
      </c>
      <c r="M931" s="4">
        <v>690000000</v>
      </c>
      <c r="N931">
        <v>0</v>
      </c>
      <c r="O931">
        <v>4.6645899999999996</v>
      </c>
      <c r="P931">
        <v>-74.047370000000001</v>
      </c>
      <c r="Q931" t="s">
        <v>3737</v>
      </c>
      <c r="R931">
        <v>8243727.5990000004</v>
      </c>
      <c r="S931">
        <v>0</v>
      </c>
      <c r="T931" t="s">
        <v>75</v>
      </c>
      <c r="U931" t="s">
        <v>76</v>
      </c>
      <c r="V931" t="s">
        <v>77</v>
      </c>
      <c r="W931" t="s">
        <v>78</v>
      </c>
      <c r="X931" t="s">
        <v>79</v>
      </c>
      <c r="Y931">
        <v>4.1172645635991003</v>
      </c>
      <c r="Z931">
        <v>4117.2645635991003</v>
      </c>
      <c r="AA931">
        <v>4.6584666666666701</v>
      </c>
      <c r="AB931">
        <v>-74.083966666666697</v>
      </c>
      <c r="AC931">
        <v>2552</v>
      </c>
      <c r="AD931">
        <v>0</v>
      </c>
      <c r="AE931" t="s">
        <v>80</v>
      </c>
      <c r="AF931" t="s">
        <v>81</v>
      </c>
      <c r="AG931" t="s">
        <v>82</v>
      </c>
      <c r="AH931" t="s">
        <v>83</v>
      </c>
      <c r="AI931" t="s">
        <v>130</v>
      </c>
      <c r="AJ931">
        <v>1.48737255958314</v>
      </c>
      <c r="AK931">
        <v>0.23739922664770399</v>
      </c>
      <c r="AL931">
        <v>0.69859811695576401</v>
      </c>
      <c r="AM931">
        <v>0.18854828332620399</v>
      </c>
      <c r="AN931">
        <v>2.8179970713408999</v>
      </c>
      <c r="AO931">
        <v>0.283385976508917</v>
      </c>
      <c r="AP931">
        <v>0.283385976508917</v>
      </c>
      <c r="AQ931">
        <v>0</v>
      </c>
      <c r="AR931">
        <v>0</v>
      </c>
      <c r="AS931">
        <v>5</v>
      </c>
      <c r="AT931">
        <v>33</v>
      </c>
      <c r="AU931">
        <v>2</v>
      </c>
      <c r="AV931">
        <v>23</v>
      </c>
      <c r="AW931">
        <v>0</v>
      </c>
      <c r="AX931">
        <v>0</v>
      </c>
      <c r="AZ931">
        <v>6.8</v>
      </c>
      <c r="BA931">
        <v>19.899999999999999</v>
      </c>
      <c r="BB931">
        <v>564</v>
      </c>
      <c r="BC931">
        <v>68</v>
      </c>
      <c r="BD931">
        <v>1.5</v>
      </c>
      <c r="BE931">
        <v>135</v>
      </c>
      <c r="BF931">
        <v>0.8</v>
      </c>
      <c r="BG931">
        <v>162</v>
      </c>
      <c r="BH931">
        <v>9.1</v>
      </c>
      <c r="BI931">
        <v>9.1999999999999993</v>
      </c>
      <c r="BJ931">
        <v>18.3</v>
      </c>
      <c r="BK931">
        <v>0.34</v>
      </c>
      <c r="BL931">
        <v>7.3</v>
      </c>
      <c r="BM931">
        <v>0.9</v>
      </c>
      <c r="BN931">
        <v>7.5</v>
      </c>
      <c r="BO931">
        <v>2.9</v>
      </c>
      <c r="BP931">
        <f t="shared" si="28"/>
        <v>5.5462277738521113</v>
      </c>
      <c r="BQ931">
        <f t="shared" si="29"/>
        <v>18.027626416399343</v>
      </c>
    </row>
    <row r="932" spans="1:69" hidden="1" x14ac:dyDescent="0.2">
      <c r="A932" t="s">
        <v>1741</v>
      </c>
      <c r="B932" t="s">
        <v>68</v>
      </c>
      <c r="C932" t="s">
        <v>69</v>
      </c>
      <c r="D932" t="s">
        <v>70</v>
      </c>
      <c r="E932" t="s">
        <v>329</v>
      </c>
      <c r="F932">
        <v>4</v>
      </c>
      <c r="G932">
        <v>83</v>
      </c>
      <c r="H932">
        <v>3</v>
      </c>
      <c r="I932">
        <v>2</v>
      </c>
      <c r="J932">
        <v>2</v>
      </c>
      <c r="K932" t="s">
        <v>110</v>
      </c>
      <c r="L932" t="s">
        <v>124</v>
      </c>
      <c r="M932" s="4">
        <v>635000000</v>
      </c>
      <c r="N932">
        <v>0</v>
      </c>
      <c r="O932">
        <v>4.6955004000000002</v>
      </c>
      <c r="P932">
        <v>-74.082954000000001</v>
      </c>
      <c r="Q932" t="s">
        <v>1742</v>
      </c>
      <c r="R932">
        <v>7650602.4100000001</v>
      </c>
      <c r="S932">
        <v>0</v>
      </c>
      <c r="T932" t="s">
        <v>75</v>
      </c>
      <c r="U932" t="s">
        <v>76</v>
      </c>
      <c r="V932" t="s">
        <v>77</v>
      </c>
      <c r="W932" t="s">
        <v>78</v>
      </c>
      <c r="X932" t="s">
        <v>79</v>
      </c>
      <c r="Y932">
        <v>4.1241070685544203</v>
      </c>
      <c r="Z932">
        <v>4124.10706855442</v>
      </c>
      <c r="AA932">
        <v>4.6584666666666701</v>
      </c>
      <c r="AB932">
        <v>-74.083966666666697</v>
      </c>
      <c r="AC932">
        <v>2552</v>
      </c>
      <c r="AD932">
        <v>0</v>
      </c>
      <c r="AE932" t="s">
        <v>80</v>
      </c>
      <c r="AF932" t="s">
        <v>81</v>
      </c>
      <c r="AG932" t="s">
        <v>82</v>
      </c>
      <c r="AH932" t="s">
        <v>83</v>
      </c>
      <c r="AI932" t="s">
        <v>121</v>
      </c>
      <c r="AJ932">
        <v>0.49458628415262901</v>
      </c>
      <c r="AK932">
        <v>5.3304655222964099</v>
      </c>
      <c r="AL932">
        <v>0.96274381447398905</v>
      </c>
      <c r="AM932">
        <v>0.381073036477653</v>
      </c>
      <c r="AN932">
        <v>2.2693680668079099</v>
      </c>
      <c r="AO932">
        <v>0.49600080627701598</v>
      </c>
      <c r="AP932">
        <v>0.49600080627701598</v>
      </c>
      <c r="AQ932">
        <v>1</v>
      </c>
      <c r="AR932">
        <v>2</v>
      </c>
      <c r="AS932">
        <v>0</v>
      </c>
      <c r="AT932">
        <v>0</v>
      </c>
      <c r="AU932">
        <v>1</v>
      </c>
      <c r="AV932">
        <v>28</v>
      </c>
      <c r="AW932">
        <v>0</v>
      </c>
      <c r="AX932">
        <v>0</v>
      </c>
      <c r="AZ932">
        <v>6.8</v>
      </c>
      <c r="BA932">
        <v>19.899999999999999</v>
      </c>
      <c r="BB932">
        <v>564</v>
      </c>
      <c r="BC932">
        <v>68</v>
      </c>
      <c r="BD932">
        <v>1.5</v>
      </c>
      <c r="BE932">
        <v>135</v>
      </c>
      <c r="BF932">
        <v>0.8</v>
      </c>
      <c r="BG932">
        <v>162</v>
      </c>
      <c r="BH932">
        <v>9.1</v>
      </c>
      <c r="BI932">
        <v>9.1999999999999993</v>
      </c>
      <c r="BJ932">
        <v>18.3</v>
      </c>
      <c r="BK932">
        <v>0.34</v>
      </c>
      <c r="BL932">
        <v>7.3</v>
      </c>
      <c r="BM932">
        <v>0.9</v>
      </c>
      <c r="BN932">
        <v>7.5</v>
      </c>
      <c r="BO932">
        <v>2.9</v>
      </c>
      <c r="BP932">
        <f t="shared" si="28"/>
        <v>5.5443495624431378</v>
      </c>
      <c r="BQ932">
        <f t="shared" si="29"/>
        <v>18.024666160518699</v>
      </c>
    </row>
    <row r="933" spans="1:69" hidden="1" x14ac:dyDescent="0.2">
      <c r="A933" t="s">
        <v>4533</v>
      </c>
      <c r="B933" t="s">
        <v>68</v>
      </c>
      <c r="C933" t="s">
        <v>3294</v>
      </c>
      <c r="D933" t="s">
        <v>70</v>
      </c>
      <c r="E933" t="s">
        <v>229</v>
      </c>
      <c r="F933">
        <v>6</v>
      </c>
      <c r="G933">
        <v>81.56</v>
      </c>
      <c r="H933">
        <v>1</v>
      </c>
      <c r="I933">
        <v>1</v>
      </c>
      <c r="J933">
        <v>2</v>
      </c>
      <c r="K933" t="s">
        <v>110</v>
      </c>
      <c r="L933" t="s">
        <v>162</v>
      </c>
      <c r="M933" s="4">
        <v>660000000</v>
      </c>
      <c r="N933">
        <v>0</v>
      </c>
      <c r="O933">
        <v>4.6746309999999998</v>
      </c>
      <c r="P933">
        <v>-74.048444000000003</v>
      </c>
      <c r="Q933" t="s">
        <v>4534</v>
      </c>
      <c r="R933">
        <v>8092202.0599999996</v>
      </c>
      <c r="S933">
        <v>0</v>
      </c>
      <c r="T933" t="s">
        <v>75</v>
      </c>
      <c r="U933" t="s">
        <v>76</v>
      </c>
      <c r="V933" t="s">
        <v>77</v>
      </c>
      <c r="W933" t="s">
        <v>78</v>
      </c>
      <c r="X933" t="s">
        <v>79</v>
      </c>
      <c r="Y933">
        <v>4.3325931740834402</v>
      </c>
      <c r="Z933">
        <v>4332.5931740834403</v>
      </c>
      <c r="AA933">
        <v>4.6584666666666701</v>
      </c>
      <c r="AB933">
        <v>-74.083966666666697</v>
      </c>
      <c r="AC933">
        <v>2552</v>
      </c>
      <c r="AD933">
        <v>0</v>
      </c>
      <c r="AE933" t="s">
        <v>80</v>
      </c>
      <c r="AF933" t="s">
        <v>81</v>
      </c>
      <c r="AG933" t="s">
        <v>82</v>
      </c>
      <c r="AH933" t="s">
        <v>83</v>
      </c>
      <c r="AI933" t="s">
        <v>130</v>
      </c>
      <c r="AJ933">
        <v>1.18231188187949</v>
      </c>
      <c r="AK933">
        <v>0.90285375357065401</v>
      </c>
      <c r="AL933">
        <v>1.22963142710472</v>
      </c>
      <c r="AM933">
        <v>3.1309004672681898E-2</v>
      </c>
      <c r="AN933">
        <v>3.70653994892302</v>
      </c>
      <c r="AO933">
        <v>0.89835514298999697</v>
      </c>
      <c r="AP933">
        <v>0.89835514298999697</v>
      </c>
      <c r="AQ933">
        <v>0</v>
      </c>
      <c r="AR933">
        <v>0</v>
      </c>
      <c r="AS933">
        <v>0</v>
      </c>
      <c r="AT933">
        <v>6</v>
      </c>
      <c r="AU933">
        <v>0</v>
      </c>
      <c r="AV933">
        <v>106</v>
      </c>
      <c r="AW933">
        <v>0</v>
      </c>
      <c r="AX933">
        <v>0</v>
      </c>
      <c r="AZ933">
        <v>6.8</v>
      </c>
      <c r="BA933">
        <v>19.899999999999999</v>
      </c>
      <c r="BB933">
        <v>564</v>
      </c>
      <c r="BC933">
        <v>68</v>
      </c>
      <c r="BD933">
        <v>1.5</v>
      </c>
      <c r="BE933">
        <v>135</v>
      </c>
      <c r="BF933">
        <v>0.8</v>
      </c>
      <c r="BG933">
        <v>162</v>
      </c>
      <c r="BH933">
        <v>9.1</v>
      </c>
      <c r="BI933">
        <v>9.1999999999999993</v>
      </c>
      <c r="BJ933">
        <v>18.3</v>
      </c>
      <c r="BK933">
        <v>0.34</v>
      </c>
      <c r="BL933">
        <v>7.3</v>
      </c>
      <c r="BM933">
        <v>0.9</v>
      </c>
      <c r="BN933">
        <v>7.5</v>
      </c>
      <c r="BO933">
        <v>2.9</v>
      </c>
      <c r="BP933">
        <f t="shared" si="28"/>
        <v>5.4874257637563773</v>
      </c>
      <c r="BQ933">
        <f t="shared" si="29"/>
        <v>17.934702004706303</v>
      </c>
    </row>
    <row r="934" spans="1:69" hidden="1" x14ac:dyDescent="0.2">
      <c r="A934" t="s">
        <v>947</v>
      </c>
      <c r="B934" t="s">
        <v>68</v>
      </c>
      <c r="C934" t="s">
        <v>69</v>
      </c>
      <c r="D934" t="s">
        <v>70</v>
      </c>
      <c r="E934" t="s">
        <v>948</v>
      </c>
      <c r="F934">
        <v>4</v>
      </c>
      <c r="G934">
        <v>81</v>
      </c>
      <c r="H934">
        <v>2</v>
      </c>
      <c r="I934">
        <v>3</v>
      </c>
      <c r="J934">
        <v>1</v>
      </c>
      <c r="K934" t="s">
        <v>110</v>
      </c>
      <c r="L934" t="s">
        <v>124</v>
      </c>
      <c r="M934" s="4">
        <v>600000000</v>
      </c>
      <c r="N934">
        <v>0</v>
      </c>
      <c r="O934">
        <v>4.6373496059999999</v>
      </c>
      <c r="P934">
        <v>-74.064140320000007</v>
      </c>
      <c r="Q934" t="s">
        <v>949</v>
      </c>
      <c r="R934">
        <v>7407407.4069999997</v>
      </c>
      <c r="S934">
        <v>0</v>
      </c>
      <c r="T934" t="s">
        <v>126</v>
      </c>
      <c r="U934" t="s">
        <v>127</v>
      </c>
      <c r="V934" t="s">
        <v>77</v>
      </c>
      <c r="W934" t="s">
        <v>128</v>
      </c>
      <c r="X934" t="s">
        <v>129</v>
      </c>
      <c r="Y934">
        <v>1.3577183992008299</v>
      </c>
      <c r="Z934">
        <v>1357.7183992008299</v>
      </c>
      <c r="AA934">
        <v>4.6254861111111101</v>
      </c>
      <c r="AB934">
        <v>-74.066980555555503</v>
      </c>
      <c r="AC934">
        <v>2621</v>
      </c>
      <c r="AD934">
        <v>15</v>
      </c>
      <c r="AE934" t="s">
        <v>80</v>
      </c>
      <c r="AF934" t="s">
        <v>81</v>
      </c>
      <c r="AG934" t="s">
        <v>82</v>
      </c>
      <c r="AH934" t="s">
        <v>83</v>
      </c>
      <c r="AI934" t="s">
        <v>130</v>
      </c>
      <c r="AJ934">
        <v>0.294501334094314</v>
      </c>
      <c r="AK934">
        <v>0.622294043885538</v>
      </c>
      <c r="AL934">
        <v>7.2288902169162006E-2</v>
      </c>
      <c r="AM934">
        <v>4.0568418101021103E-2</v>
      </c>
      <c r="AN934">
        <v>0.79277682049704401</v>
      </c>
      <c r="AO934">
        <v>0.117878346113889</v>
      </c>
      <c r="AP934">
        <v>0.117878346113889</v>
      </c>
      <c r="AQ934">
        <v>2</v>
      </c>
      <c r="AR934">
        <v>4</v>
      </c>
      <c r="AS934">
        <v>0</v>
      </c>
      <c r="AT934">
        <v>23</v>
      </c>
      <c r="AU934">
        <v>10</v>
      </c>
      <c r="AV934">
        <v>141</v>
      </c>
      <c r="AW934">
        <v>1</v>
      </c>
      <c r="AX934">
        <v>0</v>
      </c>
      <c r="AZ934">
        <v>6.8</v>
      </c>
      <c r="BA934">
        <v>19.899999999999999</v>
      </c>
      <c r="BB934">
        <v>564</v>
      </c>
      <c r="BC934">
        <v>68</v>
      </c>
      <c r="BD934">
        <v>1.5</v>
      </c>
      <c r="BE934">
        <v>135</v>
      </c>
      <c r="BF934">
        <v>0.8</v>
      </c>
      <c r="BG934">
        <v>162</v>
      </c>
      <c r="BH934">
        <v>9.1</v>
      </c>
      <c r="BI934">
        <v>9.1999999999999993</v>
      </c>
      <c r="BJ934">
        <v>18.3</v>
      </c>
      <c r="BK934">
        <v>0.34</v>
      </c>
      <c r="BL934">
        <v>7.3</v>
      </c>
      <c r="BM934">
        <v>0.9</v>
      </c>
      <c r="BN934">
        <v>7.5</v>
      </c>
      <c r="BO934">
        <v>2.9</v>
      </c>
      <c r="BP934">
        <f t="shared" si="28"/>
        <v>6.358010738245139</v>
      </c>
      <c r="BQ934">
        <f t="shared" si="29"/>
        <v>19.262004757925585</v>
      </c>
    </row>
    <row r="935" spans="1:69" hidden="1" x14ac:dyDescent="0.2">
      <c r="A935" t="s">
        <v>1087</v>
      </c>
      <c r="B935" t="s">
        <v>68</v>
      </c>
      <c r="C935" t="s">
        <v>69</v>
      </c>
      <c r="D935" t="s">
        <v>70</v>
      </c>
      <c r="E935" t="s">
        <v>329</v>
      </c>
      <c r="F935">
        <v>4</v>
      </c>
      <c r="G935">
        <v>80.42</v>
      </c>
      <c r="H935">
        <v>3</v>
      </c>
      <c r="I935">
        <v>2</v>
      </c>
      <c r="J935">
        <v>2</v>
      </c>
      <c r="K935" t="s">
        <v>110</v>
      </c>
      <c r="L935" t="s">
        <v>162</v>
      </c>
      <c r="M935" s="4">
        <v>550000000</v>
      </c>
      <c r="N935">
        <v>0</v>
      </c>
      <c r="O935">
        <v>4.6962856999999998</v>
      </c>
      <c r="P935">
        <v>-74.081559999999996</v>
      </c>
      <c r="Q935" t="s">
        <v>1088</v>
      </c>
      <c r="R935">
        <v>6839094.7529999996</v>
      </c>
      <c r="S935">
        <v>0</v>
      </c>
      <c r="T935" t="s">
        <v>75</v>
      </c>
      <c r="U935" t="s">
        <v>76</v>
      </c>
      <c r="V935" t="s">
        <v>77</v>
      </c>
      <c r="W935" t="s">
        <v>78</v>
      </c>
      <c r="X935" t="s">
        <v>79</v>
      </c>
      <c r="Y935">
        <v>4.21845472807692</v>
      </c>
      <c r="Z935">
        <v>4218.4547280769202</v>
      </c>
      <c r="AA935">
        <v>4.6584666666666701</v>
      </c>
      <c r="AB935">
        <v>-74.083966666666697</v>
      </c>
      <c r="AC935">
        <v>2552</v>
      </c>
      <c r="AD935">
        <v>0</v>
      </c>
      <c r="AE935" t="s">
        <v>80</v>
      </c>
      <c r="AF935" t="s">
        <v>81</v>
      </c>
      <c r="AG935" t="s">
        <v>82</v>
      </c>
      <c r="AH935" t="s">
        <v>83</v>
      </c>
      <c r="AI935" t="s">
        <v>121</v>
      </c>
      <c r="AJ935">
        <v>0.67030916639787896</v>
      </c>
      <c r="AK935">
        <v>5.2538160634358304</v>
      </c>
      <c r="AL935">
        <v>1.0357713153381001</v>
      </c>
      <c r="AM935">
        <v>0.49850152645198798</v>
      </c>
      <c r="AN935">
        <v>2.4418745407975999</v>
      </c>
      <c r="AO935">
        <v>0.550731680736953</v>
      </c>
      <c r="AP935">
        <v>0.550731680736953</v>
      </c>
      <c r="AQ935">
        <v>0</v>
      </c>
      <c r="AR935">
        <v>2</v>
      </c>
      <c r="AS935">
        <v>0</v>
      </c>
      <c r="AT935">
        <v>0</v>
      </c>
      <c r="AU935">
        <v>0</v>
      </c>
      <c r="AV935">
        <v>37</v>
      </c>
      <c r="AW935">
        <v>0</v>
      </c>
      <c r="AX935">
        <v>0</v>
      </c>
      <c r="AZ935">
        <v>6.8</v>
      </c>
      <c r="BA935">
        <v>19.899999999999999</v>
      </c>
      <c r="BB935">
        <v>564</v>
      </c>
      <c r="BC935">
        <v>68</v>
      </c>
      <c r="BD935">
        <v>1.5</v>
      </c>
      <c r="BE935">
        <v>135</v>
      </c>
      <c r="BF935">
        <v>0.8</v>
      </c>
      <c r="BG935">
        <v>162</v>
      </c>
      <c r="BH935">
        <v>9.1</v>
      </c>
      <c r="BI935">
        <v>9.1999999999999993</v>
      </c>
      <c r="BJ935">
        <v>18.3</v>
      </c>
      <c r="BK935">
        <v>0.34</v>
      </c>
      <c r="BL935">
        <v>7.3</v>
      </c>
      <c r="BM935">
        <v>0.9</v>
      </c>
      <c r="BN935">
        <v>7.5</v>
      </c>
      <c r="BO935">
        <v>2.9</v>
      </c>
      <c r="BP935">
        <f t="shared" si="28"/>
        <v>5.5185166598879931</v>
      </c>
      <c r="BQ935">
        <f t="shared" si="29"/>
        <v>17.983898292590638</v>
      </c>
    </row>
    <row r="936" spans="1:69" hidden="1" x14ac:dyDescent="0.2">
      <c r="A936" t="s">
        <v>1729</v>
      </c>
      <c r="B936" t="s">
        <v>68</v>
      </c>
      <c r="C936" t="s">
        <v>69</v>
      </c>
      <c r="D936" t="s">
        <v>70</v>
      </c>
      <c r="E936" t="s">
        <v>627</v>
      </c>
      <c r="F936">
        <v>3</v>
      </c>
      <c r="G936">
        <v>79</v>
      </c>
      <c r="H936">
        <v>3</v>
      </c>
      <c r="I936">
        <v>2</v>
      </c>
      <c r="J936">
        <v>1</v>
      </c>
      <c r="K936" t="s">
        <v>110</v>
      </c>
      <c r="L936" t="s">
        <v>111</v>
      </c>
      <c r="M936" s="4">
        <v>450000000</v>
      </c>
      <c r="N936">
        <v>0</v>
      </c>
      <c r="O936">
        <v>4.7246858180000002</v>
      </c>
      <c r="P936">
        <v>-74.133375799999996</v>
      </c>
      <c r="Q936" t="s">
        <v>1730</v>
      </c>
      <c r="R936">
        <v>5696202.5319999997</v>
      </c>
      <c r="S936">
        <v>0</v>
      </c>
      <c r="T936" t="s">
        <v>419</v>
      </c>
      <c r="U936" t="s">
        <v>420</v>
      </c>
      <c r="V936" t="s">
        <v>77</v>
      </c>
      <c r="W936" t="s">
        <v>78</v>
      </c>
      <c r="X936" t="s">
        <v>421</v>
      </c>
      <c r="Y936">
        <v>1.49068898971863</v>
      </c>
      <c r="Z936">
        <v>1490.68898971863</v>
      </c>
      <c r="AA936">
        <v>4.7358055555555598</v>
      </c>
      <c r="AB936">
        <v>-74.125888888888895</v>
      </c>
      <c r="AC936">
        <v>2574</v>
      </c>
      <c r="AD936">
        <v>0</v>
      </c>
      <c r="AE936" t="s">
        <v>154</v>
      </c>
      <c r="AF936" t="s">
        <v>107</v>
      </c>
      <c r="AG936" t="s">
        <v>82</v>
      </c>
      <c r="AH936" t="s">
        <v>83</v>
      </c>
      <c r="AI936" t="s">
        <v>412</v>
      </c>
      <c r="AJ936">
        <v>3.0208421945850801</v>
      </c>
      <c r="AK936">
        <v>0.106537257155861</v>
      </c>
      <c r="AL936">
        <v>4.5421119681615396</v>
      </c>
      <c r="AM936">
        <v>0.99346330460063204</v>
      </c>
      <c r="AN936">
        <v>3.4176622139364898</v>
      </c>
      <c r="AO936">
        <v>9.3517201028028907E-2</v>
      </c>
      <c r="AP936">
        <v>9.3517201028028907E-2</v>
      </c>
      <c r="AQ936">
        <v>0</v>
      </c>
      <c r="AR936">
        <v>0</v>
      </c>
      <c r="AS936">
        <v>6</v>
      </c>
      <c r="AT936">
        <v>23</v>
      </c>
      <c r="AU936">
        <v>0</v>
      </c>
      <c r="AV936">
        <v>1</v>
      </c>
      <c r="AW936">
        <v>0</v>
      </c>
      <c r="AX936">
        <v>0</v>
      </c>
      <c r="AZ936">
        <v>6.8</v>
      </c>
      <c r="BA936">
        <v>19.899999999999999</v>
      </c>
      <c r="BB936">
        <v>564</v>
      </c>
      <c r="BC936">
        <v>68</v>
      </c>
      <c r="BD936">
        <v>1.5</v>
      </c>
      <c r="BE936">
        <v>135</v>
      </c>
      <c r="BF936">
        <v>0.8</v>
      </c>
      <c r="BG936">
        <v>162</v>
      </c>
      <c r="BH936">
        <v>9.1</v>
      </c>
      <c r="BI936">
        <v>9.1999999999999993</v>
      </c>
      <c r="BJ936">
        <v>18.3</v>
      </c>
      <c r="BK936">
        <v>0.34</v>
      </c>
      <c r="BL936">
        <v>7.3</v>
      </c>
      <c r="BM936">
        <v>0.9</v>
      </c>
      <c r="BN936">
        <v>7.5</v>
      </c>
      <c r="BO936">
        <v>2.9</v>
      </c>
      <c r="BP936">
        <f t="shared" si="28"/>
        <v>6.3162994536962112</v>
      </c>
      <c r="BQ936">
        <f t="shared" si="29"/>
        <v>19.200632015716458</v>
      </c>
    </row>
    <row r="937" spans="1:69" hidden="1" x14ac:dyDescent="0.2">
      <c r="A937" t="s">
        <v>1737</v>
      </c>
      <c r="B937" t="s">
        <v>68</v>
      </c>
      <c r="C937" t="s">
        <v>69</v>
      </c>
      <c r="D937" t="s">
        <v>70</v>
      </c>
      <c r="E937" t="s">
        <v>627</v>
      </c>
      <c r="F937">
        <v>3</v>
      </c>
      <c r="G937">
        <v>79</v>
      </c>
      <c r="H937">
        <v>3</v>
      </c>
      <c r="I937">
        <v>2</v>
      </c>
      <c r="J937">
        <v>1</v>
      </c>
      <c r="K937" t="s">
        <v>110</v>
      </c>
      <c r="L937" t="s">
        <v>111</v>
      </c>
      <c r="M937" s="4">
        <v>450000000</v>
      </c>
      <c r="N937">
        <v>0</v>
      </c>
      <c r="O937">
        <v>4.7246858180000002</v>
      </c>
      <c r="P937">
        <v>-74.133375799999996</v>
      </c>
      <c r="Q937" t="s">
        <v>1738</v>
      </c>
      <c r="R937">
        <v>5696202.5319999997</v>
      </c>
      <c r="S937">
        <v>0</v>
      </c>
      <c r="T937" t="s">
        <v>419</v>
      </c>
      <c r="U937" t="s">
        <v>420</v>
      </c>
      <c r="V937" t="s">
        <v>77</v>
      </c>
      <c r="W937" t="s">
        <v>78</v>
      </c>
      <c r="X937" t="s">
        <v>421</v>
      </c>
      <c r="Y937">
        <v>1.49068898971863</v>
      </c>
      <c r="Z937">
        <v>1490.68898971863</v>
      </c>
      <c r="AA937">
        <v>4.7358055555555598</v>
      </c>
      <c r="AB937">
        <v>-74.125888888888895</v>
      </c>
      <c r="AC937">
        <v>2574</v>
      </c>
      <c r="AD937">
        <v>0</v>
      </c>
      <c r="AE937" t="s">
        <v>154</v>
      </c>
      <c r="AF937" t="s">
        <v>107</v>
      </c>
      <c r="AG937" t="s">
        <v>82</v>
      </c>
      <c r="AH937" t="s">
        <v>83</v>
      </c>
      <c r="AI937" t="s">
        <v>412</v>
      </c>
      <c r="AJ937">
        <v>3.0208421945850801</v>
      </c>
      <c r="AK937">
        <v>0.106537257155861</v>
      </c>
      <c r="AL937">
        <v>4.5421119681615396</v>
      </c>
      <c r="AM937">
        <v>0.99346330460063204</v>
      </c>
      <c r="AN937">
        <v>3.4176622139364898</v>
      </c>
      <c r="AO937">
        <v>9.3517201028028907E-2</v>
      </c>
      <c r="AP937">
        <v>9.3517201028028907E-2</v>
      </c>
      <c r="AQ937">
        <v>0</v>
      </c>
      <c r="AR937">
        <v>0</v>
      </c>
      <c r="AS937">
        <v>6</v>
      </c>
      <c r="AT937">
        <v>23</v>
      </c>
      <c r="AU937">
        <v>0</v>
      </c>
      <c r="AV937">
        <v>1</v>
      </c>
      <c r="AW937">
        <v>0</v>
      </c>
      <c r="AX937">
        <v>0</v>
      </c>
      <c r="AZ937">
        <v>6.8</v>
      </c>
      <c r="BA937">
        <v>19.899999999999999</v>
      </c>
      <c r="BB937">
        <v>564</v>
      </c>
      <c r="BC937">
        <v>68</v>
      </c>
      <c r="BD937">
        <v>1.5</v>
      </c>
      <c r="BE937">
        <v>135</v>
      </c>
      <c r="BF937">
        <v>0.8</v>
      </c>
      <c r="BG937">
        <v>162</v>
      </c>
      <c r="BH937">
        <v>9.1</v>
      </c>
      <c r="BI937">
        <v>9.1999999999999993</v>
      </c>
      <c r="BJ937">
        <v>18.3</v>
      </c>
      <c r="BK937">
        <v>0.34</v>
      </c>
      <c r="BL937">
        <v>7.3</v>
      </c>
      <c r="BM937">
        <v>0.9</v>
      </c>
      <c r="BN937">
        <v>7.5</v>
      </c>
      <c r="BO937">
        <v>2.9</v>
      </c>
      <c r="BP937">
        <f t="shared" si="28"/>
        <v>6.3162994536962112</v>
      </c>
      <c r="BQ937">
        <f t="shared" si="29"/>
        <v>19.200632015716458</v>
      </c>
    </row>
    <row r="938" spans="1:69" hidden="1" x14ac:dyDescent="0.2">
      <c r="A938" t="s">
        <v>1344</v>
      </c>
      <c r="B938" t="s">
        <v>68</v>
      </c>
      <c r="C938" t="s">
        <v>69</v>
      </c>
      <c r="D938" t="s">
        <v>70</v>
      </c>
      <c r="E938" t="s">
        <v>171</v>
      </c>
      <c r="F938">
        <v>4</v>
      </c>
      <c r="G938">
        <v>79</v>
      </c>
      <c r="H938">
        <v>3</v>
      </c>
      <c r="I938">
        <v>2</v>
      </c>
      <c r="J938">
        <v>1</v>
      </c>
      <c r="K938" t="s">
        <v>110</v>
      </c>
      <c r="L938" t="s">
        <v>162</v>
      </c>
      <c r="M938" s="4">
        <v>576000000</v>
      </c>
      <c r="N938">
        <v>0</v>
      </c>
      <c r="O938">
        <v>4.6640117730000004</v>
      </c>
      <c r="P938">
        <v>-74.114452310000004</v>
      </c>
      <c r="Q938" t="s">
        <v>1345</v>
      </c>
      <c r="R938">
        <v>7291139.2410000004</v>
      </c>
      <c r="S938">
        <v>0</v>
      </c>
      <c r="T938" t="s">
        <v>75</v>
      </c>
      <c r="U938" t="s">
        <v>76</v>
      </c>
      <c r="V938" t="s">
        <v>77</v>
      </c>
      <c r="W938" t="s">
        <v>78</v>
      </c>
      <c r="X938" t="s">
        <v>79</v>
      </c>
      <c r="Y938">
        <v>3.4382861990903599</v>
      </c>
      <c r="Z938">
        <v>3438.2861990903598</v>
      </c>
      <c r="AA938">
        <v>4.6584666666666701</v>
      </c>
      <c r="AB938">
        <v>-74.083966666666697</v>
      </c>
      <c r="AC938">
        <v>2552</v>
      </c>
      <c r="AD938">
        <v>0</v>
      </c>
      <c r="AE938" t="s">
        <v>80</v>
      </c>
      <c r="AF938" t="s">
        <v>81</v>
      </c>
      <c r="AG938" t="s">
        <v>82</v>
      </c>
      <c r="AH938" t="s">
        <v>83</v>
      </c>
      <c r="AI938" t="s">
        <v>92</v>
      </c>
      <c r="AJ938">
        <v>0.56732120591077895</v>
      </c>
      <c r="AK938">
        <v>4.7823800710448303</v>
      </c>
      <c r="AL938">
        <v>1.08977684201858</v>
      </c>
      <c r="AM938">
        <v>0.24531367348215999</v>
      </c>
      <c r="AN938">
        <v>1.42358026300282</v>
      </c>
      <c r="AO938">
        <v>0.56847648317839405</v>
      </c>
      <c r="AP938">
        <v>0.56847648317839405</v>
      </c>
      <c r="AQ938">
        <v>0</v>
      </c>
      <c r="AR938">
        <v>2</v>
      </c>
      <c r="AS938">
        <v>0</v>
      </c>
      <c r="AT938">
        <v>0</v>
      </c>
      <c r="AU938">
        <v>0</v>
      </c>
      <c r="AV938">
        <v>35</v>
      </c>
      <c r="AW938">
        <v>0</v>
      </c>
      <c r="AX938">
        <v>0</v>
      </c>
      <c r="AZ938">
        <v>6.8</v>
      </c>
      <c r="BA938">
        <v>19.899999999999999</v>
      </c>
      <c r="BB938">
        <v>564</v>
      </c>
      <c r="BC938">
        <v>68</v>
      </c>
      <c r="BD938">
        <v>1.5</v>
      </c>
      <c r="BE938">
        <v>135</v>
      </c>
      <c r="BF938">
        <v>0.8</v>
      </c>
      <c r="BG938">
        <v>162</v>
      </c>
      <c r="BH938">
        <v>9.1</v>
      </c>
      <c r="BI938">
        <v>9.1999999999999993</v>
      </c>
      <c r="BJ938">
        <v>18.3</v>
      </c>
      <c r="BK938">
        <v>0.34</v>
      </c>
      <c r="BL938">
        <v>7.3</v>
      </c>
      <c r="BM938">
        <v>0.9</v>
      </c>
      <c r="BN938">
        <v>7.5</v>
      </c>
      <c r="BO938">
        <v>2.9</v>
      </c>
      <c r="BP938">
        <f t="shared" si="28"/>
        <v>5.7358012053276841</v>
      </c>
      <c r="BQ938">
        <f t="shared" si="29"/>
        <v>18.323801862335923</v>
      </c>
    </row>
    <row r="939" spans="1:69" hidden="1" x14ac:dyDescent="0.2">
      <c r="A939" t="s">
        <v>4297</v>
      </c>
      <c r="B939" t="s">
        <v>68</v>
      </c>
      <c r="C939" t="s">
        <v>3294</v>
      </c>
      <c r="D939" t="s">
        <v>70</v>
      </c>
      <c r="E939" t="s">
        <v>232</v>
      </c>
      <c r="F939">
        <v>6</v>
      </c>
      <c r="G939">
        <v>75</v>
      </c>
      <c r="H939">
        <v>2</v>
      </c>
      <c r="I939">
        <v>2</v>
      </c>
      <c r="J939">
        <v>1</v>
      </c>
      <c r="K939" t="s">
        <v>110</v>
      </c>
      <c r="L939" t="s">
        <v>111</v>
      </c>
      <c r="M939" s="4">
        <v>1288000000</v>
      </c>
      <c r="N939">
        <v>0</v>
      </c>
      <c r="O939">
        <v>4.6635594459999998</v>
      </c>
      <c r="P939">
        <v>-74.048237799999995</v>
      </c>
      <c r="Q939" t="s">
        <v>4298</v>
      </c>
      <c r="R939">
        <v>17173333.329999998</v>
      </c>
      <c r="S939">
        <v>0</v>
      </c>
      <c r="T939" t="s">
        <v>75</v>
      </c>
      <c r="U939" t="s">
        <v>76</v>
      </c>
      <c r="V939" t="s">
        <v>77</v>
      </c>
      <c r="W939" t="s">
        <v>78</v>
      </c>
      <c r="X939" t="s">
        <v>79</v>
      </c>
      <c r="Y939">
        <v>4.00449945377206</v>
      </c>
      <c r="Z939">
        <v>4004.49945377206</v>
      </c>
      <c r="AA939">
        <v>4.6584666666666701</v>
      </c>
      <c r="AB939">
        <v>-74.083966666666697</v>
      </c>
      <c r="AC939">
        <v>2552</v>
      </c>
      <c r="AD939">
        <v>0</v>
      </c>
      <c r="AE939" t="s">
        <v>80</v>
      </c>
      <c r="AF939" t="s">
        <v>81</v>
      </c>
      <c r="AG939" t="s">
        <v>82</v>
      </c>
      <c r="AH939" t="s">
        <v>83</v>
      </c>
      <c r="AI939" t="s">
        <v>130</v>
      </c>
      <c r="AJ939">
        <v>1.4309583842127001</v>
      </c>
      <c r="AK939">
        <v>0.34300097199215301</v>
      </c>
      <c r="AL939">
        <v>0.61772344476371999</v>
      </c>
      <c r="AM939">
        <v>6.4074523468776595E-2</v>
      </c>
      <c r="AN939">
        <v>2.6739076981531098</v>
      </c>
      <c r="AO939">
        <v>0.28590196750364899</v>
      </c>
      <c r="AP939">
        <v>0.28590196750364899</v>
      </c>
      <c r="AQ939">
        <v>0</v>
      </c>
      <c r="AR939">
        <v>0</v>
      </c>
      <c r="AS939">
        <v>7</v>
      </c>
      <c r="AT939">
        <v>31</v>
      </c>
      <c r="AU939">
        <v>5</v>
      </c>
      <c r="AV939">
        <v>27</v>
      </c>
      <c r="AW939">
        <v>0</v>
      </c>
      <c r="AX939">
        <v>0</v>
      </c>
      <c r="AZ939">
        <v>6.8</v>
      </c>
      <c r="BA939">
        <v>19.899999999999999</v>
      </c>
      <c r="BB939">
        <v>564</v>
      </c>
      <c r="BC939">
        <v>68</v>
      </c>
      <c r="BD939">
        <v>1.5</v>
      </c>
      <c r="BE939">
        <v>135</v>
      </c>
      <c r="BF939">
        <v>0.8</v>
      </c>
      <c r="BG939">
        <v>162</v>
      </c>
      <c r="BH939">
        <v>9.1</v>
      </c>
      <c r="BI939">
        <v>9.1999999999999993</v>
      </c>
      <c r="BJ939">
        <v>18.3</v>
      </c>
      <c r="BK939">
        <v>0.34</v>
      </c>
      <c r="BL939">
        <v>7.3</v>
      </c>
      <c r="BM939">
        <v>0.9</v>
      </c>
      <c r="BN939">
        <v>7.5</v>
      </c>
      <c r="BO939">
        <v>2.9</v>
      </c>
      <c r="BP939">
        <f t="shared" si="28"/>
        <v>5.5772726763064613</v>
      </c>
      <c r="BQ939">
        <f t="shared" si="29"/>
        <v>18.076481791306652</v>
      </c>
    </row>
    <row r="940" spans="1:69" hidden="1" x14ac:dyDescent="0.2">
      <c r="A940" t="s">
        <v>1578</v>
      </c>
      <c r="B940" t="s">
        <v>68</v>
      </c>
      <c r="C940" t="s">
        <v>69</v>
      </c>
      <c r="D940" t="s">
        <v>70</v>
      </c>
      <c r="E940" t="s">
        <v>404</v>
      </c>
      <c r="F940">
        <v>5</v>
      </c>
      <c r="G940">
        <v>74</v>
      </c>
      <c r="H940">
        <v>2</v>
      </c>
      <c r="I940">
        <v>2</v>
      </c>
      <c r="J940">
        <v>1</v>
      </c>
      <c r="K940" t="s">
        <v>110</v>
      </c>
      <c r="L940" t="s">
        <v>133</v>
      </c>
      <c r="M940" s="4">
        <v>676791522</v>
      </c>
      <c r="N940">
        <v>0</v>
      </c>
      <c r="O940">
        <v>4.6725846640000004</v>
      </c>
      <c r="P940">
        <v>-74.059152780000005</v>
      </c>
      <c r="Q940" t="s">
        <v>1579</v>
      </c>
      <c r="R940">
        <v>9145831.3780000005</v>
      </c>
      <c r="S940">
        <v>0</v>
      </c>
      <c r="T940" t="s">
        <v>75</v>
      </c>
      <c r="U940" t="s">
        <v>76</v>
      </c>
      <c r="V940" t="s">
        <v>77</v>
      </c>
      <c r="W940" t="s">
        <v>78</v>
      </c>
      <c r="X940" t="s">
        <v>79</v>
      </c>
      <c r="Y940">
        <v>3.1701108549958801</v>
      </c>
      <c r="Z940">
        <v>3170.1108549958799</v>
      </c>
      <c r="AA940">
        <v>4.6584666666666701</v>
      </c>
      <c r="AB940">
        <v>-74.083966666666697</v>
      </c>
      <c r="AC940">
        <v>2552</v>
      </c>
      <c r="AD940">
        <v>0</v>
      </c>
      <c r="AE940" t="s">
        <v>80</v>
      </c>
      <c r="AF940" t="s">
        <v>81</v>
      </c>
      <c r="AG940" t="s">
        <v>82</v>
      </c>
      <c r="AH940" t="s">
        <v>83</v>
      </c>
      <c r="AI940" t="s">
        <v>130</v>
      </c>
      <c r="AJ940">
        <v>6.21691641509486E-2</v>
      </c>
      <c r="AK940">
        <v>1.7806803389360799</v>
      </c>
      <c r="AL940">
        <v>0.527804807563097</v>
      </c>
      <c r="AM940">
        <v>8.3769083738488806E-2</v>
      </c>
      <c r="AN940">
        <v>2.5216808454617601</v>
      </c>
      <c r="AO940">
        <v>0.69855621452639105</v>
      </c>
      <c r="AP940">
        <v>0.69855621452639105</v>
      </c>
      <c r="AQ940">
        <v>2</v>
      </c>
      <c r="AR940">
        <v>6</v>
      </c>
      <c r="AS940">
        <v>0</v>
      </c>
      <c r="AT940">
        <v>0</v>
      </c>
      <c r="AU940">
        <v>5</v>
      </c>
      <c r="AV940">
        <v>291</v>
      </c>
      <c r="AW940">
        <v>0</v>
      </c>
      <c r="AX940">
        <v>0</v>
      </c>
      <c r="AZ940">
        <v>6.8</v>
      </c>
      <c r="BA940">
        <v>19.899999999999999</v>
      </c>
      <c r="BB940">
        <v>564</v>
      </c>
      <c r="BC940">
        <v>68</v>
      </c>
      <c r="BD940">
        <v>1.5</v>
      </c>
      <c r="BE940">
        <v>135</v>
      </c>
      <c r="BF940">
        <v>0.8</v>
      </c>
      <c r="BG940">
        <v>162</v>
      </c>
      <c r="BH940">
        <v>9.1</v>
      </c>
      <c r="BI940">
        <v>9.1999999999999993</v>
      </c>
      <c r="BJ940">
        <v>18.3</v>
      </c>
      <c r="BK940">
        <v>0.34</v>
      </c>
      <c r="BL940">
        <v>7.3</v>
      </c>
      <c r="BM940">
        <v>0.9</v>
      </c>
      <c r="BN940">
        <v>7.5</v>
      </c>
      <c r="BO940">
        <v>2.9</v>
      </c>
      <c r="BP940">
        <f t="shared" si="28"/>
        <v>5.8124497450300652</v>
      </c>
      <c r="BQ940">
        <f t="shared" si="29"/>
        <v>18.442118012461684</v>
      </c>
    </row>
    <row r="941" spans="1:69" hidden="1" x14ac:dyDescent="0.2">
      <c r="A941" t="s">
        <v>1210</v>
      </c>
      <c r="B941" t="s">
        <v>68</v>
      </c>
      <c r="C941" t="s">
        <v>69</v>
      </c>
      <c r="D941" t="s">
        <v>70</v>
      </c>
      <c r="E941" t="s">
        <v>1145</v>
      </c>
      <c r="F941">
        <v>4</v>
      </c>
      <c r="G941">
        <v>74</v>
      </c>
      <c r="H941">
        <v>2</v>
      </c>
      <c r="I941">
        <v>2</v>
      </c>
      <c r="J941">
        <v>1</v>
      </c>
      <c r="K941" t="s">
        <v>110</v>
      </c>
      <c r="L941" t="s">
        <v>111</v>
      </c>
      <c r="M941" s="4">
        <v>493000000</v>
      </c>
      <c r="N941">
        <v>0</v>
      </c>
      <c r="O941">
        <v>4.6660139999999997</v>
      </c>
      <c r="P941">
        <v>-74.106715899999998</v>
      </c>
      <c r="Q941" t="s">
        <v>1211</v>
      </c>
      <c r="R941">
        <v>6662162.1619999995</v>
      </c>
      <c r="S941">
        <v>0</v>
      </c>
      <c r="T941" t="s">
        <v>75</v>
      </c>
      <c r="U941" t="s">
        <v>76</v>
      </c>
      <c r="V941" t="s">
        <v>77</v>
      </c>
      <c r="W941" t="s">
        <v>78</v>
      </c>
      <c r="X941" t="s">
        <v>79</v>
      </c>
      <c r="Y941">
        <v>2.66021140360133</v>
      </c>
      <c r="Z941">
        <v>2660.2114036013299</v>
      </c>
      <c r="AA941">
        <v>4.6584666666666701</v>
      </c>
      <c r="AB941">
        <v>-74.083966666666697</v>
      </c>
      <c r="AC941">
        <v>2552</v>
      </c>
      <c r="AD941">
        <v>0</v>
      </c>
      <c r="AE941" t="s">
        <v>80</v>
      </c>
      <c r="AF941" t="s">
        <v>81</v>
      </c>
      <c r="AG941" t="s">
        <v>82</v>
      </c>
      <c r="AH941" t="s">
        <v>83</v>
      </c>
      <c r="AI941" t="s">
        <v>412</v>
      </c>
      <c r="AJ941">
        <v>0.50423051498295501</v>
      </c>
      <c r="AK941">
        <v>5.6474854276973403</v>
      </c>
      <c r="AL941">
        <v>0.90357347311089797</v>
      </c>
      <c r="AM941">
        <v>0.120174403169168</v>
      </c>
      <c r="AN941">
        <v>1.8596216360150299</v>
      </c>
      <c r="AO941">
        <v>0.21204070885164</v>
      </c>
      <c r="AP941">
        <v>0.21204070885164</v>
      </c>
      <c r="AQ941">
        <v>0</v>
      </c>
      <c r="AR941">
        <v>3</v>
      </c>
      <c r="AS941">
        <v>0</v>
      </c>
      <c r="AT941">
        <v>0</v>
      </c>
      <c r="AU941">
        <v>1</v>
      </c>
      <c r="AV941">
        <v>36</v>
      </c>
      <c r="AW941">
        <v>0</v>
      </c>
      <c r="AX941">
        <v>0</v>
      </c>
      <c r="AZ941">
        <v>6.8</v>
      </c>
      <c r="BA941">
        <v>19.899999999999999</v>
      </c>
      <c r="BB941">
        <v>564</v>
      </c>
      <c r="BC941">
        <v>68</v>
      </c>
      <c r="BD941">
        <v>1.5</v>
      </c>
      <c r="BE941">
        <v>135</v>
      </c>
      <c r="BF941">
        <v>0.8</v>
      </c>
      <c r="BG941">
        <v>162</v>
      </c>
      <c r="BH941">
        <v>9.1</v>
      </c>
      <c r="BI941">
        <v>9.1999999999999993</v>
      </c>
      <c r="BJ941">
        <v>18.3</v>
      </c>
      <c r="BK941">
        <v>0.34</v>
      </c>
      <c r="BL941">
        <v>7.3</v>
      </c>
      <c r="BM941">
        <v>0.9</v>
      </c>
      <c r="BN941">
        <v>7.5</v>
      </c>
      <c r="BO941">
        <v>2.9</v>
      </c>
      <c r="BP941">
        <f t="shared" si="28"/>
        <v>5.9610232209180873</v>
      </c>
      <c r="BQ941">
        <f t="shared" si="29"/>
        <v>18.66919161565691</v>
      </c>
    </row>
    <row r="942" spans="1:69" hidden="1" x14ac:dyDescent="0.2">
      <c r="A942" t="s">
        <v>1144</v>
      </c>
      <c r="B942" t="s">
        <v>68</v>
      </c>
      <c r="C942" t="s">
        <v>69</v>
      </c>
      <c r="D942" t="s">
        <v>70</v>
      </c>
      <c r="E942" t="s">
        <v>1145</v>
      </c>
      <c r="F942">
        <v>4</v>
      </c>
      <c r="G942">
        <v>74</v>
      </c>
      <c r="H942">
        <v>2</v>
      </c>
      <c r="I942">
        <v>2</v>
      </c>
      <c r="J942">
        <v>1</v>
      </c>
      <c r="K942" t="s">
        <v>110</v>
      </c>
      <c r="L942" t="s">
        <v>124</v>
      </c>
      <c r="M942" s="4">
        <v>493000000</v>
      </c>
      <c r="N942">
        <v>0</v>
      </c>
      <c r="O942">
        <v>4.6659636080000002</v>
      </c>
      <c r="P942">
        <v>-74.106724439999994</v>
      </c>
      <c r="Q942" t="s">
        <v>1146</v>
      </c>
      <c r="R942">
        <v>6662162.1619999995</v>
      </c>
      <c r="S942">
        <v>0</v>
      </c>
      <c r="T942" t="s">
        <v>75</v>
      </c>
      <c r="U942" t="s">
        <v>76</v>
      </c>
      <c r="V942" t="s">
        <v>77</v>
      </c>
      <c r="W942" t="s">
        <v>78</v>
      </c>
      <c r="X942" t="s">
        <v>79</v>
      </c>
      <c r="Y942">
        <v>2.6593447932733998</v>
      </c>
      <c r="Z942">
        <v>2659.3447932733998</v>
      </c>
      <c r="AA942">
        <v>4.6584666666666701</v>
      </c>
      <c r="AB942">
        <v>-74.083966666666697</v>
      </c>
      <c r="AC942">
        <v>2552</v>
      </c>
      <c r="AD942">
        <v>0</v>
      </c>
      <c r="AE942" t="s">
        <v>80</v>
      </c>
      <c r="AF942" t="s">
        <v>81</v>
      </c>
      <c r="AG942" t="s">
        <v>82</v>
      </c>
      <c r="AH942" t="s">
        <v>83</v>
      </c>
      <c r="AI942" t="s">
        <v>412</v>
      </c>
      <c r="AJ942">
        <v>0.49883793508295798</v>
      </c>
      <c r="AK942">
        <v>5.6462486632497599</v>
      </c>
      <c r="AL942">
        <v>0.89799666984191995</v>
      </c>
      <c r="AM942">
        <v>0.12568812916637601</v>
      </c>
      <c r="AN942">
        <v>1.85425492749112</v>
      </c>
      <c r="AO942">
        <v>0.21527105013678599</v>
      </c>
      <c r="AP942">
        <v>0.21527105013678599</v>
      </c>
      <c r="AQ942">
        <v>1</v>
      </c>
      <c r="AR942">
        <v>3</v>
      </c>
      <c r="AS942">
        <v>0</v>
      </c>
      <c r="AT942">
        <v>0</v>
      </c>
      <c r="AU942">
        <v>1</v>
      </c>
      <c r="AV942">
        <v>36</v>
      </c>
      <c r="AW942">
        <v>0</v>
      </c>
      <c r="AX942">
        <v>0</v>
      </c>
      <c r="AZ942">
        <v>6.8</v>
      </c>
      <c r="BA942">
        <v>19.899999999999999</v>
      </c>
      <c r="BB942">
        <v>564</v>
      </c>
      <c r="BC942">
        <v>68</v>
      </c>
      <c r="BD942">
        <v>1.5</v>
      </c>
      <c r="BE942">
        <v>135</v>
      </c>
      <c r="BF942">
        <v>0.8</v>
      </c>
      <c r="BG942">
        <v>162</v>
      </c>
      <c r="BH942">
        <v>9.1</v>
      </c>
      <c r="BI942">
        <v>9.1999999999999993</v>
      </c>
      <c r="BJ942">
        <v>18.3</v>
      </c>
      <c r="BK942">
        <v>0.34</v>
      </c>
      <c r="BL942">
        <v>7.3</v>
      </c>
      <c r="BM942">
        <v>0.9</v>
      </c>
      <c r="BN942">
        <v>7.5</v>
      </c>
      <c r="BO942">
        <v>2.9</v>
      </c>
      <c r="BP942">
        <f t="shared" si="28"/>
        <v>5.9612789376750861</v>
      </c>
      <c r="BQ942">
        <f t="shared" si="29"/>
        <v>18.669579913637371</v>
      </c>
    </row>
    <row r="943" spans="1:69" hidden="1" x14ac:dyDescent="0.2">
      <c r="A943" t="s">
        <v>1389</v>
      </c>
      <c r="B943" t="s">
        <v>68</v>
      </c>
      <c r="C943" t="s">
        <v>69</v>
      </c>
      <c r="D943" t="s">
        <v>70</v>
      </c>
      <c r="E943" t="s">
        <v>1390</v>
      </c>
      <c r="F943">
        <v>3</v>
      </c>
      <c r="G943">
        <v>73.8</v>
      </c>
      <c r="H943">
        <v>4</v>
      </c>
      <c r="I943">
        <v>2</v>
      </c>
      <c r="J943">
        <v>1</v>
      </c>
      <c r="K943" t="s">
        <v>110</v>
      </c>
      <c r="L943" t="s">
        <v>115</v>
      </c>
      <c r="M943" s="4">
        <v>450000000</v>
      </c>
      <c r="N943">
        <v>0</v>
      </c>
      <c r="O943">
        <v>4.6192320000000002</v>
      </c>
      <c r="P943">
        <v>-74.083470000000005</v>
      </c>
      <c r="Q943" t="s">
        <v>1391</v>
      </c>
      <c r="R943">
        <v>6097560.9759999998</v>
      </c>
      <c r="S943">
        <v>0</v>
      </c>
      <c r="T943" t="s">
        <v>126</v>
      </c>
      <c r="U943" t="s">
        <v>127</v>
      </c>
      <c r="V943" t="s">
        <v>77</v>
      </c>
      <c r="W943" t="s">
        <v>128</v>
      </c>
      <c r="X943" t="s">
        <v>129</v>
      </c>
      <c r="Y943">
        <v>1.95760900599975</v>
      </c>
      <c r="Z943">
        <v>1957.60900599975</v>
      </c>
      <c r="AA943">
        <v>4.6254861111111101</v>
      </c>
      <c r="AB943">
        <v>-74.066980555555503</v>
      </c>
      <c r="AC943">
        <v>2621</v>
      </c>
      <c r="AD943">
        <v>15</v>
      </c>
      <c r="AE943" t="s">
        <v>80</v>
      </c>
      <c r="AF943" t="s">
        <v>81</v>
      </c>
      <c r="AG943" t="s">
        <v>82</v>
      </c>
      <c r="AH943" t="s">
        <v>83</v>
      </c>
      <c r="AI943" t="s">
        <v>308</v>
      </c>
      <c r="AJ943">
        <v>0.46903391282719398</v>
      </c>
      <c r="AK943">
        <v>2.2278510793191799</v>
      </c>
      <c r="AL943">
        <v>1.16124036637886</v>
      </c>
      <c r="AM943">
        <v>0.29864784978122</v>
      </c>
      <c r="AN943">
        <v>1.2742280160020301</v>
      </c>
      <c r="AO943">
        <v>0.33208118532113901</v>
      </c>
      <c r="AP943">
        <v>0.33208118532113901</v>
      </c>
      <c r="AQ943">
        <v>1</v>
      </c>
      <c r="AR943">
        <v>4</v>
      </c>
      <c r="AS943">
        <v>0</v>
      </c>
      <c r="AT943">
        <v>0</v>
      </c>
      <c r="AU943">
        <v>0</v>
      </c>
      <c r="AV943">
        <v>22</v>
      </c>
      <c r="AW943">
        <v>0</v>
      </c>
      <c r="AX943">
        <v>0</v>
      </c>
      <c r="AZ943">
        <v>6.8</v>
      </c>
      <c r="BA943">
        <v>19.899999999999999</v>
      </c>
      <c r="BB943">
        <v>564</v>
      </c>
      <c r="BC943">
        <v>68</v>
      </c>
      <c r="BD943">
        <v>1.5</v>
      </c>
      <c r="BE943">
        <v>135</v>
      </c>
      <c r="BF943">
        <v>0.8</v>
      </c>
      <c r="BG943">
        <v>162</v>
      </c>
      <c r="BH943">
        <v>9.1</v>
      </c>
      <c r="BI943">
        <v>9.1999999999999993</v>
      </c>
      <c r="BJ943">
        <v>18.3</v>
      </c>
      <c r="BK943">
        <v>0.34</v>
      </c>
      <c r="BL943">
        <v>7.3</v>
      </c>
      <c r="BM943">
        <v>0.9</v>
      </c>
      <c r="BN943">
        <v>7.5</v>
      </c>
      <c r="BO943">
        <v>2.9</v>
      </c>
      <c r="BP943">
        <f t="shared" si="28"/>
        <v>6.1719878528009824</v>
      </c>
      <c r="BQ943">
        <f t="shared" si="29"/>
        <v>18.986669270704166</v>
      </c>
    </row>
    <row r="944" spans="1:69" hidden="1" x14ac:dyDescent="0.2">
      <c r="A944" t="s">
        <v>1384</v>
      </c>
      <c r="B944" t="s">
        <v>68</v>
      </c>
      <c r="C944" t="s">
        <v>69</v>
      </c>
      <c r="D944" t="s">
        <v>70</v>
      </c>
      <c r="E944" t="s">
        <v>1385</v>
      </c>
      <c r="F944">
        <v>4</v>
      </c>
      <c r="G944">
        <v>73</v>
      </c>
      <c r="H944">
        <v>3</v>
      </c>
      <c r="I944">
        <v>2</v>
      </c>
      <c r="J944">
        <v>1</v>
      </c>
      <c r="K944" t="s">
        <v>110</v>
      </c>
      <c r="L944" t="s">
        <v>124</v>
      </c>
      <c r="M944" s="4">
        <v>650000000</v>
      </c>
      <c r="N944">
        <v>0</v>
      </c>
      <c r="O944">
        <v>4.6552714999999996</v>
      </c>
      <c r="P944">
        <v>-74.079530000000005</v>
      </c>
      <c r="Q944" t="s">
        <v>1386</v>
      </c>
      <c r="R944">
        <v>8904109.5889999997</v>
      </c>
      <c r="S944">
        <v>0</v>
      </c>
      <c r="T944" t="s">
        <v>75</v>
      </c>
      <c r="U944" t="s">
        <v>76</v>
      </c>
      <c r="V944" t="s">
        <v>77</v>
      </c>
      <c r="W944" t="s">
        <v>78</v>
      </c>
      <c r="X944" t="s">
        <v>79</v>
      </c>
      <c r="Y944">
        <v>0.60731239003447501</v>
      </c>
      <c r="Z944">
        <v>607.31239003447502</v>
      </c>
      <c r="AA944">
        <v>4.6584666666666701</v>
      </c>
      <c r="AB944">
        <v>-74.083966666666697</v>
      </c>
      <c r="AC944">
        <v>2552</v>
      </c>
      <c r="AD944">
        <v>0</v>
      </c>
      <c r="AE944" t="s">
        <v>80</v>
      </c>
      <c r="AF944" t="s">
        <v>81</v>
      </c>
      <c r="AG944" t="s">
        <v>82</v>
      </c>
      <c r="AH944" t="s">
        <v>83</v>
      </c>
      <c r="AI944" t="s">
        <v>342</v>
      </c>
      <c r="AJ944">
        <v>0.30300018388897398</v>
      </c>
      <c r="AK944">
        <v>2.9094376535399702</v>
      </c>
      <c r="AL944">
        <v>0.66980146465564105</v>
      </c>
      <c r="AM944">
        <v>0.21674839105858301</v>
      </c>
      <c r="AN944">
        <v>2.0652116874145401</v>
      </c>
      <c r="AO944">
        <v>0.26753191289961797</v>
      </c>
      <c r="AP944">
        <v>0.26753191289961797</v>
      </c>
      <c r="AQ944">
        <v>1</v>
      </c>
      <c r="AR944">
        <v>2</v>
      </c>
      <c r="AS944">
        <v>0</v>
      </c>
      <c r="AT944">
        <v>0</v>
      </c>
      <c r="AU944">
        <v>2</v>
      </c>
      <c r="AV944">
        <v>24</v>
      </c>
      <c r="AW944">
        <v>0</v>
      </c>
      <c r="AX944">
        <v>0</v>
      </c>
      <c r="AZ944">
        <v>6.8</v>
      </c>
      <c r="BA944">
        <v>19.899999999999999</v>
      </c>
      <c r="BB944">
        <v>564</v>
      </c>
      <c r="BC944">
        <v>68</v>
      </c>
      <c r="BD944">
        <v>1.5</v>
      </c>
      <c r="BE944">
        <v>135</v>
      </c>
      <c r="BF944">
        <v>0.8</v>
      </c>
      <c r="BG944">
        <v>162</v>
      </c>
      <c r="BH944">
        <v>9.1</v>
      </c>
      <c r="BI944">
        <v>9.1999999999999993</v>
      </c>
      <c r="BJ944">
        <v>18.3</v>
      </c>
      <c r="BK944">
        <v>0.34</v>
      </c>
      <c r="BL944">
        <v>7.3</v>
      </c>
      <c r="BM944">
        <v>0.9</v>
      </c>
      <c r="BN944">
        <v>7.5</v>
      </c>
      <c r="BO944">
        <v>2.9</v>
      </c>
      <c r="BP944">
        <f t="shared" si="28"/>
        <v>6.5986207431011072</v>
      </c>
      <c r="BQ944">
        <f t="shared" si="29"/>
        <v>19.612051198774193</v>
      </c>
    </row>
    <row r="945" spans="1:69" hidden="1" x14ac:dyDescent="0.2">
      <c r="A945" t="s">
        <v>1560</v>
      </c>
      <c r="B945" t="s">
        <v>68</v>
      </c>
      <c r="C945" t="s">
        <v>69</v>
      </c>
      <c r="D945" t="s">
        <v>70</v>
      </c>
      <c r="E945" t="s">
        <v>1561</v>
      </c>
      <c r="F945">
        <v>4</v>
      </c>
      <c r="G945">
        <v>73</v>
      </c>
      <c r="H945">
        <v>3</v>
      </c>
      <c r="I945">
        <v>2</v>
      </c>
      <c r="J945">
        <v>0</v>
      </c>
      <c r="K945" t="s">
        <v>110</v>
      </c>
      <c r="L945" t="s">
        <v>162</v>
      </c>
      <c r="M945" s="4">
        <v>415000000</v>
      </c>
      <c r="N945">
        <v>0</v>
      </c>
      <c r="O945">
        <v>4.6822552999999996</v>
      </c>
      <c r="P945">
        <v>-74.082951699999995</v>
      </c>
      <c r="Q945" t="s">
        <v>1562</v>
      </c>
      <c r="R945">
        <v>5684931.5070000002</v>
      </c>
      <c r="S945">
        <v>0</v>
      </c>
      <c r="T945" t="s">
        <v>75</v>
      </c>
      <c r="U945" t="s">
        <v>76</v>
      </c>
      <c r="V945" t="s">
        <v>77</v>
      </c>
      <c r="W945" t="s">
        <v>78</v>
      </c>
      <c r="X945" t="s">
        <v>79</v>
      </c>
      <c r="Y945">
        <v>2.6505318113390399</v>
      </c>
      <c r="Z945">
        <v>2650.5318113390399</v>
      </c>
      <c r="AA945">
        <v>4.6584666666666701</v>
      </c>
      <c r="AB945">
        <v>-74.083966666666697</v>
      </c>
      <c r="AC945">
        <v>2552</v>
      </c>
      <c r="AD945">
        <v>0</v>
      </c>
      <c r="AE945" t="s">
        <v>80</v>
      </c>
      <c r="AF945" t="s">
        <v>81</v>
      </c>
      <c r="AG945" t="s">
        <v>82</v>
      </c>
      <c r="AH945" t="s">
        <v>83</v>
      </c>
      <c r="AI945" t="s">
        <v>412</v>
      </c>
      <c r="AJ945">
        <v>0.48939735970432102</v>
      </c>
      <c r="AK945">
        <v>4.6181055419764503</v>
      </c>
      <c r="AL945">
        <v>1.0126097567949801</v>
      </c>
      <c r="AM945">
        <v>0.15508394049447699</v>
      </c>
      <c r="AN945">
        <v>0.94088777044877203</v>
      </c>
      <c r="AO945">
        <v>0.22130053371990399</v>
      </c>
      <c r="AP945">
        <v>0.22130053371990399</v>
      </c>
      <c r="AQ945">
        <v>1</v>
      </c>
      <c r="AR945">
        <v>3</v>
      </c>
      <c r="AS945">
        <v>0</v>
      </c>
      <c r="AT945">
        <v>0</v>
      </c>
      <c r="AU945">
        <v>0</v>
      </c>
      <c r="AV945">
        <v>22</v>
      </c>
      <c r="AW945">
        <v>1</v>
      </c>
      <c r="AX945">
        <v>0</v>
      </c>
      <c r="AZ945">
        <v>6.8</v>
      </c>
      <c r="BA945">
        <v>19.899999999999999</v>
      </c>
      <c r="BB945">
        <v>564</v>
      </c>
      <c r="BC945">
        <v>68</v>
      </c>
      <c r="BD945">
        <v>1.5</v>
      </c>
      <c r="BE945">
        <v>135</v>
      </c>
      <c r="BF945">
        <v>0.8</v>
      </c>
      <c r="BG945">
        <v>162</v>
      </c>
      <c r="BH945">
        <v>9.1</v>
      </c>
      <c r="BI945">
        <v>9.1999999999999993</v>
      </c>
      <c r="BJ945">
        <v>18.3</v>
      </c>
      <c r="BK945">
        <v>0.34</v>
      </c>
      <c r="BL945">
        <v>7.3</v>
      </c>
      <c r="BM945">
        <v>0.9</v>
      </c>
      <c r="BN945">
        <v>7.5</v>
      </c>
      <c r="BO945">
        <v>2.9</v>
      </c>
      <c r="BP945">
        <f t="shared" si="28"/>
        <v>5.9638800688533351</v>
      </c>
      <c r="BQ945">
        <f t="shared" si="29"/>
        <v>18.673529163370667</v>
      </c>
    </row>
    <row r="946" spans="1:69" hidden="1" x14ac:dyDescent="0.2">
      <c r="A946" t="s">
        <v>1876</v>
      </c>
      <c r="B946" t="s">
        <v>68</v>
      </c>
      <c r="C946" t="s">
        <v>69</v>
      </c>
      <c r="D946" t="s">
        <v>70</v>
      </c>
      <c r="E946" t="s">
        <v>404</v>
      </c>
      <c r="F946">
        <v>5</v>
      </c>
      <c r="G946">
        <v>72.5</v>
      </c>
      <c r="H946">
        <v>2</v>
      </c>
      <c r="I946">
        <v>3</v>
      </c>
      <c r="J946">
        <v>1</v>
      </c>
      <c r="K946" t="s">
        <v>110</v>
      </c>
      <c r="L946" t="s">
        <v>111</v>
      </c>
      <c r="M946" s="4">
        <v>950000000</v>
      </c>
      <c r="N946">
        <v>0</v>
      </c>
      <c r="O946">
        <v>4.6722200000000003</v>
      </c>
      <c r="P946">
        <v>-74.058459999999997</v>
      </c>
      <c r="Q946" t="s">
        <v>1877</v>
      </c>
      <c r="R946">
        <v>13103448.279999999</v>
      </c>
      <c r="S946">
        <v>0</v>
      </c>
      <c r="T946" t="s">
        <v>75</v>
      </c>
      <c r="U946" t="s">
        <v>76</v>
      </c>
      <c r="V946" t="s">
        <v>77</v>
      </c>
      <c r="W946" t="s">
        <v>78</v>
      </c>
      <c r="X946" t="s">
        <v>79</v>
      </c>
      <c r="Y946">
        <v>3.2175766976093199</v>
      </c>
      <c r="Z946">
        <v>3217.57669760932</v>
      </c>
      <c r="AA946">
        <v>4.6584666666666701</v>
      </c>
      <c r="AB946">
        <v>-74.083966666666697</v>
      </c>
      <c r="AC946">
        <v>2552</v>
      </c>
      <c r="AD946">
        <v>0</v>
      </c>
      <c r="AE946" t="s">
        <v>80</v>
      </c>
      <c r="AF946" t="s">
        <v>81</v>
      </c>
      <c r="AG946" t="s">
        <v>82</v>
      </c>
      <c r="AH946" t="s">
        <v>83</v>
      </c>
      <c r="AI946" t="s">
        <v>130</v>
      </c>
      <c r="AJ946">
        <v>0.131643597682714</v>
      </c>
      <c r="AK946">
        <v>1.6939722140697699</v>
      </c>
      <c r="AL946">
        <v>0.48197045828672203</v>
      </c>
      <c r="AM946">
        <v>3.0024627063824801E-2</v>
      </c>
      <c r="AN946">
        <v>2.6008055145242501</v>
      </c>
      <c r="AO946">
        <v>0.76457944593916305</v>
      </c>
      <c r="AP946">
        <v>0.76457944593916305</v>
      </c>
      <c r="AQ946">
        <v>3</v>
      </c>
      <c r="AR946">
        <v>5</v>
      </c>
      <c r="AS946">
        <v>0</v>
      </c>
      <c r="AT946">
        <v>0</v>
      </c>
      <c r="AU946">
        <v>7</v>
      </c>
      <c r="AV946">
        <v>285</v>
      </c>
      <c r="AW946">
        <v>0</v>
      </c>
      <c r="AX946">
        <v>0</v>
      </c>
      <c r="AZ946">
        <v>6.8</v>
      </c>
      <c r="BA946">
        <v>19.899999999999999</v>
      </c>
      <c r="BB946">
        <v>564</v>
      </c>
      <c r="BC946">
        <v>68</v>
      </c>
      <c r="BD946">
        <v>1.5</v>
      </c>
      <c r="BE946">
        <v>135</v>
      </c>
      <c r="BF946">
        <v>0.8</v>
      </c>
      <c r="BG946">
        <v>162</v>
      </c>
      <c r="BH946">
        <v>9.1</v>
      </c>
      <c r="BI946">
        <v>9.1999999999999993</v>
      </c>
      <c r="BJ946">
        <v>18.3</v>
      </c>
      <c r="BK946">
        <v>0.34</v>
      </c>
      <c r="BL946">
        <v>7.3</v>
      </c>
      <c r="BM946">
        <v>0.9</v>
      </c>
      <c r="BN946">
        <v>7.5</v>
      </c>
      <c r="BO946">
        <v>2.9</v>
      </c>
      <c r="BP946">
        <f t="shared" si="28"/>
        <v>5.7988090812514503</v>
      </c>
      <c r="BQ946">
        <f t="shared" si="29"/>
        <v>18.421121078273554</v>
      </c>
    </row>
    <row r="947" spans="1:69" hidden="1" x14ac:dyDescent="0.2">
      <c r="A947" t="s">
        <v>1243</v>
      </c>
      <c r="B947" t="s">
        <v>68</v>
      </c>
      <c r="C947" t="s">
        <v>69</v>
      </c>
      <c r="D947" t="s">
        <v>70</v>
      </c>
      <c r="E947" t="s">
        <v>871</v>
      </c>
      <c r="F947">
        <v>4</v>
      </c>
      <c r="G947">
        <v>72</v>
      </c>
      <c r="H947">
        <v>2</v>
      </c>
      <c r="I947">
        <v>2</v>
      </c>
      <c r="J947">
        <v>1</v>
      </c>
      <c r="K947" t="s">
        <v>110</v>
      </c>
      <c r="L947" t="s">
        <v>124</v>
      </c>
      <c r="M947" s="4">
        <v>650000000</v>
      </c>
      <c r="N947">
        <v>0</v>
      </c>
      <c r="O947">
        <v>4.6453815000000001</v>
      </c>
      <c r="P947">
        <v>-74.054569999999998</v>
      </c>
      <c r="Q947" t="s">
        <v>1244</v>
      </c>
      <c r="R947">
        <v>9027777.7780000009</v>
      </c>
      <c r="S947">
        <v>0</v>
      </c>
      <c r="T947" t="s">
        <v>126</v>
      </c>
      <c r="U947" t="s">
        <v>127</v>
      </c>
      <c r="V947" t="s">
        <v>77</v>
      </c>
      <c r="W947" t="s">
        <v>128</v>
      </c>
      <c r="X947" t="s">
        <v>129</v>
      </c>
      <c r="Y947">
        <v>2.6079247661967</v>
      </c>
      <c r="Z947">
        <v>2607.9247661967001</v>
      </c>
      <c r="AA947">
        <v>4.6254861111111101</v>
      </c>
      <c r="AB947">
        <v>-74.066980555555503</v>
      </c>
      <c r="AC947">
        <v>2621</v>
      </c>
      <c r="AD947">
        <v>15</v>
      </c>
      <c r="AE947" t="s">
        <v>80</v>
      </c>
      <c r="AF947" t="s">
        <v>81</v>
      </c>
      <c r="AG947" t="s">
        <v>82</v>
      </c>
      <c r="AH947" t="s">
        <v>83</v>
      </c>
      <c r="AI947" t="s">
        <v>130</v>
      </c>
      <c r="AJ947">
        <v>1.1900254935486501</v>
      </c>
      <c r="AK947">
        <v>0.18073939434901601</v>
      </c>
      <c r="AL947">
        <v>0.515875605691962</v>
      </c>
      <c r="AM947">
        <v>0.36148348053068802</v>
      </c>
      <c r="AN947">
        <v>0.59407520515214296</v>
      </c>
      <c r="AO947">
        <v>0.30674781715689198</v>
      </c>
      <c r="AP947">
        <v>0.30674781715689198</v>
      </c>
      <c r="AQ947">
        <v>0</v>
      </c>
      <c r="AR947">
        <v>0</v>
      </c>
      <c r="AS947">
        <v>17</v>
      </c>
      <c r="AT947">
        <v>59</v>
      </c>
      <c r="AU947">
        <v>5</v>
      </c>
      <c r="AV947">
        <v>28</v>
      </c>
      <c r="AW947">
        <v>1</v>
      </c>
      <c r="AX947">
        <v>0</v>
      </c>
      <c r="AZ947">
        <v>6.8</v>
      </c>
      <c r="BA947">
        <v>19.899999999999999</v>
      </c>
      <c r="BB947">
        <v>564</v>
      </c>
      <c r="BC947">
        <v>68</v>
      </c>
      <c r="BD947">
        <v>1.5</v>
      </c>
      <c r="BE947">
        <v>135</v>
      </c>
      <c r="BF947">
        <v>0.8</v>
      </c>
      <c r="BG947">
        <v>162</v>
      </c>
      <c r="BH947">
        <v>9.1</v>
      </c>
      <c r="BI947">
        <v>9.1999999999999993</v>
      </c>
      <c r="BJ947">
        <v>18.3</v>
      </c>
      <c r="BK947">
        <v>0.34</v>
      </c>
      <c r="BL947">
        <v>7.3</v>
      </c>
      <c r="BM947">
        <v>0.9</v>
      </c>
      <c r="BN947">
        <v>7.5</v>
      </c>
      <c r="BO947">
        <v>2.9</v>
      </c>
      <c r="BP947">
        <f t="shared" si="28"/>
        <v>5.9764714558226126</v>
      </c>
      <c r="BQ947">
        <f t="shared" si="29"/>
        <v>18.692633903264845</v>
      </c>
    </row>
    <row r="948" spans="1:69" hidden="1" x14ac:dyDescent="0.2">
      <c r="A948" t="s">
        <v>2592</v>
      </c>
      <c r="B948" t="s">
        <v>68</v>
      </c>
      <c r="C948" t="s">
        <v>1956</v>
      </c>
      <c r="D948" t="s">
        <v>70</v>
      </c>
      <c r="E948" t="s">
        <v>574</v>
      </c>
      <c r="F948">
        <v>4</v>
      </c>
      <c r="G948">
        <v>72</v>
      </c>
      <c r="H948">
        <v>4</v>
      </c>
      <c r="I948">
        <v>2</v>
      </c>
      <c r="J948">
        <v>0</v>
      </c>
      <c r="K948" t="s">
        <v>110</v>
      </c>
      <c r="L948" t="s">
        <v>162</v>
      </c>
      <c r="M948" s="4">
        <v>360000000</v>
      </c>
      <c r="N948">
        <v>0</v>
      </c>
      <c r="O948">
        <v>4.6969614030000004</v>
      </c>
      <c r="P948">
        <v>-74.072250370000006</v>
      </c>
      <c r="Q948" t="s">
        <v>2593</v>
      </c>
      <c r="R948">
        <v>5000000</v>
      </c>
      <c r="S948">
        <v>0</v>
      </c>
      <c r="T948" t="s">
        <v>75</v>
      </c>
      <c r="U948" t="s">
        <v>76</v>
      </c>
      <c r="V948" t="s">
        <v>77</v>
      </c>
      <c r="W948" t="s">
        <v>78</v>
      </c>
      <c r="X948" t="s">
        <v>79</v>
      </c>
      <c r="Y948">
        <v>4.4780379047900496</v>
      </c>
      <c r="Z948">
        <v>4478.0379047900497</v>
      </c>
      <c r="AA948">
        <v>4.6584666666666701</v>
      </c>
      <c r="AB948">
        <v>-74.083966666666697</v>
      </c>
      <c r="AC948">
        <v>2552</v>
      </c>
      <c r="AD948">
        <v>0</v>
      </c>
      <c r="AE948" t="s">
        <v>80</v>
      </c>
      <c r="AF948" t="s">
        <v>81</v>
      </c>
      <c r="AG948" t="s">
        <v>82</v>
      </c>
      <c r="AH948" t="s">
        <v>83</v>
      </c>
      <c r="AI948" t="s">
        <v>121</v>
      </c>
      <c r="AJ948">
        <v>0.36696786734161901</v>
      </c>
      <c r="AK948">
        <v>4.4298788833548102</v>
      </c>
      <c r="AL948">
        <v>0.30782626509969502</v>
      </c>
      <c r="AM948">
        <v>2.0311411900921301E-2</v>
      </c>
      <c r="AN948">
        <v>2.7714044552547801</v>
      </c>
      <c r="AO948">
        <v>0.23543906786919799</v>
      </c>
      <c r="AP948">
        <v>0.23543906786919799</v>
      </c>
      <c r="AQ948">
        <v>1</v>
      </c>
      <c r="AR948">
        <v>2</v>
      </c>
      <c r="AS948">
        <v>0</v>
      </c>
      <c r="AT948">
        <v>0</v>
      </c>
      <c r="AU948">
        <v>1</v>
      </c>
      <c r="AV948">
        <v>47</v>
      </c>
      <c r="AW948">
        <v>0</v>
      </c>
      <c r="AX948">
        <v>0</v>
      </c>
      <c r="AZ948">
        <v>6.8</v>
      </c>
      <c r="BA948">
        <v>19.899999999999999</v>
      </c>
      <c r="BB948">
        <v>564</v>
      </c>
      <c r="BC948">
        <v>68</v>
      </c>
      <c r="BD948">
        <v>1.5</v>
      </c>
      <c r="BE948">
        <v>135</v>
      </c>
      <c r="BF948">
        <v>0.8</v>
      </c>
      <c r="BG948">
        <v>162</v>
      </c>
      <c r="BH948">
        <v>9.1</v>
      </c>
      <c r="BI948">
        <v>9.1999999999999993</v>
      </c>
      <c r="BJ948">
        <v>18.3</v>
      </c>
      <c r="BK948">
        <v>0.34</v>
      </c>
      <c r="BL948">
        <v>7.3</v>
      </c>
      <c r="BM948">
        <v>0.9</v>
      </c>
      <c r="BN948">
        <v>7.5</v>
      </c>
      <c r="BO948">
        <v>2.9</v>
      </c>
      <c r="BP948">
        <f t="shared" si="28"/>
        <v>5.4480608384157918</v>
      </c>
      <c r="BQ948">
        <f t="shared" si="29"/>
        <v>17.872206953393611</v>
      </c>
    </row>
    <row r="949" spans="1:69" hidden="1" x14ac:dyDescent="0.2">
      <c r="A949" t="s">
        <v>4622</v>
      </c>
      <c r="B949" t="s">
        <v>68</v>
      </c>
      <c r="C949" t="s">
        <v>3294</v>
      </c>
      <c r="D949" t="s">
        <v>70</v>
      </c>
      <c r="E949" t="s">
        <v>509</v>
      </c>
      <c r="F949">
        <v>4</v>
      </c>
      <c r="G949">
        <v>71</v>
      </c>
      <c r="H949">
        <v>2</v>
      </c>
      <c r="I949">
        <v>2</v>
      </c>
      <c r="J949">
        <v>1</v>
      </c>
      <c r="K949" t="s">
        <v>110</v>
      </c>
      <c r="L949" t="s">
        <v>133</v>
      </c>
      <c r="M949" s="4">
        <v>670000000</v>
      </c>
      <c r="N949">
        <v>0</v>
      </c>
      <c r="O949">
        <v>4.6436562539999997</v>
      </c>
      <c r="P949">
        <v>-74.059463500000007</v>
      </c>
      <c r="Q949" t="s">
        <v>4623</v>
      </c>
      <c r="R949">
        <v>9436619.7180000003</v>
      </c>
      <c r="S949">
        <v>0</v>
      </c>
      <c r="T949" t="s">
        <v>126</v>
      </c>
      <c r="U949" t="s">
        <v>127</v>
      </c>
      <c r="V949" t="s">
        <v>77</v>
      </c>
      <c r="W949" t="s">
        <v>128</v>
      </c>
      <c r="X949" t="s">
        <v>129</v>
      </c>
      <c r="Y949">
        <v>2.1879060917266102</v>
      </c>
      <c r="Z949">
        <v>2187.9060917266102</v>
      </c>
      <c r="AA949">
        <v>4.6254861111111101</v>
      </c>
      <c r="AB949">
        <v>-74.066980555555503</v>
      </c>
      <c r="AC949">
        <v>2621</v>
      </c>
      <c r="AD949">
        <v>15</v>
      </c>
      <c r="AE949" t="s">
        <v>80</v>
      </c>
      <c r="AF949" t="s">
        <v>81</v>
      </c>
      <c r="AG949" t="s">
        <v>82</v>
      </c>
      <c r="AH949" t="s">
        <v>83</v>
      </c>
      <c r="AI949" t="s">
        <v>130</v>
      </c>
      <c r="AJ949">
        <v>0.709695052351346</v>
      </c>
      <c r="AK949">
        <v>0.36430962975589798</v>
      </c>
      <c r="AL949">
        <v>0.13612221989653001</v>
      </c>
      <c r="AM949">
        <v>0.19952011970306899</v>
      </c>
      <c r="AN949">
        <v>0.25527270194763402</v>
      </c>
      <c r="AO949">
        <v>1.0157267886810701E-2</v>
      </c>
      <c r="AP949">
        <v>1.0157267886810701E-2</v>
      </c>
      <c r="AQ949">
        <v>0</v>
      </c>
      <c r="AR949">
        <v>2</v>
      </c>
      <c r="AS949">
        <v>7</v>
      </c>
      <c r="AT949">
        <v>42</v>
      </c>
      <c r="AU949">
        <v>9</v>
      </c>
      <c r="AV949">
        <v>86</v>
      </c>
      <c r="AW949">
        <v>1</v>
      </c>
      <c r="AX949">
        <v>0</v>
      </c>
      <c r="AZ949">
        <v>6.8</v>
      </c>
      <c r="BA949">
        <v>19.899999999999999</v>
      </c>
      <c r="BB949">
        <v>564</v>
      </c>
      <c r="BC949">
        <v>68</v>
      </c>
      <c r="BD949">
        <v>1.5</v>
      </c>
      <c r="BE949">
        <v>135</v>
      </c>
      <c r="BF949">
        <v>0.8</v>
      </c>
      <c r="BG949">
        <v>162</v>
      </c>
      <c r="BH949">
        <v>9.1</v>
      </c>
      <c r="BI949">
        <v>9.1999999999999993</v>
      </c>
      <c r="BJ949">
        <v>18.3</v>
      </c>
      <c r="BK949">
        <v>0.34</v>
      </c>
      <c r="BL949">
        <v>7.3</v>
      </c>
      <c r="BM949">
        <v>0.9</v>
      </c>
      <c r="BN949">
        <v>7.5</v>
      </c>
      <c r="BO949">
        <v>2.9</v>
      </c>
      <c r="BP949">
        <f t="shared" si="28"/>
        <v>6.1020285229327644</v>
      </c>
      <c r="BQ949">
        <f t="shared" si="29"/>
        <v>18.882016960172791</v>
      </c>
    </row>
    <row r="950" spans="1:69" hidden="1" x14ac:dyDescent="0.2">
      <c r="A950" t="s">
        <v>2362</v>
      </c>
      <c r="B950" t="s">
        <v>68</v>
      </c>
      <c r="C950" t="s">
        <v>1956</v>
      </c>
      <c r="D950" t="s">
        <v>70</v>
      </c>
      <c r="E950" t="s">
        <v>2363</v>
      </c>
      <c r="F950">
        <v>3</v>
      </c>
      <c r="G950">
        <v>71</v>
      </c>
      <c r="H950">
        <v>3</v>
      </c>
      <c r="I950">
        <v>2</v>
      </c>
      <c r="J950">
        <v>1</v>
      </c>
      <c r="K950" t="s">
        <v>110</v>
      </c>
      <c r="L950" t="s">
        <v>162</v>
      </c>
      <c r="M950" s="4">
        <v>420000000</v>
      </c>
      <c r="N950">
        <v>0</v>
      </c>
      <c r="O950">
        <v>4.7205548290000001</v>
      </c>
      <c r="P950">
        <v>-74.109725949999998</v>
      </c>
      <c r="Q950" t="s">
        <v>2364</v>
      </c>
      <c r="R950">
        <v>5915492.9579999996</v>
      </c>
      <c r="S950">
        <v>0</v>
      </c>
      <c r="T950" t="s">
        <v>419</v>
      </c>
      <c r="U950" t="s">
        <v>420</v>
      </c>
      <c r="V950" t="s">
        <v>77</v>
      </c>
      <c r="W950" t="s">
        <v>78</v>
      </c>
      <c r="X950" t="s">
        <v>421</v>
      </c>
      <c r="Y950">
        <v>2.4693118600812198</v>
      </c>
      <c r="Z950">
        <v>2469.3118600812199</v>
      </c>
      <c r="AA950">
        <v>4.7358055555555598</v>
      </c>
      <c r="AB950">
        <v>-74.125888888888895</v>
      </c>
      <c r="AC950">
        <v>2574</v>
      </c>
      <c r="AD950">
        <v>0</v>
      </c>
      <c r="AE950" t="s">
        <v>154</v>
      </c>
      <c r="AF950" t="s">
        <v>107</v>
      </c>
      <c r="AG950" t="s">
        <v>82</v>
      </c>
      <c r="AH950" t="s">
        <v>83</v>
      </c>
      <c r="AI950" t="s">
        <v>412</v>
      </c>
      <c r="AJ950">
        <v>1.18845442309728</v>
      </c>
      <c r="AK950">
        <v>1.8530272504376399</v>
      </c>
      <c r="AL950">
        <v>3.05440428605479</v>
      </c>
      <c r="AM950">
        <v>0.30645189036607401</v>
      </c>
      <c r="AN950">
        <v>3.4648453485521</v>
      </c>
      <c r="AO950">
        <v>0.142949188471614</v>
      </c>
      <c r="AP950">
        <v>0.142949188471614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8</v>
      </c>
      <c r="AW950">
        <v>0</v>
      </c>
      <c r="AX950">
        <v>0</v>
      </c>
      <c r="AZ950">
        <v>6.8</v>
      </c>
      <c r="BA950">
        <v>19.899999999999999</v>
      </c>
      <c r="BB950">
        <v>564</v>
      </c>
      <c r="BC950">
        <v>68</v>
      </c>
      <c r="BD950">
        <v>1.5</v>
      </c>
      <c r="BE950">
        <v>135</v>
      </c>
      <c r="BF950">
        <v>0.8</v>
      </c>
      <c r="BG950">
        <v>162</v>
      </c>
      <c r="BH950">
        <v>9.1</v>
      </c>
      <c r="BI950">
        <v>9.1999999999999993</v>
      </c>
      <c r="BJ950">
        <v>18.3</v>
      </c>
      <c r="BK950">
        <v>0.34</v>
      </c>
      <c r="BL950">
        <v>7.3</v>
      </c>
      <c r="BM950">
        <v>0.9</v>
      </c>
      <c r="BN950">
        <v>7.5</v>
      </c>
      <c r="BO950">
        <v>2.9</v>
      </c>
      <c r="BP950">
        <f t="shared" si="28"/>
        <v>6.017619054002985</v>
      </c>
      <c r="BQ950">
        <f t="shared" si="29"/>
        <v>18.754922421127848</v>
      </c>
    </row>
    <row r="951" spans="1:69" hidden="1" x14ac:dyDescent="0.2">
      <c r="A951" t="s">
        <v>1176</v>
      </c>
      <c r="B951" t="s">
        <v>68</v>
      </c>
      <c r="C951" t="s">
        <v>69</v>
      </c>
      <c r="D951" t="s">
        <v>70</v>
      </c>
      <c r="E951" t="s">
        <v>627</v>
      </c>
      <c r="F951">
        <v>3</v>
      </c>
      <c r="G951">
        <v>70</v>
      </c>
      <c r="H951">
        <v>3</v>
      </c>
      <c r="I951">
        <v>2</v>
      </c>
      <c r="J951">
        <v>1</v>
      </c>
      <c r="K951" t="s">
        <v>110</v>
      </c>
      <c r="L951" t="s">
        <v>124</v>
      </c>
      <c r="M951" s="4">
        <v>371000000</v>
      </c>
      <c r="N951">
        <v>0</v>
      </c>
      <c r="O951">
        <v>4.7211960880000001</v>
      </c>
      <c r="P951">
        <v>-74.127755339999993</v>
      </c>
      <c r="Q951" t="s">
        <v>1177</v>
      </c>
      <c r="R951">
        <v>5300000</v>
      </c>
      <c r="S951">
        <v>0</v>
      </c>
      <c r="T951" t="s">
        <v>419</v>
      </c>
      <c r="U951" t="s">
        <v>420</v>
      </c>
      <c r="V951" t="s">
        <v>77</v>
      </c>
      <c r="W951" t="s">
        <v>78</v>
      </c>
      <c r="X951" t="s">
        <v>421</v>
      </c>
      <c r="Y951">
        <v>1.63944741882205</v>
      </c>
      <c r="Z951">
        <v>1639.4474188220499</v>
      </c>
      <c r="AA951">
        <v>4.7358055555555598</v>
      </c>
      <c r="AB951">
        <v>-74.125888888888895</v>
      </c>
      <c r="AC951">
        <v>2574</v>
      </c>
      <c r="AD951">
        <v>0</v>
      </c>
      <c r="AE951" t="s">
        <v>154</v>
      </c>
      <c r="AF951" t="s">
        <v>107</v>
      </c>
      <c r="AG951" t="s">
        <v>82</v>
      </c>
      <c r="AH951" t="s">
        <v>83</v>
      </c>
      <c r="AI951" t="s">
        <v>412</v>
      </c>
      <c r="AJ951">
        <v>2.2881788597796899</v>
      </c>
      <c r="AK951">
        <v>0.291459484742629</v>
      </c>
      <c r="AL951">
        <v>3.8607202801896299</v>
      </c>
      <c r="AM951">
        <v>0.52865713452762098</v>
      </c>
      <c r="AN951">
        <v>3.29272658206395</v>
      </c>
      <c r="AO951">
        <v>9.9213088528096599E-2</v>
      </c>
      <c r="AP951">
        <v>9.9213088528096599E-2</v>
      </c>
      <c r="AQ951">
        <v>0</v>
      </c>
      <c r="AR951">
        <v>0</v>
      </c>
      <c r="AS951">
        <v>3</v>
      </c>
      <c r="AT951">
        <v>12</v>
      </c>
      <c r="AU951">
        <v>0</v>
      </c>
      <c r="AV951">
        <v>4</v>
      </c>
      <c r="AW951">
        <v>0</v>
      </c>
      <c r="AX951">
        <v>0</v>
      </c>
      <c r="AZ951">
        <v>6.8</v>
      </c>
      <c r="BA951">
        <v>19.899999999999999</v>
      </c>
      <c r="BB951">
        <v>564</v>
      </c>
      <c r="BC951">
        <v>68</v>
      </c>
      <c r="BD951">
        <v>1.5</v>
      </c>
      <c r="BE951">
        <v>135</v>
      </c>
      <c r="BF951">
        <v>0.8</v>
      </c>
      <c r="BG951">
        <v>162</v>
      </c>
      <c r="BH951">
        <v>9.1</v>
      </c>
      <c r="BI951">
        <v>9.1999999999999993</v>
      </c>
      <c r="BJ951">
        <v>18.3</v>
      </c>
      <c r="BK951">
        <v>0.34</v>
      </c>
      <c r="BL951">
        <v>7.3</v>
      </c>
      <c r="BM951">
        <v>0.9</v>
      </c>
      <c r="BN951">
        <v>7.5</v>
      </c>
      <c r="BO951">
        <v>2.9</v>
      </c>
      <c r="BP951">
        <f t="shared" si="28"/>
        <v>6.2699599367437333</v>
      </c>
      <c r="BQ951">
        <f t="shared" si="29"/>
        <v>19.132204098598926</v>
      </c>
    </row>
    <row r="952" spans="1:69" hidden="1" x14ac:dyDescent="0.2">
      <c r="A952" t="s">
        <v>1064</v>
      </c>
      <c r="B952" t="s">
        <v>68</v>
      </c>
      <c r="C952" t="s">
        <v>69</v>
      </c>
      <c r="D952" t="s">
        <v>70</v>
      </c>
      <c r="E952" t="s">
        <v>293</v>
      </c>
      <c r="F952">
        <v>4</v>
      </c>
      <c r="G952">
        <v>69</v>
      </c>
      <c r="H952">
        <v>2</v>
      </c>
      <c r="I952">
        <v>2</v>
      </c>
      <c r="J952">
        <v>1</v>
      </c>
      <c r="K952" t="s">
        <v>110</v>
      </c>
      <c r="L952" t="s">
        <v>124</v>
      </c>
      <c r="M952" s="4">
        <v>620000000</v>
      </c>
      <c r="N952">
        <v>0</v>
      </c>
      <c r="O952">
        <v>4.6104202269999996</v>
      </c>
      <c r="P952">
        <v>-74.065856929999995</v>
      </c>
      <c r="Q952" t="s">
        <v>1065</v>
      </c>
      <c r="R952">
        <v>8985507.2459999993</v>
      </c>
      <c r="S952">
        <v>0</v>
      </c>
      <c r="T952" t="s">
        <v>126</v>
      </c>
      <c r="U952" t="s">
        <v>127</v>
      </c>
      <c r="V952" t="s">
        <v>77</v>
      </c>
      <c r="W952" t="s">
        <v>128</v>
      </c>
      <c r="X952" t="s">
        <v>129</v>
      </c>
      <c r="Y952">
        <v>1.6817542642026</v>
      </c>
      <c r="Z952">
        <v>1681.7542642026001</v>
      </c>
      <c r="AA952">
        <v>4.6254861111111101</v>
      </c>
      <c r="AB952">
        <v>-74.066980555555503</v>
      </c>
      <c r="AC952">
        <v>2621</v>
      </c>
      <c r="AD952">
        <v>15</v>
      </c>
      <c r="AE952" t="s">
        <v>80</v>
      </c>
      <c r="AF952" t="s">
        <v>81</v>
      </c>
      <c r="AG952" t="s">
        <v>82</v>
      </c>
      <c r="AH952" t="s">
        <v>83</v>
      </c>
      <c r="AI952" t="s">
        <v>138</v>
      </c>
      <c r="AJ952">
        <v>0.62801418715329704</v>
      </c>
      <c r="AK952">
        <v>0.19948634837988599</v>
      </c>
      <c r="AL952">
        <v>0.44482141246307599</v>
      </c>
      <c r="AM952">
        <v>0.54084034340481801</v>
      </c>
      <c r="AN952">
        <v>0.54032915791089098</v>
      </c>
      <c r="AO952">
        <v>0.174131386851333</v>
      </c>
      <c r="AP952">
        <v>0.174131386851333</v>
      </c>
      <c r="AQ952">
        <v>0</v>
      </c>
      <c r="AR952">
        <v>5</v>
      </c>
      <c r="AS952">
        <v>18</v>
      </c>
      <c r="AT952">
        <v>29</v>
      </c>
      <c r="AU952">
        <v>8</v>
      </c>
      <c r="AV952">
        <v>39</v>
      </c>
      <c r="AW952">
        <v>1</v>
      </c>
      <c r="AX952">
        <v>4</v>
      </c>
      <c r="AZ952">
        <v>6.8</v>
      </c>
      <c r="BA952">
        <v>19.899999999999999</v>
      </c>
      <c r="BB952">
        <v>564</v>
      </c>
      <c r="BC952">
        <v>68</v>
      </c>
      <c r="BD952">
        <v>1.5</v>
      </c>
      <c r="BE952">
        <v>135</v>
      </c>
      <c r="BF952">
        <v>0.8</v>
      </c>
      <c r="BG952">
        <v>162</v>
      </c>
      <c r="BH952">
        <v>9.1</v>
      </c>
      <c r="BI952">
        <v>9.1999999999999993</v>
      </c>
      <c r="BJ952">
        <v>18.3</v>
      </c>
      <c r="BK952">
        <v>0.34</v>
      </c>
      <c r="BL952">
        <v>7.3</v>
      </c>
      <c r="BM952">
        <v>0.9</v>
      </c>
      <c r="BN952">
        <v>7.5</v>
      </c>
      <c r="BO952">
        <v>2.9</v>
      </c>
      <c r="BP952">
        <f t="shared" si="28"/>
        <v>6.256843195837237</v>
      </c>
      <c r="BQ952">
        <f t="shared" si="29"/>
        <v>19.112787800760653</v>
      </c>
    </row>
    <row r="953" spans="1:69" hidden="1" x14ac:dyDescent="0.2">
      <c r="A953" t="s">
        <v>1541</v>
      </c>
      <c r="B953" t="s">
        <v>68</v>
      </c>
      <c r="C953" t="s">
        <v>69</v>
      </c>
      <c r="D953" t="s">
        <v>70</v>
      </c>
      <c r="E953" t="s">
        <v>1542</v>
      </c>
      <c r="F953">
        <v>4</v>
      </c>
      <c r="G953">
        <v>69</v>
      </c>
      <c r="H953">
        <v>3</v>
      </c>
      <c r="I953">
        <v>2</v>
      </c>
      <c r="J953">
        <v>1</v>
      </c>
      <c r="K953" t="s">
        <v>110</v>
      </c>
      <c r="L953" t="s">
        <v>124</v>
      </c>
      <c r="M953" s="4">
        <v>576000000</v>
      </c>
      <c r="N953">
        <v>0</v>
      </c>
      <c r="O953">
        <v>4.6637058260000002</v>
      </c>
      <c r="P953">
        <v>-74.114639280000006</v>
      </c>
      <c r="Q953" t="s">
        <v>1543</v>
      </c>
      <c r="R953">
        <v>8347826.0870000003</v>
      </c>
      <c r="S953">
        <v>0</v>
      </c>
      <c r="T953" t="s">
        <v>75</v>
      </c>
      <c r="U953" t="s">
        <v>76</v>
      </c>
      <c r="V953" t="s">
        <v>77</v>
      </c>
      <c r="W953" t="s">
        <v>78</v>
      </c>
      <c r="X953" t="s">
        <v>79</v>
      </c>
      <c r="Y953">
        <v>3.4527807197706299</v>
      </c>
      <c r="Z953">
        <v>3452.7807197706302</v>
      </c>
      <c r="AA953">
        <v>4.6584666666666701</v>
      </c>
      <c r="AB953">
        <v>-74.083966666666697</v>
      </c>
      <c r="AC953">
        <v>2552</v>
      </c>
      <c r="AD953">
        <v>0</v>
      </c>
      <c r="AE953" t="s">
        <v>80</v>
      </c>
      <c r="AF953" t="s">
        <v>81</v>
      </c>
      <c r="AG953" t="s">
        <v>82</v>
      </c>
      <c r="AH953" t="s">
        <v>83</v>
      </c>
      <c r="AI953" t="s">
        <v>92</v>
      </c>
      <c r="AJ953">
        <v>0.60511122235090697</v>
      </c>
      <c r="AK953">
        <v>4.7612256148951602</v>
      </c>
      <c r="AL953">
        <v>1.0854889550048099</v>
      </c>
      <c r="AM953">
        <v>0.23833144413754601</v>
      </c>
      <c r="AN953">
        <v>1.38977875077462</v>
      </c>
      <c r="AO953">
        <v>0.57989962272646001</v>
      </c>
      <c r="AP953">
        <v>0.57989962272646001</v>
      </c>
      <c r="AQ953">
        <v>0</v>
      </c>
      <c r="AR953">
        <v>2</v>
      </c>
      <c r="AS953">
        <v>0</v>
      </c>
      <c r="AT953">
        <v>0</v>
      </c>
      <c r="AU953">
        <v>0</v>
      </c>
      <c r="AV953">
        <v>34</v>
      </c>
      <c r="AW953">
        <v>0</v>
      </c>
      <c r="AX953">
        <v>0</v>
      </c>
      <c r="AZ953">
        <v>6.8</v>
      </c>
      <c r="BA953">
        <v>19.899999999999999</v>
      </c>
      <c r="BB953">
        <v>564</v>
      </c>
      <c r="BC953">
        <v>68</v>
      </c>
      <c r="BD953">
        <v>1.5</v>
      </c>
      <c r="BE953">
        <v>135</v>
      </c>
      <c r="BF953">
        <v>0.8</v>
      </c>
      <c r="BG953">
        <v>162</v>
      </c>
      <c r="BH953">
        <v>9.1</v>
      </c>
      <c r="BI953">
        <v>9.1999999999999993</v>
      </c>
      <c r="BJ953">
        <v>18.3</v>
      </c>
      <c r="BK953">
        <v>0.34</v>
      </c>
      <c r="BL953">
        <v>7.3</v>
      </c>
      <c r="BM953">
        <v>0.9</v>
      </c>
      <c r="BN953">
        <v>7.5</v>
      </c>
      <c r="BO953">
        <v>2.9</v>
      </c>
      <c r="BP953">
        <f t="shared" si="28"/>
        <v>5.7316873656856382</v>
      </c>
      <c r="BQ953">
        <f t="shared" si="29"/>
        <v>18.317428697510991</v>
      </c>
    </row>
    <row r="954" spans="1:69" hidden="1" x14ac:dyDescent="0.2">
      <c r="A954" t="s">
        <v>1235</v>
      </c>
      <c r="B954" t="s">
        <v>68</v>
      </c>
      <c r="C954" t="s">
        <v>69</v>
      </c>
      <c r="D954" t="s">
        <v>70</v>
      </c>
      <c r="E954" t="s">
        <v>1236</v>
      </c>
      <c r="F954">
        <v>3</v>
      </c>
      <c r="G954">
        <v>69</v>
      </c>
      <c r="H954">
        <v>2</v>
      </c>
      <c r="I954">
        <v>2</v>
      </c>
      <c r="J954">
        <v>1</v>
      </c>
      <c r="K954" t="s">
        <v>110</v>
      </c>
      <c r="L954" t="s">
        <v>162</v>
      </c>
      <c r="M954" s="4">
        <v>420000000</v>
      </c>
      <c r="N954">
        <v>0</v>
      </c>
      <c r="O954">
        <v>4.7181997000000004</v>
      </c>
      <c r="P954">
        <v>-74.110939999999999</v>
      </c>
      <c r="Q954" t="s">
        <v>1237</v>
      </c>
      <c r="R954">
        <v>6086956.5219999999</v>
      </c>
      <c r="S954">
        <v>0</v>
      </c>
      <c r="T954" t="s">
        <v>419</v>
      </c>
      <c r="U954" t="s">
        <v>420</v>
      </c>
      <c r="V954" t="s">
        <v>77</v>
      </c>
      <c r="W954" t="s">
        <v>78</v>
      </c>
      <c r="X954" t="s">
        <v>421</v>
      </c>
      <c r="Y954">
        <v>2.56739967591017</v>
      </c>
      <c r="Z954">
        <v>2567.3996759101701</v>
      </c>
      <c r="AA954">
        <v>4.7358055555555598</v>
      </c>
      <c r="AB954">
        <v>-74.125888888888895</v>
      </c>
      <c r="AC954">
        <v>2574</v>
      </c>
      <c r="AD954">
        <v>0</v>
      </c>
      <c r="AE954" t="s">
        <v>154</v>
      </c>
      <c r="AF954" t="s">
        <v>107</v>
      </c>
      <c r="AG954" t="s">
        <v>82</v>
      </c>
      <c r="AH954" t="s">
        <v>83</v>
      </c>
      <c r="AI954" t="s">
        <v>412</v>
      </c>
      <c r="AJ954">
        <v>0.92627547817294897</v>
      </c>
      <c r="AK954">
        <v>1.8259885404400999</v>
      </c>
      <c r="AL954">
        <v>2.8616503331080501</v>
      </c>
      <c r="AM954">
        <v>0.45873349425972598</v>
      </c>
      <c r="AN954">
        <v>3.2472067318335398</v>
      </c>
      <c r="AO954">
        <v>9.1211450143914394E-2</v>
      </c>
      <c r="AP954">
        <v>9.1211450143914394E-2</v>
      </c>
      <c r="AQ954">
        <v>0</v>
      </c>
      <c r="AR954">
        <v>1</v>
      </c>
      <c r="AS954">
        <v>0</v>
      </c>
      <c r="AT954">
        <v>0</v>
      </c>
      <c r="AU954">
        <v>0</v>
      </c>
      <c r="AV954">
        <v>15</v>
      </c>
      <c r="AW954">
        <v>0</v>
      </c>
      <c r="AX954">
        <v>0</v>
      </c>
      <c r="AZ954">
        <v>6.8</v>
      </c>
      <c r="BA954">
        <v>19.899999999999999</v>
      </c>
      <c r="BB954">
        <v>564</v>
      </c>
      <c r="BC954">
        <v>68</v>
      </c>
      <c r="BD954">
        <v>1.5</v>
      </c>
      <c r="BE954">
        <v>135</v>
      </c>
      <c r="BF954">
        <v>0.8</v>
      </c>
      <c r="BG954">
        <v>162</v>
      </c>
      <c r="BH954">
        <v>9.1</v>
      </c>
      <c r="BI954">
        <v>9.1999999999999993</v>
      </c>
      <c r="BJ954">
        <v>18.3</v>
      </c>
      <c r="BK954">
        <v>0.34</v>
      </c>
      <c r="BL954">
        <v>7.3</v>
      </c>
      <c r="BM954">
        <v>0.9</v>
      </c>
      <c r="BN954">
        <v>7.5</v>
      </c>
      <c r="BO954">
        <v>2.9</v>
      </c>
      <c r="BP954">
        <f t="shared" si="28"/>
        <v>5.9884722422834109</v>
      </c>
      <c r="BQ954">
        <f t="shared" si="29"/>
        <v>18.710823243565834</v>
      </c>
    </row>
    <row r="955" spans="1:69" hidden="1" x14ac:dyDescent="0.2">
      <c r="A955" t="s">
        <v>915</v>
      </c>
      <c r="B955" t="s">
        <v>68</v>
      </c>
      <c r="C955" t="s">
        <v>69</v>
      </c>
      <c r="D955" t="s">
        <v>70</v>
      </c>
      <c r="E955" t="s">
        <v>916</v>
      </c>
      <c r="F955">
        <v>2</v>
      </c>
      <c r="G955">
        <v>67</v>
      </c>
      <c r="H955">
        <v>3</v>
      </c>
      <c r="I955">
        <v>2</v>
      </c>
      <c r="J955">
        <v>2</v>
      </c>
      <c r="K955" t="s">
        <v>110</v>
      </c>
      <c r="L955" t="s">
        <v>162</v>
      </c>
      <c r="M955" s="4">
        <v>520000000</v>
      </c>
      <c r="N955">
        <v>0</v>
      </c>
      <c r="O955">
        <v>4.6468658449999998</v>
      </c>
      <c r="P955">
        <v>-74.055305480000001</v>
      </c>
      <c r="Q955" t="s">
        <v>917</v>
      </c>
      <c r="R955">
        <v>7761194.0300000003</v>
      </c>
      <c r="S955">
        <v>0</v>
      </c>
      <c r="T955" t="s">
        <v>126</v>
      </c>
      <c r="U955" t="s">
        <v>127</v>
      </c>
      <c r="V955" t="s">
        <v>77</v>
      </c>
      <c r="W955" t="s">
        <v>128</v>
      </c>
      <c r="X955" t="s">
        <v>129</v>
      </c>
      <c r="Y955">
        <v>2.7096862707671199</v>
      </c>
      <c r="Z955">
        <v>2709.6862707671198</v>
      </c>
      <c r="AA955">
        <v>4.6254861111111101</v>
      </c>
      <c r="AB955">
        <v>-74.066980555555503</v>
      </c>
      <c r="AC955">
        <v>2621</v>
      </c>
      <c r="AD955">
        <v>15</v>
      </c>
      <c r="AE955" t="s">
        <v>80</v>
      </c>
      <c r="AF955" t="s">
        <v>81</v>
      </c>
      <c r="AG955" t="s">
        <v>82</v>
      </c>
      <c r="AH955" t="s">
        <v>83</v>
      </c>
      <c r="AI955" t="s">
        <v>130</v>
      </c>
      <c r="AJ955">
        <v>1.0741663322871999</v>
      </c>
      <c r="AK955">
        <v>0.334574970856028</v>
      </c>
      <c r="AL955">
        <v>0.34258546635895998</v>
      </c>
      <c r="AM955">
        <v>0.31325018623293799</v>
      </c>
      <c r="AN955">
        <v>0.67381793942299795</v>
      </c>
      <c r="AO955">
        <v>0.153835386287061</v>
      </c>
      <c r="AP955">
        <v>0.153835386287061</v>
      </c>
      <c r="AQ955">
        <v>0</v>
      </c>
      <c r="AR955">
        <v>0</v>
      </c>
      <c r="AS955">
        <v>7</v>
      </c>
      <c r="AT955">
        <v>56</v>
      </c>
      <c r="AU955">
        <v>7</v>
      </c>
      <c r="AV955">
        <v>38</v>
      </c>
      <c r="AW955">
        <v>1</v>
      </c>
      <c r="AX955">
        <v>0</v>
      </c>
      <c r="AZ955">
        <v>6.8</v>
      </c>
      <c r="BA955">
        <v>19.899999999999999</v>
      </c>
      <c r="BB955">
        <v>564</v>
      </c>
      <c r="BC955">
        <v>68</v>
      </c>
      <c r="BD955">
        <v>1.5</v>
      </c>
      <c r="BE955">
        <v>135</v>
      </c>
      <c r="BF955">
        <v>0.8</v>
      </c>
      <c r="BG955">
        <v>162</v>
      </c>
      <c r="BH955">
        <v>9.1</v>
      </c>
      <c r="BI955">
        <v>9.1999999999999993</v>
      </c>
      <c r="BJ955">
        <v>18.3</v>
      </c>
      <c r="BK955">
        <v>0.34</v>
      </c>
      <c r="BL955">
        <v>7.3</v>
      </c>
      <c r="BM955">
        <v>0.9</v>
      </c>
      <c r="BN955">
        <v>7.5</v>
      </c>
      <c r="BO955">
        <v>2.9</v>
      </c>
      <c r="BP955">
        <f t="shared" si="28"/>
        <v>5.9464425011547686</v>
      </c>
      <c r="BQ955">
        <f t="shared" si="29"/>
        <v>18.647037032793786</v>
      </c>
    </row>
    <row r="956" spans="1:69" hidden="1" x14ac:dyDescent="0.2">
      <c r="A956" t="s">
        <v>4537</v>
      </c>
      <c r="B956" t="s">
        <v>68</v>
      </c>
      <c r="C956" t="s">
        <v>3294</v>
      </c>
      <c r="D956" t="s">
        <v>70</v>
      </c>
      <c r="E956" t="s">
        <v>132</v>
      </c>
      <c r="F956">
        <v>6</v>
      </c>
      <c r="G956">
        <v>65.7</v>
      </c>
      <c r="H956">
        <v>1</v>
      </c>
      <c r="I956">
        <v>1</v>
      </c>
      <c r="J956">
        <v>1</v>
      </c>
      <c r="K956" t="s">
        <v>110</v>
      </c>
      <c r="L956" t="s">
        <v>133</v>
      </c>
      <c r="M956" s="4">
        <v>880000000</v>
      </c>
      <c r="N956">
        <v>0</v>
      </c>
      <c r="O956">
        <v>4.6779000000000002</v>
      </c>
      <c r="P956">
        <v>-74.053420000000003</v>
      </c>
      <c r="Q956" t="s">
        <v>4538</v>
      </c>
      <c r="R956">
        <v>13394216.130000001</v>
      </c>
      <c r="S956">
        <v>0</v>
      </c>
      <c r="T956" t="s">
        <v>75</v>
      </c>
      <c r="U956" t="s">
        <v>76</v>
      </c>
      <c r="V956" t="s">
        <v>77</v>
      </c>
      <c r="W956" t="s">
        <v>78</v>
      </c>
      <c r="X956" t="s">
        <v>79</v>
      </c>
      <c r="Y956">
        <v>4.0207343761327099</v>
      </c>
      <c r="Z956">
        <v>4020.7343761327102</v>
      </c>
      <c r="AA956">
        <v>4.6584666666666701</v>
      </c>
      <c r="AB956">
        <v>-74.083966666666697</v>
      </c>
      <c r="AC956">
        <v>2552</v>
      </c>
      <c r="AD956">
        <v>0</v>
      </c>
      <c r="AE956" t="s">
        <v>80</v>
      </c>
      <c r="AF956" t="s">
        <v>81</v>
      </c>
      <c r="AG956" t="s">
        <v>82</v>
      </c>
      <c r="AH956" t="s">
        <v>83</v>
      </c>
      <c r="AI956" t="s">
        <v>130</v>
      </c>
      <c r="AJ956">
        <v>0.65551911086643599</v>
      </c>
      <c r="AK956">
        <v>1.5462802870735199</v>
      </c>
      <c r="AL956">
        <v>0.87118337232374099</v>
      </c>
      <c r="AM956">
        <v>1.1027981722916601E-2</v>
      </c>
      <c r="AN956">
        <v>3.1858752499563798</v>
      </c>
      <c r="AO956">
        <v>0.65374431737417404</v>
      </c>
      <c r="AP956">
        <v>0.65374431737417404</v>
      </c>
      <c r="AQ956">
        <v>0</v>
      </c>
      <c r="AR956">
        <v>3</v>
      </c>
      <c r="AS956">
        <v>0</v>
      </c>
      <c r="AT956">
        <v>0</v>
      </c>
      <c r="AU956">
        <v>3</v>
      </c>
      <c r="AV956">
        <v>228</v>
      </c>
      <c r="AW956">
        <v>0</v>
      </c>
      <c r="AX956">
        <v>0</v>
      </c>
      <c r="AZ956">
        <v>6.8</v>
      </c>
      <c r="BA956">
        <v>19.899999999999999</v>
      </c>
      <c r="BB956">
        <v>564</v>
      </c>
      <c r="BC956">
        <v>68</v>
      </c>
      <c r="BD956">
        <v>1.5</v>
      </c>
      <c r="BE956">
        <v>135</v>
      </c>
      <c r="BF956">
        <v>0.8</v>
      </c>
      <c r="BG956">
        <v>162</v>
      </c>
      <c r="BH956">
        <v>9.1</v>
      </c>
      <c r="BI956">
        <v>9.1999999999999993</v>
      </c>
      <c r="BJ956">
        <v>18.3</v>
      </c>
      <c r="BK956">
        <v>0.34</v>
      </c>
      <c r="BL956">
        <v>7.3</v>
      </c>
      <c r="BM956">
        <v>0.9</v>
      </c>
      <c r="BN956">
        <v>7.5</v>
      </c>
      <c r="BO956">
        <v>2.9</v>
      </c>
      <c r="BP956">
        <f t="shared" si="28"/>
        <v>5.5727924206287485</v>
      </c>
      <c r="BQ956">
        <f t="shared" si="29"/>
        <v>18.069439876612549</v>
      </c>
    </row>
    <row r="957" spans="1:69" hidden="1" x14ac:dyDescent="0.2">
      <c r="A957" t="s">
        <v>693</v>
      </c>
      <c r="B957" t="s">
        <v>68</v>
      </c>
      <c r="C957" t="s">
        <v>69</v>
      </c>
      <c r="D957" t="s">
        <v>70</v>
      </c>
      <c r="E957" t="s">
        <v>694</v>
      </c>
      <c r="F957">
        <v>4</v>
      </c>
      <c r="G957">
        <v>65</v>
      </c>
      <c r="H957">
        <v>3</v>
      </c>
      <c r="I957">
        <v>2</v>
      </c>
      <c r="J957">
        <v>1</v>
      </c>
      <c r="K957" t="s">
        <v>110</v>
      </c>
      <c r="L957" t="s">
        <v>162</v>
      </c>
      <c r="M957" s="4">
        <v>540000000</v>
      </c>
      <c r="N957">
        <v>0</v>
      </c>
      <c r="O957">
        <v>4.6446332930000001</v>
      </c>
      <c r="P957">
        <v>-74.060150149999998</v>
      </c>
      <c r="Q957" t="s">
        <v>695</v>
      </c>
      <c r="R957">
        <v>8307692.3080000002</v>
      </c>
      <c r="S957">
        <v>0</v>
      </c>
      <c r="T957" t="s">
        <v>126</v>
      </c>
      <c r="U957" t="s">
        <v>127</v>
      </c>
      <c r="V957" t="s">
        <v>77</v>
      </c>
      <c r="W957" t="s">
        <v>128</v>
      </c>
      <c r="X957" t="s">
        <v>129</v>
      </c>
      <c r="Y957">
        <v>2.26218175717838</v>
      </c>
      <c r="Z957">
        <v>2262.1817571783799</v>
      </c>
      <c r="AA957">
        <v>4.6254861111111101</v>
      </c>
      <c r="AB957">
        <v>-74.066980555555503</v>
      </c>
      <c r="AC957">
        <v>2621</v>
      </c>
      <c r="AD957">
        <v>15</v>
      </c>
      <c r="AE957" t="s">
        <v>80</v>
      </c>
      <c r="AF957" t="s">
        <v>81</v>
      </c>
      <c r="AG957" t="s">
        <v>82</v>
      </c>
      <c r="AH957" t="s">
        <v>83</v>
      </c>
      <c r="AI957" t="s">
        <v>130</v>
      </c>
      <c r="AJ957">
        <v>0.65555132432043794</v>
      </c>
      <c r="AK957">
        <v>0.49623244947822598</v>
      </c>
      <c r="AL957">
        <v>1.47075588192596E-2</v>
      </c>
      <c r="AM957">
        <v>7.2492953046720696E-2</v>
      </c>
      <c r="AN957">
        <v>0.38666674902175702</v>
      </c>
      <c r="AO957">
        <v>0.142068319439489</v>
      </c>
      <c r="AP957">
        <v>0.142068319439489</v>
      </c>
      <c r="AQ957">
        <v>0</v>
      </c>
      <c r="AR957">
        <v>2</v>
      </c>
      <c r="AS957">
        <v>1</v>
      </c>
      <c r="AT957">
        <v>28</v>
      </c>
      <c r="AU957">
        <v>10</v>
      </c>
      <c r="AV957">
        <v>91</v>
      </c>
      <c r="AW957">
        <v>1</v>
      </c>
      <c r="AX957">
        <v>0</v>
      </c>
      <c r="AZ957">
        <v>6.8</v>
      </c>
      <c r="BA957">
        <v>19.899999999999999</v>
      </c>
      <c r="BB957">
        <v>564</v>
      </c>
      <c r="BC957">
        <v>68</v>
      </c>
      <c r="BD957">
        <v>1.5</v>
      </c>
      <c r="BE957">
        <v>135</v>
      </c>
      <c r="BF957">
        <v>0.8</v>
      </c>
      <c r="BG957">
        <v>162</v>
      </c>
      <c r="BH957">
        <v>9.1</v>
      </c>
      <c r="BI957">
        <v>9.1999999999999993</v>
      </c>
      <c r="BJ957">
        <v>18.3</v>
      </c>
      <c r="BK957">
        <v>0.34</v>
      </c>
      <c r="BL957">
        <v>7.3</v>
      </c>
      <c r="BM957">
        <v>0.9</v>
      </c>
      <c r="BN957">
        <v>7.5</v>
      </c>
      <c r="BO957">
        <v>2.9</v>
      </c>
      <c r="BP957">
        <f t="shared" si="28"/>
        <v>6.0796347198530931</v>
      </c>
      <c r="BQ957">
        <f t="shared" si="29"/>
        <v>18.848387558237761</v>
      </c>
    </row>
    <row r="958" spans="1:69" hidden="1" x14ac:dyDescent="0.2">
      <c r="A958" t="s">
        <v>1612</v>
      </c>
      <c r="B958" t="s">
        <v>68</v>
      </c>
      <c r="C958" t="s">
        <v>69</v>
      </c>
      <c r="D958" t="s">
        <v>70</v>
      </c>
      <c r="E958" t="s">
        <v>627</v>
      </c>
      <c r="F958">
        <v>3</v>
      </c>
      <c r="G958">
        <v>64.069999999999993</v>
      </c>
      <c r="H958">
        <v>3</v>
      </c>
      <c r="I958">
        <v>2</v>
      </c>
      <c r="J958">
        <v>1</v>
      </c>
      <c r="K958" t="s">
        <v>110</v>
      </c>
      <c r="L958" t="s">
        <v>124</v>
      </c>
      <c r="M958" s="4">
        <v>390000000</v>
      </c>
      <c r="N958">
        <v>0</v>
      </c>
      <c r="O958">
        <v>4.7231907839999998</v>
      </c>
      <c r="P958">
        <v>-74.1293869</v>
      </c>
      <c r="Q958" t="s">
        <v>1613</v>
      </c>
      <c r="R958">
        <v>6087092.2429999998</v>
      </c>
      <c r="S958">
        <v>0</v>
      </c>
      <c r="T958" t="s">
        <v>419</v>
      </c>
      <c r="U958" t="s">
        <v>420</v>
      </c>
      <c r="V958" t="s">
        <v>77</v>
      </c>
      <c r="W958" t="s">
        <v>78</v>
      </c>
      <c r="X958" t="s">
        <v>421</v>
      </c>
      <c r="Y958">
        <v>1.45690532990543</v>
      </c>
      <c r="Z958">
        <v>1456.9053299054301</v>
      </c>
      <c r="AA958">
        <v>4.7358055555555598</v>
      </c>
      <c r="AB958">
        <v>-74.125888888888895</v>
      </c>
      <c r="AC958">
        <v>2574</v>
      </c>
      <c r="AD958">
        <v>0</v>
      </c>
      <c r="AE958" t="s">
        <v>154</v>
      </c>
      <c r="AF958" t="s">
        <v>107</v>
      </c>
      <c r="AG958" t="s">
        <v>82</v>
      </c>
      <c r="AH958" t="s">
        <v>83</v>
      </c>
      <c r="AI958" t="s">
        <v>412</v>
      </c>
      <c r="AJ958">
        <v>2.5618101812284602</v>
      </c>
      <c r="AK958">
        <v>5.9240364652953501E-2</v>
      </c>
      <c r="AL958">
        <v>4.1450148823837401</v>
      </c>
      <c r="AM958">
        <v>0.57305260206318498</v>
      </c>
      <c r="AN958">
        <v>3.4118355134042702</v>
      </c>
      <c r="AO958">
        <v>4.09733212771307E-2</v>
      </c>
      <c r="AP958">
        <v>4.09733212771307E-2</v>
      </c>
      <c r="AQ958">
        <v>0</v>
      </c>
      <c r="AR958">
        <v>0</v>
      </c>
      <c r="AS958">
        <v>8</v>
      </c>
      <c r="AT958">
        <v>13</v>
      </c>
      <c r="AU958">
        <v>0</v>
      </c>
      <c r="AV958">
        <v>1</v>
      </c>
      <c r="AW958">
        <v>0</v>
      </c>
      <c r="AX958">
        <v>0</v>
      </c>
      <c r="AZ958">
        <v>6.8</v>
      </c>
      <c r="BA958">
        <v>19.899999999999999</v>
      </c>
      <c r="BB958">
        <v>564</v>
      </c>
      <c r="BC958">
        <v>68</v>
      </c>
      <c r="BD958">
        <v>1.5</v>
      </c>
      <c r="BE958">
        <v>135</v>
      </c>
      <c r="BF958">
        <v>0.8</v>
      </c>
      <c r="BG958">
        <v>162</v>
      </c>
      <c r="BH958">
        <v>9.1</v>
      </c>
      <c r="BI958">
        <v>9.1999999999999993</v>
      </c>
      <c r="BJ958">
        <v>18.3</v>
      </c>
      <c r="BK958">
        <v>0.34</v>
      </c>
      <c r="BL958">
        <v>7.3</v>
      </c>
      <c r="BM958">
        <v>0.9</v>
      </c>
      <c r="BN958">
        <v>7.5</v>
      </c>
      <c r="BO958">
        <v>2.9</v>
      </c>
      <c r="BP958">
        <f t="shared" si="28"/>
        <v>6.3268709823145741</v>
      </c>
      <c r="BQ958">
        <f t="shared" si="29"/>
        <v>19.216206351645251</v>
      </c>
    </row>
    <row r="959" spans="1:69" hidden="1" x14ac:dyDescent="0.2">
      <c r="A959" t="s">
        <v>1789</v>
      </c>
      <c r="B959" t="s">
        <v>68</v>
      </c>
      <c r="C959" t="s">
        <v>69</v>
      </c>
      <c r="D959" t="s">
        <v>70</v>
      </c>
      <c r="E959" t="s">
        <v>1790</v>
      </c>
      <c r="F959">
        <v>5</v>
      </c>
      <c r="G959">
        <v>64</v>
      </c>
      <c r="H959">
        <v>1</v>
      </c>
      <c r="I959">
        <v>2</v>
      </c>
      <c r="J959">
        <v>1</v>
      </c>
      <c r="K959" t="s">
        <v>110</v>
      </c>
      <c r="L959" t="s">
        <v>111</v>
      </c>
      <c r="M959" s="4">
        <v>890000000</v>
      </c>
      <c r="N959">
        <v>0</v>
      </c>
      <c r="O959">
        <v>4.6739487999999998</v>
      </c>
      <c r="P959">
        <v>-74.058205400000006</v>
      </c>
      <c r="Q959" t="s">
        <v>1791</v>
      </c>
      <c r="R959">
        <v>13906250</v>
      </c>
      <c r="S959">
        <v>0</v>
      </c>
      <c r="T959" t="s">
        <v>75</v>
      </c>
      <c r="U959" t="s">
        <v>76</v>
      </c>
      <c r="V959" t="s">
        <v>77</v>
      </c>
      <c r="W959" t="s">
        <v>78</v>
      </c>
      <c r="X959" t="s">
        <v>79</v>
      </c>
      <c r="Y959">
        <v>3.3376311694991498</v>
      </c>
      <c r="Z959">
        <v>3337.63116949915</v>
      </c>
      <c r="AA959">
        <v>4.6584666666666701</v>
      </c>
      <c r="AB959">
        <v>-74.083966666666697</v>
      </c>
      <c r="AC959">
        <v>2552</v>
      </c>
      <c r="AD959">
        <v>0</v>
      </c>
      <c r="AE959" t="s">
        <v>80</v>
      </c>
      <c r="AF959" t="s">
        <v>81</v>
      </c>
      <c r="AG959" t="s">
        <v>82</v>
      </c>
      <c r="AH959" t="s">
        <v>83</v>
      </c>
      <c r="AI959" t="s">
        <v>130</v>
      </c>
      <c r="AJ959">
        <v>0.24108155478544499</v>
      </c>
      <c r="AK959">
        <v>1.7724358611106801</v>
      </c>
      <c r="AL959">
        <v>0.67363969124038303</v>
      </c>
      <c r="AM959">
        <v>9.3748090325472405E-2</v>
      </c>
      <c r="AN959">
        <v>2.6231189053829498</v>
      </c>
      <c r="AO959">
        <v>0.70866592415843499</v>
      </c>
      <c r="AP959">
        <v>0.70866592415843499</v>
      </c>
      <c r="AQ959">
        <v>2</v>
      </c>
      <c r="AR959">
        <v>5</v>
      </c>
      <c r="AS959">
        <v>0</v>
      </c>
      <c r="AT959">
        <v>0</v>
      </c>
      <c r="AU959">
        <v>5</v>
      </c>
      <c r="AV959">
        <v>310</v>
      </c>
      <c r="AW959">
        <v>0</v>
      </c>
      <c r="AX959">
        <v>0</v>
      </c>
      <c r="AZ959">
        <v>6.8</v>
      </c>
      <c r="BA959">
        <v>19.899999999999999</v>
      </c>
      <c r="BB959">
        <v>564</v>
      </c>
      <c r="BC959">
        <v>68</v>
      </c>
      <c r="BD959">
        <v>1.5</v>
      </c>
      <c r="BE959">
        <v>135</v>
      </c>
      <c r="BF959">
        <v>0.8</v>
      </c>
      <c r="BG959">
        <v>162</v>
      </c>
      <c r="BH959">
        <v>9.1</v>
      </c>
      <c r="BI959">
        <v>9.1999999999999993</v>
      </c>
      <c r="BJ959">
        <v>18.3</v>
      </c>
      <c r="BK959">
        <v>0.34</v>
      </c>
      <c r="BL959">
        <v>7.3</v>
      </c>
      <c r="BM959">
        <v>0.9</v>
      </c>
      <c r="BN959">
        <v>7.5</v>
      </c>
      <c r="BO959">
        <v>2.9</v>
      </c>
      <c r="BP959">
        <f t="shared" si="28"/>
        <v>5.7644507114355781</v>
      </c>
      <c r="BQ959">
        <f t="shared" si="29"/>
        <v>18.368120559228561</v>
      </c>
    </row>
    <row r="960" spans="1:69" hidden="1" x14ac:dyDescent="0.2">
      <c r="A960" t="s">
        <v>1519</v>
      </c>
      <c r="B960" t="s">
        <v>68</v>
      </c>
      <c r="C960" t="s">
        <v>69</v>
      </c>
      <c r="D960" t="s">
        <v>70</v>
      </c>
      <c r="E960" t="s">
        <v>627</v>
      </c>
      <c r="F960">
        <v>4</v>
      </c>
      <c r="G960">
        <v>64</v>
      </c>
      <c r="H960">
        <v>3</v>
      </c>
      <c r="I960">
        <v>2</v>
      </c>
      <c r="J960">
        <v>1</v>
      </c>
      <c r="K960" t="s">
        <v>110</v>
      </c>
      <c r="L960" t="s">
        <v>111</v>
      </c>
      <c r="M960" s="4">
        <v>375000000</v>
      </c>
      <c r="N960">
        <v>0</v>
      </c>
      <c r="O960">
        <v>4.7253540000000003</v>
      </c>
      <c r="P960">
        <v>-74.136920000000003</v>
      </c>
      <c r="Q960" t="s">
        <v>1520</v>
      </c>
      <c r="R960">
        <v>5859375</v>
      </c>
      <c r="S960">
        <v>0</v>
      </c>
      <c r="T960" t="s">
        <v>419</v>
      </c>
      <c r="U960" t="s">
        <v>420</v>
      </c>
      <c r="V960" t="s">
        <v>77</v>
      </c>
      <c r="W960" t="s">
        <v>78</v>
      </c>
      <c r="X960" t="s">
        <v>421</v>
      </c>
      <c r="Y960">
        <v>1.6885842094722301</v>
      </c>
      <c r="Z960">
        <v>1688.58420947223</v>
      </c>
      <c r="AA960">
        <v>4.7358055555555598</v>
      </c>
      <c r="AB960">
        <v>-74.125888888888895</v>
      </c>
      <c r="AC960">
        <v>2574</v>
      </c>
      <c r="AD960">
        <v>0</v>
      </c>
      <c r="AE960" t="s">
        <v>154</v>
      </c>
      <c r="AF960" t="s">
        <v>107</v>
      </c>
      <c r="AG960" t="s">
        <v>82</v>
      </c>
      <c r="AH960" t="s">
        <v>83</v>
      </c>
      <c r="AI960" t="s">
        <v>412</v>
      </c>
      <c r="AJ960">
        <v>3.3942276207154198</v>
      </c>
      <c r="AK960">
        <v>1.9637720961395699E-4</v>
      </c>
      <c r="AL960">
        <v>4.8029493932282996</v>
      </c>
      <c r="AM960">
        <v>1.1775496887764301</v>
      </c>
      <c r="AN960">
        <v>3.40498139235538</v>
      </c>
      <c r="AO960">
        <v>0.20224583027502699</v>
      </c>
      <c r="AP960">
        <v>0.20224583027502699</v>
      </c>
      <c r="AQ960">
        <v>0</v>
      </c>
      <c r="AR960">
        <v>0</v>
      </c>
      <c r="AS960">
        <v>9</v>
      </c>
      <c r="AT960">
        <v>18</v>
      </c>
      <c r="AU960">
        <v>0</v>
      </c>
      <c r="AV960">
        <v>0</v>
      </c>
      <c r="AW960">
        <v>0</v>
      </c>
      <c r="AX960">
        <v>0</v>
      </c>
      <c r="AZ960">
        <v>6.8</v>
      </c>
      <c r="BA960">
        <v>19.899999999999999</v>
      </c>
      <c r="BB960">
        <v>564</v>
      </c>
      <c r="BC960">
        <v>68</v>
      </c>
      <c r="BD960">
        <v>1.5</v>
      </c>
      <c r="BE960">
        <v>135</v>
      </c>
      <c r="BF960">
        <v>0.8</v>
      </c>
      <c r="BG960">
        <v>162</v>
      </c>
      <c r="BH960">
        <v>9.1</v>
      </c>
      <c r="BI960">
        <v>9.1999999999999993</v>
      </c>
      <c r="BJ960">
        <v>18.3</v>
      </c>
      <c r="BK960">
        <v>0.34</v>
      </c>
      <c r="BL960">
        <v>7.3</v>
      </c>
      <c r="BM960">
        <v>0.9</v>
      </c>
      <c r="BN960">
        <v>7.5</v>
      </c>
      <c r="BO960">
        <v>2.9</v>
      </c>
      <c r="BP960">
        <f t="shared" si="28"/>
        <v>6.2547282254932748</v>
      </c>
      <c r="BQ960">
        <f t="shared" si="29"/>
        <v>19.109655114449478</v>
      </c>
    </row>
    <row r="961" spans="1:69" hidden="1" x14ac:dyDescent="0.2">
      <c r="A961" t="s">
        <v>878</v>
      </c>
      <c r="B961" t="s">
        <v>68</v>
      </c>
      <c r="C961" t="s">
        <v>69</v>
      </c>
      <c r="D961" t="s">
        <v>70</v>
      </c>
      <c r="E961" t="s">
        <v>879</v>
      </c>
      <c r="F961">
        <v>3</v>
      </c>
      <c r="G961">
        <v>63</v>
      </c>
      <c r="H961">
        <v>2</v>
      </c>
      <c r="I961">
        <v>2</v>
      </c>
      <c r="J961">
        <v>0</v>
      </c>
      <c r="K961" t="s">
        <v>110</v>
      </c>
      <c r="L961" t="s">
        <v>111</v>
      </c>
      <c r="M961" s="4">
        <v>350000000</v>
      </c>
      <c r="N961">
        <v>0</v>
      </c>
      <c r="O961">
        <v>4.6086499999999999</v>
      </c>
      <c r="P961">
        <v>-74.081680000000006</v>
      </c>
      <c r="Q961" t="s">
        <v>880</v>
      </c>
      <c r="R961">
        <v>5555555.5559999999</v>
      </c>
      <c r="S961">
        <v>0</v>
      </c>
      <c r="T961" t="s">
        <v>126</v>
      </c>
      <c r="U961" t="s">
        <v>127</v>
      </c>
      <c r="V961" t="s">
        <v>77</v>
      </c>
      <c r="W961" t="s">
        <v>128</v>
      </c>
      <c r="X961" t="s">
        <v>129</v>
      </c>
      <c r="Y961">
        <v>2.48451596007197</v>
      </c>
      <c r="Z961">
        <v>2484.5159600719699</v>
      </c>
      <c r="AA961">
        <v>4.6254861111111101</v>
      </c>
      <c r="AB961">
        <v>-74.066980555555503</v>
      </c>
      <c r="AC961">
        <v>2621</v>
      </c>
      <c r="AD961">
        <v>15</v>
      </c>
      <c r="AE961" t="s">
        <v>80</v>
      </c>
      <c r="AF961" t="s">
        <v>81</v>
      </c>
      <c r="AG961" t="s">
        <v>82</v>
      </c>
      <c r="AH961" t="s">
        <v>83</v>
      </c>
      <c r="AI961" t="s">
        <v>308</v>
      </c>
      <c r="AJ961">
        <v>0.35762459129743401</v>
      </c>
      <c r="AK961">
        <v>1.8642664305018499</v>
      </c>
      <c r="AL961">
        <v>0.32271100014502002</v>
      </c>
      <c r="AM961">
        <v>0.16582221493598401</v>
      </c>
      <c r="AN961">
        <v>0.77090900742549595</v>
      </c>
      <c r="AO961">
        <v>0.38297430926319898</v>
      </c>
      <c r="AP961">
        <v>0.38297430926319898</v>
      </c>
      <c r="AQ961">
        <v>1</v>
      </c>
      <c r="AR961">
        <v>9</v>
      </c>
      <c r="AS961">
        <v>0</v>
      </c>
      <c r="AT961">
        <v>0</v>
      </c>
      <c r="AU961">
        <v>3</v>
      </c>
      <c r="AV961">
        <v>34</v>
      </c>
      <c r="AW961">
        <v>1</v>
      </c>
      <c r="AX961">
        <v>1</v>
      </c>
      <c r="AZ961">
        <v>6.8</v>
      </c>
      <c r="BA961">
        <v>19.899999999999999</v>
      </c>
      <c r="BB961">
        <v>564</v>
      </c>
      <c r="BC961">
        <v>68</v>
      </c>
      <c r="BD961">
        <v>1.5</v>
      </c>
      <c r="BE961">
        <v>135</v>
      </c>
      <c r="BF961">
        <v>0.8</v>
      </c>
      <c r="BG961">
        <v>162</v>
      </c>
      <c r="BH961">
        <v>9.1</v>
      </c>
      <c r="BI961">
        <v>9.1999999999999993</v>
      </c>
      <c r="BJ961">
        <v>18.3</v>
      </c>
      <c r="BK961">
        <v>0.34</v>
      </c>
      <c r="BL961">
        <v>7.3</v>
      </c>
      <c r="BM961">
        <v>0.9</v>
      </c>
      <c r="BN961">
        <v>7.5</v>
      </c>
      <c r="BO961">
        <v>2.9</v>
      </c>
      <c r="BP961">
        <f t="shared" si="28"/>
        <v>6.0130918799496804</v>
      </c>
      <c r="BQ961">
        <f t="shared" si="29"/>
        <v>18.748080028413419</v>
      </c>
    </row>
    <row r="962" spans="1:69" hidden="1" x14ac:dyDescent="0.2">
      <c r="A962" t="s">
        <v>638</v>
      </c>
      <c r="B962" t="s">
        <v>68</v>
      </c>
      <c r="C962" t="s">
        <v>69</v>
      </c>
      <c r="D962" t="s">
        <v>70</v>
      </c>
      <c r="E962" t="s">
        <v>639</v>
      </c>
      <c r="F962">
        <v>4</v>
      </c>
      <c r="G962">
        <v>62.11</v>
      </c>
      <c r="H962">
        <v>2</v>
      </c>
      <c r="I962">
        <v>2</v>
      </c>
      <c r="J962">
        <v>1</v>
      </c>
      <c r="K962" t="s">
        <v>72</v>
      </c>
      <c r="L962" t="s">
        <v>73</v>
      </c>
      <c r="M962" s="4">
        <v>653742000</v>
      </c>
      <c r="N962">
        <v>0</v>
      </c>
      <c r="O962">
        <v>4.6610316999999997</v>
      </c>
      <c r="P962">
        <v>-74.079445000000007</v>
      </c>
      <c r="Q962" t="s">
        <v>640</v>
      </c>
      <c r="R962">
        <v>10525551.439999999</v>
      </c>
      <c r="S962">
        <v>0</v>
      </c>
      <c r="T962" t="s">
        <v>75</v>
      </c>
      <c r="U962" t="s">
        <v>76</v>
      </c>
      <c r="V962" t="s">
        <v>77</v>
      </c>
      <c r="W962" t="s">
        <v>78</v>
      </c>
      <c r="X962" t="s">
        <v>79</v>
      </c>
      <c r="Y962">
        <v>0.57725282118917798</v>
      </c>
      <c r="Z962">
        <v>577.25282118917801</v>
      </c>
      <c r="AA962">
        <v>4.6584666666666701</v>
      </c>
      <c r="AB962">
        <v>-74.083966666666697</v>
      </c>
      <c r="AC962">
        <v>2552</v>
      </c>
      <c r="AD962">
        <v>0</v>
      </c>
      <c r="AE962" t="s">
        <v>80</v>
      </c>
      <c r="AF962" t="s">
        <v>81</v>
      </c>
      <c r="AG962" t="s">
        <v>82</v>
      </c>
      <c r="AH962" t="s">
        <v>83</v>
      </c>
      <c r="AI962" t="s">
        <v>342</v>
      </c>
      <c r="AJ962">
        <v>0.45664851021150199</v>
      </c>
      <c r="AK962">
        <v>3.2906681362303898</v>
      </c>
      <c r="AL962">
        <v>1.2641850056572299</v>
      </c>
      <c r="AM962">
        <v>0.10222706298203101</v>
      </c>
      <c r="AN962">
        <v>1.4375849002076899</v>
      </c>
      <c r="AO962">
        <v>0.20029136224211999</v>
      </c>
      <c r="AP962">
        <v>0.20029136224211999</v>
      </c>
      <c r="AQ962">
        <v>1</v>
      </c>
      <c r="AR962">
        <v>2</v>
      </c>
      <c r="AS962">
        <v>0</v>
      </c>
      <c r="AT962">
        <v>0</v>
      </c>
      <c r="AU962">
        <v>0</v>
      </c>
      <c r="AV962">
        <v>22</v>
      </c>
      <c r="AW962">
        <v>0</v>
      </c>
      <c r="AX962">
        <v>0</v>
      </c>
      <c r="AZ962">
        <v>6.8</v>
      </c>
      <c r="BA962">
        <v>19.899999999999999</v>
      </c>
      <c r="BB962">
        <v>564</v>
      </c>
      <c r="BC962">
        <v>68</v>
      </c>
      <c r="BD962">
        <v>1.5</v>
      </c>
      <c r="BE962">
        <v>135</v>
      </c>
      <c r="BF962">
        <v>0.8</v>
      </c>
      <c r="BG962">
        <v>162</v>
      </c>
      <c r="BH962">
        <v>9.1</v>
      </c>
      <c r="BI962">
        <v>9.1999999999999993</v>
      </c>
      <c r="BJ962">
        <v>18.3</v>
      </c>
      <c r="BK962">
        <v>0.34</v>
      </c>
      <c r="BL962">
        <v>7.3</v>
      </c>
      <c r="BM962">
        <v>0.9</v>
      </c>
      <c r="BN962">
        <v>7.5</v>
      </c>
      <c r="BO962">
        <v>2.9</v>
      </c>
      <c r="BP962">
        <f t="shared" ref="BP962:BP1025" si="30">+AZ962*EXP(-0.0495*Y962)</f>
        <v>6.6084464602478965</v>
      </c>
      <c r="BQ962">
        <f t="shared" ref="BQ962:BQ1025" si="31">+BA962*EXP(-0.024*Y962)</f>
        <v>19.626205018930062</v>
      </c>
    </row>
    <row r="963" spans="1:69" hidden="1" x14ac:dyDescent="0.2">
      <c r="A963" t="s">
        <v>2108</v>
      </c>
      <c r="B963" t="s">
        <v>68</v>
      </c>
      <c r="C963" t="s">
        <v>1956</v>
      </c>
      <c r="D963" t="s">
        <v>70</v>
      </c>
      <c r="E963" t="s">
        <v>2109</v>
      </c>
      <c r="F963">
        <v>2</v>
      </c>
      <c r="G963">
        <v>62</v>
      </c>
      <c r="H963">
        <v>3</v>
      </c>
      <c r="I963">
        <v>1</v>
      </c>
      <c r="J963">
        <v>1</v>
      </c>
      <c r="K963" t="s">
        <v>110</v>
      </c>
      <c r="L963" t="s">
        <v>115</v>
      </c>
      <c r="M963" s="4">
        <v>217500000</v>
      </c>
      <c r="N963">
        <v>0</v>
      </c>
      <c r="O963">
        <v>4.6370797159999997</v>
      </c>
      <c r="P963">
        <v>-74.203933719999995</v>
      </c>
      <c r="Q963" t="s">
        <v>2110</v>
      </c>
      <c r="R963">
        <v>3508064.5159999998</v>
      </c>
      <c r="S963">
        <v>0</v>
      </c>
      <c r="T963" t="s">
        <v>365</v>
      </c>
      <c r="U963" t="s">
        <v>366</v>
      </c>
      <c r="V963" t="s">
        <v>77</v>
      </c>
      <c r="W963" t="s">
        <v>365</v>
      </c>
      <c r="X963" t="s">
        <v>367</v>
      </c>
      <c r="Y963">
        <v>3.5030951566597901</v>
      </c>
      <c r="Z963">
        <v>3503.0951566597901</v>
      </c>
      <c r="AA963">
        <v>4.6056111111111102</v>
      </c>
      <c r="AB963">
        <v>-74.204055555555598</v>
      </c>
      <c r="AC963">
        <v>2546</v>
      </c>
      <c r="AD963">
        <v>0</v>
      </c>
      <c r="AE963" t="s">
        <v>80</v>
      </c>
      <c r="AF963" t="s">
        <v>107</v>
      </c>
      <c r="AG963" t="s">
        <v>82</v>
      </c>
      <c r="AH963" t="s">
        <v>83</v>
      </c>
      <c r="AI963" t="s">
        <v>368</v>
      </c>
      <c r="AJ963">
        <v>3.52798299806516</v>
      </c>
      <c r="AK963">
        <v>0.40399609428759398</v>
      </c>
      <c r="AL963">
        <v>8.7301386221269794</v>
      </c>
      <c r="AM963">
        <v>1.3687663392293099</v>
      </c>
      <c r="AN963">
        <v>4.5019063682798599</v>
      </c>
      <c r="AO963">
        <v>0.21039229314439101</v>
      </c>
      <c r="AP963">
        <v>0.21039229314439101</v>
      </c>
      <c r="AQ963">
        <v>0</v>
      </c>
      <c r="AR963">
        <v>0</v>
      </c>
      <c r="AS963">
        <v>4</v>
      </c>
      <c r="AT963">
        <v>8</v>
      </c>
      <c r="AU963">
        <v>0</v>
      </c>
      <c r="AV963">
        <v>0</v>
      </c>
      <c r="AW963">
        <v>0</v>
      </c>
      <c r="AX963">
        <v>0</v>
      </c>
      <c r="AZ963">
        <v>6.8</v>
      </c>
      <c r="BA963">
        <v>19.899999999999999</v>
      </c>
      <c r="BB963">
        <v>564</v>
      </c>
      <c r="BC963">
        <v>68</v>
      </c>
      <c r="BD963">
        <v>1.5</v>
      </c>
      <c r="BE963">
        <v>135</v>
      </c>
      <c r="BF963">
        <v>0.8</v>
      </c>
      <c r="BG963">
        <v>162</v>
      </c>
      <c r="BH963">
        <v>9.1</v>
      </c>
      <c r="BI963">
        <v>9.1999999999999993</v>
      </c>
      <c r="BJ963">
        <v>18.3</v>
      </c>
      <c r="BK963">
        <v>0.34</v>
      </c>
      <c r="BL963">
        <v>7.3</v>
      </c>
      <c r="BM963">
        <v>0.9</v>
      </c>
      <c r="BN963">
        <v>7.5</v>
      </c>
      <c r="BO963">
        <v>2.9</v>
      </c>
      <c r="BP963">
        <f t="shared" si="30"/>
        <v>5.7174299897131915</v>
      </c>
      <c r="BQ963">
        <f t="shared" si="31"/>
        <v>18.295322900441789</v>
      </c>
    </row>
    <row r="964" spans="1:69" hidden="1" x14ac:dyDescent="0.2">
      <c r="A964" t="s">
        <v>1945</v>
      </c>
      <c r="B964" t="s">
        <v>68</v>
      </c>
      <c r="C964" t="s">
        <v>69</v>
      </c>
      <c r="D964" t="s">
        <v>70</v>
      </c>
      <c r="E964" t="s">
        <v>1946</v>
      </c>
      <c r="F964">
        <v>3</v>
      </c>
      <c r="G964">
        <v>61.1</v>
      </c>
      <c r="H964">
        <v>3</v>
      </c>
      <c r="I964">
        <v>2</v>
      </c>
      <c r="J964">
        <v>1</v>
      </c>
      <c r="K964" t="s">
        <v>110</v>
      </c>
      <c r="L964" t="s">
        <v>133</v>
      </c>
      <c r="M964" s="4">
        <v>450000000</v>
      </c>
      <c r="N964">
        <v>0</v>
      </c>
      <c r="O964">
        <v>4.5830317000000003</v>
      </c>
      <c r="P964">
        <v>-74.106765999999993</v>
      </c>
      <c r="Q964" t="s">
        <v>1947</v>
      </c>
      <c r="R964">
        <v>7364975.4500000002</v>
      </c>
      <c r="S964">
        <v>0</v>
      </c>
      <c r="T964" t="s">
        <v>1843</v>
      </c>
      <c r="U964" t="s">
        <v>1844</v>
      </c>
      <c r="V964" t="s">
        <v>77</v>
      </c>
      <c r="W964" t="s">
        <v>1845</v>
      </c>
      <c r="X964" t="s">
        <v>1846</v>
      </c>
      <c r="Y964">
        <v>2.7890707843126599</v>
      </c>
      <c r="Z964">
        <v>2789.0707843126602</v>
      </c>
      <c r="AA964">
        <v>4.576225</v>
      </c>
      <c r="AB964">
        <v>-74.130955555555502</v>
      </c>
      <c r="AC964">
        <v>2589</v>
      </c>
      <c r="AD964">
        <v>0</v>
      </c>
      <c r="AE964" t="s">
        <v>80</v>
      </c>
      <c r="AF964" t="s">
        <v>107</v>
      </c>
      <c r="AG964" t="s">
        <v>82</v>
      </c>
      <c r="AH964" t="s">
        <v>83</v>
      </c>
      <c r="AI964" t="s">
        <v>1847</v>
      </c>
      <c r="AJ964">
        <v>0.45973561100576399</v>
      </c>
      <c r="AK964">
        <v>3.6811992342224</v>
      </c>
      <c r="AL964">
        <v>1.1017488822404999</v>
      </c>
      <c r="AM964">
        <v>2.7552197718070499E-2</v>
      </c>
      <c r="AN964">
        <v>0.493202491920821</v>
      </c>
      <c r="AO964">
        <v>0.212413813968967</v>
      </c>
      <c r="AP964">
        <v>0.212413813968967</v>
      </c>
      <c r="AQ964">
        <v>1</v>
      </c>
      <c r="AR964">
        <v>3</v>
      </c>
      <c r="AS964">
        <v>0</v>
      </c>
      <c r="AT964">
        <v>0</v>
      </c>
      <c r="AU964">
        <v>0</v>
      </c>
      <c r="AV964">
        <v>84</v>
      </c>
      <c r="AW964">
        <v>2</v>
      </c>
      <c r="AX964">
        <v>0</v>
      </c>
      <c r="AZ964">
        <v>6.8</v>
      </c>
      <c r="BA964">
        <v>19.899999999999999</v>
      </c>
      <c r="BB964">
        <v>564</v>
      </c>
      <c r="BC964">
        <v>68</v>
      </c>
      <c r="BD964">
        <v>1.5</v>
      </c>
      <c r="BE964">
        <v>135</v>
      </c>
      <c r="BF964">
        <v>0.8</v>
      </c>
      <c r="BG964">
        <v>162</v>
      </c>
      <c r="BH964">
        <v>9.1</v>
      </c>
      <c r="BI964">
        <v>9.1999999999999993</v>
      </c>
      <c r="BJ964">
        <v>18.3</v>
      </c>
      <c r="BK964">
        <v>0.34</v>
      </c>
      <c r="BL964">
        <v>7.3</v>
      </c>
      <c r="BM964">
        <v>0.9</v>
      </c>
      <c r="BN964">
        <v>7.5</v>
      </c>
      <c r="BO964">
        <v>2.9</v>
      </c>
      <c r="BP964">
        <f t="shared" si="30"/>
        <v>5.9231216067389809</v>
      </c>
      <c r="BQ964">
        <f t="shared" si="31"/>
        <v>18.611543991569924</v>
      </c>
    </row>
    <row r="965" spans="1:69" hidden="1" x14ac:dyDescent="0.2">
      <c r="A965" t="s">
        <v>1568</v>
      </c>
      <c r="B965" t="s">
        <v>68</v>
      </c>
      <c r="C965" t="s">
        <v>69</v>
      </c>
      <c r="D965" t="s">
        <v>70</v>
      </c>
      <c r="E965" t="s">
        <v>1569</v>
      </c>
      <c r="F965">
        <v>3</v>
      </c>
      <c r="G965">
        <v>61</v>
      </c>
      <c r="H965">
        <v>3</v>
      </c>
      <c r="I965">
        <v>1</v>
      </c>
      <c r="J965">
        <v>0</v>
      </c>
      <c r="K965" t="s">
        <v>110</v>
      </c>
      <c r="L965" t="s">
        <v>162</v>
      </c>
      <c r="M965" s="4">
        <v>252000000</v>
      </c>
      <c r="N965">
        <v>0</v>
      </c>
      <c r="O965">
        <v>4.7004346999999997</v>
      </c>
      <c r="P965">
        <v>-74.103510700000001</v>
      </c>
      <c r="Q965" t="s">
        <v>1570</v>
      </c>
      <c r="R965">
        <v>4131147.5410000002</v>
      </c>
      <c r="S965">
        <v>0</v>
      </c>
      <c r="T965" t="s">
        <v>419</v>
      </c>
      <c r="U965" t="s">
        <v>420</v>
      </c>
      <c r="V965" t="s">
        <v>77</v>
      </c>
      <c r="W965" t="s">
        <v>78</v>
      </c>
      <c r="X965" t="s">
        <v>421</v>
      </c>
      <c r="Y965">
        <v>4.6548223569720104</v>
      </c>
      <c r="Z965">
        <v>4654.8223569720103</v>
      </c>
      <c r="AA965">
        <v>4.7358055555555598</v>
      </c>
      <c r="AB965">
        <v>-74.125888888888895</v>
      </c>
      <c r="AC965">
        <v>2574</v>
      </c>
      <c r="AD965">
        <v>0</v>
      </c>
      <c r="AE965" t="s">
        <v>154</v>
      </c>
      <c r="AF965" t="s">
        <v>107</v>
      </c>
      <c r="AG965" t="s">
        <v>82</v>
      </c>
      <c r="AH965" t="s">
        <v>83</v>
      </c>
      <c r="AI965" t="s">
        <v>412</v>
      </c>
      <c r="AJ965">
        <v>0.42283370627616101</v>
      </c>
      <c r="AK965">
        <v>3.6984265297315</v>
      </c>
      <c r="AL965">
        <v>1.00567422158655</v>
      </c>
      <c r="AM965">
        <v>0.16941719561217</v>
      </c>
      <c r="AN965">
        <v>1.1556739178050801</v>
      </c>
      <c r="AO965">
        <v>9.9334717059814295E-2</v>
      </c>
      <c r="AP965">
        <v>9.9334717059814295E-2</v>
      </c>
      <c r="AQ965">
        <v>2</v>
      </c>
      <c r="AR965">
        <v>4</v>
      </c>
      <c r="AS965">
        <v>0</v>
      </c>
      <c r="AT965">
        <v>0</v>
      </c>
      <c r="AU965">
        <v>0</v>
      </c>
      <c r="AV965">
        <v>31</v>
      </c>
      <c r="AW965">
        <v>0</v>
      </c>
      <c r="AX965">
        <v>0</v>
      </c>
      <c r="AZ965">
        <v>6.8</v>
      </c>
      <c r="BA965">
        <v>19.899999999999999</v>
      </c>
      <c r="BB965">
        <v>564</v>
      </c>
      <c r="BC965">
        <v>68</v>
      </c>
      <c r="BD965">
        <v>1.5</v>
      </c>
      <c r="BE965">
        <v>135</v>
      </c>
      <c r="BF965">
        <v>0.8</v>
      </c>
      <c r="BG965">
        <v>162</v>
      </c>
      <c r="BH965">
        <v>9.1</v>
      </c>
      <c r="BI965">
        <v>9.1999999999999993</v>
      </c>
      <c r="BJ965">
        <v>18.3</v>
      </c>
      <c r="BK965">
        <v>0.34</v>
      </c>
      <c r="BL965">
        <v>7.3</v>
      </c>
      <c r="BM965">
        <v>0.9</v>
      </c>
      <c r="BN965">
        <v>7.5</v>
      </c>
      <c r="BO965">
        <v>2.9</v>
      </c>
      <c r="BP965">
        <f t="shared" si="30"/>
        <v>5.4005937731279321</v>
      </c>
      <c r="BQ965">
        <f t="shared" si="31"/>
        <v>17.796538910534736</v>
      </c>
    </row>
    <row r="966" spans="1:69" hidden="1" x14ac:dyDescent="0.2">
      <c r="A966" t="s">
        <v>782</v>
      </c>
      <c r="B966" t="s">
        <v>68</v>
      </c>
      <c r="C966" t="s">
        <v>69</v>
      </c>
      <c r="D966" t="s">
        <v>70</v>
      </c>
      <c r="E966" t="s">
        <v>627</v>
      </c>
      <c r="F966">
        <v>4</v>
      </c>
      <c r="G966">
        <v>60</v>
      </c>
      <c r="H966">
        <v>3</v>
      </c>
      <c r="I966">
        <v>2</v>
      </c>
      <c r="J966">
        <v>1</v>
      </c>
      <c r="K966" t="s">
        <v>110</v>
      </c>
      <c r="L966" t="s">
        <v>124</v>
      </c>
      <c r="M966" s="4">
        <v>365000000</v>
      </c>
      <c r="N966">
        <v>0</v>
      </c>
      <c r="O966">
        <v>4.7238850000000001</v>
      </c>
      <c r="P966">
        <v>-74.135409999999993</v>
      </c>
      <c r="Q966" t="s">
        <v>783</v>
      </c>
      <c r="R966">
        <v>6083333.3329999996</v>
      </c>
      <c r="S966">
        <v>0</v>
      </c>
      <c r="T966" t="s">
        <v>419</v>
      </c>
      <c r="U966" t="s">
        <v>420</v>
      </c>
      <c r="V966" t="s">
        <v>77</v>
      </c>
      <c r="W966" t="s">
        <v>78</v>
      </c>
      <c r="X966" t="s">
        <v>421</v>
      </c>
      <c r="Y966">
        <v>1.6960606252019801</v>
      </c>
      <c r="Z966">
        <v>1696.06062520198</v>
      </c>
      <c r="AA966">
        <v>4.7358055555555598</v>
      </c>
      <c r="AB966">
        <v>-74.125888888888895</v>
      </c>
      <c r="AC966">
        <v>2574</v>
      </c>
      <c r="AD966">
        <v>0</v>
      </c>
      <c r="AE966" t="s">
        <v>154</v>
      </c>
      <c r="AF966" t="s">
        <v>107</v>
      </c>
      <c r="AG966" t="s">
        <v>82</v>
      </c>
      <c r="AH966" t="s">
        <v>83</v>
      </c>
      <c r="AI966" t="s">
        <v>412</v>
      </c>
      <c r="AJ966">
        <v>3.1681919057910002</v>
      </c>
      <c r="AK966">
        <v>0.14952021408591001</v>
      </c>
      <c r="AL966">
        <v>4.6187367411590401</v>
      </c>
      <c r="AM966">
        <v>1.10034249273394</v>
      </c>
      <c r="AN966">
        <v>3.2767237650152001</v>
      </c>
      <c r="AO966">
        <v>2.8256375527836502E-4</v>
      </c>
      <c r="AP966">
        <v>2.8256375527836502E-4</v>
      </c>
      <c r="AQ966">
        <v>0</v>
      </c>
      <c r="AR966">
        <v>0</v>
      </c>
      <c r="AS966">
        <v>8</v>
      </c>
      <c r="AT966">
        <v>21</v>
      </c>
      <c r="AU966">
        <v>0</v>
      </c>
      <c r="AV966">
        <v>0</v>
      </c>
      <c r="AW966">
        <v>0</v>
      </c>
      <c r="AX966">
        <v>0</v>
      </c>
      <c r="AZ966">
        <v>6.8</v>
      </c>
      <c r="BA966">
        <v>19.899999999999999</v>
      </c>
      <c r="BB966">
        <v>564</v>
      </c>
      <c r="BC966">
        <v>68</v>
      </c>
      <c r="BD966">
        <v>1.5</v>
      </c>
      <c r="BE966">
        <v>135</v>
      </c>
      <c r="BF966">
        <v>0.8</v>
      </c>
      <c r="BG966">
        <v>162</v>
      </c>
      <c r="BH966">
        <v>9.1</v>
      </c>
      <c r="BI966">
        <v>9.1999999999999993</v>
      </c>
      <c r="BJ966">
        <v>18.3</v>
      </c>
      <c r="BK966">
        <v>0.34</v>
      </c>
      <c r="BL966">
        <v>7.3</v>
      </c>
      <c r="BM966">
        <v>0.9</v>
      </c>
      <c r="BN966">
        <v>7.5</v>
      </c>
      <c r="BO966">
        <v>2.9</v>
      </c>
      <c r="BP966">
        <f t="shared" si="30"/>
        <v>6.2524138878174425</v>
      </c>
      <c r="BQ966">
        <f t="shared" si="31"/>
        <v>19.106226500637479</v>
      </c>
    </row>
    <row r="967" spans="1:69" hidden="1" x14ac:dyDescent="0.2">
      <c r="A967" t="s">
        <v>3775</v>
      </c>
      <c r="B967" t="s">
        <v>68</v>
      </c>
      <c r="C967" t="s">
        <v>3294</v>
      </c>
      <c r="D967" t="s">
        <v>70</v>
      </c>
      <c r="E967" t="s">
        <v>3776</v>
      </c>
      <c r="F967">
        <v>4</v>
      </c>
      <c r="G967">
        <v>60</v>
      </c>
      <c r="H967">
        <v>1</v>
      </c>
      <c r="I967">
        <v>1</v>
      </c>
      <c r="J967">
        <v>1</v>
      </c>
      <c r="K967" t="s">
        <v>110</v>
      </c>
      <c r="L967" t="s">
        <v>111</v>
      </c>
      <c r="M967" s="4">
        <v>460000000</v>
      </c>
      <c r="N967">
        <v>0</v>
      </c>
      <c r="O967">
        <v>4.6175572540000003</v>
      </c>
      <c r="P967">
        <v>-74.071901909999994</v>
      </c>
      <c r="Q967" t="s">
        <v>3777</v>
      </c>
      <c r="R967">
        <v>7666666.6670000004</v>
      </c>
      <c r="S967">
        <v>0</v>
      </c>
      <c r="T967" t="s">
        <v>126</v>
      </c>
      <c r="U967" t="s">
        <v>127</v>
      </c>
      <c r="V967" t="s">
        <v>77</v>
      </c>
      <c r="W967" t="s">
        <v>128</v>
      </c>
      <c r="X967" t="s">
        <v>129</v>
      </c>
      <c r="Y967">
        <v>1.0378969218954901</v>
      </c>
      <c r="Z967">
        <v>1037.8969218954901</v>
      </c>
      <c r="AA967">
        <v>4.6254861111111101</v>
      </c>
      <c r="AB967">
        <v>-74.066980555555503</v>
      </c>
      <c r="AC967">
        <v>2621</v>
      </c>
      <c r="AD967">
        <v>15</v>
      </c>
      <c r="AE967" t="s">
        <v>80</v>
      </c>
      <c r="AF967" t="s">
        <v>81</v>
      </c>
      <c r="AG967" t="s">
        <v>82</v>
      </c>
      <c r="AH967" t="s">
        <v>83</v>
      </c>
      <c r="AI967" t="s">
        <v>84</v>
      </c>
      <c r="AJ967">
        <v>0.104056147026878</v>
      </c>
      <c r="AK967">
        <v>0.94633565444950896</v>
      </c>
      <c r="AL967">
        <v>0.37694739972798702</v>
      </c>
      <c r="AM967">
        <v>9.9083696830319701E-2</v>
      </c>
      <c r="AN967">
        <v>0.66354688038671905</v>
      </c>
      <c r="AO967">
        <v>0.32359837421005899</v>
      </c>
      <c r="AP967">
        <v>0.32359837421005899</v>
      </c>
      <c r="AQ967">
        <v>2</v>
      </c>
      <c r="AR967">
        <v>7</v>
      </c>
      <c r="AS967">
        <v>0</v>
      </c>
      <c r="AT967">
        <v>1</v>
      </c>
      <c r="AU967">
        <v>13</v>
      </c>
      <c r="AV967">
        <v>71</v>
      </c>
      <c r="AW967">
        <v>1</v>
      </c>
      <c r="AX967">
        <v>3</v>
      </c>
      <c r="AZ967">
        <v>6.8</v>
      </c>
      <c r="BA967">
        <v>19.899999999999999</v>
      </c>
      <c r="BB967">
        <v>564</v>
      </c>
      <c r="BC967">
        <v>68</v>
      </c>
      <c r="BD967">
        <v>1.5</v>
      </c>
      <c r="BE967">
        <v>135</v>
      </c>
      <c r="BF967">
        <v>0.8</v>
      </c>
      <c r="BG967">
        <v>162</v>
      </c>
      <c r="BH967">
        <v>9.1</v>
      </c>
      <c r="BI967">
        <v>9.1999999999999993</v>
      </c>
      <c r="BJ967">
        <v>18.3</v>
      </c>
      <c r="BK967">
        <v>0.34</v>
      </c>
      <c r="BL967">
        <v>7.3</v>
      </c>
      <c r="BM967">
        <v>0.9</v>
      </c>
      <c r="BN967">
        <v>7.5</v>
      </c>
      <c r="BO967">
        <v>2.9</v>
      </c>
      <c r="BP967">
        <f t="shared" si="30"/>
        <v>6.4594664050676958</v>
      </c>
      <c r="BQ967">
        <f t="shared" si="31"/>
        <v>19.41042330612634</v>
      </c>
    </row>
    <row r="968" spans="1:69" hidden="1" x14ac:dyDescent="0.2">
      <c r="A968" t="s">
        <v>2798</v>
      </c>
      <c r="B968" t="s">
        <v>68</v>
      </c>
      <c r="C968" t="s">
        <v>1956</v>
      </c>
      <c r="D968" t="s">
        <v>70</v>
      </c>
      <c r="E968" t="s">
        <v>2799</v>
      </c>
      <c r="F968">
        <v>2</v>
      </c>
      <c r="G968">
        <v>60</v>
      </c>
      <c r="H968">
        <v>4</v>
      </c>
      <c r="I968">
        <v>2</v>
      </c>
      <c r="J968">
        <v>0</v>
      </c>
      <c r="K968" t="s">
        <v>110</v>
      </c>
      <c r="L968" t="s">
        <v>115</v>
      </c>
      <c r="M968" s="4">
        <v>205000000</v>
      </c>
      <c r="N968">
        <v>0</v>
      </c>
      <c r="O968">
        <v>4.6355040000000001</v>
      </c>
      <c r="P968">
        <v>-74.201589999999996</v>
      </c>
      <c r="Q968" t="s">
        <v>2800</v>
      </c>
      <c r="R968">
        <v>3416666.6669999999</v>
      </c>
      <c r="S968">
        <v>0</v>
      </c>
      <c r="T968" t="s">
        <v>365</v>
      </c>
      <c r="U968" t="s">
        <v>366</v>
      </c>
      <c r="V968" t="s">
        <v>77</v>
      </c>
      <c r="W968" t="s">
        <v>365</v>
      </c>
      <c r="X968" t="s">
        <v>367</v>
      </c>
      <c r="Y968">
        <v>3.3388876455728398</v>
      </c>
      <c r="Z968">
        <v>3338.88764557284</v>
      </c>
      <c r="AA968">
        <v>4.6056111111111102</v>
      </c>
      <c r="AB968">
        <v>-74.204055555555598</v>
      </c>
      <c r="AC968">
        <v>2546</v>
      </c>
      <c r="AD968">
        <v>0</v>
      </c>
      <c r="AE968" t="s">
        <v>80</v>
      </c>
      <c r="AF968" t="s">
        <v>107</v>
      </c>
      <c r="AG968" t="s">
        <v>82</v>
      </c>
      <c r="AH968" t="s">
        <v>83</v>
      </c>
      <c r="AI968" t="s">
        <v>368</v>
      </c>
      <c r="AJ968">
        <v>3.2355045854545801</v>
      </c>
      <c r="AK968">
        <v>0.68622690248794005</v>
      </c>
      <c r="AL968">
        <v>8.4172963333119704</v>
      </c>
      <c r="AM968">
        <v>1.05592169966198</v>
      </c>
      <c r="AN968">
        <v>4.2373788956518199</v>
      </c>
      <c r="AO968">
        <v>6.1786375415830701E-2</v>
      </c>
      <c r="AP968">
        <v>6.1786375415830701E-2</v>
      </c>
      <c r="AQ968">
        <v>0</v>
      </c>
      <c r="AR968">
        <v>0</v>
      </c>
      <c r="AS968">
        <v>0</v>
      </c>
      <c r="AT968">
        <v>7</v>
      </c>
      <c r="AU968">
        <v>0</v>
      </c>
      <c r="AV968">
        <v>0</v>
      </c>
      <c r="AW968">
        <v>0</v>
      </c>
      <c r="AX968">
        <v>0</v>
      </c>
      <c r="AZ968">
        <v>6.8</v>
      </c>
      <c r="BA968">
        <v>19.899999999999999</v>
      </c>
      <c r="BB968">
        <v>564</v>
      </c>
      <c r="BC968">
        <v>68</v>
      </c>
      <c r="BD968">
        <v>1.5</v>
      </c>
      <c r="BE968">
        <v>135</v>
      </c>
      <c r="BF968">
        <v>0.8</v>
      </c>
      <c r="BG968">
        <v>162</v>
      </c>
      <c r="BH968">
        <v>9.1</v>
      </c>
      <c r="BI968">
        <v>9.1999999999999993</v>
      </c>
      <c r="BJ968">
        <v>18.3</v>
      </c>
      <c r="BK968">
        <v>0.34</v>
      </c>
      <c r="BL968">
        <v>7.3</v>
      </c>
      <c r="BM968">
        <v>0.9</v>
      </c>
      <c r="BN968">
        <v>7.5</v>
      </c>
      <c r="BO968">
        <v>2.9</v>
      </c>
      <c r="BP968">
        <f t="shared" si="30"/>
        <v>5.7640921993119809</v>
      </c>
      <c r="BQ968">
        <f t="shared" si="31"/>
        <v>18.367566669083967</v>
      </c>
    </row>
    <row r="969" spans="1:69" hidden="1" x14ac:dyDescent="0.2">
      <c r="A969" t="s">
        <v>626</v>
      </c>
      <c r="B969" t="s">
        <v>68</v>
      </c>
      <c r="C969" t="s">
        <v>69</v>
      </c>
      <c r="D969" t="s">
        <v>70</v>
      </c>
      <c r="E969" t="s">
        <v>627</v>
      </c>
      <c r="F969">
        <v>4</v>
      </c>
      <c r="G969">
        <v>59</v>
      </c>
      <c r="H969">
        <v>3</v>
      </c>
      <c r="I969">
        <v>2</v>
      </c>
      <c r="J969">
        <v>1</v>
      </c>
      <c r="K969" t="s">
        <v>110</v>
      </c>
      <c r="L969" t="s">
        <v>124</v>
      </c>
      <c r="M969" s="4">
        <v>330000000</v>
      </c>
      <c r="N969">
        <v>0</v>
      </c>
      <c r="O969">
        <v>4.7226195000000004</v>
      </c>
      <c r="P969">
        <v>-74.132869999999997</v>
      </c>
      <c r="Q969" t="s">
        <v>628</v>
      </c>
      <c r="R969">
        <v>5593220.3389999997</v>
      </c>
      <c r="S969">
        <v>0</v>
      </c>
      <c r="T969" t="s">
        <v>419</v>
      </c>
      <c r="U969" t="s">
        <v>420</v>
      </c>
      <c r="V969" t="s">
        <v>77</v>
      </c>
      <c r="W969" t="s">
        <v>78</v>
      </c>
      <c r="X969" t="s">
        <v>421</v>
      </c>
      <c r="Y969">
        <v>1.6596563612541799</v>
      </c>
      <c r="Z969">
        <v>1659.65636125418</v>
      </c>
      <c r="AA969">
        <v>4.7358055555555598</v>
      </c>
      <c r="AB969">
        <v>-74.125888888888895</v>
      </c>
      <c r="AC969">
        <v>2574</v>
      </c>
      <c r="AD969">
        <v>0</v>
      </c>
      <c r="AE969" t="s">
        <v>154</v>
      </c>
      <c r="AF969" t="s">
        <v>107</v>
      </c>
      <c r="AG969" t="s">
        <v>82</v>
      </c>
      <c r="AH969" t="s">
        <v>83</v>
      </c>
      <c r="AI969" t="s">
        <v>412</v>
      </c>
      <c r="AJ969">
        <v>2.8542121460523</v>
      </c>
      <c r="AK969">
        <v>0.29908433970822101</v>
      </c>
      <c r="AL969">
        <v>4.3294515798930897</v>
      </c>
      <c r="AM969">
        <v>0.96282916442942101</v>
      </c>
      <c r="AN969">
        <v>3.2153317343880299</v>
      </c>
      <c r="AO969">
        <v>0.20011673100122301</v>
      </c>
      <c r="AP969">
        <v>0.20011673100122301</v>
      </c>
      <c r="AQ969">
        <v>0</v>
      </c>
      <c r="AR969">
        <v>0</v>
      </c>
      <c r="AS969">
        <v>4</v>
      </c>
      <c r="AT969">
        <v>18</v>
      </c>
      <c r="AU969">
        <v>0</v>
      </c>
      <c r="AV969">
        <v>1</v>
      </c>
      <c r="AW969">
        <v>0</v>
      </c>
      <c r="AX969">
        <v>0</v>
      </c>
      <c r="AZ969">
        <v>6.8</v>
      </c>
      <c r="BA969">
        <v>19.899999999999999</v>
      </c>
      <c r="BB969">
        <v>564</v>
      </c>
      <c r="BC969">
        <v>68</v>
      </c>
      <c r="BD969">
        <v>1.5</v>
      </c>
      <c r="BE969">
        <v>135</v>
      </c>
      <c r="BF969">
        <v>0.8</v>
      </c>
      <c r="BG969">
        <v>162</v>
      </c>
      <c r="BH969">
        <v>9.1</v>
      </c>
      <c r="BI969">
        <v>9.1999999999999993</v>
      </c>
      <c r="BJ969">
        <v>18.3</v>
      </c>
      <c r="BK969">
        <v>0.34</v>
      </c>
      <c r="BL969">
        <v>7.3</v>
      </c>
      <c r="BM969">
        <v>0.9</v>
      </c>
      <c r="BN969">
        <v>7.5</v>
      </c>
      <c r="BO969">
        <v>2.9</v>
      </c>
      <c r="BP969">
        <f t="shared" si="30"/>
        <v>6.2636909644857033</v>
      </c>
      <c r="BQ969">
        <f t="shared" si="31"/>
        <v>19.122926949887681</v>
      </c>
    </row>
    <row r="970" spans="1:69" hidden="1" x14ac:dyDescent="0.2">
      <c r="A970" t="s">
        <v>3845</v>
      </c>
      <c r="B970" t="s">
        <v>68</v>
      </c>
      <c r="C970" t="s">
        <v>3294</v>
      </c>
      <c r="D970" t="s">
        <v>70</v>
      </c>
      <c r="E970" t="s">
        <v>187</v>
      </c>
      <c r="F970">
        <v>6</v>
      </c>
      <c r="G970">
        <v>58</v>
      </c>
      <c r="H970">
        <v>1</v>
      </c>
      <c r="I970">
        <v>1</v>
      </c>
      <c r="J970">
        <v>1</v>
      </c>
      <c r="K970" t="s">
        <v>110</v>
      </c>
      <c r="L970" t="s">
        <v>111</v>
      </c>
      <c r="M970" s="4">
        <v>650883000</v>
      </c>
      <c r="N970">
        <v>0</v>
      </c>
      <c r="O970">
        <v>4.6676799999999998</v>
      </c>
      <c r="P970">
        <v>-74.044600000000003</v>
      </c>
      <c r="Q970" t="s">
        <v>3846</v>
      </c>
      <c r="R970">
        <v>11222120.689999999</v>
      </c>
      <c r="S970">
        <v>0</v>
      </c>
      <c r="T970" t="s">
        <v>75</v>
      </c>
      <c r="U970" t="s">
        <v>76</v>
      </c>
      <c r="V970" t="s">
        <v>77</v>
      </c>
      <c r="W970" t="s">
        <v>78</v>
      </c>
      <c r="X970" t="s">
        <v>79</v>
      </c>
      <c r="Y970">
        <v>4.4865727495571299</v>
      </c>
      <c r="Z970">
        <v>4486.57274955713</v>
      </c>
      <c r="AA970">
        <v>4.6584666666666701</v>
      </c>
      <c r="AB970">
        <v>-74.083966666666697</v>
      </c>
      <c r="AC970">
        <v>2552</v>
      </c>
      <c r="AD970">
        <v>0</v>
      </c>
      <c r="AE970" t="s">
        <v>80</v>
      </c>
      <c r="AF970" t="s">
        <v>81</v>
      </c>
      <c r="AG970" t="s">
        <v>82</v>
      </c>
      <c r="AH970" t="s">
        <v>83</v>
      </c>
      <c r="AI970" t="s">
        <v>130</v>
      </c>
      <c r="AJ970">
        <v>1.74269009190596</v>
      </c>
      <c r="AK970">
        <v>0.17407173329928999</v>
      </c>
      <c r="AL970">
        <v>1.05396755986117</v>
      </c>
      <c r="AM970">
        <v>0.34922092699666601</v>
      </c>
      <c r="AN970">
        <v>3.2614310214372502</v>
      </c>
      <c r="AO970">
        <v>0.51969246573692296</v>
      </c>
      <c r="AP970">
        <v>0.51969246573692296</v>
      </c>
      <c r="AQ970">
        <v>0</v>
      </c>
      <c r="AR970">
        <v>0</v>
      </c>
      <c r="AS970">
        <v>17</v>
      </c>
      <c r="AT970">
        <v>36</v>
      </c>
      <c r="AU970">
        <v>0</v>
      </c>
      <c r="AV970">
        <v>19</v>
      </c>
      <c r="AW970">
        <v>0</v>
      </c>
      <c r="AX970">
        <v>0</v>
      </c>
      <c r="AZ970">
        <v>6.8</v>
      </c>
      <c r="BA970">
        <v>19.899999999999999</v>
      </c>
      <c r="BB970">
        <v>564</v>
      </c>
      <c r="BC970">
        <v>68</v>
      </c>
      <c r="BD970">
        <v>1.5</v>
      </c>
      <c r="BE970">
        <v>135</v>
      </c>
      <c r="BF970">
        <v>0.8</v>
      </c>
      <c r="BG970">
        <v>162</v>
      </c>
      <c r="BH970">
        <v>9.1</v>
      </c>
      <c r="BI970">
        <v>9.1999999999999993</v>
      </c>
      <c r="BJ970">
        <v>18.3</v>
      </c>
      <c r="BK970">
        <v>0.34</v>
      </c>
      <c r="BL970">
        <v>7.3</v>
      </c>
      <c r="BM970">
        <v>0.9</v>
      </c>
      <c r="BN970">
        <v>7.5</v>
      </c>
      <c r="BO970">
        <v>2.9</v>
      </c>
      <c r="BP970">
        <f t="shared" si="30"/>
        <v>5.4457596560457127</v>
      </c>
      <c r="BQ970">
        <f t="shared" si="31"/>
        <v>17.868546452020325</v>
      </c>
    </row>
    <row r="971" spans="1:69" hidden="1" x14ac:dyDescent="0.2">
      <c r="A971" t="s">
        <v>2750</v>
      </c>
      <c r="B971" t="s">
        <v>68</v>
      </c>
      <c r="C971" t="s">
        <v>1956</v>
      </c>
      <c r="D971" t="s">
        <v>70</v>
      </c>
      <c r="E971" t="s">
        <v>1727</v>
      </c>
      <c r="F971">
        <v>2</v>
      </c>
      <c r="G971">
        <v>58</v>
      </c>
      <c r="H971">
        <v>3</v>
      </c>
      <c r="I971">
        <v>1</v>
      </c>
      <c r="J971">
        <v>0</v>
      </c>
      <c r="K971" t="s">
        <v>110</v>
      </c>
      <c r="L971" t="s">
        <v>124</v>
      </c>
      <c r="M971" s="4">
        <v>265000000</v>
      </c>
      <c r="N971">
        <v>0</v>
      </c>
      <c r="O971">
        <v>4.7193199999999997</v>
      </c>
      <c r="P971">
        <v>-74.125690000000006</v>
      </c>
      <c r="Q971" t="s">
        <v>2751</v>
      </c>
      <c r="R971">
        <v>4568965.517</v>
      </c>
      <c r="S971">
        <v>0</v>
      </c>
      <c r="T971" t="s">
        <v>419</v>
      </c>
      <c r="U971" t="s">
        <v>420</v>
      </c>
      <c r="V971" t="s">
        <v>77</v>
      </c>
      <c r="W971" t="s">
        <v>78</v>
      </c>
      <c r="X971" t="s">
        <v>421</v>
      </c>
      <c r="Y971">
        <v>1.8352962924406799</v>
      </c>
      <c r="Z971">
        <v>1835.29629244068</v>
      </c>
      <c r="AA971">
        <v>4.7358055555555598</v>
      </c>
      <c r="AB971">
        <v>-74.125888888888895</v>
      </c>
      <c r="AC971">
        <v>2574</v>
      </c>
      <c r="AD971">
        <v>0</v>
      </c>
      <c r="AE971" t="s">
        <v>154</v>
      </c>
      <c r="AF971" t="s">
        <v>107</v>
      </c>
      <c r="AG971" t="s">
        <v>82</v>
      </c>
      <c r="AH971" t="s">
        <v>83</v>
      </c>
      <c r="AI971" t="s">
        <v>412</v>
      </c>
      <c r="AJ971">
        <v>1.98352171304891</v>
      </c>
      <c r="AK971">
        <v>0.55762965954878296</v>
      </c>
      <c r="AL971">
        <v>3.5605566814218301</v>
      </c>
      <c r="AM971">
        <v>0.52452122772684995</v>
      </c>
      <c r="AN971">
        <v>3.2320073466532899</v>
      </c>
      <c r="AO971">
        <v>0.14365592268285701</v>
      </c>
      <c r="AP971">
        <v>0.14365592268285701</v>
      </c>
      <c r="AQ971">
        <v>0</v>
      </c>
      <c r="AR971">
        <v>0</v>
      </c>
      <c r="AS971">
        <v>0</v>
      </c>
      <c r="AT971">
        <v>10</v>
      </c>
      <c r="AU971">
        <v>0</v>
      </c>
      <c r="AV971">
        <v>5</v>
      </c>
      <c r="AW971">
        <v>0</v>
      </c>
      <c r="AX971">
        <v>0</v>
      </c>
      <c r="AZ971">
        <v>6.8</v>
      </c>
      <c r="BA971">
        <v>19.899999999999999</v>
      </c>
      <c r="BB971">
        <v>564</v>
      </c>
      <c r="BC971">
        <v>68</v>
      </c>
      <c r="BD971">
        <v>1.5</v>
      </c>
      <c r="BE971">
        <v>135</v>
      </c>
      <c r="BF971">
        <v>0.8</v>
      </c>
      <c r="BG971">
        <v>162</v>
      </c>
      <c r="BH971">
        <v>9.1</v>
      </c>
      <c r="BI971">
        <v>9.1999999999999993</v>
      </c>
      <c r="BJ971">
        <v>18.3</v>
      </c>
      <c r="BK971">
        <v>0.34</v>
      </c>
      <c r="BL971">
        <v>7.3</v>
      </c>
      <c r="BM971">
        <v>0.9</v>
      </c>
      <c r="BN971">
        <v>7.5</v>
      </c>
      <c r="BO971">
        <v>2.9</v>
      </c>
      <c r="BP971">
        <f t="shared" si="30"/>
        <v>6.2094693766862079</v>
      </c>
      <c r="BQ971">
        <f t="shared" si="31"/>
        <v>19.042486621640418</v>
      </c>
    </row>
    <row r="972" spans="1:69" hidden="1" x14ac:dyDescent="0.2">
      <c r="A972" t="s">
        <v>1840</v>
      </c>
      <c r="B972" t="s">
        <v>68</v>
      </c>
      <c r="C972" t="s">
        <v>69</v>
      </c>
      <c r="D972" t="s">
        <v>70</v>
      </c>
      <c r="E972" t="s">
        <v>1841</v>
      </c>
      <c r="F972">
        <v>3</v>
      </c>
      <c r="G972">
        <v>58</v>
      </c>
      <c r="H972">
        <v>3</v>
      </c>
      <c r="I972">
        <v>2</v>
      </c>
      <c r="J972">
        <v>1</v>
      </c>
      <c r="K972" t="s">
        <v>110</v>
      </c>
      <c r="L972" t="s">
        <v>133</v>
      </c>
      <c r="M972" s="4">
        <v>290000000</v>
      </c>
      <c r="N972">
        <v>0</v>
      </c>
      <c r="O972">
        <v>4.5830931660000003</v>
      </c>
      <c r="P972">
        <v>-74.112419130000006</v>
      </c>
      <c r="Q972" t="s">
        <v>1842</v>
      </c>
      <c r="R972">
        <v>5000000</v>
      </c>
      <c r="S972">
        <v>0</v>
      </c>
      <c r="T972" t="s">
        <v>1843</v>
      </c>
      <c r="U972" t="s">
        <v>1844</v>
      </c>
      <c r="V972" t="s">
        <v>77</v>
      </c>
      <c r="W972" t="s">
        <v>1845</v>
      </c>
      <c r="X972" t="s">
        <v>1846</v>
      </c>
      <c r="Y972">
        <v>2.19437867511289</v>
      </c>
      <c r="Z972">
        <v>2194.3786751128901</v>
      </c>
      <c r="AA972">
        <v>4.576225</v>
      </c>
      <c r="AB972">
        <v>-74.130955555555502</v>
      </c>
      <c r="AC972">
        <v>2589</v>
      </c>
      <c r="AD972">
        <v>0</v>
      </c>
      <c r="AE972" t="s">
        <v>80</v>
      </c>
      <c r="AF972" t="s">
        <v>107</v>
      </c>
      <c r="AG972" t="s">
        <v>82</v>
      </c>
      <c r="AH972" t="s">
        <v>83</v>
      </c>
      <c r="AI972" t="s">
        <v>1847</v>
      </c>
      <c r="AJ972">
        <v>0.72628407981694898</v>
      </c>
      <c r="AK972">
        <v>4.2911730632456999</v>
      </c>
      <c r="AL972">
        <v>1.7191839108123901</v>
      </c>
      <c r="AM972">
        <v>0.36256384074121101</v>
      </c>
      <c r="AN972">
        <v>0.326688566706068</v>
      </c>
      <c r="AO972">
        <v>5.7812843597656399E-2</v>
      </c>
      <c r="AP972">
        <v>5.7812843597656399E-2</v>
      </c>
      <c r="AQ972">
        <v>0</v>
      </c>
      <c r="AR972">
        <v>2</v>
      </c>
      <c r="AS972">
        <v>0</v>
      </c>
      <c r="AT972">
        <v>0</v>
      </c>
      <c r="AU972">
        <v>0</v>
      </c>
      <c r="AV972">
        <v>53</v>
      </c>
      <c r="AW972">
        <v>1</v>
      </c>
      <c r="AX972">
        <v>0</v>
      </c>
      <c r="AZ972">
        <v>6.8</v>
      </c>
      <c r="BA972">
        <v>19.899999999999999</v>
      </c>
      <c r="BB972">
        <v>564</v>
      </c>
      <c r="BC972">
        <v>68</v>
      </c>
      <c r="BD972">
        <v>1.5</v>
      </c>
      <c r="BE972">
        <v>135</v>
      </c>
      <c r="BF972">
        <v>0.8</v>
      </c>
      <c r="BG972">
        <v>162</v>
      </c>
      <c r="BH972">
        <v>9.1</v>
      </c>
      <c r="BI972">
        <v>9.1999999999999993</v>
      </c>
      <c r="BJ972">
        <v>18.3</v>
      </c>
      <c r="BK972">
        <v>0.34</v>
      </c>
      <c r="BL972">
        <v>7.3</v>
      </c>
      <c r="BM972">
        <v>0.9</v>
      </c>
      <c r="BN972">
        <v>7.5</v>
      </c>
      <c r="BO972">
        <v>2.9</v>
      </c>
      <c r="BP972">
        <f t="shared" si="30"/>
        <v>6.1000737896130151</v>
      </c>
      <c r="BQ972">
        <f t="shared" si="31"/>
        <v>18.879084017680647</v>
      </c>
    </row>
    <row r="973" spans="1:69" hidden="1" x14ac:dyDescent="0.2">
      <c r="A973" t="s">
        <v>675</v>
      </c>
      <c r="B973" t="s">
        <v>68</v>
      </c>
      <c r="C973" t="s">
        <v>69</v>
      </c>
      <c r="D973" t="s">
        <v>70</v>
      </c>
      <c r="E973" t="s">
        <v>676</v>
      </c>
      <c r="F973">
        <v>3</v>
      </c>
      <c r="G973">
        <v>56.61</v>
      </c>
      <c r="H973">
        <v>3</v>
      </c>
      <c r="I973">
        <v>2</v>
      </c>
      <c r="J973">
        <v>1</v>
      </c>
      <c r="K973" t="s">
        <v>110</v>
      </c>
      <c r="L973" t="s">
        <v>162</v>
      </c>
      <c r="M973" s="4">
        <v>200000000</v>
      </c>
      <c r="N973">
        <v>0</v>
      </c>
      <c r="O973">
        <v>4.7203336</v>
      </c>
      <c r="P973">
        <v>-74.124049999999997</v>
      </c>
      <c r="Q973" t="s">
        <v>677</v>
      </c>
      <c r="R973">
        <v>3532944.7089999998</v>
      </c>
      <c r="S973">
        <v>0</v>
      </c>
      <c r="T973" t="s">
        <v>419</v>
      </c>
      <c r="U973" t="s">
        <v>420</v>
      </c>
      <c r="V973" t="s">
        <v>77</v>
      </c>
      <c r="W973" t="s">
        <v>78</v>
      </c>
      <c r="X973" t="s">
        <v>421</v>
      </c>
      <c r="Y973">
        <v>1.73437033630977</v>
      </c>
      <c r="Z973">
        <v>1734.37033630977</v>
      </c>
      <c r="AA973">
        <v>4.7358055555555598</v>
      </c>
      <c r="AB973">
        <v>-74.125888888888895</v>
      </c>
      <c r="AC973">
        <v>2574</v>
      </c>
      <c r="AD973">
        <v>0</v>
      </c>
      <c r="AE973" t="s">
        <v>154</v>
      </c>
      <c r="AF973" t="s">
        <v>107</v>
      </c>
      <c r="AG973" t="s">
        <v>82</v>
      </c>
      <c r="AH973" t="s">
        <v>83</v>
      </c>
      <c r="AI973" t="s">
        <v>412</v>
      </c>
      <c r="AJ973">
        <v>1.8980715819960901</v>
      </c>
      <c r="AK973">
        <v>0.54886803867486</v>
      </c>
      <c r="AL973">
        <v>3.5596504736079</v>
      </c>
      <c r="AM973">
        <v>0.40232040375322597</v>
      </c>
      <c r="AN973">
        <v>3.42695069272055</v>
      </c>
      <c r="AO973">
        <v>4.3904340306970803E-2</v>
      </c>
      <c r="AP973">
        <v>4.3904340306970803E-2</v>
      </c>
      <c r="AQ973">
        <v>0</v>
      </c>
      <c r="AR973">
        <v>0</v>
      </c>
      <c r="AS973">
        <v>0</v>
      </c>
      <c r="AT973">
        <v>11</v>
      </c>
      <c r="AU973">
        <v>0</v>
      </c>
      <c r="AV973">
        <v>6</v>
      </c>
      <c r="AW973">
        <v>0</v>
      </c>
      <c r="AX973">
        <v>0</v>
      </c>
      <c r="AZ973">
        <v>6.8</v>
      </c>
      <c r="BA973">
        <v>19.899999999999999</v>
      </c>
      <c r="BB973">
        <v>564</v>
      </c>
      <c r="BC973">
        <v>68</v>
      </c>
      <c r="BD973">
        <v>1.5</v>
      </c>
      <c r="BE973">
        <v>135</v>
      </c>
      <c r="BF973">
        <v>0.8</v>
      </c>
      <c r="BG973">
        <v>162</v>
      </c>
      <c r="BH973">
        <v>9.1</v>
      </c>
      <c r="BI973">
        <v>9.1999999999999993</v>
      </c>
      <c r="BJ973">
        <v>18.3</v>
      </c>
      <c r="BK973">
        <v>0.34</v>
      </c>
      <c r="BL973">
        <v>7.3</v>
      </c>
      <c r="BM973">
        <v>0.9</v>
      </c>
      <c r="BN973">
        <v>7.5</v>
      </c>
      <c r="BO973">
        <v>2.9</v>
      </c>
      <c r="BP973">
        <f t="shared" si="30"/>
        <v>6.2405684783704327</v>
      </c>
      <c r="BQ973">
        <f t="shared" si="31"/>
        <v>19.088667677533337</v>
      </c>
    </row>
    <row r="974" spans="1:69" hidden="1" x14ac:dyDescent="0.2">
      <c r="A974" t="s">
        <v>4053</v>
      </c>
      <c r="B974" t="s">
        <v>68</v>
      </c>
      <c r="C974" t="s">
        <v>3294</v>
      </c>
      <c r="D974" t="s">
        <v>70</v>
      </c>
      <c r="E974" t="s">
        <v>509</v>
      </c>
      <c r="F974">
        <v>6</v>
      </c>
      <c r="G974">
        <v>56</v>
      </c>
      <c r="H974">
        <v>1</v>
      </c>
      <c r="I974">
        <v>2</v>
      </c>
      <c r="J974">
        <v>1</v>
      </c>
      <c r="K974" t="s">
        <v>110</v>
      </c>
      <c r="L974" t="s">
        <v>111</v>
      </c>
      <c r="M974" s="4">
        <v>605000000</v>
      </c>
      <c r="N974">
        <v>0</v>
      </c>
      <c r="O974">
        <v>4.6410303900000001</v>
      </c>
      <c r="P974">
        <v>-74.061051469999995</v>
      </c>
      <c r="Q974" t="s">
        <v>4054</v>
      </c>
      <c r="R974">
        <v>10803571.43</v>
      </c>
      <c r="S974">
        <v>0</v>
      </c>
      <c r="T974" t="s">
        <v>126</v>
      </c>
      <c r="U974" t="s">
        <v>127</v>
      </c>
      <c r="V974" t="s">
        <v>77</v>
      </c>
      <c r="W974" t="s">
        <v>128</v>
      </c>
      <c r="X974" t="s">
        <v>129</v>
      </c>
      <c r="Y974">
        <v>1.8512176315583</v>
      </c>
      <c r="Z974">
        <v>1851.2176315582999</v>
      </c>
      <c r="AA974">
        <v>4.6254861111111101</v>
      </c>
      <c r="AB974">
        <v>-74.066980555555503</v>
      </c>
      <c r="AC974">
        <v>2621</v>
      </c>
      <c r="AD974">
        <v>15</v>
      </c>
      <c r="AE974" t="s">
        <v>80</v>
      </c>
      <c r="AF974" t="s">
        <v>81</v>
      </c>
      <c r="AG974" t="s">
        <v>82</v>
      </c>
      <c r="AH974" t="s">
        <v>83</v>
      </c>
      <c r="AI974" t="s">
        <v>130</v>
      </c>
      <c r="AJ974">
        <v>0.57189489510703795</v>
      </c>
      <c r="AK974">
        <v>0.380734088252979</v>
      </c>
      <c r="AL974">
        <v>0.42356107615304001</v>
      </c>
      <c r="AM974">
        <v>9.2075674111630507E-2</v>
      </c>
      <c r="AN974">
        <v>0.30202338483562202</v>
      </c>
      <c r="AO974">
        <v>5.7471919321069001E-2</v>
      </c>
      <c r="AP974">
        <v>5.7471919321069001E-2</v>
      </c>
      <c r="AQ974">
        <v>0</v>
      </c>
      <c r="AR974">
        <v>4</v>
      </c>
      <c r="AS974">
        <v>8</v>
      </c>
      <c r="AT974">
        <v>36</v>
      </c>
      <c r="AU974">
        <v>7</v>
      </c>
      <c r="AV974">
        <v>122</v>
      </c>
      <c r="AW974">
        <v>1</v>
      </c>
      <c r="AX974">
        <v>0</v>
      </c>
      <c r="AZ974">
        <v>6.8</v>
      </c>
      <c r="BA974">
        <v>19.899999999999999</v>
      </c>
      <c r="BB974">
        <v>564</v>
      </c>
      <c r="BC974">
        <v>68</v>
      </c>
      <c r="BD974">
        <v>1.5</v>
      </c>
      <c r="BE974">
        <v>135</v>
      </c>
      <c r="BF974">
        <v>0.8</v>
      </c>
      <c r="BG974">
        <v>162</v>
      </c>
      <c r="BH974">
        <v>9.1</v>
      </c>
      <c r="BI974">
        <v>9.1999999999999993</v>
      </c>
      <c r="BJ974">
        <v>18.3</v>
      </c>
      <c r="BK974">
        <v>0.34</v>
      </c>
      <c r="BL974">
        <v>7.3</v>
      </c>
      <c r="BM974">
        <v>0.9</v>
      </c>
      <c r="BN974">
        <v>7.5</v>
      </c>
      <c r="BO974">
        <v>2.9</v>
      </c>
      <c r="BP974">
        <f t="shared" si="30"/>
        <v>6.204577582715701</v>
      </c>
      <c r="BQ974">
        <f t="shared" si="31"/>
        <v>19.035211646365617</v>
      </c>
    </row>
    <row r="975" spans="1:69" hidden="1" x14ac:dyDescent="0.2">
      <c r="A975" t="s">
        <v>135</v>
      </c>
      <c r="B975" t="s">
        <v>68</v>
      </c>
      <c r="C975" t="s">
        <v>69</v>
      </c>
      <c r="D975" t="s">
        <v>70</v>
      </c>
      <c r="E975" t="s">
        <v>136</v>
      </c>
      <c r="F975">
        <v>4</v>
      </c>
      <c r="G975">
        <v>56</v>
      </c>
      <c r="H975">
        <v>1</v>
      </c>
      <c r="I975">
        <v>2</v>
      </c>
      <c r="J975">
        <v>1</v>
      </c>
      <c r="K975" t="s">
        <v>110</v>
      </c>
      <c r="L975" t="s">
        <v>124</v>
      </c>
      <c r="M975" s="4">
        <v>460000000</v>
      </c>
      <c r="N975">
        <v>0</v>
      </c>
      <c r="O975">
        <v>4.6184482999999998</v>
      </c>
      <c r="P975">
        <v>-74.068969999999993</v>
      </c>
      <c r="Q975" t="s">
        <v>137</v>
      </c>
      <c r="R975">
        <v>8214285.7139999997</v>
      </c>
      <c r="S975">
        <v>0</v>
      </c>
      <c r="T975" t="s">
        <v>126</v>
      </c>
      <c r="U975" t="s">
        <v>127</v>
      </c>
      <c r="V975" t="s">
        <v>77</v>
      </c>
      <c r="W975" t="s">
        <v>128</v>
      </c>
      <c r="X975" t="s">
        <v>129</v>
      </c>
      <c r="Y975">
        <v>0.81395008052073803</v>
      </c>
      <c r="Z975">
        <v>813.95008052073797</v>
      </c>
      <c r="AA975">
        <v>4.6254861111111101</v>
      </c>
      <c r="AB975">
        <v>-74.066980555555503</v>
      </c>
      <c r="AC975">
        <v>2621</v>
      </c>
      <c r="AD975">
        <v>15</v>
      </c>
      <c r="AE975" t="s">
        <v>80</v>
      </c>
      <c r="AF975" t="s">
        <v>81</v>
      </c>
      <c r="AG975" t="s">
        <v>82</v>
      </c>
      <c r="AH975" t="s">
        <v>83</v>
      </c>
      <c r="AI975" t="s">
        <v>138</v>
      </c>
      <c r="AJ975">
        <v>0.35490998397742901</v>
      </c>
      <c r="AK975">
        <v>0.69401190913008903</v>
      </c>
      <c r="AL975">
        <v>0.36245998093131199</v>
      </c>
      <c r="AM975">
        <v>8.1802057135610895E-2</v>
      </c>
      <c r="AN975">
        <v>0.45373323232776502</v>
      </c>
      <c r="AO975">
        <v>4.48017216131384E-3</v>
      </c>
      <c r="AP975">
        <v>4.48017216131384E-3</v>
      </c>
      <c r="AQ975">
        <v>3</v>
      </c>
      <c r="AR975">
        <v>7</v>
      </c>
      <c r="AS975">
        <v>0</v>
      </c>
      <c r="AT975">
        <v>3</v>
      </c>
      <c r="AU975">
        <v>13</v>
      </c>
      <c r="AV975">
        <v>72</v>
      </c>
      <c r="AW975">
        <v>1</v>
      </c>
      <c r="AX975">
        <v>3</v>
      </c>
      <c r="AZ975">
        <v>6.8</v>
      </c>
      <c r="BA975">
        <v>19.899999999999999</v>
      </c>
      <c r="BB975">
        <v>564</v>
      </c>
      <c r="BC975">
        <v>68</v>
      </c>
      <c r="BD975">
        <v>1.5</v>
      </c>
      <c r="BE975">
        <v>135</v>
      </c>
      <c r="BF975">
        <v>0.8</v>
      </c>
      <c r="BG975">
        <v>162</v>
      </c>
      <c r="BH975">
        <v>9.1</v>
      </c>
      <c r="BI975">
        <v>9.1999999999999993</v>
      </c>
      <c r="BJ975">
        <v>18.3</v>
      </c>
      <c r="BK975">
        <v>0.34</v>
      </c>
      <c r="BL975">
        <v>7.3</v>
      </c>
      <c r="BM975">
        <v>0.9</v>
      </c>
      <c r="BN975">
        <v>7.5</v>
      </c>
      <c r="BO975">
        <v>2.9</v>
      </c>
      <c r="BP975">
        <f t="shared" si="30"/>
        <v>6.5314703291075489</v>
      </c>
      <c r="BQ975">
        <f t="shared" si="31"/>
        <v>19.515029841685024</v>
      </c>
    </row>
    <row r="976" spans="1:69" hidden="1" x14ac:dyDescent="0.2">
      <c r="A976" t="s">
        <v>2401</v>
      </c>
      <c r="B976" t="s">
        <v>68</v>
      </c>
      <c r="C976" t="s">
        <v>1956</v>
      </c>
      <c r="D976" t="s">
        <v>70</v>
      </c>
      <c r="E976" t="s">
        <v>2402</v>
      </c>
      <c r="F976">
        <v>3</v>
      </c>
      <c r="G976">
        <v>56</v>
      </c>
      <c r="H976">
        <v>4</v>
      </c>
      <c r="I976">
        <v>2</v>
      </c>
      <c r="J976">
        <v>1</v>
      </c>
      <c r="K976" t="s">
        <v>110</v>
      </c>
      <c r="L976" t="s">
        <v>162</v>
      </c>
      <c r="M976" s="4">
        <v>305000000</v>
      </c>
      <c r="N976">
        <v>0</v>
      </c>
      <c r="O976">
        <v>4.7151436809999998</v>
      </c>
      <c r="P976">
        <v>-74.127044679999997</v>
      </c>
      <c r="Q976" t="s">
        <v>2403</v>
      </c>
      <c r="R976">
        <v>5446428.5710000005</v>
      </c>
      <c r="S976">
        <v>0</v>
      </c>
      <c r="T976" t="s">
        <v>419</v>
      </c>
      <c r="U976" t="s">
        <v>420</v>
      </c>
      <c r="V976" t="s">
        <v>77</v>
      </c>
      <c r="W976" t="s">
        <v>78</v>
      </c>
      <c r="X976" t="s">
        <v>421</v>
      </c>
      <c r="Y976">
        <v>2.3036407310823401</v>
      </c>
      <c r="Z976">
        <v>2303.6407310823402</v>
      </c>
      <c r="AA976">
        <v>4.7358055555555598</v>
      </c>
      <c r="AB976">
        <v>-74.125888888888895</v>
      </c>
      <c r="AC976">
        <v>2574</v>
      </c>
      <c r="AD976">
        <v>0</v>
      </c>
      <c r="AE976" t="s">
        <v>154</v>
      </c>
      <c r="AF976" t="s">
        <v>107</v>
      </c>
      <c r="AG976" t="s">
        <v>82</v>
      </c>
      <c r="AH976" t="s">
        <v>83</v>
      </c>
      <c r="AI976" t="s">
        <v>412</v>
      </c>
      <c r="AJ976">
        <v>1.9254981152845401</v>
      </c>
      <c r="AK976">
        <v>0.96276448480495602</v>
      </c>
      <c r="AL976">
        <v>3.28135832484802</v>
      </c>
      <c r="AM976">
        <v>0.743992114658235</v>
      </c>
      <c r="AN976">
        <v>2.7672478568506098</v>
      </c>
      <c r="AO976">
        <v>6.0087503186028297E-2</v>
      </c>
      <c r="AP976">
        <v>6.0087503186028297E-2</v>
      </c>
      <c r="AQ976">
        <v>0</v>
      </c>
      <c r="AR976">
        <v>0</v>
      </c>
      <c r="AS976">
        <v>0</v>
      </c>
      <c r="AT976">
        <v>2</v>
      </c>
      <c r="AU976">
        <v>0</v>
      </c>
      <c r="AV976">
        <v>8</v>
      </c>
      <c r="AW976">
        <v>0</v>
      </c>
      <c r="AX976">
        <v>0</v>
      </c>
      <c r="AZ976">
        <v>6.8</v>
      </c>
      <c r="BA976">
        <v>19.899999999999999</v>
      </c>
      <c r="BB976">
        <v>564</v>
      </c>
      <c r="BC976">
        <v>68</v>
      </c>
      <c r="BD976">
        <v>1.5</v>
      </c>
      <c r="BE976">
        <v>135</v>
      </c>
      <c r="BF976">
        <v>0.8</v>
      </c>
      <c r="BG976">
        <v>162</v>
      </c>
      <c r="BH976">
        <v>9.1</v>
      </c>
      <c r="BI976">
        <v>9.1999999999999993</v>
      </c>
      <c r="BJ976">
        <v>18.3</v>
      </c>
      <c r="BK976">
        <v>0.34</v>
      </c>
      <c r="BL976">
        <v>7.3</v>
      </c>
      <c r="BM976">
        <v>0.9</v>
      </c>
      <c r="BN976">
        <v>7.5</v>
      </c>
      <c r="BO976">
        <v>2.9</v>
      </c>
      <c r="BP976">
        <f t="shared" si="30"/>
        <v>6.0671707704545081</v>
      </c>
      <c r="BQ976">
        <f t="shared" si="31"/>
        <v>18.829642450229834</v>
      </c>
    </row>
    <row r="977" spans="1:69" hidden="1" x14ac:dyDescent="0.2">
      <c r="A977" t="s">
        <v>4189</v>
      </c>
      <c r="B977" t="s">
        <v>68</v>
      </c>
      <c r="C977" t="s">
        <v>3294</v>
      </c>
      <c r="D977" t="s">
        <v>70</v>
      </c>
      <c r="E977" t="s">
        <v>4190</v>
      </c>
      <c r="F977">
        <v>3</v>
      </c>
      <c r="G977">
        <v>56</v>
      </c>
      <c r="H977">
        <v>1</v>
      </c>
      <c r="I977">
        <v>1</v>
      </c>
      <c r="J977">
        <v>0</v>
      </c>
      <c r="K977" t="s">
        <v>110</v>
      </c>
      <c r="L977" t="s">
        <v>162</v>
      </c>
      <c r="M977" s="4">
        <v>335000000</v>
      </c>
      <c r="N977">
        <v>0</v>
      </c>
      <c r="O977">
        <v>4.6263318059999996</v>
      </c>
      <c r="P977">
        <v>-74.066650390000007</v>
      </c>
      <c r="Q977" t="s">
        <v>4191</v>
      </c>
      <c r="R977">
        <v>5982142.8569999998</v>
      </c>
      <c r="S977">
        <v>0</v>
      </c>
      <c r="T977" t="s">
        <v>126</v>
      </c>
      <c r="U977" t="s">
        <v>127</v>
      </c>
      <c r="V977" t="s">
        <v>77</v>
      </c>
      <c r="W977" t="s">
        <v>128</v>
      </c>
      <c r="X977" t="s">
        <v>129</v>
      </c>
      <c r="Y977">
        <v>0.10101899415042</v>
      </c>
      <c r="Z977">
        <v>101.01899415042</v>
      </c>
      <c r="AA977">
        <v>4.6254861111111101</v>
      </c>
      <c r="AB977">
        <v>-74.066980555555503</v>
      </c>
      <c r="AC977">
        <v>2621</v>
      </c>
      <c r="AD977">
        <v>15</v>
      </c>
      <c r="AE977" t="s">
        <v>80</v>
      </c>
      <c r="AF977" t="s">
        <v>81</v>
      </c>
      <c r="AG977" t="s">
        <v>82</v>
      </c>
      <c r="AH977" t="s">
        <v>83</v>
      </c>
      <c r="AI977" t="s">
        <v>138</v>
      </c>
      <c r="AJ977">
        <v>0.235369038926351</v>
      </c>
      <c r="AK977">
        <v>0.63044512932656604</v>
      </c>
      <c r="AL977">
        <v>0.22142972033303199</v>
      </c>
      <c r="AM977">
        <v>3.7917159202187203E-2</v>
      </c>
      <c r="AN977">
        <v>0.12919908131258601</v>
      </c>
      <c r="AO977">
        <v>2.7258561884809601E-2</v>
      </c>
      <c r="AP977">
        <v>2.7258561884809601E-2</v>
      </c>
      <c r="AQ977">
        <v>2</v>
      </c>
      <c r="AR977">
        <v>4</v>
      </c>
      <c r="AS977">
        <v>0</v>
      </c>
      <c r="AT977">
        <v>27</v>
      </c>
      <c r="AU977">
        <v>19</v>
      </c>
      <c r="AV977">
        <v>99</v>
      </c>
      <c r="AW977">
        <v>1</v>
      </c>
      <c r="AX977">
        <v>1</v>
      </c>
      <c r="AZ977">
        <v>6.8</v>
      </c>
      <c r="BA977">
        <v>19.899999999999999</v>
      </c>
      <c r="BB977">
        <v>564</v>
      </c>
      <c r="BC977">
        <v>68</v>
      </c>
      <c r="BD977">
        <v>1.5</v>
      </c>
      <c r="BE977">
        <v>135</v>
      </c>
      <c r="BF977">
        <v>0.8</v>
      </c>
      <c r="BG977">
        <v>162</v>
      </c>
      <c r="BH977">
        <v>9.1</v>
      </c>
      <c r="BI977">
        <v>9.1999999999999993</v>
      </c>
      <c r="BJ977">
        <v>18.3</v>
      </c>
      <c r="BK977">
        <v>0.34</v>
      </c>
      <c r="BL977">
        <v>7.3</v>
      </c>
      <c r="BM977">
        <v>0.9</v>
      </c>
      <c r="BN977">
        <v>7.5</v>
      </c>
      <c r="BO977">
        <v>2.9</v>
      </c>
      <c r="BP977">
        <f t="shared" si="30"/>
        <v>6.7660818800096632</v>
      </c>
      <c r="BQ977">
        <f t="shared" si="31"/>
        <v>19.851811767119688</v>
      </c>
    </row>
    <row r="978" spans="1:69" hidden="1" x14ac:dyDescent="0.2">
      <c r="A978" t="s">
        <v>4328</v>
      </c>
      <c r="B978" t="s">
        <v>68</v>
      </c>
      <c r="C978" t="s">
        <v>3294</v>
      </c>
      <c r="D978" t="s">
        <v>70</v>
      </c>
      <c r="E978" t="s">
        <v>404</v>
      </c>
      <c r="F978">
        <v>5</v>
      </c>
      <c r="G978">
        <v>55.4</v>
      </c>
      <c r="H978">
        <v>1</v>
      </c>
      <c r="I978">
        <v>1</v>
      </c>
      <c r="J978">
        <v>1</v>
      </c>
      <c r="K978" t="s">
        <v>110</v>
      </c>
      <c r="L978" t="s">
        <v>111</v>
      </c>
      <c r="M978" s="4">
        <v>735448800</v>
      </c>
      <c r="N978">
        <v>0</v>
      </c>
      <c r="O978">
        <v>4.6739499999999996</v>
      </c>
      <c r="P978">
        <v>-74.058099999999996</v>
      </c>
      <c r="Q978" t="s">
        <v>4329</v>
      </c>
      <c r="R978">
        <v>13275249.1</v>
      </c>
      <c r="S978">
        <v>0</v>
      </c>
      <c r="T978" t="s">
        <v>75</v>
      </c>
      <c r="U978" t="s">
        <v>76</v>
      </c>
      <c r="V978" t="s">
        <v>77</v>
      </c>
      <c r="W978" t="s">
        <v>78</v>
      </c>
      <c r="X978" t="s">
        <v>79</v>
      </c>
      <c r="Y978">
        <v>3.3477198636880501</v>
      </c>
      <c r="Z978">
        <v>3347.7198636880498</v>
      </c>
      <c r="AA978">
        <v>4.6584666666666701</v>
      </c>
      <c r="AB978">
        <v>-74.083966666666697</v>
      </c>
      <c r="AC978">
        <v>2552</v>
      </c>
      <c r="AD978">
        <v>0</v>
      </c>
      <c r="AE978" t="s">
        <v>80</v>
      </c>
      <c r="AF978" t="s">
        <v>81</v>
      </c>
      <c r="AG978" t="s">
        <v>82</v>
      </c>
      <c r="AH978" t="s">
        <v>83</v>
      </c>
      <c r="AI978" t="s">
        <v>130</v>
      </c>
      <c r="AJ978">
        <v>0.248170445441947</v>
      </c>
      <c r="AK978">
        <v>1.76298316640325</v>
      </c>
      <c r="AL978">
        <v>0.67437301166401897</v>
      </c>
      <c r="AM978">
        <v>9.5733082391418298E-2</v>
      </c>
      <c r="AN978">
        <v>2.6348064292443598</v>
      </c>
      <c r="AO978">
        <v>0.70970513187888695</v>
      </c>
      <c r="AP978">
        <v>0.70970513187888695</v>
      </c>
      <c r="AQ978">
        <v>2</v>
      </c>
      <c r="AR978">
        <v>5</v>
      </c>
      <c r="AS978">
        <v>0</v>
      </c>
      <c r="AT978">
        <v>0</v>
      </c>
      <c r="AU978">
        <v>5</v>
      </c>
      <c r="AV978">
        <v>310</v>
      </c>
      <c r="AW978">
        <v>0</v>
      </c>
      <c r="AX978">
        <v>0</v>
      </c>
      <c r="AZ978">
        <v>6.8</v>
      </c>
      <c r="BA978">
        <v>19.899999999999999</v>
      </c>
      <c r="BB978">
        <v>564</v>
      </c>
      <c r="BC978">
        <v>68</v>
      </c>
      <c r="BD978">
        <v>1.5</v>
      </c>
      <c r="BE978">
        <v>135</v>
      </c>
      <c r="BF978">
        <v>0.8</v>
      </c>
      <c r="BG978">
        <v>162</v>
      </c>
      <c r="BH978">
        <v>9.1</v>
      </c>
      <c r="BI978">
        <v>9.1999999999999993</v>
      </c>
      <c r="BJ978">
        <v>18.3</v>
      </c>
      <c r="BK978">
        <v>0.34</v>
      </c>
      <c r="BL978">
        <v>7.3</v>
      </c>
      <c r="BM978">
        <v>0.9</v>
      </c>
      <c r="BN978">
        <v>7.5</v>
      </c>
      <c r="BO978">
        <v>2.9</v>
      </c>
      <c r="BP978">
        <f t="shared" si="30"/>
        <v>5.7615727189867005</v>
      </c>
      <c r="BQ978">
        <f t="shared" si="31"/>
        <v>18.363673649184946</v>
      </c>
    </row>
    <row r="979" spans="1:69" hidden="1" x14ac:dyDescent="0.2">
      <c r="A979" t="s">
        <v>632</v>
      </c>
      <c r="B979" t="s">
        <v>68</v>
      </c>
      <c r="C979" t="s">
        <v>69</v>
      </c>
      <c r="D979" t="s">
        <v>70</v>
      </c>
      <c r="E979" t="s">
        <v>633</v>
      </c>
      <c r="F979">
        <v>4</v>
      </c>
      <c r="G979">
        <v>55.21</v>
      </c>
      <c r="H979">
        <v>2</v>
      </c>
      <c r="I979">
        <v>2</v>
      </c>
      <c r="J979">
        <v>1</v>
      </c>
      <c r="K979" t="s">
        <v>110</v>
      </c>
      <c r="L979" t="s">
        <v>111</v>
      </c>
      <c r="M979" s="4">
        <v>585000000</v>
      </c>
      <c r="N979">
        <v>0</v>
      </c>
      <c r="O979">
        <v>4.6280270000000003</v>
      </c>
      <c r="P979">
        <v>-74.075059999999993</v>
      </c>
      <c r="Q979" t="s">
        <v>634</v>
      </c>
      <c r="R979">
        <v>10595906.539999999</v>
      </c>
      <c r="S979">
        <v>0</v>
      </c>
      <c r="T979" t="s">
        <v>126</v>
      </c>
      <c r="U979" t="s">
        <v>127</v>
      </c>
      <c r="V979" t="s">
        <v>77</v>
      </c>
      <c r="W979" t="s">
        <v>128</v>
      </c>
      <c r="X979" t="s">
        <v>129</v>
      </c>
      <c r="Y979">
        <v>0.94003226606589096</v>
      </c>
      <c r="Z979">
        <v>940.03226606589101</v>
      </c>
      <c r="AA979">
        <v>4.6254861111111101</v>
      </c>
      <c r="AB979">
        <v>-74.066980555555503</v>
      </c>
      <c r="AC979">
        <v>2621</v>
      </c>
      <c r="AD979">
        <v>15</v>
      </c>
      <c r="AE979" t="s">
        <v>80</v>
      </c>
      <c r="AF979" t="s">
        <v>81</v>
      </c>
      <c r="AG979" t="s">
        <v>82</v>
      </c>
      <c r="AH979" t="s">
        <v>83</v>
      </c>
      <c r="AI979" t="s">
        <v>84</v>
      </c>
      <c r="AJ979">
        <v>0.60886664580894401</v>
      </c>
      <c r="AK979">
        <v>1.5682698365180501</v>
      </c>
      <c r="AL979">
        <v>0.18674591515112199</v>
      </c>
      <c r="AM979">
        <v>0.157123143369723</v>
      </c>
      <c r="AN979">
        <v>0.93509381719076401</v>
      </c>
      <c r="AO979">
        <v>9.2600943883735694E-3</v>
      </c>
      <c r="AP979">
        <v>9.2600943883735694E-3</v>
      </c>
      <c r="AQ979">
        <v>0</v>
      </c>
      <c r="AR979">
        <v>8</v>
      </c>
      <c r="AS979">
        <v>0</v>
      </c>
      <c r="AT979">
        <v>0</v>
      </c>
      <c r="AU979">
        <v>14</v>
      </c>
      <c r="AV979">
        <v>133</v>
      </c>
      <c r="AW979">
        <v>1</v>
      </c>
      <c r="AX979">
        <v>0</v>
      </c>
      <c r="AZ979">
        <v>6.8</v>
      </c>
      <c r="BA979">
        <v>19.899999999999999</v>
      </c>
      <c r="BB979">
        <v>564</v>
      </c>
      <c r="BC979">
        <v>68</v>
      </c>
      <c r="BD979">
        <v>1.5</v>
      </c>
      <c r="BE979">
        <v>135</v>
      </c>
      <c r="BF979">
        <v>0.8</v>
      </c>
      <c r="BG979">
        <v>162</v>
      </c>
      <c r="BH979">
        <v>9.1</v>
      </c>
      <c r="BI979">
        <v>9.1999999999999993</v>
      </c>
      <c r="BJ979">
        <v>18.3</v>
      </c>
      <c r="BK979">
        <v>0.34</v>
      </c>
      <c r="BL979">
        <v>7.3</v>
      </c>
      <c r="BM979">
        <v>0.9</v>
      </c>
      <c r="BN979">
        <v>7.5</v>
      </c>
      <c r="BO979">
        <v>2.9</v>
      </c>
      <c r="BP979">
        <f t="shared" si="30"/>
        <v>6.490833916651197</v>
      </c>
      <c r="BQ979">
        <f t="shared" si="31"/>
        <v>19.456067153688824</v>
      </c>
    </row>
    <row r="980" spans="1:69" hidden="1" x14ac:dyDescent="0.2">
      <c r="A980" t="s">
        <v>3554</v>
      </c>
      <c r="B980" t="s">
        <v>68</v>
      </c>
      <c r="C980" t="s">
        <v>3294</v>
      </c>
      <c r="D980" t="s">
        <v>70</v>
      </c>
      <c r="E980" t="s">
        <v>871</v>
      </c>
      <c r="F980">
        <v>5</v>
      </c>
      <c r="G980">
        <v>55</v>
      </c>
      <c r="H980">
        <v>1</v>
      </c>
      <c r="I980">
        <v>2</v>
      </c>
      <c r="J980">
        <v>1</v>
      </c>
      <c r="K980" t="s">
        <v>110</v>
      </c>
      <c r="L980" t="s">
        <v>133</v>
      </c>
      <c r="M980" s="4">
        <v>480000000</v>
      </c>
      <c r="N980">
        <v>0</v>
      </c>
      <c r="O980">
        <v>4.6472110750000004</v>
      </c>
      <c r="P980">
        <v>-74.053184509999994</v>
      </c>
      <c r="Q980" t="s">
        <v>3555</v>
      </c>
      <c r="R980">
        <v>8727272.727</v>
      </c>
      <c r="S980">
        <v>0</v>
      </c>
      <c r="T980" t="s">
        <v>126</v>
      </c>
      <c r="U980" t="s">
        <v>127</v>
      </c>
      <c r="V980" t="s">
        <v>77</v>
      </c>
      <c r="W980" t="s">
        <v>128</v>
      </c>
      <c r="X980" t="s">
        <v>129</v>
      </c>
      <c r="Y980">
        <v>2.8621480746259</v>
      </c>
      <c r="Z980">
        <v>2862.1480746258999</v>
      </c>
      <c r="AA980">
        <v>4.6254861111111101</v>
      </c>
      <c r="AB980">
        <v>-74.066980555555503</v>
      </c>
      <c r="AC980">
        <v>2621</v>
      </c>
      <c r="AD980">
        <v>15</v>
      </c>
      <c r="AE980" t="s">
        <v>80</v>
      </c>
      <c r="AF980" t="s">
        <v>81</v>
      </c>
      <c r="AG980" t="s">
        <v>82</v>
      </c>
      <c r="AH980" t="s">
        <v>83</v>
      </c>
      <c r="AI980" t="s">
        <v>130</v>
      </c>
      <c r="AJ980">
        <v>1.30250560817994</v>
      </c>
      <c r="AK980">
        <v>0.129669058086437</v>
      </c>
      <c r="AL980">
        <v>0.52952353264949503</v>
      </c>
      <c r="AM980">
        <v>0.50182869914956496</v>
      </c>
      <c r="AN980">
        <v>0.84616472933614695</v>
      </c>
      <c r="AO980">
        <v>0.37492593072857799</v>
      </c>
      <c r="AP980">
        <v>0.37492593072857799</v>
      </c>
      <c r="AQ980">
        <v>0</v>
      </c>
      <c r="AR980">
        <v>0</v>
      </c>
      <c r="AS980">
        <v>17</v>
      </c>
      <c r="AT980">
        <v>57</v>
      </c>
      <c r="AU980">
        <v>4</v>
      </c>
      <c r="AV980">
        <v>21</v>
      </c>
      <c r="AW980">
        <v>1</v>
      </c>
      <c r="AX980">
        <v>0</v>
      </c>
      <c r="AZ980">
        <v>6.8</v>
      </c>
      <c r="BA980">
        <v>19.899999999999999</v>
      </c>
      <c r="BB980">
        <v>564</v>
      </c>
      <c r="BC980">
        <v>68</v>
      </c>
      <c r="BD980">
        <v>1.5</v>
      </c>
      <c r="BE980">
        <v>135</v>
      </c>
      <c r="BF980">
        <v>0.8</v>
      </c>
      <c r="BG980">
        <v>162</v>
      </c>
      <c r="BH980">
        <v>9.1</v>
      </c>
      <c r="BI980">
        <v>9.1999999999999993</v>
      </c>
      <c r="BJ980">
        <v>18.3</v>
      </c>
      <c r="BK980">
        <v>0.34</v>
      </c>
      <c r="BL980">
        <v>7.3</v>
      </c>
      <c r="BM980">
        <v>0.9</v>
      </c>
      <c r="BN980">
        <v>7.5</v>
      </c>
      <c r="BO980">
        <v>2.9</v>
      </c>
      <c r="BP980">
        <f t="shared" si="30"/>
        <v>5.9017344511932901</v>
      </c>
      <c r="BQ980">
        <f t="shared" si="31"/>
        <v>18.578930650582087</v>
      </c>
    </row>
    <row r="981" spans="1:69" hidden="1" x14ac:dyDescent="0.2">
      <c r="A981" t="s">
        <v>3902</v>
      </c>
      <c r="B981" t="s">
        <v>68</v>
      </c>
      <c r="C981" t="s">
        <v>3294</v>
      </c>
      <c r="D981" t="s">
        <v>70</v>
      </c>
      <c r="E981" t="s">
        <v>130</v>
      </c>
      <c r="F981">
        <v>4</v>
      </c>
      <c r="G981">
        <v>55</v>
      </c>
      <c r="H981">
        <v>1</v>
      </c>
      <c r="I981">
        <v>2</v>
      </c>
      <c r="J981">
        <v>1</v>
      </c>
      <c r="K981" t="s">
        <v>110</v>
      </c>
      <c r="L981" t="s">
        <v>124</v>
      </c>
      <c r="M981" s="4">
        <v>430000000</v>
      </c>
      <c r="N981">
        <v>0</v>
      </c>
      <c r="O981">
        <v>4.6474010000000003</v>
      </c>
      <c r="P981">
        <v>-74.0530227</v>
      </c>
      <c r="Q981" t="s">
        <v>3903</v>
      </c>
      <c r="R981">
        <v>7818181.818</v>
      </c>
      <c r="S981">
        <v>0</v>
      </c>
      <c r="T981" t="s">
        <v>126</v>
      </c>
      <c r="U981" t="s">
        <v>127</v>
      </c>
      <c r="V981" t="s">
        <v>77</v>
      </c>
      <c r="W981" t="s">
        <v>128</v>
      </c>
      <c r="X981" t="s">
        <v>129</v>
      </c>
      <c r="Y981">
        <v>2.8896171102183099</v>
      </c>
      <c r="Z981">
        <v>2889.6171102183098</v>
      </c>
      <c r="AA981">
        <v>4.6254861111111101</v>
      </c>
      <c r="AB981">
        <v>-74.066980555555503</v>
      </c>
      <c r="AC981">
        <v>2621</v>
      </c>
      <c r="AD981">
        <v>15</v>
      </c>
      <c r="AE981" t="s">
        <v>80</v>
      </c>
      <c r="AF981" t="s">
        <v>81</v>
      </c>
      <c r="AG981" t="s">
        <v>82</v>
      </c>
      <c r="AH981" t="s">
        <v>83</v>
      </c>
      <c r="AI981" t="s">
        <v>130</v>
      </c>
      <c r="AJ981">
        <v>1.3184267805704499</v>
      </c>
      <c r="AK981">
        <v>0.117274598796046</v>
      </c>
      <c r="AL981">
        <v>0.539735733090699</v>
      </c>
      <c r="AM981">
        <v>0.51254981589682702</v>
      </c>
      <c r="AN981">
        <v>0.873752286735897</v>
      </c>
      <c r="AO981">
        <v>0.39185680193917899</v>
      </c>
      <c r="AP981">
        <v>0.39185680193917899</v>
      </c>
      <c r="AQ981">
        <v>0</v>
      </c>
      <c r="AR981">
        <v>0</v>
      </c>
      <c r="AS981">
        <v>18</v>
      </c>
      <c r="AT981">
        <v>55</v>
      </c>
      <c r="AU981">
        <v>4</v>
      </c>
      <c r="AV981">
        <v>22</v>
      </c>
      <c r="AW981">
        <v>1</v>
      </c>
      <c r="AX981">
        <v>0</v>
      </c>
      <c r="AZ981">
        <v>6.8</v>
      </c>
      <c r="BA981">
        <v>19.899999999999999</v>
      </c>
      <c r="BB981">
        <v>564</v>
      </c>
      <c r="BC981">
        <v>68</v>
      </c>
      <c r="BD981">
        <v>1.5</v>
      </c>
      <c r="BE981">
        <v>135</v>
      </c>
      <c r="BF981">
        <v>0.8</v>
      </c>
      <c r="BG981">
        <v>162</v>
      </c>
      <c r="BH981">
        <v>9.1</v>
      </c>
      <c r="BI981">
        <v>9.1999999999999993</v>
      </c>
      <c r="BJ981">
        <v>18.3</v>
      </c>
      <c r="BK981">
        <v>0.34</v>
      </c>
      <c r="BL981">
        <v>7.3</v>
      </c>
      <c r="BM981">
        <v>0.9</v>
      </c>
      <c r="BN981">
        <v>7.5</v>
      </c>
      <c r="BO981">
        <v>2.9</v>
      </c>
      <c r="BP981">
        <f t="shared" si="30"/>
        <v>5.8937152141683216</v>
      </c>
      <c r="BQ981">
        <f t="shared" si="31"/>
        <v>18.566686399703276</v>
      </c>
    </row>
    <row r="982" spans="1:69" hidden="1" x14ac:dyDescent="0.2">
      <c r="A982" t="s">
        <v>4049</v>
      </c>
      <c r="B982" t="s">
        <v>68</v>
      </c>
      <c r="C982" t="s">
        <v>3294</v>
      </c>
      <c r="D982" t="s">
        <v>70</v>
      </c>
      <c r="E982" t="s">
        <v>3798</v>
      </c>
      <c r="F982">
        <v>4</v>
      </c>
      <c r="G982">
        <v>55</v>
      </c>
      <c r="H982">
        <v>1</v>
      </c>
      <c r="I982">
        <v>2</v>
      </c>
      <c r="J982">
        <v>1</v>
      </c>
      <c r="K982" t="s">
        <v>110</v>
      </c>
      <c r="L982" t="s">
        <v>124</v>
      </c>
      <c r="M982" s="4">
        <v>390000000</v>
      </c>
      <c r="N982">
        <v>0</v>
      </c>
      <c r="O982">
        <v>4.6380949999999999</v>
      </c>
      <c r="P982">
        <v>-74.078384</v>
      </c>
      <c r="Q982" t="s">
        <v>4050</v>
      </c>
      <c r="R982">
        <v>7090909.091</v>
      </c>
      <c r="S982">
        <v>0</v>
      </c>
      <c r="T982" t="s">
        <v>126</v>
      </c>
      <c r="U982" t="s">
        <v>127</v>
      </c>
      <c r="V982" t="s">
        <v>77</v>
      </c>
      <c r="W982" t="s">
        <v>128</v>
      </c>
      <c r="X982" t="s">
        <v>129</v>
      </c>
      <c r="Y982">
        <v>1.8897271561331901</v>
      </c>
      <c r="Z982">
        <v>1889.72715613319</v>
      </c>
      <c r="AA982">
        <v>4.6254861111111101</v>
      </c>
      <c r="AB982">
        <v>-74.066980555555503</v>
      </c>
      <c r="AC982">
        <v>2621</v>
      </c>
      <c r="AD982">
        <v>15</v>
      </c>
      <c r="AE982" t="s">
        <v>80</v>
      </c>
      <c r="AF982" t="s">
        <v>81</v>
      </c>
      <c r="AG982" t="s">
        <v>82</v>
      </c>
      <c r="AH982" t="s">
        <v>83</v>
      </c>
      <c r="AI982" t="s">
        <v>84</v>
      </c>
      <c r="AJ982">
        <v>0.15000161370454701</v>
      </c>
      <c r="AK982">
        <v>2.1013795210903701</v>
      </c>
      <c r="AL982">
        <v>0.22441009641596299</v>
      </c>
      <c r="AM982">
        <v>1.7120924186914601E-2</v>
      </c>
      <c r="AN982">
        <v>1.7508864378421001</v>
      </c>
      <c r="AO982">
        <v>0.57466715507520905</v>
      </c>
      <c r="AP982">
        <v>0.57466715507520905</v>
      </c>
      <c r="AQ982">
        <v>1</v>
      </c>
      <c r="AR982">
        <v>4</v>
      </c>
      <c r="AS982">
        <v>0</v>
      </c>
      <c r="AT982">
        <v>0</v>
      </c>
      <c r="AU982">
        <v>6</v>
      </c>
      <c r="AV982">
        <v>91</v>
      </c>
      <c r="AW982">
        <v>0</v>
      </c>
      <c r="AX982">
        <v>0</v>
      </c>
      <c r="AZ982">
        <v>6.8</v>
      </c>
      <c r="BA982">
        <v>19.899999999999999</v>
      </c>
      <c r="BB982">
        <v>564</v>
      </c>
      <c r="BC982">
        <v>68</v>
      </c>
      <c r="BD982">
        <v>1.5</v>
      </c>
      <c r="BE982">
        <v>135</v>
      </c>
      <c r="BF982">
        <v>0.8</v>
      </c>
      <c r="BG982">
        <v>162</v>
      </c>
      <c r="BH982">
        <v>9.1</v>
      </c>
      <c r="BI982">
        <v>9.1999999999999993</v>
      </c>
      <c r="BJ982">
        <v>18.3</v>
      </c>
      <c r="BK982">
        <v>0.34</v>
      </c>
      <c r="BL982">
        <v>7.3</v>
      </c>
      <c r="BM982">
        <v>0.9</v>
      </c>
      <c r="BN982">
        <v>7.5</v>
      </c>
      <c r="BO982">
        <v>2.9</v>
      </c>
      <c r="BP982">
        <f t="shared" si="30"/>
        <v>6.1927615493034738</v>
      </c>
      <c r="BQ982">
        <f t="shared" si="31"/>
        <v>19.017626886969634</v>
      </c>
    </row>
    <row r="983" spans="1:69" hidden="1" x14ac:dyDescent="0.2">
      <c r="A983" t="s">
        <v>672</v>
      </c>
      <c r="B983" t="s">
        <v>68</v>
      </c>
      <c r="C983" t="s">
        <v>69</v>
      </c>
      <c r="D983" t="s">
        <v>70</v>
      </c>
      <c r="E983" t="s">
        <v>673</v>
      </c>
      <c r="F983">
        <v>3</v>
      </c>
      <c r="G983">
        <v>55</v>
      </c>
      <c r="H983">
        <v>3</v>
      </c>
      <c r="I983">
        <v>2</v>
      </c>
      <c r="J983">
        <v>1</v>
      </c>
      <c r="K983" t="s">
        <v>110</v>
      </c>
      <c r="L983" t="s">
        <v>111</v>
      </c>
      <c r="M983" s="4">
        <v>345000000</v>
      </c>
      <c r="N983">
        <v>0</v>
      </c>
      <c r="O983">
        <v>4.6770420000000001</v>
      </c>
      <c r="P983">
        <v>-74.076849999999993</v>
      </c>
      <c r="Q983" t="s">
        <v>674</v>
      </c>
      <c r="R983">
        <v>6272727.273</v>
      </c>
      <c r="S983">
        <v>0</v>
      </c>
      <c r="T983" t="s">
        <v>75</v>
      </c>
      <c r="U983" t="s">
        <v>76</v>
      </c>
      <c r="V983" t="s">
        <v>77</v>
      </c>
      <c r="W983" t="s">
        <v>78</v>
      </c>
      <c r="X983" t="s">
        <v>79</v>
      </c>
      <c r="Y983">
        <v>2.2134238392532399</v>
      </c>
      <c r="Z983">
        <v>2213.4238392532402</v>
      </c>
      <c r="AA983">
        <v>4.6584666666666701</v>
      </c>
      <c r="AB983">
        <v>-74.083966666666697</v>
      </c>
      <c r="AC983">
        <v>2552</v>
      </c>
      <c r="AD983">
        <v>0</v>
      </c>
      <c r="AE983" t="s">
        <v>80</v>
      </c>
      <c r="AF983" t="s">
        <v>81</v>
      </c>
      <c r="AG983" t="s">
        <v>82</v>
      </c>
      <c r="AH983" t="s">
        <v>83</v>
      </c>
      <c r="AI983" t="s">
        <v>342</v>
      </c>
      <c r="AJ983">
        <v>0.406375873866338</v>
      </c>
      <c r="AK983">
        <v>3.76894591210741</v>
      </c>
      <c r="AL983">
        <v>1.0894751786660299</v>
      </c>
      <c r="AM983">
        <v>7.9422478938128899E-2</v>
      </c>
      <c r="AN983">
        <v>0.66048564956645806</v>
      </c>
      <c r="AO983">
        <v>3.4119630507472798E-2</v>
      </c>
      <c r="AP983">
        <v>3.4119630507472798E-2</v>
      </c>
      <c r="AQ983">
        <v>1</v>
      </c>
      <c r="AR983">
        <v>4</v>
      </c>
      <c r="AS983">
        <v>0</v>
      </c>
      <c r="AT983">
        <v>0</v>
      </c>
      <c r="AU983">
        <v>0</v>
      </c>
      <c r="AV983">
        <v>15</v>
      </c>
      <c r="AW983">
        <v>1</v>
      </c>
      <c r="AX983">
        <v>0</v>
      </c>
      <c r="AZ983">
        <v>6.8</v>
      </c>
      <c r="BA983">
        <v>19.899999999999999</v>
      </c>
      <c r="BB983">
        <v>564</v>
      </c>
      <c r="BC983">
        <v>68</v>
      </c>
      <c r="BD983">
        <v>1.5</v>
      </c>
      <c r="BE983">
        <v>135</v>
      </c>
      <c r="BF983">
        <v>0.8</v>
      </c>
      <c r="BG983">
        <v>162</v>
      </c>
      <c r="BH983">
        <v>9.1</v>
      </c>
      <c r="BI983">
        <v>9.1999999999999993</v>
      </c>
      <c r="BJ983">
        <v>18.3</v>
      </c>
      <c r="BK983">
        <v>0.34</v>
      </c>
      <c r="BL983">
        <v>7.3</v>
      </c>
      <c r="BM983">
        <v>0.9</v>
      </c>
      <c r="BN983">
        <v>7.5</v>
      </c>
      <c r="BO983">
        <v>2.9</v>
      </c>
      <c r="BP983">
        <f t="shared" si="30"/>
        <v>6.0943257426067978</v>
      </c>
      <c r="BQ983">
        <f t="shared" si="31"/>
        <v>18.870456663448916</v>
      </c>
    </row>
    <row r="984" spans="1:69" hidden="1" x14ac:dyDescent="0.2">
      <c r="A984" t="s">
        <v>793</v>
      </c>
      <c r="B984" t="s">
        <v>68</v>
      </c>
      <c r="C984" t="s">
        <v>69</v>
      </c>
      <c r="D984" t="s">
        <v>70</v>
      </c>
      <c r="E984" t="s">
        <v>794</v>
      </c>
      <c r="F984">
        <v>2</v>
      </c>
      <c r="G984">
        <v>54.9</v>
      </c>
      <c r="H984">
        <v>3</v>
      </c>
      <c r="I984">
        <v>2</v>
      </c>
      <c r="J984">
        <v>0</v>
      </c>
      <c r="K984" t="s">
        <v>72</v>
      </c>
      <c r="L984" t="s">
        <v>73</v>
      </c>
      <c r="M984" s="4">
        <v>234110000</v>
      </c>
      <c r="N984">
        <v>0</v>
      </c>
      <c r="O984">
        <v>4.6293844999999996</v>
      </c>
      <c r="P984">
        <v>-74.207579999999993</v>
      </c>
      <c r="Q984" t="s">
        <v>795</v>
      </c>
      <c r="R984">
        <v>4264298.7249999996</v>
      </c>
      <c r="S984">
        <v>0</v>
      </c>
      <c r="T984" t="s">
        <v>365</v>
      </c>
      <c r="U984" t="s">
        <v>366</v>
      </c>
      <c r="V984" t="s">
        <v>77</v>
      </c>
      <c r="W984" t="s">
        <v>365</v>
      </c>
      <c r="X984" t="s">
        <v>367</v>
      </c>
      <c r="Y984">
        <v>2.6751795149599298</v>
      </c>
      <c r="Z984">
        <v>2675.1795149599302</v>
      </c>
      <c r="AA984">
        <v>4.6056111111111102</v>
      </c>
      <c r="AB984">
        <v>-74.204055555555598</v>
      </c>
      <c r="AC984">
        <v>2546</v>
      </c>
      <c r="AD984">
        <v>0</v>
      </c>
      <c r="AE984" t="s">
        <v>80</v>
      </c>
      <c r="AF984" t="s">
        <v>107</v>
      </c>
      <c r="AG984" t="s">
        <v>82</v>
      </c>
      <c r="AH984" t="s">
        <v>83</v>
      </c>
      <c r="AI984" t="s">
        <v>368</v>
      </c>
      <c r="AJ984">
        <v>3.82822816552018</v>
      </c>
      <c r="AK984">
        <v>0.61157518878163797</v>
      </c>
      <c r="AL984">
        <v>8.6361610867448295</v>
      </c>
      <c r="AM984">
        <v>1.38699368470878</v>
      </c>
      <c r="AN984">
        <v>3.9687514046329899</v>
      </c>
      <c r="AO984">
        <v>0.19560391940189301</v>
      </c>
      <c r="AP984">
        <v>0.19560391940189301</v>
      </c>
      <c r="AQ984">
        <v>0</v>
      </c>
      <c r="AR984">
        <v>0</v>
      </c>
      <c r="AS984">
        <v>0</v>
      </c>
      <c r="AT984">
        <v>5</v>
      </c>
      <c r="AU984">
        <v>0</v>
      </c>
      <c r="AV984">
        <v>0</v>
      </c>
      <c r="AW984">
        <v>0</v>
      </c>
      <c r="AX984">
        <v>0</v>
      </c>
      <c r="AZ984">
        <v>6.8</v>
      </c>
      <c r="BA984">
        <v>19.899999999999999</v>
      </c>
      <c r="BB984">
        <v>564</v>
      </c>
      <c r="BC984">
        <v>68</v>
      </c>
      <c r="BD984">
        <v>1.5</v>
      </c>
      <c r="BE984">
        <v>135</v>
      </c>
      <c r="BF984">
        <v>0.8</v>
      </c>
      <c r="BG984">
        <v>162</v>
      </c>
      <c r="BH984">
        <v>9.1</v>
      </c>
      <c r="BI984">
        <v>9.1999999999999993</v>
      </c>
      <c r="BJ984">
        <v>18.3</v>
      </c>
      <c r="BK984">
        <v>0.34</v>
      </c>
      <c r="BL984">
        <v>7.3</v>
      </c>
      <c r="BM984">
        <v>0.9</v>
      </c>
      <c r="BN984">
        <v>7.5</v>
      </c>
      <c r="BO984">
        <v>2.9</v>
      </c>
      <c r="BP984">
        <f t="shared" si="30"/>
        <v>5.9566082063702854</v>
      </c>
      <c r="BQ984">
        <f t="shared" si="31"/>
        <v>18.662486199200185</v>
      </c>
    </row>
    <row r="985" spans="1:69" hidden="1" x14ac:dyDescent="0.2">
      <c r="A985" t="s">
        <v>1630</v>
      </c>
      <c r="B985" t="s">
        <v>68</v>
      </c>
      <c r="C985" t="s">
        <v>69</v>
      </c>
      <c r="D985" t="s">
        <v>70</v>
      </c>
      <c r="E985" t="s">
        <v>627</v>
      </c>
      <c r="F985">
        <v>4</v>
      </c>
      <c r="G985">
        <v>54.36</v>
      </c>
      <c r="H985">
        <v>2</v>
      </c>
      <c r="I985">
        <v>2</v>
      </c>
      <c r="J985">
        <v>1</v>
      </c>
      <c r="K985" t="s">
        <v>110</v>
      </c>
      <c r="L985" t="s">
        <v>133</v>
      </c>
      <c r="M985" s="4">
        <v>370000000</v>
      </c>
      <c r="N985">
        <v>0</v>
      </c>
      <c r="O985">
        <v>4.7232019999999997</v>
      </c>
      <c r="P985">
        <v>-74.126239999999996</v>
      </c>
      <c r="Q985" t="s">
        <v>1631</v>
      </c>
      <c r="R985">
        <v>6806475.3499999996</v>
      </c>
      <c r="S985">
        <v>0</v>
      </c>
      <c r="T985" t="s">
        <v>419</v>
      </c>
      <c r="U985" t="s">
        <v>420</v>
      </c>
      <c r="V985" t="s">
        <v>77</v>
      </c>
      <c r="W985" t="s">
        <v>78</v>
      </c>
      <c r="X985" t="s">
        <v>421</v>
      </c>
      <c r="Y985">
        <v>1.4035620053458999</v>
      </c>
      <c r="Z985">
        <v>1403.5620053458999</v>
      </c>
      <c r="AA985">
        <v>4.7358055555555598</v>
      </c>
      <c r="AB985">
        <v>-74.125888888888895</v>
      </c>
      <c r="AC985">
        <v>2574</v>
      </c>
      <c r="AD985">
        <v>0</v>
      </c>
      <c r="AE985" t="s">
        <v>154</v>
      </c>
      <c r="AF985" t="s">
        <v>107</v>
      </c>
      <c r="AG985" t="s">
        <v>82</v>
      </c>
      <c r="AH985" t="s">
        <v>83</v>
      </c>
      <c r="AI985" t="s">
        <v>412</v>
      </c>
      <c r="AJ985">
        <v>2.2863482310510999</v>
      </c>
      <c r="AK985">
        <v>0.15029786043335</v>
      </c>
      <c r="AL985">
        <v>3.9560573403333601</v>
      </c>
      <c r="AM985">
        <v>0.255207974049179</v>
      </c>
      <c r="AN985">
        <v>3.5677369490930499</v>
      </c>
      <c r="AO985">
        <v>4.92918903147268E-3</v>
      </c>
      <c r="AP985">
        <v>4.92918903147268E-3</v>
      </c>
      <c r="AQ985">
        <v>0</v>
      </c>
      <c r="AR985">
        <v>0</v>
      </c>
      <c r="AS985">
        <v>9</v>
      </c>
      <c r="AT985">
        <v>12</v>
      </c>
      <c r="AU985">
        <v>0</v>
      </c>
      <c r="AV985">
        <v>4</v>
      </c>
      <c r="AW985">
        <v>0</v>
      </c>
      <c r="AX985">
        <v>0</v>
      </c>
      <c r="AZ985">
        <v>6.8</v>
      </c>
      <c r="BA985">
        <v>19.899999999999999</v>
      </c>
      <c r="BB985">
        <v>564</v>
      </c>
      <c r="BC985">
        <v>68</v>
      </c>
      <c r="BD985">
        <v>1.5</v>
      </c>
      <c r="BE985">
        <v>135</v>
      </c>
      <c r="BF985">
        <v>0.8</v>
      </c>
      <c r="BG985">
        <v>162</v>
      </c>
      <c r="BH985">
        <v>9.1</v>
      </c>
      <c r="BI985">
        <v>9.1999999999999993</v>
      </c>
      <c r="BJ985">
        <v>18.3</v>
      </c>
      <c r="BK985">
        <v>0.34</v>
      </c>
      <c r="BL985">
        <v>7.3</v>
      </c>
      <c r="BM985">
        <v>0.9</v>
      </c>
      <c r="BN985">
        <v>7.5</v>
      </c>
      <c r="BO985">
        <v>2.9</v>
      </c>
      <c r="BP985">
        <f t="shared" si="30"/>
        <v>6.3435991263285763</v>
      </c>
      <c r="BQ985">
        <f t="shared" si="31"/>
        <v>19.240823458155813</v>
      </c>
    </row>
    <row r="986" spans="1:69" hidden="1" x14ac:dyDescent="0.2">
      <c r="A986" t="s">
        <v>4218</v>
      </c>
      <c r="B986" t="s">
        <v>68</v>
      </c>
      <c r="C986" t="s">
        <v>3294</v>
      </c>
      <c r="D986" t="s">
        <v>70</v>
      </c>
      <c r="E986" t="s">
        <v>1530</v>
      </c>
      <c r="F986">
        <v>3</v>
      </c>
      <c r="G986">
        <v>54</v>
      </c>
      <c r="H986">
        <v>1</v>
      </c>
      <c r="I986">
        <v>1</v>
      </c>
      <c r="J986">
        <v>1</v>
      </c>
      <c r="K986" t="s">
        <v>110</v>
      </c>
      <c r="L986" t="s">
        <v>111</v>
      </c>
      <c r="M986" s="4">
        <v>660000000</v>
      </c>
      <c r="N986">
        <v>0</v>
      </c>
      <c r="O986">
        <v>4.6182479860000001</v>
      </c>
      <c r="P986">
        <v>-74.067604059999994</v>
      </c>
      <c r="Q986" t="s">
        <v>4219</v>
      </c>
      <c r="R986">
        <v>12222222.220000001</v>
      </c>
      <c r="S986">
        <v>0</v>
      </c>
      <c r="T986" t="s">
        <v>126</v>
      </c>
      <c r="U986" t="s">
        <v>127</v>
      </c>
      <c r="V986" t="s">
        <v>77</v>
      </c>
      <c r="W986" t="s">
        <v>128</v>
      </c>
      <c r="X986" t="s">
        <v>129</v>
      </c>
      <c r="Y986">
        <v>0.80870900730704798</v>
      </c>
      <c r="Z986">
        <v>808.70900730704795</v>
      </c>
      <c r="AA986">
        <v>4.6254861111111101</v>
      </c>
      <c r="AB986">
        <v>-74.066980555555503</v>
      </c>
      <c r="AC986">
        <v>2621</v>
      </c>
      <c r="AD986">
        <v>15</v>
      </c>
      <c r="AE986" t="s">
        <v>80</v>
      </c>
      <c r="AF986" t="s">
        <v>81</v>
      </c>
      <c r="AG986" t="s">
        <v>82</v>
      </c>
      <c r="AH986" t="s">
        <v>83</v>
      </c>
      <c r="AI986" t="s">
        <v>138</v>
      </c>
      <c r="AJ986">
        <v>0.37728943586000002</v>
      </c>
      <c r="AK986">
        <v>0.54814671608964205</v>
      </c>
      <c r="AL986">
        <v>0.33706103228955397</v>
      </c>
      <c r="AM986">
        <v>6.9678573708152197E-2</v>
      </c>
      <c r="AN986">
        <v>0.35535215647576401</v>
      </c>
      <c r="AO986">
        <v>0.14293296740255401</v>
      </c>
      <c r="AP986">
        <v>0.14293296740255401</v>
      </c>
      <c r="AQ986">
        <v>2</v>
      </c>
      <c r="AR986">
        <v>7</v>
      </c>
      <c r="AS986">
        <v>0</v>
      </c>
      <c r="AT986">
        <v>6</v>
      </c>
      <c r="AU986">
        <v>12</v>
      </c>
      <c r="AV986">
        <v>68</v>
      </c>
      <c r="AW986">
        <v>1</v>
      </c>
      <c r="AX986">
        <v>2</v>
      </c>
      <c r="AZ986">
        <v>6.8</v>
      </c>
      <c r="BA986">
        <v>19.899999999999999</v>
      </c>
      <c r="BB986">
        <v>564</v>
      </c>
      <c r="BC986">
        <v>68</v>
      </c>
      <c r="BD986">
        <v>1.5</v>
      </c>
      <c r="BE986">
        <v>135</v>
      </c>
      <c r="BF986">
        <v>0.8</v>
      </c>
      <c r="BG986">
        <v>162</v>
      </c>
      <c r="BH986">
        <v>9.1</v>
      </c>
      <c r="BI986">
        <v>9.1999999999999993</v>
      </c>
      <c r="BJ986">
        <v>18.3</v>
      </c>
      <c r="BK986">
        <v>0.34</v>
      </c>
      <c r="BL986">
        <v>7.3</v>
      </c>
      <c r="BM986">
        <v>0.9</v>
      </c>
      <c r="BN986">
        <v>7.5</v>
      </c>
      <c r="BO986">
        <v>2.9</v>
      </c>
      <c r="BP986">
        <f t="shared" si="30"/>
        <v>6.5331650286809468</v>
      </c>
      <c r="BQ986">
        <f t="shared" si="31"/>
        <v>19.517484708879476</v>
      </c>
    </row>
    <row r="987" spans="1:69" hidden="1" x14ac:dyDescent="0.2">
      <c r="A987" t="s">
        <v>3558</v>
      </c>
      <c r="B987" t="s">
        <v>68</v>
      </c>
      <c r="C987" t="s">
        <v>3294</v>
      </c>
      <c r="D987" t="s">
        <v>70</v>
      </c>
      <c r="E987" t="s">
        <v>3559</v>
      </c>
      <c r="F987">
        <v>4</v>
      </c>
      <c r="G987">
        <v>54</v>
      </c>
      <c r="H987">
        <v>1</v>
      </c>
      <c r="I987">
        <v>2</v>
      </c>
      <c r="J987">
        <v>1</v>
      </c>
      <c r="K987" t="s">
        <v>110</v>
      </c>
      <c r="L987" t="s">
        <v>133</v>
      </c>
      <c r="M987" s="4">
        <v>600000000</v>
      </c>
      <c r="N987">
        <v>0</v>
      </c>
      <c r="O987">
        <v>4.6192099999999998</v>
      </c>
      <c r="P987">
        <v>-74.066559999999996</v>
      </c>
      <c r="Q987" t="s">
        <v>3560</v>
      </c>
      <c r="R987">
        <v>11111111.109999999</v>
      </c>
      <c r="S987">
        <v>0</v>
      </c>
      <c r="T987" t="s">
        <v>126</v>
      </c>
      <c r="U987" t="s">
        <v>127</v>
      </c>
      <c r="V987" t="s">
        <v>77</v>
      </c>
      <c r="W987" t="s">
        <v>128</v>
      </c>
      <c r="X987" t="s">
        <v>129</v>
      </c>
      <c r="Y987">
        <v>0.70021011849888604</v>
      </c>
      <c r="Z987">
        <v>700.210118498886</v>
      </c>
      <c r="AA987">
        <v>4.6254861111111101</v>
      </c>
      <c r="AB987">
        <v>-74.066980555555503</v>
      </c>
      <c r="AC987">
        <v>2621</v>
      </c>
      <c r="AD987">
        <v>15</v>
      </c>
      <c r="AE987" t="s">
        <v>80</v>
      </c>
      <c r="AF987" t="s">
        <v>81</v>
      </c>
      <c r="AG987" t="s">
        <v>82</v>
      </c>
      <c r="AH987" t="s">
        <v>83</v>
      </c>
      <c r="AI987" t="s">
        <v>138</v>
      </c>
      <c r="AJ987">
        <v>0.437110709726445</v>
      </c>
      <c r="AK987">
        <v>0.51822644484147695</v>
      </c>
      <c r="AL987">
        <v>0.19519738183201299</v>
      </c>
      <c r="AM987">
        <v>0.13292359280176899</v>
      </c>
      <c r="AN987">
        <v>0.43452513969567502</v>
      </c>
      <c r="AO987">
        <v>0.10740463668863</v>
      </c>
      <c r="AP987">
        <v>0.10740463668863</v>
      </c>
      <c r="AQ987">
        <v>1</v>
      </c>
      <c r="AR987">
        <v>5</v>
      </c>
      <c r="AS987">
        <v>0</v>
      </c>
      <c r="AT987">
        <v>8</v>
      </c>
      <c r="AU987">
        <v>13</v>
      </c>
      <c r="AV987">
        <v>69</v>
      </c>
      <c r="AW987">
        <v>2</v>
      </c>
      <c r="AX987">
        <v>2</v>
      </c>
      <c r="AZ987">
        <v>6.8</v>
      </c>
      <c r="BA987">
        <v>19.899999999999999</v>
      </c>
      <c r="BB987">
        <v>564</v>
      </c>
      <c r="BC987">
        <v>68</v>
      </c>
      <c r="BD987">
        <v>1.5</v>
      </c>
      <c r="BE987">
        <v>135</v>
      </c>
      <c r="BF987">
        <v>0.8</v>
      </c>
      <c r="BG987">
        <v>162</v>
      </c>
      <c r="BH987">
        <v>9.1</v>
      </c>
      <c r="BI987">
        <v>9.1999999999999993</v>
      </c>
      <c r="BJ987">
        <v>18.3</v>
      </c>
      <c r="BK987">
        <v>0.34</v>
      </c>
      <c r="BL987">
        <v>7.3</v>
      </c>
      <c r="BM987">
        <v>0.9</v>
      </c>
      <c r="BN987">
        <v>7.5</v>
      </c>
      <c r="BO987">
        <v>2.9</v>
      </c>
      <c r="BP987">
        <f t="shared" si="30"/>
        <v>6.5683470568128737</v>
      </c>
      <c r="BQ987">
        <f t="shared" si="31"/>
        <v>19.568373946911382</v>
      </c>
    </row>
    <row r="988" spans="1:69" hidden="1" x14ac:dyDescent="0.2">
      <c r="A988" t="s">
        <v>4216</v>
      </c>
      <c r="B988" t="s">
        <v>68</v>
      </c>
      <c r="C988" t="s">
        <v>3294</v>
      </c>
      <c r="D988" t="s">
        <v>70</v>
      </c>
      <c r="E988" t="s">
        <v>108</v>
      </c>
      <c r="F988">
        <v>6</v>
      </c>
      <c r="G988">
        <v>54</v>
      </c>
      <c r="H988">
        <v>1</v>
      </c>
      <c r="I988">
        <v>2</v>
      </c>
      <c r="J988">
        <v>1</v>
      </c>
      <c r="K988" t="s">
        <v>110</v>
      </c>
      <c r="L988" t="s">
        <v>111</v>
      </c>
      <c r="M988" s="4">
        <v>425000000</v>
      </c>
      <c r="N988">
        <v>0</v>
      </c>
      <c r="O988">
        <v>4.6068800000000003</v>
      </c>
      <c r="P988">
        <v>-74.071839999999995</v>
      </c>
      <c r="Q988" t="s">
        <v>4217</v>
      </c>
      <c r="R988">
        <v>7870370.3700000001</v>
      </c>
      <c r="S988">
        <v>0</v>
      </c>
      <c r="T988" t="s">
        <v>126</v>
      </c>
      <c r="U988" t="s">
        <v>127</v>
      </c>
      <c r="V988" t="s">
        <v>77</v>
      </c>
      <c r="W988" t="s">
        <v>128</v>
      </c>
      <c r="X988" t="s">
        <v>129</v>
      </c>
      <c r="Y988">
        <v>2.1402561574389298</v>
      </c>
      <c r="Z988">
        <v>2140.2561574389301</v>
      </c>
      <c r="AA988">
        <v>4.6254861111111101</v>
      </c>
      <c r="AB988">
        <v>-74.066980555555503</v>
      </c>
      <c r="AC988">
        <v>2621</v>
      </c>
      <c r="AD988">
        <v>15</v>
      </c>
      <c r="AE988" t="s">
        <v>80</v>
      </c>
      <c r="AF988" t="s">
        <v>81</v>
      </c>
      <c r="AG988" t="s">
        <v>82</v>
      </c>
      <c r="AH988" t="s">
        <v>83</v>
      </c>
      <c r="AI988" t="s">
        <v>138</v>
      </c>
      <c r="AJ988">
        <v>0.29008746862006501</v>
      </c>
      <c r="AK988">
        <v>0.77934653195057702</v>
      </c>
      <c r="AL988">
        <v>0.133869760857704</v>
      </c>
      <c r="AM988">
        <v>0.14893351680112499</v>
      </c>
      <c r="AN988">
        <v>1.1095532551276599</v>
      </c>
      <c r="AO988">
        <v>0.10054457565418499</v>
      </c>
      <c r="AP988">
        <v>0.10054457565418499</v>
      </c>
      <c r="AQ988">
        <v>2</v>
      </c>
      <c r="AR988">
        <v>10</v>
      </c>
      <c r="AS988">
        <v>0</v>
      </c>
      <c r="AT988">
        <v>22</v>
      </c>
      <c r="AU988">
        <v>14</v>
      </c>
      <c r="AV988">
        <v>58</v>
      </c>
      <c r="AW988">
        <v>0</v>
      </c>
      <c r="AX988">
        <v>8</v>
      </c>
      <c r="AZ988">
        <v>6.8</v>
      </c>
      <c r="BA988">
        <v>19.899999999999999</v>
      </c>
      <c r="BB988">
        <v>564</v>
      </c>
      <c r="BC988">
        <v>68</v>
      </c>
      <c r="BD988">
        <v>1.5</v>
      </c>
      <c r="BE988">
        <v>135</v>
      </c>
      <c r="BF988">
        <v>0.8</v>
      </c>
      <c r="BG988">
        <v>162</v>
      </c>
      <c r="BH988">
        <v>9.1</v>
      </c>
      <c r="BI988">
        <v>9.1999999999999993</v>
      </c>
      <c r="BJ988">
        <v>18.3</v>
      </c>
      <c r="BK988">
        <v>0.34</v>
      </c>
      <c r="BL988">
        <v>7.3</v>
      </c>
      <c r="BM988">
        <v>0.9</v>
      </c>
      <c r="BN988">
        <v>7.5</v>
      </c>
      <c r="BO988">
        <v>2.9</v>
      </c>
      <c r="BP988">
        <f t="shared" si="30"/>
        <v>6.1164381923702731</v>
      </c>
      <c r="BQ988">
        <f t="shared" si="31"/>
        <v>18.903622756812478</v>
      </c>
    </row>
    <row r="989" spans="1:69" hidden="1" x14ac:dyDescent="0.2">
      <c r="A989" t="s">
        <v>4242</v>
      </c>
      <c r="B989" t="s">
        <v>68</v>
      </c>
      <c r="C989" t="s">
        <v>3294</v>
      </c>
      <c r="D989" t="s">
        <v>70</v>
      </c>
      <c r="E989" t="s">
        <v>811</v>
      </c>
      <c r="F989">
        <v>3</v>
      </c>
      <c r="G989">
        <v>54</v>
      </c>
      <c r="H989">
        <v>1</v>
      </c>
      <c r="I989">
        <v>2</v>
      </c>
      <c r="J989">
        <v>1</v>
      </c>
      <c r="K989" t="s">
        <v>110</v>
      </c>
      <c r="L989" t="s">
        <v>124</v>
      </c>
      <c r="M989" s="4">
        <v>380000000</v>
      </c>
      <c r="N989">
        <v>0</v>
      </c>
      <c r="O989">
        <v>4.647738457</v>
      </c>
      <c r="P989">
        <v>-74.060745240000003</v>
      </c>
      <c r="Q989" t="s">
        <v>4243</v>
      </c>
      <c r="R989">
        <v>7037037.0369999995</v>
      </c>
      <c r="S989">
        <v>0</v>
      </c>
      <c r="T989" t="s">
        <v>126</v>
      </c>
      <c r="U989" t="s">
        <v>127</v>
      </c>
      <c r="V989" t="s">
        <v>77</v>
      </c>
      <c r="W989" t="s">
        <v>128</v>
      </c>
      <c r="X989" t="s">
        <v>129</v>
      </c>
      <c r="Y989">
        <v>2.5719187403758199</v>
      </c>
      <c r="Z989">
        <v>2571.9187403758201</v>
      </c>
      <c r="AA989">
        <v>4.6254861111111101</v>
      </c>
      <c r="AB989">
        <v>-74.066980555555503</v>
      </c>
      <c r="AC989">
        <v>2621</v>
      </c>
      <c r="AD989">
        <v>15</v>
      </c>
      <c r="AE989" t="s">
        <v>80</v>
      </c>
      <c r="AF989" t="s">
        <v>81</v>
      </c>
      <c r="AG989" t="s">
        <v>82</v>
      </c>
      <c r="AH989" t="s">
        <v>83</v>
      </c>
      <c r="AI989" t="s">
        <v>130</v>
      </c>
      <c r="AJ989">
        <v>0.46331278925005198</v>
      </c>
      <c r="AK989">
        <v>0.81395841409107605</v>
      </c>
      <c r="AL989">
        <v>9.7119936283234107E-2</v>
      </c>
      <c r="AM989">
        <v>0.101232668154594</v>
      </c>
      <c r="AN989">
        <v>0.72558740438689495</v>
      </c>
      <c r="AO989">
        <v>0.193257046899343</v>
      </c>
      <c r="AP989">
        <v>0.193257046899343</v>
      </c>
      <c r="AQ989">
        <v>1</v>
      </c>
      <c r="AR989">
        <v>3</v>
      </c>
      <c r="AS989">
        <v>0</v>
      </c>
      <c r="AT989">
        <v>12</v>
      </c>
      <c r="AU989">
        <v>14</v>
      </c>
      <c r="AV989">
        <v>77</v>
      </c>
      <c r="AW989">
        <v>1</v>
      </c>
      <c r="AX989">
        <v>0</v>
      </c>
      <c r="AZ989">
        <v>6.8</v>
      </c>
      <c r="BA989">
        <v>19.899999999999999</v>
      </c>
      <c r="BB989">
        <v>564</v>
      </c>
      <c r="BC989">
        <v>68</v>
      </c>
      <c r="BD989">
        <v>1.5</v>
      </c>
      <c r="BE989">
        <v>135</v>
      </c>
      <c r="BF989">
        <v>0.8</v>
      </c>
      <c r="BG989">
        <v>162</v>
      </c>
      <c r="BH989">
        <v>9.1</v>
      </c>
      <c r="BI989">
        <v>9.1999999999999993</v>
      </c>
      <c r="BJ989">
        <v>18.3</v>
      </c>
      <c r="BK989">
        <v>0.34</v>
      </c>
      <c r="BL989">
        <v>7.3</v>
      </c>
      <c r="BM989">
        <v>0.9</v>
      </c>
      <c r="BN989">
        <v>7.5</v>
      </c>
      <c r="BO989">
        <v>2.9</v>
      </c>
      <c r="BP989">
        <f t="shared" si="30"/>
        <v>5.9871328086407987</v>
      </c>
      <c r="BQ989">
        <f t="shared" si="31"/>
        <v>18.708794023615297</v>
      </c>
    </row>
    <row r="990" spans="1:69" hidden="1" x14ac:dyDescent="0.2">
      <c r="A990" t="s">
        <v>4362</v>
      </c>
      <c r="B990" t="s">
        <v>68</v>
      </c>
      <c r="C990" t="s">
        <v>3294</v>
      </c>
      <c r="D990" t="s">
        <v>70</v>
      </c>
      <c r="E990" t="s">
        <v>1530</v>
      </c>
      <c r="F990">
        <v>4</v>
      </c>
      <c r="G990">
        <v>53.86</v>
      </c>
      <c r="H990">
        <v>1</v>
      </c>
      <c r="I990">
        <v>2</v>
      </c>
      <c r="J990">
        <v>1</v>
      </c>
      <c r="K990" t="s">
        <v>110</v>
      </c>
      <c r="L990" t="s">
        <v>133</v>
      </c>
      <c r="M990" s="4">
        <v>460000000</v>
      </c>
      <c r="N990">
        <v>0</v>
      </c>
      <c r="O990">
        <v>4.6182499999999997</v>
      </c>
      <c r="P990">
        <v>-74.067599999999999</v>
      </c>
      <c r="Q990" t="s">
        <v>4363</v>
      </c>
      <c r="R990">
        <v>8540660.9729999993</v>
      </c>
      <c r="S990">
        <v>0</v>
      </c>
      <c r="T990" t="s">
        <v>126</v>
      </c>
      <c r="U990" t="s">
        <v>127</v>
      </c>
      <c r="V990" t="s">
        <v>77</v>
      </c>
      <c r="W990" t="s">
        <v>128</v>
      </c>
      <c r="X990" t="s">
        <v>129</v>
      </c>
      <c r="Y990">
        <v>0.80844720811516801</v>
      </c>
      <c r="Z990">
        <v>808.447208115168</v>
      </c>
      <c r="AA990">
        <v>4.6254861111111101</v>
      </c>
      <c r="AB990">
        <v>-74.066980555555503</v>
      </c>
      <c r="AC990">
        <v>2621</v>
      </c>
      <c r="AD990">
        <v>15</v>
      </c>
      <c r="AE990" t="s">
        <v>80</v>
      </c>
      <c r="AF990" t="s">
        <v>81</v>
      </c>
      <c r="AG990" t="s">
        <v>82</v>
      </c>
      <c r="AH990" t="s">
        <v>83</v>
      </c>
      <c r="AI990" t="s">
        <v>138</v>
      </c>
      <c r="AJ990">
        <v>0.377699870530816</v>
      </c>
      <c r="AK990">
        <v>0.54785569422110103</v>
      </c>
      <c r="AL990">
        <v>0.33665081448388201</v>
      </c>
      <c r="AM990">
        <v>6.9536496757347702E-2</v>
      </c>
      <c r="AN990">
        <v>0.35538351860973699</v>
      </c>
      <c r="AO990">
        <v>0.14341419106511899</v>
      </c>
      <c r="AP990">
        <v>0.14341419106511899</v>
      </c>
      <c r="AQ990">
        <v>2</v>
      </c>
      <c r="AR990">
        <v>7</v>
      </c>
      <c r="AS990">
        <v>0</v>
      </c>
      <c r="AT990">
        <v>6</v>
      </c>
      <c r="AU990">
        <v>12</v>
      </c>
      <c r="AV990">
        <v>68</v>
      </c>
      <c r="AW990">
        <v>1</v>
      </c>
      <c r="AX990">
        <v>2</v>
      </c>
      <c r="AZ990">
        <v>6.8</v>
      </c>
      <c r="BA990">
        <v>19.899999999999999</v>
      </c>
      <c r="BB990">
        <v>564</v>
      </c>
      <c r="BC990">
        <v>68</v>
      </c>
      <c r="BD990">
        <v>1.5</v>
      </c>
      <c r="BE990">
        <v>135</v>
      </c>
      <c r="BF990">
        <v>0.8</v>
      </c>
      <c r="BG990">
        <v>162</v>
      </c>
      <c r="BH990">
        <v>9.1</v>
      </c>
      <c r="BI990">
        <v>9.1999999999999993</v>
      </c>
      <c r="BJ990">
        <v>18.3</v>
      </c>
      <c r="BK990">
        <v>0.34</v>
      </c>
      <c r="BL990">
        <v>7.3</v>
      </c>
      <c r="BM990">
        <v>0.9</v>
      </c>
      <c r="BN990">
        <v>7.5</v>
      </c>
      <c r="BO990">
        <v>2.9</v>
      </c>
      <c r="BP990">
        <f t="shared" si="30"/>
        <v>6.5332496929071135</v>
      </c>
      <c r="BQ990">
        <f t="shared" si="31"/>
        <v>19.517607341146118</v>
      </c>
    </row>
    <row r="991" spans="1:69" hidden="1" x14ac:dyDescent="0.2">
      <c r="A991" t="s">
        <v>3326</v>
      </c>
      <c r="B991" t="s">
        <v>68</v>
      </c>
      <c r="C991" t="s">
        <v>3294</v>
      </c>
      <c r="D991" t="s">
        <v>70</v>
      </c>
      <c r="E991" t="s">
        <v>2521</v>
      </c>
      <c r="F991">
        <v>4</v>
      </c>
      <c r="G991">
        <v>53.17</v>
      </c>
      <c r="H991">
        <v>1</v>
      </c>
      <c r="I991">
        <v>1</v>
      </c>
      <c r="J991">
        <v>1</v>
      </c>
      <c r="K991" t="s">
        <v>110</v>
      </c>
      <c r="L991" t="s">
        <v>111</v>
      </c>
      <c r="M991" s="4">
        <v>650000000</v>
      </c>
      <c r="N991">
        <v>0</v>
      </c>
      <c r="O991">
        <v>4.6712499999999997</v>
      </c>
      <c r="P991">
        <v>-74.064930000000004</v>
      </c>
      <c r="Q991" t="s">
        <v>3327</v>
      </c>
      <c r="R991">
        <v>12224938.880000001</v>
      </c>
      <c r="S991">
        <v>0</v>
      </c>
      <c r="T991" t="s">
        <v>75</v>
      </c>
      <c r="U991" t="s">
        <v>76</v>
      </c>
      <c r="V991" t="s">
        <v>77</v>
      </c>
      <c r="W991" t="s">
        <v>78</v>
      </c>
      <c r="X991" t="s">
        <v>79</v>
      </c>
      <c r="Y991">
        <v>2.5467879479722999</v>
      </c>
      <c r="Z991">
        <v>2546.7879479723001</v>
      </c>
      <c r="AA991">
        <v>4.6584666666666701</v>
      </c>
      <c r="AB991">
        <v>-74.083966666666697</v>
      </c>
      <c r="AC991">
        <v>2552</v>
      </c>
      <c r="AD991">
        <v>0</v>
      </c>
      <c r="AE991" t="s">
        <v>80</v>
      </c>
      <c r="AF991" t="s">
        <v>81</v>
      </c>
      <c r="AG991" t="s">
        <v>82</v>
      </c>
      <c r="AH991" t="s">
        <v>83</v>
      </c>
      <c r="AI991" t="s">
        <v>342</v>
      </c>
      <c r="AJ991">
        <v>0.136890712308541</v>
      </c>
      <c r="AK991">
        <v>2.3076183359975002</v>
      </c>
      <c r="AL991">
        <v>0.80888925508398402</v>
      </c>
      <c r="AM991">
        <v>0.12815544697217901</v>
      </c>
      <c r="AN991">
        <v>1.89867080334959</v>
      </c>
      <c r="AO991">
        <v>4.7779363435587897E-2</v>
      </c>
      <c r="AP991">
        <v>4.7779363435587897E-2</v>
      </c>
      <c r="AQ991">
        <v>2</v>
      </c>
      <c r="AR991">
        <v>9</v>
      </c>
      <c r="AS991">
        <v>0</v>
      </c>
      <c r="AT991">
        <v>0</v>
      </c>
      <c r="AU991">
        <v>4</v>
      </c>
      <c r="AV991">
        <v>230</v>
      </c>
      <c r="AW991">
        <v>0</v>
      </c>
      <c r="AX991">
        <v>0</v>
      </c>
      <c r="AZ991">
        <v>6.8</v>
      </c>
      <c r="BA991">
        <v>19.899999999999999</v>
      </c>
      <c r="BB991">
        <v>564</v>
      </c>
      <c r="BC991">
        <v>68</v>
      </c>
      <c r="BD991">
        <v>1.5</v>
      </c>
      <c r="BE991">
        <v>135</v>
      </c>
      <c r="BF991">
        <v>0.8</v>
      </c>
      <c r="BG991">
        <v>162</v>
      </c>
      <c r="BH991">
        <v>9.1</v>
      </c>
      <c r="BI991">
        <v>9.1999999999999993</v>
      </c>
      <c r="BJ991">
        <v>18.3</v>
      </c>
      <c r="BK991">
        <v>0.34</v>
      </c>
      <c r="BL991">
        <v>7.3</v>
      </c>
      <c r="BM991">
        <v>0.9</v>
      </c>
      <c r="BN991">
        <v>7.5</v>
      </c>
      <c r="BO991">
        <v>2.9</v>
      </c>
      <c r="BP991">
        <f t="shared" si="30"/>
        <v>5.9945852819115446</v>
      </c>
      <c r="BQ991">
        <f t="shared" si="31"/>
        <v>18.720081430860446</v>
      </c>
    </row>
    <row r="992" spans="1:69" hidden="1" x14ac:dyDescent="0.2">
      <c r="A992" t="s">
        <v>1171</v>
      </c>
      <c r="B992" t="s">
        <v>68</v>
      </c>
      <c r="C992" t="s">
        <v>69</v>
      </c>
      <c r="D992" t="s">
        <v>70</v>
      </c>
      <c r="E992" t="s">
        <v>130</v>
      </c>
      <c r="F992">
        <v>6</v>
      </c>
      <c r="G992">
        <v>53</v>
      </c>
      <c r="H992">
        <v>2</v>
      </c>
      <c r="I992">
        <v>2</v>
      </c>
      <c r="J992">
        <v>0</v>
      </c>
      <c r="K992" t="s">
        <v>110</v>
      </c>
      <c r="L992" t="s">
        <v>111</v>
      </c>
      <c r="M992" s="4">
        <v>745000000</v>
      </c>
      <c r="N992">
        <v>0</v>
      </c>
      <c r="O992">
        <v>4.6567067</v>
      </c>
      <c r="P992">
        <v>-74.067803400000003</v>
      </c>
      <c r="Q992" t="s">
        <v>1172</v>
      </c>
      <c r="R992">
        <v>14056603.77</v>
      </c>
      <c r="S992">
        <v>0</v>
      </c>
      <c r="T992" t="s">
        <v>75</v>
      </c>
      <c r="U992" t="s">
        <v>76</v>
      </c>
      <c r="V992" t="s">
        <v>77</v>
      </c>
      <c r="W992" t="s">
        <v>78</v>
      </c>
      <c r="X992" t="s">
        <v>79</v>
      </c>
      <c r="Y992">
        <v>1.80401502797222</v>
      </c>
      <c r="Z992">
        <v>1804.01502797222</v>
      </c>
      <c r="AA992">
        <v>4.6584666666666701</v>
      </c>
      <c r="AB992">
        <v>-74.083966666666697</v>
      </c>
      <c r="AC992">
        <v>2552</v>
      </c>
      <c r="AD992">
        <v>0</v>
      </c>
      <c r="AE992" t="s">
        <v>80</v>
      </c>
      <c r="AF992" t="s">
        <v>81</v>
      </c>
      <c r="AG992" t="s">
        <v>82</v>
      </c>
      <c r="AH992" t="s">
        <v>83</v>
      </c>
      <c r="AI992" t="s">
        <v>342</v>
      </c>
      <c r="AJ992">
        <v>0.56775429968900604</v>
      </c>
      <c r="AK992">
        <v>2.0368457879939998</v>
      </c>
      <c r="AL992">
        <v>0.44985068286999103</v>
      </c>
      <c r="AM992">
        <v>0.27898090070738901</v>
      </c>
      <c r="AN992">
        <v>1.9677231876485299</v>
      </c>
      <c r="AO992">
        <v>0.109060400395645</v>
      </c>
      <c r="AP992">
        <v>0.109060400395645</v>
      </c>
      <c r="AQ992">
        <v>0</v>
      </c>
      <c r="AR992">
        <v>3</v>
      </c>
      <c r="AS992">
        <v>0</v>
      </c>
      <c r="AT992">
        <v>0</v>
      </c>
      <c r="AU992">
        <v>18</v>
      </c>
      <c r="AV992">
        <v>69</v>
      </c>
      <c r="AW992">
        <v>0</v>
      </c>
      <c r="AX992">
        <v>0</v>
      </c>
      <c r="AZ992">
        <v>6.8</v>
      </c>
      <c r="BA992">
        <v>19.899999999999999</v>
      </c>
      <c r="BB992">
        <v>564</v>
      </c>
      <c r="BC992">
        <v>68</v>
      </c>
      <c r="BD992">
        <v>1.5</v>
      </c>
      <c r="BE992">
        <v>135</v>
      </c>
      <c r="BF992">
        <v>0.8</v>
      </c>
      <c r="BG992">
        <v>162</v>
      </c>
      <c r="BH992">
        <v>9.1</v>
      </c>
      <c r="BI992">
        <v>9.1999999999999993</v>
      </c>
      <c r="BJ992">
        <v>18.3</v>
      </c>
      <c r="BK992">
        <v>0.34</v>
      </c>
      <c r="BL992">
        <v>7.3</v>
      </c>
      <c r="BM992">
        <v>0.9</v>
      </c>
      <c r="BN992">
        <v>7.5</v>
      </c>
      <c r="BO992">
        <v>2.9</v>
      </c>
      <c r="BP992">
        <f t="shared" si="30"/>
        <v>6.2190917071427414</v>
      </c>
      <c r="BQ992">
        <f t="shared" si="31"/>
        <v>19.056788142848266</v>
      </c>
    </row>
    <row r="993" spans="1:69" hidden="1" x14ac:dyDescent="0.2">
      <c r="A993" t="s">
        <v>3998</v>
      </c>
      <c r="B993" t="s">
        <v>68</v>
      </c>
      <c r="C993" t="s">
        <v>3294</v>
      </c>
      <c r="D993" t="s">
        <v>70</v>
      </c>
      <c r="E993" t="s">
        <v>1246</v>
      </c>
      <c r="F993">
        <v>6</v>
      </c>
      <c r="G993">
        <v>53</v>
      </c>
      <c r="H993">
        <v>1</v>
      </c>
      <c r="I993">
        <v>2</v>
      </c>
      <c r="J993">
        <v>2</v>
      </c>
      <c r="K993" t="s">
        <v>110</v>
      </c>
      <c r="L993" t="s">
        <v>111</v>
      </c>
      <c r="M993" s="4">
        <v>720000000</v>
      </c>
      <c r="N993">
        <v>0</v>
      </c>
      <c r="O993">
        <v>4.6740399999999998</v>
      </c>
      <c r="P993">
        <v>-74.05829</v>
      </c>
      <c r="Q993" t="s">
        <v>3999</v>
      </c>
      <c r="R993">
        <v>13584905.66</v>
      </c>
      <c r="S993">
        <v>0</v>
      </c>
      <c r="T993" t="s">
        <v>75</v>
      </c>
      <c r="U993" t="s">
        <v>76</v>
      </c>
      <c r="V993" t="s">
        <v>77</v>
      </c>
      <c r="W993" t="s">
        <v>78</v>
      </c>
      <c r="X993" t="s">
        <v>79</v>
      </c>
      <c r="Y993">
        <v>3.33486271287271</v>
      </c>
      <c r="Z993">
        <v>3334.8627128727098</v>
      </c>
      <c r="AA993">
        <v>4.6584666666666701</v>
      </c>
      <c r="AB993">
        <v>-74.083966666666697</v>
      </c>
      <c r="AC993">
        <v>2552</v>
      </c>
      <c r="AD993">
        <v>0</v>
      </c>
      <c r="AE993" t="s">
        <v>80</v>
      </c>
      <c r="AF993" t="s">
        <v>81</v>
      </c>
      <c r="AG993" t="s">
        <v>82</v>
      </c>
      <c r="AH993" t="s">
        <v>83</v>
      </c>
      <c r="AI993" t="s">
        <v>130</v>
      </c>
      <c r="AJ993">
        <v>0.230942760932661</v>
      </c>
      <c r="AK993">
        <v>1.7859161571359401</v>
      </c>
      <c r="AL993">
        <v>0.67336818115696895</v>
      </c>
      <c r="AM993">
        <v>0.103375586257374</v>
      </c>
      <c r="AN993">
        <v>2.6138160100476102</v>
      </c>
      <c r="AO993">
        <v>0.69781735207537499</v>
      </c>
      <c r="AP993">
        <v>0.69781735207537499</v>
      </c>
      <c r="AQ993">
        <v>2</v>
      </c>
      <c r="AR993">
        <v>5</v>
      </c>
      <c r="AS993">
        <v>0</v>
      </c>
      <c r="AT993">
        <v>0</v>
      </c>
      <c r="AU993">
        <v>5</v>
      </c>
      <c r="AV993">
        <v>314</v>
      </c>
      <c r="AW993">
        <v>0</v>
      </c>
      <c r="AX993">
        <v>0</v>
      </c>
      <c r="AZ993">
        <v>6.8</v>
      </c>
      <c r="BA993">
        <v>19.899999999999999</v>
      </c>
      <c r="BB993">
        <v>564</v>
      </c>
      <c r="BC993">
        <v>68</v>
      </c>
      <c r="BD993">
        <v>1.5</v>
      </c>
      <c r="BE993">
        <v>135</v>
      </c>
      <c r="BF993">
        <v>0.8</v>
      </c>
      <c r="BG993">
        <v>162</v>
      </c>
      <c r="BH993">
        <v>9.1</v>
      </c>
      <c r="BI993">
        <v>9.1999999999999993</v>
      </c>
      <c r="BJ993">
        <v>18.3</v>
      </c>
      <c r="BK993">
        <v>0.34</v>
      </c>
      <c r="BL993">
        <v>7.3</v>
      </c>
      <c r="BM993">
        <v>0.9</v>
      </c>
      <c r="BN993">
        <v>7.5</v>
      </c>
      <c r="BO993">
        <v>2.9</v>
      </c>
      <c r="BP993">
        <f t="shared" si="30"/>
        <v>5.7652407178376368</v>
      </c>
      <c r="BQ993">
        <f t="shared" si="31"/>
        <v>18.369341032055885</v>
      </c>
    </row>
    <row r="994" spans="1:69" hidden="1" x14ac:dyDescent="0.2">
      <c r="A994" t="s">
        <v>3669</v>
      </c>
      <c r="B994" t="s">
        <v>68</v>
      </c>
      <c r="C994" t="s">
        <v>3294</v>
      </c>
      <c r="D994" t="s">
        <v>70</v>
      </c>
      <c r="E994" t="s">
        <v>3559</v>
      </c>
      <c r="F994">
        <v>4</v>
      </c>
      <c r="G994">
        <v>53</v>
      </c>
      <c r="H994">
        <v>1</v>
      </c>
      <c r="I994">
        <v>2</v>
      </c>
      <c r="J994">
        <v>0</v>
      </c>
      <c r="K994" t="s">
        <v>110</v>
      </c>
      <c r="L994" t="s">
        <v>133</v>
      </c>
      <c r="M994" s="4">
        <v>485000000</v>
      </c>
      <c r="N994">
        <v>0</v>
      </c>
      <c r="O994">
        <v>4.6182499999999997</v>
      </c>
      <c r="P994">
        <v>-74.067359999999994</v>
      </c>
      <c r="Q994" t="s">
        <v>3670</v>
      </c>
      <c r="R994">
        <v>9150943.3959999997</v>
      </c>
      <c r="S994">
        <v>0</v>
      </c>
      <c r="T994" t="s">
        <v>126</v>
      </c>
      <c r="U994" t="s">
        <v>127</v>
      </c>
      <c r="V994" t="s">
        <v>77</v>
      </c>
      <c r="W994" t="s">
        <v>128</v>
      </c>
      <c r="X994" t="s">
        <v>129</v>
      </c>
      <c r="Y994">
        <v>0.806619733998168</v>
      </c>
      <c r="Z994">
        <v>806.61973399816804</v>
      </c>
      <c r="AA994">
        <v>4.6254861111111101</v>
      </c>
      <c r="AB994">
        <v>-74.066980555555503</v>
      </c>
      <c r="AC994">
        <v>2621</v>
      </c>
      <c r="AD994">
        <v>15</v>
      </c>
      <c r="AE994" t="s">
        <v>80</v>
      </c>
      <c r="AF994" t="s">
        <v>81</v>
      </c>
      <c r="AG994" t="s">
        <v>82</v>
      </c>
      <c r="AH994" t="s">
        <v>83</v>
      </c>
      <c r="AI994" t="s">
        <v>138</v>
      </c>
      <c r="AJ994">
        <v>0.39110829763132199</v>
      </c>
      <c r="AK994">
        <v>0.52457518211626197</v>
      </c>
      <c r="AL994">
        <v>0.32482276639410301</v>
      </c>
      <c r="AM994">
        <v>7.8682217236042504E-2</v>
      </c>
      <c r="AN994">
        <v>0.34599170319901601</v>
      </c>
      <c r="AO994">
        <v>0.16324286879373401</v>
      </c>
      <c r="AP994">
        <v>0.16324286879373401</v>
      </c>
      <c r="AQ994">
        <v>2</v>
      </c>
      <c r="AR994">
        <v>6</v>
      </c>
      <c r="AS994">
        <v>0</v>
      </c>
      <c r="AT994">
        <v>7</v>
      </c>
      <c r="AU994">
        <v>12</v>
      </c>
      <c r="AV994">
        <v>67</v>
      </c>
      <c r="AW994">
        <v>1</v>
      </c>
      <c r="AX994">
        <v>2</v>
      </c>
      <c r="AZ994">
        <v>6.8</v>
      </c>
      <c r="BA994">
        <v>19.899999999999999</v>
      </c>
      <c r="BB994">
        <v>564</v>
      </c>
      <c r="BC994">
        <v>68</v>
      </c>
      <c r="BD994">
        <v>1.5</v>
      </c>
      <c r="BE994">
        <v>135</v>
      </c>
      <c r="BF994">
        <v>0.8</v>
      </c>
      <c r="BG994">
        <v>162</v>
      </c>
      <c r="BH994">
        <v>9.1</v>
      </c>
      <c r="BI994">
        <v>9.1999999999999993</v>
      </c>
      <c r="BJ994">
        <v>18.3</v>
      </c>
      <c r="BK994">
        <v>0.34</v>
      </c>
      <c r="BL994">
        <v>7.3</v>
      </c>
      <c r="BM994">
        <v>0.9</v>
      </c>
      <c r="BN994">
        <v>7.5</v>
      </c>
      <c r="BO994">
        <v>2.9</v>
      </c>
      <c r="BP994">
        <f t="shared" si="30"/>
        <v>6.5338407172020583</v>
      </c>
      <c r="BQ994">
        <f t="shared" si="31"/>
        <v>19.51846339005267</v>
      </c>
    </row>
    <row r="995" spans="1:69" hidden="1" x14ac:dyDescent="0.2">
      <c r="A995" t="s">
        <v>3837</v>
      </c>
      <c r="B995" t="s">
        <v>68</v>
      </c>
      <c r="C995" t="s">
        <v>3294</v>
      </c>
      <c r="D995" t="s">
        <v>70</v>
      </c>
      <c r="E995" t="s">
        <v>1530</v>
      </c>
      <c r="F995">
        <v>3</v>
      </c>
      <c r="G995">
        <v>53</v>
      </c>
      <c r="H995">
        <v>1</v>
      </c>
      <c r="I995">
        <v>2</v>
      </c>
      <c r="J995">
        <v>1</v>
      </c>
      <c r="K995" t="s">
        <v>110</v>
      </c>
      <c r="L995" t="s">
        <v>111</v>
      </c>
      <c r="M995" s="4">
        <v>480000000</v>
      </c>
      <c r="N995">
        <v>0</v>
      </c>
      <c r="O995">
        <v>4.6193656000000001</v>
      </c>
      <c r="P995">
        <v>-74.066996099999997</v>
      </c>
      <c r="Q995" t="s">
        <v>3838</v>
      </c>
      <c r="R995">
        <v>9056603.7740000002</v>
      </c>
      <c r="S995">
        <v>0</v>
      </c>
      <c r="T995" t="s">
        <v>126</v>
      </c>
      <c r="U995" t="s">
        <v>127</v>
      </c>
      <c r="V995" t="s">
        <v>77</v>
      </c>
      <c r="W995" t="s">
        <v>128</v>
      </c>
      <c r="X995" t="s">
        <v>129</v>
      </c>
      <c r="Y995">
        <v>0.68133436338281295</v>
      </c>
      <c r="Z995">
        <v>681.33436338281297</v>
      </c>
      <c r="AA995">
        <v>4.6254861111111101</v>
      </c>
      <c r="AB995">
        <v>-74.066980555555503</v>
      </c>
      <c r="AC995">
        <v>2621</v>
      </c>
      <c r="AD995">
        <v>15</v>
      </c>
      <c r="AE995" t="s">
        <v>80</v>
      </c>
      <c r="AF995" t="s">
        <v>81</v>
      </c>
      <c r="AG995" t="s">
        <v>82</v>
      </c>
      <c r="AH995" t="s">
        <v>83</v>
      </c>
      <c r="AI995" t="s">
        <v>138</v>
      </c>
      <c r="AJ995">
        <v>0.38836413995774</v>
      </c>
      <c r="AK995">
        <v>0.56504358541099498</v>
      </c>
      <c r="AL995">
        <v>0.19635006038478101</v>
      </c>
      <c r="AM995">
        <v>9.6263434174079093E-2</v>
      </c>
      <c r="AN995">
        <v>0.45658935684334701</v>
      </c>
      <c r="AO995">
        <v>0.15872634713557801</v>
      </c>
      <c r="AP995">
        <v>0.15872634713557801</v>
      </c>
      <c r="AQ995">
        <v>1</v>
      </c>
      <c r="AR995">
        <v>5</v>
      </c>
      <c r="AS995">
        <v>0</v>
      </c>
      <c r="AT995">
        <v>8</v>
      </c>
      <c r="AU995">
        <v>14</v>
      </c>
      <c r="AV995">
        <v>70</v>
      </c>
      <c r="AW995">
        <v>2</v>
      </c>
      <c r="AX995">
        <v>2</v>
      </c>
      <c r="AZ995">
        <v>6.8</v>
      </c>
      <c r="BA995">
        <v>19.899999999999999</v>
      </c>
      <c r="BB995">
        <v>564</v>
      </c>
      <c r="BC995">
        <v>68</v>
      </c>
      <c r="BD995">
        <v>1.5</v>
      </c>
      <c r="BE995">
        <v>135</v>
      </c>
      <c r="BF995">
        <v>0.8</v>
      </c>
      <c r="BG995">
        <v>162</v>
      </c>
      <c r="BH995">
        <v>9.1</v>
      </c>
      <c r="BI995">
        <v>9.1999999999999993</v>
      </c>
      <c r="BJ995">
        <v>18.3</v>
      </c>
      <c r="BK995">
        <v>0.34</v>
      </c>
      <c r="BL995">
        <v>7.3</v>
      </c>
      <c r="BM995">
        <v>0.9</v>
      </c>
      <c r="BN995">
        <v>7.5</v>
      </c>
      <c r="BO995">
        <v>2.9</v>
      </c>
      <c r="BP995">
        <f t="shared" si="30"/>
        <v>6.5744870590941833</v>
      </c>
      <c r="BQ995">
        <f t="shared" si="31"/>
        <v>19.577240783209906</v>
      </c>
    </row>
    <row r="996" spans="1:69" hidden="1" x14ac:dyDescent="0.2">
      <c r="A996" t="s">
        <v>3496</v>
      </c>
      <c r="B996" t="s">
        <v>68</v>
      </c>
      <c r="C996" t="s">
        <v>3294</v>
      </c>
      <c r="D996" t="s">
        <v>70</v>
      </c>
      <c r="E996" t="s">
        <v>1530</v>
      </c>
      <c r="F996">
        <v>4</v>
      </c>
      <c r="G996">
        <v>53</v>
      </c>
      <c r="H996">
        <v>1</v>
      </c>
      <c r="I996">
        <v>2</v>
      </c>
      <c r="J996">
        <v>1</v>
      </c>
      <c r="K996" t="s">
        <v>110</v>
      </c>
      <c r="L996" t="s">
        <v>133</v>
      </c>
      <c r="M996" s="4">
        <v>465000000</v>
      </c>
      <c r="N996">
        <v>0</v>
      </c>
      <c r="O996">
        <v>4.6182499999999997</v>
      </c>
      <c r="P996">
        <v>-74.067390000000003</v>
      </c>
      <c r="Q996" t="s">
        <v>3497</v>
      </c>
      <c r="R996">
        <v>8773584.9059999995</v>
      </c>
      <c r="S996">
        <v>0</v>
      </c>
      <c r="T996" t="s">
        <v>126</v>
      </c>
      <c r="U996" t="s">
        <v>127</v>
      </c>
      <c r="V996" t="s">
        <v>77</v>
      </c>
      <c r="W996" t="s">
        <v>128</v>
      </c>
      <c r="X996" t="s">
        <v>129</v>
      </c>
      <c r="Y996">
        <v>0.80680032785786904</v>
      </c>
      <c r="Z996">
        <v>806.80032785786898</v>
      </c>
      <c r="AA996">
        <v>4.6254861111111101</v>
      </c>
      <c r="AB996">
        <v>-74.066980555555503</v>
      </c>
      <c r="AC996">
        <v>2621</v>
      </c>
      <c r="AD996">
        <v>15</v>
      </c>
      <c r="AE996" t="s">
        <v>80</v>
      </c>
      <c r="AF996" t="s">
        <v>81</v>
      </c>
      <c r="AG996" t="s">
        <v>82</v>
      </c>
      <c r="AH996" t="s">
        <v>83</v>
      </c>
      <c r="AI996" t="s">
        <v>138</v>
      </c>
      <c r="AJ996">
        <v>0.38935801878852699</v>
      </c>
      <c r="AK996">
        <v>0.527468002791046</v>
      </c>
      <c r="AL996">
        <v>0.32620599722835197</v>
      </c>
      <c r="AM996">
        <v>7.7097183167618599E-2</v>
      </c>
      <c r="AN996">
        <v>0.34706798584160897</v>
      </c>
      <c r="AO996">
        <v>0.16641429908232599</v>
      </c>
      <c r="AP996">
        <v>0.16641429908232599</v>
      </c>
      <c r="AQ996">
        <v>2</v>
      </c>
      <c r="AR996">
        <v>6</v>
      </c>
      <c r="AS996">
        <v>0</v>
      </c>
      <c r="AT996">
        <v>7</v>
      </c>
      <c r="AU996">
        <v>12</v>
      </c>
      <c r="AV996">
        <v>67</v>
      </c>
      <c r="AW996">
        <v>1</v>
      </c>
      <c r="AX996">
        <v>2</v>
      </c>
      <c r="AZ996">
        <v>6.8</v>
      </c>
      <c r="BA996">
        <v>19.899999999999999</v>
      </c>
      <c r="BB996">
        <v>564</v>
      </c>
      <c r="BC996">
        <v>68</v>
      </c>
      <c r="BD996">
        <v>1.5</v>
      </c>
      <c r="BE996">
        <v>135</v>
      </c>
      <c r="BF996">
        <v>0.8</v>
      </c>
      <c r="BG996">
        <v>162</v>
      </c>
      <c r="BH996">
        <v>9.1</v>
      </c>
      <c r="BI996">
        <v>9.1999999999999993</v>
      </c>
      <c r="BJ996">
        <v>18.3</v>
      </c>
      <c r="BK996">
        <v>0.34</v>
      </c>
      <c r="BL996">
        <v>7.3</v>
      </c>
      <c r="BM996">
        <v>0.9</v>
      </c>
      <c r="BN996">
        <v>7.5</v>
      </c>
      <c r="BO996">
        <v>2.9</v>
      </c>
      <c r="BP996">
        <f t="shared" si="30"/>
        <v>6.5337823088731932</v>
      </c>
      <c r="BQ996">
        <f t="shared" si="31"/>
        <v>19.518378792284665</v>
      </c>
    </row>
    <row r="997" spans="1:69" hidden="1" x14ac:dyDescent="0.2">
      <c r="A997" t="s">
        <v>4663</v>
      </c>
      <c r="B997" t="s">
        <v>68</v>
      </c>
      <c r="C997" t="s">
        <v>3294</v>
      </c>
      <c r="D997" t="s">
        <v>70</v>
      </c>
      <c r="E997" t="s">
        <v>3559</v>
      </c>
      <c r="F997">
        <v>4</v>
      </c>
      <c r="G997">
        <v>53</v>
      </c>
      <c r="H997">
        <v>1</v>
      </c>
      <c r="I997">
        <v>1</v>
      </c>
      <c r="J997">
        <v>1</v>
      </c>
      <c r="K997" t="s">
        <v>110</v>
      </c>
      <c r="L997" t="s">
        <v>124</v>
      </c>
      <c r="M997" s="4">
        <v>390000000</v>
      </c>
      <c r="N997">
        <v>0</v>
      </c>
      <c r="O997">
        <v>4.6187899999999997</v>
      </c>
      <c r="P997">
        <v>-74.070340000000002</v>
      </c>
      <c r="Q997" t="s">
        <v>4664</v>
      </c>
      <c r="R997">
        <v>7358490.5659999996</v>
      </c>
      <c r="S997">
        <v>0</v>
      </c>
      <c r="T997" t="s">
        <v>126</v>
      </c>
      <c r="U997" t="s">
        <v>127</v>
      </c>
      <c r="V997" t="s">
        <v>77</v>
      </c>
      <c r="W997" t="s">
        <v>128</v>
      </c>
      <c r="X997" t="s">
        <v>129</v>
      </c>
      <c r="Y997">
        <v>0.83341418968582903</v>
      </c>
      <c r="Z997">
        <v>833.414189685829</v>
      </c>
      <c r="AA997">
        <v>4.6254861111111101</v>
      </c>
      <c r="AB997">
        <v>-74.066980555555503</v>
      </c>
      <c r="AC997">
        <v>2621</v>
      </c>
      <c r="AD997">
        <v>15</v>
      </c>
      <c r="AE997" t="s">
        <v>80</v>
      </c>
      <c r="AF997" t="s">
        <v>81</v>
      </c>
      <c r="AG997" t="s">
        <v>82</v>
      </c>
      <c r="AH997" t="s">
        <v>83</v>
      </c>
      <c r="AI997" t="s">
        <v>138</v>
      </c>
      <c r="AJ997">
        <v>0.31066498588004399</v>
      </c>
      <c r="AK997">
        <v>0.84636018346515296</v>
      </c>
      <c r="AL997">
        <v>0.37336408784969599</v>
      </c>
      <c r="AM997">
        <v>7.0869034859921895E-2</v>
      </c>
      <c r="AN997">
        <v>0.58702931218848997</v>
      </c>
      <c r="AO997">
        <v>0.112576528901843</v>
      </c>
      <c r="AP997">
        <v>0.112576528901843</v>
      </c>
      <c r="AQ997">
        <v>3</v>
      </c>
      <c r="AR997">
        <v>7</v>
      </c>
      <c r="AS997">
        <v>0</v>
      </c>
      <c r="AT997">
        <v>1</v>
      </c>
      <c r="AU997">
        <v>13</v>
      </c>
      <c r="AV997">
        <v>77</v>
      </c>
      <c r="AW997">
        <v>1</v>
      </c>
      <c r="AX997">
        <v>3</v>
      </c>
      <c r="AZ997">
        <v>6.8</v>
      </c>
      <c r="BA997">
        <v>19.899999999999999</v>
      </c>
      <c r="BB997">
        <v>564</v>
      </c>
      <c r="BC997">
        <v>68</v>
      </c>
      <c r="BD997">
        <v>1.5</v>
      </c>
      <c r="BE997">
        <v>135</v>
      </c>
      <c r="BF997">
        <v>0.8</v>
      </c>
      <c r="BG997">
        <v>162</v>
      </c>
      <c r="BH997">
        <v>9.1</v>
      </c>
      <c r="BI997">
        <v>9.1999999999999993</v>
      </c>
      <c r="BJ997">
        <v>18.3</v>
      </c>
      <c r="BK997">
        <v>0.34</v>
      </c>
      <c r="BL997">
        <v>7.3</v>
      </c>
      <c r="BM997">
        <v>0.9</v>
      </c>
      <c r="BN997">
        <v>7.5</v>
      </c>
      <c r="BO997">
        <v>2.9</v>
      </c>
      <c r="BP997">
        <f t="shared" si="30"/>
        <v>6.5251804617051219</v>
      </c>
      <c r="BQ997">
        <f t="shared" si="31"/>
        <v>19.505915746514919</v>
      </c>
    </row>
    <row r="998" spans="1:69" hidden="1" x14ac:dyDescent="0.2">
      <c r="A998" t="s">
        <v>416</v>
      </c>
      <c r="B998" t="s">
        <v>68</v>
      </c>
      <c r="C998" t="s">
        <v>69</v>
      </c>
      <c r="D998" t="s">
        <v>70</v>
      </c>
      <c r="E998" t="s">
        <v>417</v>
      </c>
      <c r="F998">
        <v>3</v>
      </c>
      <c r="G998">
        <v>53</v>
      </c>
      <c r="H998">
        <v>3</v>
      </c>
      <c r="I998">
        <v>1</v>
      </c>
      <c r="J998">
        <v>0</v>
      </c>
      <c r="K998" t="s">
        <v>110</v>
      </c>
      <c r="L998" t="s">
        <v>115</v>
      </c>
      <c r="M998" s="4">
        <v>260000000</v>
      </c>
      <c r="N998">
        <v>0</v>
      </c>
      <c r="O998">
        <v>4.7165236469999998</v>
      </c>
      <c r="P998">
        <v>-74.107353209999999</v>
      </c>
      <c r="Q998" t="s">
        <v>418</v>
      </c>
      <c r="R998">
        <v>4905660.3770000003</v>
      </c>
      <c r="S998">
        <v>0</v>
      </c>
      <c r="T998" t="s">
        <v>419</v>
      </c>
      <c r="U998" t="s">
        <v>420</v>
      </c>
      <c r="V998" t="s">
        <v>77</v>
      </c>
      <c r="W998" t="s">
        <v>78</v>
      </c>
      <c r="X998" t="s">
        <v>421</v>
      </c>
      <c r="Y998">
        <v>2.97252428118481</v>
      </c>
      <c r="Z998">
        <v>2972.5242811848102</v>
      </c>
      <c r="AA998">
        <v>4.7358055555555598</v>
      </c>
      <c r="AB998">
        <v>-74.125888888888895</v>
      </c>
      <c r="AC998">
        <v>2574</v>
      </c>
      <c r="AD998">
        <v>0</v>
      </c>
      <c r="AE998" t="s">
        <v>154</v>
      </c>
      <c r="AF998" t="s">
        <v>107</v>
      </c>
      <c r="AG998" t="s">
        <v>82</v>
      </c>
      <c r="AH998" t="s">
        <v>83</v>
      </c>
      <c r="AI998" t="s">
        <v>412</v>
      </c>
      <c r="AJ998">
        <v>0.81824456998741002</v>
      </c>
      <c r="AK998">
        <v>2.26455493931722</v>
      </c>
      <c r="AL998">
        <v>2.5596360358024199</v>
      </c>
      <c r="AM998">
        <v>0.44314441848896602</v>
      </c>
      <c r="AN998">
        <v>2.9755559181764402</v>
      </c>
      <c r="AO998">
        <v>0.1092699323312</v>
      </c>
      <c r="AP998">
        <v>0.1092699323312</v>
      </c>
      <c r="AQ998">
        <v>0</v>
      </c>
      <c r="AR998">
        <v>1</v>
      </c>
      <c r="AS998">
        <v>0</v>
      </c>
      <c r="AT998">
        <v>0</v>
      </c>
      <c r="AU998">
        <v>0</v>
      </c>
      <c r="AV998">
        <v>11</v>
      </c>
      <c r="AW998">
        <v>0</v>
      </c>
      <c r="AX998">
        <v>0</v>
      </c>
      <c r="AZ998">
        <v>6.8</v>
      </c>
      <c r="BA998">
        <v>19.899999999999999</v>
      </c>
      <c r="BB998">
        <v>564</v>
      </c>
      <c r="BC998">
        <v>68</v>
      </c>
      <c r="BD998">
        <v>1.5</v>
      </c>
      <c r="BE998">
        <v>135</v>
      </c>
      <c r="BF998">
        <v>0.8</v>
      </c>
      <c r="BG998">
        <v>162</v>
      </c>
      <c r="BH998">
        <v>9.1</v>
      </c>
      <c r="BI998">
        <v>9.1999999999999993</v>
      </c>
      <c r="BJ998">
        <v>18.3</v>
      </c>
      <c r="BK998">
        <v>0.34</v>
      </c>
      <c r="BL998">
        <v>7.3</v>
      </c>
      <c r="BM998">
        <v>0.9</v>
      </c>
      <c r="BN998">
        <v>7.5</v>
      </c>
      <c r="BO998">
        <v>2.9</v>
      </c>
      <c r="BP998">
        <f t="shared" si="30"/>
        <v>5.8695775303089137</v>
      </c>
      <c r="BQ998">
        <f t="shared" si="31"/>
        <v>18.529779655238382</v>
      </c>
    </row>
    <row r="999" spans="1:69" hidden="1" x14ac:dyDescent="0.2">
      <c r="A999" t="s">
        <v>3428</v>
      </c>
      <c r="B999" t="s">
        <v>68</v>
      </c>
      <c r="C999" t="s">
        <v>3294</v>
      </c>
      <c r="D999" t="s">
        <v>70</v>
      </c>
      <c r="E999" t="s">
        <v>1098</v>
      </c>
      <c r="F999">
        <v>3</v>
      </c>
      <c r="G999">
        <v>52.74</v>
      </c>
      <c r="H999">
        <v>1</v>
      </c>
      <c r="I999">
        <v>1</v>
      </c>
      <c r="J999">
        <v>0</v>
      </c>
      <c r="K999" t="s">
        <v>110</v>
      </c>
      <c r="L999" t="s">
        <v>111</v>
      </c>
      <c r="M999" s="4">
        <v>478000000</v>
      </c>
      <c r="N999">
        <v>0</v>
      </c>
      <c r="O999">
        <v>4.6109518999999999</v>
      </c>
      <c r="P999">
        <v>-74.071258540000002</v>
      </c>
      <c r="Q999" t="s">
        <v>3429</v>
      </c>
      <c r="R999">
        <v>9063329.5409999993</v>
      </c>
      <c r="S999">
        <v>0</v>
      </c>
      <c r="T999" t="s">
        <v>126</v>
      </c>
      <c r="U999" t="s">
        <v>127</v>
      </c>
      <c r="V999" t="s">
        <v>77</v>
      </c>
      <c r="W999" t="s">
        <v>128</v>
      </c>
      <c r="X999" t="s">
        <v>129</v>
      </c>
      <c r="Y999">
        <v>1.6861349831747201</v>
      </c>
      <c r="Z999">
        <v>1686.13498317472</v>
      </c>
      <c r="AA999">
        <v>4.6254861111111101</v>
      </c>
      <c r="AB999">
        <v>-74.066980555555503</v>
      </c>
      <c r="AC999">
        <v>2621</v>
      </c>
      <c r="AD999">
        <v>15</v>
      </c>
      <c r="AE999" t="s">
        <v>80</v>
      </c>
      <c r="AF999" t="s">
        <v>81</v>
      </c>
      <c r="AG999" t="s">
        <v>82</v>
      </c>
      <c r="AH999" t="s">
        <v>83</v>
      </c>
      <c r="AI999" t="s">
        <v>138</v>
      </c>
      <c r="AJ999">
        <v>2.7412834686535398E-2</v>
      </c>
      <c r="AK999">
        <v>0.75273406931437203</v>
      </c>
      <c r="AL999">
        <v>0.15284068796981101</v>
      </c>
      <c r="AM999">
        <v>0.33604796087546401</v>
      </c>
      <c r="AN999">
        <v>0.72366353519718496</v>
      </c>
      <c r="AO999">
        <v>5.1275955074568502E-2</v>
      </c>
      <c r="AP999">
        <v>5.1275955074568502E-2</v>
      </c>
      <c r="AQ999">
        <v>2</v>
      </c>
      <c r="AR999">
        <v>8</v>
      </c>
      <c r="AS999">
        <v>0</v>
      </c>
      <c r="AT999">
        <v>23</v>
      </c>
      <c r="AU999">
        <v>9</v>
      </c>
      <c r="AV999">
        <v>64</v>
      </c>
      <c r="AW999">
        <v>1</v>
      </c>
      <c r="AX999">
        <v>6</v>
      </c>
      <c r="AZ999">
        <v>6.8</v>
      </c>
      <c r="BA999">
        <v>19.899999999999999</v>
      </c>
      <c r="BB999">
        <v>564</v>
      </c>
      <c r="BC999">
        <v>68</v>
      </c>
      <c r="BD999">
        <v>1.5</v>
      </c>
      <c r="BE999">
        <v>135</v>
      </c>
      <c r="BF999">
        <v>0.8</v>
      </c>
      <c r="BG999">
        <v>162</v>
      </c>
      <c r="BH999">
        <v>9.1</v>
      </c>
      <c r="BI999">
        <v>9.1999999999999993</v>
      </c>
      <c r="BJ999">
        <v>18.3</v>
      </c>
      <c r="BK999">
        <v>0.34</v>
      </c>
      <c r="BL999">
        <v>7.3</v>
      </c>
      <c r="BM999">
        <v>0.9</v>
      </c>
      <c r="BN999">
        <v>7.5</v>
      </c>
      <c r="BO999">
        <v>2.9</v>
      </c>
      <c r="BP999">
        <f t="shared" si="30"/>
        <v>6.2554865740824424</v>
      </c>
      <c r="BQ999">
        <f t="shared" si="31"/>
        <v>19.110778440340731</v>
      </c>
    </row>
    <row r="1000" spans="1:69" hidden="1" x14ac:dyDescent="0.2">
      <c r="A1000" t="s">
        <v>4487</v>
      </c>
      <c r="B1000" t="s">
        <v>68</v>
      </c>
      <c r="C1000" t="s">
        <v>3294</v>
      </c>
      <c r="D1000" t="s">
        <v>70</v>
      </c>
      <c r="E1000" t="s">
        <v>3410</v>
      </c>
      <c r="F1000">
        <v>2</v>
      </c>
      <c r="G1000">
        <v>52.71</v>
      </c>
      <c r="H1000">
        <v>1</v>
      </c>
      <c r="I1000">
        <v>2</v>
      </c>
      <c r="J1000">
        <v>0</v>
      </c>
      <c r="K1000" t="s">
        <v>110</v>
      </c>
      <c r="L1000" t="s">
        <v>111</v>
      </c>
      <c r="M1000" s="4">
        <v>325000000</v>
      </c>
      <c r="N1000">
        <v>0</v>
      </c>
      <c r="O1000">
        <v>4.6082682999999998</v>
      </c>
      <c r="P1000">
        <v>-74.081874299999996</v>
      </c>
      <c r="Q1000" t="s">
        <v>4488</v>
      </c>
      <c r="R1000">
        <v>6165812.9390000002</v>
      </c>
      <c r="S1000">
        <v>0</v>
      </c>
      <c r="T1000" t="s">
        <v>126</v>
      </c>
      <c r="U1000" t="s">
        <v>127</v>
      </c>
      <c r="V1000" t="s">
        <v>77</v>
      </c>
      <c r="W1000" t="s">
        <v>128</v>
      </c>
      <c r="X1000" t="s">
        <v>129</v>
      </c>
      <c r="Y1000">
        <v>2.5307487602498502</v>
      </c>
      <c r="Z1000">
        <v>2530.74876024985</v>
      </c>
      <c r="AA1000">
        <v>4.6254861111111101</v>
      </c>
      <c r="AB1000">
        <v>-74.066980555555503</v>
      </c>
      <c r="AC1000">
        <v>2621</v>
      </c>
      <c r="AD1000">
        <v>15</v>
      </c>
      <c r="AE1000" t="s">
        <v>80</v>
      </c>
      <c r="AF1000" t="s">
        <v>81</v>
      </c>
      <c r="AG1000" t="s">
        <v>82</v>
      </c>
      <c r="AH1000" t="s">
        <v>83</v>
      </c>
      <c r="AI1000" t="s">
        <v>308</v>
      </c>
      <c r="AJ1000">
        <v>0.31465946404360901</v>
      </c>
      <c r="AK1000">
        <v>1.8843992094008299</v>
      </c>
      <c r="AL1000">
        <v>0.27948478410285299</v>
      </c>
      <c r="AM1000">
        <v>0.13141909100610999</v>
      </c>
      <c r="AN1000">
        <v>0.75229089835852403</v>
      </c>
      <c r="AO1000">
        <v>0.42645259832767801</v>
      </c>
      <c r="AP1000">
        <v>0.42645259832767801</v>
      </c>
      <c r="AQ1000">
        <v>1</v>
      </c>
      <c r="AR1000">
        <v>9</v>
      </c>
      <c r="AS1000">
        <v>0</v>
      </c>
      <c r="AT1000">
        <v>0</v>
      </c>
      <c r="AU1000">
        <v>3</v>
      </c>
      <c r="AV1000">
        <v>35</v>
      </c>
      <c r="AW1000">
        <v>1</v>
      </c>
      <c r="AX1000">
        <v>1</v>
      </c>
      <c r="AZ1000">
        <v>6.8</v>
      </c>
      <c r="BA1000">
        <v>19.899999999999999</v>
      </c>
      <c r="BB1000">
        <v>564</v>
      </c>
      <c r="BC1000">
        <v>68</v>
      </c>
      <c r="BD1000">
        <v>1.5</v>
      </c>
      <c r="BE1000">
        <v>135</v>
      </c>
      <c r="BF1000">
        <v>0.8</v>
      </c>
      <c r="BG1000">
        <v>162</v>
      </c>
      <c r="BH1000">
        <v>9.1</v>
      </c>
      <c r="BI1000">
        <v>9.1999999999999993</v>
      </c>
      <c r="BJ1000">
        <v>18.3</v>
      </c>
      <c r="BK1000">
        <v>0.34</v>
      </c>
      <c r="BL1000">
        <v>7.3</v>
      </c>
      <c r="BM1000">
        <v>0.9</v>
      </c>
      <c r="BN1000">
        <v>7.5</v>
      </c>
      <c r="BO1000">
        <v>2.9</v>
      </c>
      <c r="BP1000">
        <f t="shared" si="30"/>
        <v>5.9993465115196809</v>
      </c>
      <c r="BQ1000">
        <f t="shared" si="31"/>
        <v>18.727288935607685</v>
      </c>
    </row>
    <row r="1001" spans="1:69" hidden="1" x14ac:dyDescent="0.2">
      <c r="A1001" t="s">
        <v>4303</v>
      </c>
      <c r="B1001" t="s">
        <v>68</v>
      </c>
      <c r="C1001" t="s">
        <v>3294</v>
      </c>
      <c r="D1001" t="s">
        <v>70</v>
      </c>
      <c r="E1001" t="s">
        <v>3532</v>
      </c>
      <c r="F1001">
        <v>2</v>
      </c>
      <c r="G1001">
        <v>52.71</v>
      </c>
      <c r="H1001">
        <v>1</v>
      </c>
      <c r="I1001">
        <v>2</v>
      </c>
      <c r="J1001">
        <v>0</v>
      </c>
      <c r="K1001" t="s">
        <v>110</v>
      </c>
      <c r="L1001" t="s">
        <v>111</v>
      </c>
      <c r="M1001" s="4">
        <v>325000000</v>
      </c>
      <c r="N1001">
        <v>0</v>
      </c>
      <c r="O1001">
        <v>4.6082682610000001</v>
      </c>
      <c r="P1001">
        <v>-74.081871030000002</v>
      </c>
      <c r="Q1001" t="s">
        <v>4304</v>
      </c>
      <c r="R1001">
        <v>6165812.9390000002</v>
      </c>
      <c r="S1001">
        <v>0</v>
      </c>
      <c r="T1001" t="s">
        <v>126</v>
      </c>
      <c r="U1001" t="s">
        <v>127</v>
      </c>
      <c r="V1001" t="s">
        <v>77</v>
      </c>
      <c r="W1001" t="s">
        <v>128</v>
      </c>
      <c r="X1001" t="s">
        <v>129</v>
      </c>
      <c r="Y1001">
        <v>2.5305151324429902</v>
      </c>
      <c r="Z1001">
        <v>2530.5151324429899</v>
      </c>
      <c r="AA1001">
        <v>4.6254861111111101</v>
      </c>
      <c r="AB1001">
        <v>-74.066980555555503</v>
      </c>
      <c r="AC1001">
        <v>2621</v>
      </c>
      <c r="AD1001">
        <v>15</v>
      </c>
      <c r="AE1001" t="s">
        <v>80</v>
      </c>
      <c r="AF1001" t="s">
        <v>81</v>
      </c>
      <c r="AG1001" t="s">
        <v>82</v>
      </c>
      <c r="AH1001" t="s">
        <v>83</v>
      </c>
      <c r="AI1001" t="s">
        <v>308</v>
      </c>
      <c r="AJ1001">
        <v>0.31465791517587</v>
      </c>
      <c r="AK1001">
        <v>1.8840365815287401</v>
      </c>
      <c r="AL1001">
        <v>0.27948708758801999</v>
      </c>
      <c r="AM1001">
        <v>0.131671483442522</v>
      </c>
      <c r="AN1001">
        <v>0.752652230163952</v>
      </c>
      <c r="AO1001">
        <v>0.42618123478023801</v>
      </c>
      <c r="AP1001">
        <v>0.42618123478023801</v>
      </c>
      <c r="AQ1001">
        <v>1</v>
      </c>
      <c r="AR1001">
        <v>9</v>
      </c>
      <c r="AS1001">
        <v>0</v>
      </c>
      <c r="AT1001">
        <v>0</v>
      </c>
      <c r="AU1001">
        <v>3</v>
      </c>
      <c r="AV1001">
        <v>35</v>
      </c>
      <c r="AW1001">
        <v>1</v>
      </c>
      <c r="AX1001">
        <v>1</v>
      </c>
      <c r="AZ1001">
        <v>6.8</v>
      </c>
      <c r="BA1001">
        <v>19.899999999999999</v>
      </c>
      <c r="BB1001">
        <v>564</v>
      </c>
      <c r="BC1001">
        <v>68</v>
      </c>
      <c r="BD1001">
        <v>1.5</v>
      </c>
      <c r="BE1001">
        <v>135</v>
      </c>
      <c r="BF1001">
        <v>0.8</v>
      </c>
      <c r="BG1001">
        <v>162</v>
      </c>
      <c r="BH1001">
        <v>9.1</v>
      </c>
      <c r="BI1001">
        <v>9.1999999999999993</v>
      </c>
      <c r="BJ1001">
        <v>18.3</v>
      </c>
      <c r="BK1001">
        <v>0.34</v>
      </c>
      <c r="BL1001">
        <v>7.3</v>
      </c>
      <c r="BM1001">
        <v>0.9</v>
      </c>
      <c r="BN1001">
        <v>7.5</v>
      </c>
      <c r="BO1001">
        <v>2.9</v>
      </c>
      <c r="BP1001">
        <f t="shared" si="30"/>
        <v>5.9994158918221769</v>
      </c>
      <c r="BQ1001">
        <f t="shared" si="31"/>
        <v>18.727393941072688</v>
      </c>
    </row>
    <row r="1002" spans="1:69" hidden="1" x14ac:dyDescent="0.2">
      <c r="A1002" t="s">
        <v>810</v>
      </c>
      <c r="B1002" t="s">
        <v>68</v>
      </c>
      <c r="C1002" t="s">
        <v>69</v>
      </c>
      <c r="D1002" t="s">
        <v>70</v>
      </c>
      <c r="E1002" t="s">
        <v>811</v>
      </c>
      <c r="F1002">
        <v>3</v>
      </c>
      <c r="G1002">
        <v>52.66</v>
      </c>
      <c r="H1002">
        <v>2</v>
      </c>
      <c r="I1002">
        <v>2</v>
      </c>
      <c r="J1002">
        <v>0</v>
      </c>
      <c r="K1002" t="s">
        <v>110</v>
      </c>
      <c r="L1002" t="s">
        <v>124</v>
      </c>
      <c r="M1002" s="4">
        <v>350000000</v>
      </c>
      <c r="N1002">
        <v>0</v>
      </c>
      <c r="O1002">
        <v>4.647742</v>
      </c>
      <c r="P1002">
        <v>-74.060749999999999</v>
      </c>
      <c r="Q1002" t="s">
        <v>812</v>
      </c>
      <c r="R1002">
        <v>6646410.9380000001</v>
      </c>
      <c r="S1002">
        <v>0</v>
      </c>
      <c r="T1002" t="s">
        <v>126</v>
      </c>
      <c r="U1002" t="s">
        <v>127</v>
      </c>
      <c r="V1002" t="s">
        <v>77</v>
      </c>
      <c r="W1002" t="s">
        <v>128</v>
      </c>
      <c r="X1002" t="s">
        <v>129</v>
      </c>
      <c r="Y1002">
        <v>2.5721566105465699</v>
      </c>
      <c r="Z1002">
        <v>2572.1566105465699</v>
      </c>
      <c r="AA1002">
        <v>4.6254861111111101</v>
      </c>
      <c r="AB1002">
        <v>-74.066980555555503</v>
      </c>
      <c r="AC1002">
        <v>2621</v>
      </c>
      <c r="AD1002">
        <v>15</v>
      </c>
      <c r="AE1002" t="s">
        <v>80</v>
      </c>
      <c r="AF1002" t="s">
        <v>81</v>
      </c>
      <c r="AG1002" t="s">
        <v>82</v>
      </c>
      <c r="AH1002" t="s">
        <v>83</v>
      </c>
      <c r="AI1002" t="s">
        <v>130</v>
      </c>
      <c r="AJ1002">
        <v>0.46272960762939602</v>
      </c>
      <c r="AK1002">
        <v>0.81458544461291804</v>
      </c>
      <c r="AL1002">
        <v>9.6477862254055594E-2</v>
      </c>
      <c r="AM1002">
        <v>0.101212227034029</v>
      </c>
      <c r="AN1002">
        <v>0.72614275451514099</v>
      </c>
      <c r="AO1002">
        <v>0.19280166782389399</v>
      </c>
      <c r="AP1002">
        <v>0.19280166782389399</v>
      </c>
      <c r="AQ1002">
        <v>1</v>
      </c>
      <c r="AR1002">
        <v>3</v>
      </c>
      <c r="AS1002">
        <v>0</v>
      </c>
      <c r="AT1002">
        <v>12</v>
      </c>
      <c r="AU1002">
        <v>14</v>
      </c>
      <c r="AV1002">
        <v>77</v>
      </c>
      <c r="AW1002">
        <v>1</v>
      </c>
      <c r="AX1002">
        <v>0</v>
      </c>
      <c r="AZ1002">
        <v>6.8</v>
      </c>
      <c r="BA1002">
        <v>19.899999999999999</v>
      </c>
      <c r="BB1002">
        <v>564</v>
      </c>
      <c r="BC1002">
        <v>68</v>
      </c>
      <c r="BD1002">
        <v>1.5</v>
      </c>
      <c r="BE1002">
        <v>135</v>
      </c>
      <c r="BF1002">
        <v>0.8</v>
      </c>
      <c r="BG1002">
        <v>162</v>
      </c>
      <c r="BH1002">
        <v>9.1</v>
      </c>
      <c r="BI1002">
        <v>9.1999999999999993</v>
      </c>
      <c r="BJ1002">
        <v>18.3</v>
      </c>
      <c r="BK1002">
        <v>0.34</v>
      </c>
      <c r="BL1002">
        <v>7.3</v>
      </c>
      <c r="BM1002">
        <v>0.9</v>
      </c>
      <c r="BN1002">
        <v>7.5</v>
      </c>
      <c r="BO1002">
        <v>2.9</v>
      </c>
      <c r="BP1002">
        <f t="shared" si="30"/>
        <v>5.9870623131208038</v>
      </c>
      <c r="BQ1002">
        <f t="shared" si="31"/>
        <v>18.708687217583474</v>
      </c>
    </row>
    <row r="1003" spans="1:69" hidden="1" x14ac:dyDescent="0.2">
      <c r="A1003" t="s">
        <v>4293</v>
      </c>
      <c r="B1003" t="s">
        <v>68</v>
      </c>
      <c r="C1003" t="s">
        <v>3294</v>
      </c>
      <c r="D1003" t="s">
        <v>70</v>
      </c>
      <c r="E1003" t="s">
        <v>229</v>
      </c>
      <c r="F1003">
        <v>6</v>
      </c>
      <c r="G1003">
        <v>52</v>
      </c>
      <c r="H1003">
        <v>1</v>
      </c>
      <c r="I1003">
        <v>2</v>
      </c>
      <c r="J1003">
        <v>1</v>
      </c>
      <c r="K1003" t="s">
        <v>110</v>
      </c>
      <c r="L1003" t="s">
        <v>133</v>
      </c>
      <c r="M1003" s="4">
        <v>720000000</v>
      </c>
      <c r="N1003">
        <v>0</v>
      </c>
      <c r="O1003">
        <v>4.6777149490000003</v>
      </c>
      <c r="P1003">
        <v>-74.053256309999995</v>
      </c>
      <c r="Q1003" t="s">
        <v>4294</v>
      </c>
      <c r="R1003">
        <v>13846153.85</v>
      </c>
      <c r="S1003">
        <v>0</v>
      </c>
      <c r="T1003" t="s">
        <v>75</v>
      </c>
      <c r="U1003" t="s">
        <v>76</v>
      </c>
      <c r="V1003" t="s">
        <v>77</v>
      </c>
      <c r="W1003" t="s">
        <v>78</v>
      </c>
      <c r="X1003" t="s">
        <v>79</v>
      </c>
      <c r="Y1003">
        <v>4.0250514058645201</v>
      </c>
      <c r="Z1003">
        <v>4025.0514058645199</v>
      </c>
      <c r="AA1003">
        <v>4.6584666666666701</v>
      </c>
      <c r="AB1003">
        <v>-74.083966666666697</v>
      </c>
      <c r="AC1003">
        <v>2552</v>
      </c>
      <c r="AD1003">
        <v>0</v>
      </c>
      <c r="AE1003" t="s">
        <v>80</v>
      </c>
      <c r="AF1003" t="s">
        <v>81</v>
      </c>
      <c r="AG1003" t="s">
        <v>82</v>
      </c>
      <c r="AH1003" t="s">
        <v>83</v>
      </c>
      <c r="AI1003" t="s">
        <v>130</v>
      </c>
      <c r="AJ1003">
        <v>0.66662684765760705</v>
      </c>
      <c r="AK1003">
        <v>1.5190682739930199</v>
      </c>
      <c r="AL1003">
        <v>0.890375988684178</v>
      </c>
      <c r="AM1003">
        <v>3.1366301350245603E-2</v>
      </c>
      <c r="AN1003">
        <v>3.20102376872982</v>
      </c>
      <c r="AO1003">
        <v>0.67879355330723601</v>
      </c>
      <c r="AP1003">
        <v>0.67879355330723601</v>
      </c>
      <c r="AQ1003">
        <v>0</v>
      </c>
      <c r="AR1003">
        <v>3</v>
      </c>
      <c r="AS1003">
        <v>0</v>
      </c>
      <c r="AT1003">
        <v>0</v>
      </c>
      <c r="AU1003">
        <v>3</v>
      </c>
      <c r="AV1003">
        <v>223</v>
      </c>
      <c r="AW1003">
        <v>0</v>
      </c>
      <c r="AX1003">
        <v>0</v>
      </c>
      <c r="AZ1003">
        <v>6.8</v>
      </c>
      <c r="BA1003">
        <v>19.899999999999999</v>
      </c>
      <c r="BB1003">
        <v>564</v>
      </c>
      <c r="BC1003">
        <v>68</v>
      </c>
      <c r="BD1003">
        <v>1.5</v>
      </c>
      <c r="BE1003">
        <v>135</v>
      </c>
      <c r="BF1003">
        <v>0.8</v>
      </c>
      <c r="BG1003">
        <v>162</v>
      </c>
      <c r="BH1003">
        <v>9.1</v>
      </c>
      <c r="BI1003">
        <v>9.1999999999999993</v>
      </c>
      <c r="BJ1003">
        <v>18.3</v>
      </c>
      <c r="BK1003">
        <v>0.34</v>
      </c>
      <c r="BL1003">
        <v>7.3</v>
      </c>
      <c r="BM1003">
        <v>0.9</v>
      </c>
      <c r="BN1003">
        <v>7.5</v>
      </c>
      <c r="BO1003">
        <v>2.9</v>
      </c>
      <c r="BP1003">
        <f t="shared" si="30"/>
        <v>5.5716016812864257</v>
      </c>
      <c r="BQ1003">
        <f t="shared" si="31"/>
        <v>18.067567822174372</v>
      </c>
    </row>
    <row r="1004" spans="1:69" hidden="1" x14ac:dyDescent="0.2">
      <c r="A1004" t="s">
        <v>3677</v>
      </c>
      <c r="B1004" t="s">
        <v>68</v>
      </c>
      <c r="C1004" t="s">
        <v>3294</v>
      </c>
      <c r="D1004" t="s">
        <v>70</v>
      </c>
      <c r="E1004" t="s">
        <v>132</v>
      </c>
      <c r="F1004">
        <v>6</v>
      </c>
      <c r="G1004">
        <v>52</v>
      </c>
      <c r="H1004">
        <v>1</v>
      </c>
      <c r="I1004">
        <v>2</v>
      </c>
      <c r="J1004">
        <v>1</v>
      </c>
      <c r="K1004" t="s">
        <v>110</v>
      </c>
      <c r="L1004" t="s">
        <v>124</v>
      </c>
      <c r="M1004" s="4">
        <v>540000000</v>
      </c>
      <c r="N1004">
        <v>0</v>
      </c>
      <c r="O1004">
        <v>4.6797167000000002</v>
      </c>
      <c r="P1004">
        <v>-74.054786199999995</v>
      </c>
      <c r="Q1004" t="s">
        <v>3678</v>
      </c>
      <c r="R1004">
        <v>10384615.380000001</v>
      </c>
      <c r="S1004">
        <v>0</v>
      </c>
      <c r="T1004" t="s">
        <v>75</v>
      </c>
      <c r="U1004" t="s">
        <v>76</v>
      </c>
      <c r="V1004" t="s">
        <v>77</v>
      </c>
      <c r="W1004" t="s">
        <v>78</v>
      </c>
      <c r="X1004" t="s">
        <v>79</v>
      </c>
      <c r="Y1004">
        <v>4.0096987294562698</v>
      </c>
      <c r="Z1004">
        <v>4009.69872945627</v>
      </c>
      <c r="AA1004">
        <v>4.6584666666666701</v>
      </c>
      <c r="AB1004">
        <v>-74.083966666666697</v>
      </c>
      <c r="AC1004">
        <v>2552</v>
      </c>
      <c r="AD1004">
        <v>0</v>
      </c>
      <c r="AE1004" t="s">
        <v>80</v>
      </c>
      <c r="AF1004" t="s">
        <v>81</v>
      </c>
      <c r="AG1004" t="s">
        <v>82</v>
      </c>
      <c r="AH1004" t="s">
        <v>83</v>
      </c>
      <c r="AI1004" t="s">
        <v>130</v>
      </c>
      <c r="AJ1004">
        <v>0.56927436030247502</v>
      </c>
      <c r="AK1004">
        <v>1.7944200816471301</v>
      </c>
      <c r="AL1004">
        <v>0.702865858828158</v>
      </c>
      <c r="AM1004">
        <v>0.129275423708753</v>
      </c>
      <c r="AN1004">
        <v>3.0722888995534099</v>
      </c>
      <c r="AO1004">
        <v>0.449557493682336</v>
      </c>
      <c r="AP1004">
        <v>0.449557493682336</v>
      </c>
      <c r="AQ1004">
        <v>0</v>
      </c>
      <c r="AR1004">
        <v>3</v>
      </c>
      <c r="AS1004">
        <v>0</v>
      </c>
      <c r="AT1004">
        <v>0</v>
      </c>
      <c r="AU1004">
        <v>3</v>
      </c>
      <c r="AV1004">
        <v>233</v>
      </c>
      <c r="AW1004">
        <v>0</v>
      </c>
      <c r="AX1004">
        <v>0</v>
      </c>
      <c r="AZ1004">
        <v>6.8</v>
      </c>
      <c r="BA1004">
        <v>19.899999999999999</v>
      </c>
      <c r="BB1004">
        <v>564</v>
      </c>
      <c r="BC1004">
        <v>68</v>
      </c>
      <c r="BD1004">
        <v>1.5</v>
      </c>
      <c r="BE1004">
        <v>135</v>
      </c>
      <c r="BF1004">
        <v>0.8</v>
      </c>
      <c r="BG1004">
        <v>162</v>
      </c>
      <c r="BH1004">
        <v>9.1</v>
      </c>
      <c r="BI1004">
        <v>9.1999999999999993</v>
      </c>
      <c r="BJ1004">
        <v>18.3</v>
      </c>
      <c r="BK1004">
        <v>0.34</v>
      </c>
      <c r="BL1004">
        <v>7.3</v>
      </c>
      <c r="BM1004">
        <v>0.9</v>
      </c>
      <c r="BN1004">
        <v>7.5</v>
      </c>
      <c r="BO1004">
        <v>2.9</v>
      </c>
      <c r="BP1004">
        <f t="shared" si="30"/>
        <v>5.5758374709781791</v>
      </c>
      <c r="BQ1004">
        <f t="shared" si="31"/>
        <v>18.074226301338939</v>
      </c>
    </row>
    <row r="1005" spans="1:69" hidden="1" x14ac:dyDescent="0.2">
      <c r="A1005" t="s">
        <v>3636</v>
      </c>
      <c r="B1005" t="s">
        <v>68</v>
      </c>
      <c r="C1005" t="s">
        <v>3294</v>
      </c>
      <c r="D1005" t="s">
        <v>70</v>
      </c>
      <c r="E1005" t="s">
        <v>132</v>
      </c>
      <c r="F1005">
        <v>6</v>
      </c>
      <c r="G1005">
        <v>52</v>
      </c>
      <c r="H1005">
        <v>1</v>
      </c>
      <c r="I1005">
        <v>2</v>
      </c>
      <c r="J1005">
        <v>1</v>
      </c>
      <c r="K1005" t="s">
        <v>110</v>
      </c>
      <c r="L1005" t="s">
        <v>124</v>
      </c>
      <c r="M1005" s="4">
        <v>530000000</v>
      </c>
      <c r="N1005">
        <v>0</v>
      </c>
      <c r="O1005">
        <v>4.6797167000000002</v>
      </c>
      <c r="P1005">
        <v>-74.054786199999995</v>
      </c>
      <c r="Q1005" t="s">
        <v>3637</v>
      </c>
      <c r="R1005">
        <v>10192307.689999999</v>
      </c>
      <c r="S1005">
        <v>0</v>
      </c>
      <c r="T1005" t="s">
        <v>75</v>
      </c>
      <c r="U1005" t="s">
        <v>76</v>
      </c>
      <c r="V1005" t="s">
        <v>77</v>
      </c>
      <c r="W1005" t="s">
        <v>78</v>
      </c>
      <c r="X1005" t="s">
        <v>79</v>
      </c>
      <c r="Y1005">
        <v>4.0096987294562698</v>
      </c>
      <c r="Z1005">
        <v>4009.69872945627</v>
      </c>
      <c r="AA1005">
        <v>4.6584666666666701</v>
      </c>
      <c r="AB1005">
        <v>-74.083966666666697</v>
      </c>
      <c r="AC1005">
        <v>2552</v>
      </c>
      <c r="AD1005">
        <v>0</v>
      </c>
      <c r="AE1005" t="s">
        <v>80</v>
      </c>
      <c r="AF1005" t="s">
        <v>81</v>
      </c>
      <c r="AG1005" t="s">
        <v>82</v>
      </c>
      <c r="AH1005" t="s">
        <v>83</v>
      </c>
      <c r="AI1005" t="s">
        <v>130</v>
      </c>
      <c r="AJ1005">
        <v>0.56927436030247502</v>
      </c>
      <c r="AK1005">
        <v>1.7944200816471301</v>
      </c>
      <c r="AL1005">
        <v>0.702865858828158</v>
      </c>
      <c r="AM1005">
        <v>0.129275423708753</v>
      </c>
      <c r="AN1005">
        <v>3.0722888995534099</v>
      </c>
      <c r="AO1005">
        <v>0.449557493682336</v>
      </c>
      <c r="AP1005">
        <v>0.449557493682336</v>
      </c>
      <c r="AQ1005">
        <v>0</v>
      </c>
      <c r="AR1005">
        <v>3</v>
      </c>
      <c r="AS1005">
        <v>0</v>
      </c>
      <c r="AT1005">
        <v>0</v>
      </c>
      <c r="AU1005">
        <v>3</v>
      </c>
      <c r="AV1005">
        <v>233</v>
      </c>
      <c r="AW1005">
        <v>0</v>
      </c>
      <c r="AX1005">
        <v>0</v>
      </c>
      <c r="AZ1005">
        <v>6.8</v>
      </c>
      <c r="BA1005">
        <v>19.899999999999999</v>
      </c>
      <c r="BB1005">
        <v>564</v>
      </c>
      <c r="BC1005">
        <v>68</v>
      </c>
      <c r="BD1005">
        <v>1.5</v>
      </c>
      <c r="BE1005">
        <v>135</v>
      </c>
      <c r="BF1005">
        <v>0.8</v>
      </c>
      <c r="BG1005">
        <v>162</v>
      </c>
      <c r="BH1005">
        <v>9.1</v>
      </c>
      <c r="BI1005">
        <v>9.1999999999999993</v>
      </c>
      <c r="BJ1005">
        <v>18.3</v>
      </c>
      <c r="BK1005">
        <v>0.34</v>
      </c>
      <c r="BL1005">
        <v>7.3</v>
      </c>
      <c r="BM1005">
        <v>0.9</v>
      </c>
      <c r="BN1005">
        <v>7.5</v>
      </c>
      <c r="BO1005">
        <v>2.9</v>
      </c>
      <c r="BP1005">
        <f t="shared" si="30"/>
        <v>5.5758374709781791</v>
      </c>
      <c r="BQ1005">
        <f t="shared" si="31"/>
        <v>18.074226301338939</v>
      </c>
    </row>
    <row r="1006" spans="1:69" hidden="1" x14ac:dyDescent="0.2">
      <c r="A1006" t="s">
        <v>3644</v>
      </c>
      <c r="B1006" t="s">
        <v>68</v>
      </c>
      <c r="C1006" t="s">
        <v>3294</v>
      </c>
      <c r="D1006" t="s">
        <v>70</v>
      </c>
      <c r="E1006" t="s">
        <v>1098</v>
      </c>
      <c r="F1006">
        <v>3</v>
      </c>
      <c r="G1006">
        <v>52</v>
      </c>
      <c r="H1006">
        <v>2</v>
      </c>
      <c r="I1006">
        <v>2</v>
      </c>
      <c r="J1006">
        <v>0</v>
      </c>
      <c r="K1006" t="s">
        <v>110</v>
      </c>
      <c r="L1006" t="s">
        <v>111</v>
      </c>
      <c r="M1006" s="4">
        <v>456000000</v>
      </c>
      <c r="N1006">
        <v>0</v>
      </c>
      <c r="O1006">
        <v>4.6109437939999998</v>
      </c>
      <c r="P1006">
        <v>-74.071281429999999</v>
      </c>
      <c r="Q1006" t="s">
        <v>3645</v>
      </c>
      <c r="R1006">
        <v>8769230.7689999994</v>
      </c>
      <c r="S1006">
        <v>0</v>
      </c>
      <c r="T1006" t="s">
        <v>126</v>
      </c>
      <c r="U1006" t="s">
        <v>127</v>
      </c>
      <c r="V1006" t="s">
        <v>77</v>
      </c>
      <c r="W1006" t="s">
        <v>128</v>
      </c>
      <c r="X1006" t="s">
        <v>129</v>
      </c>
      <c r="Y1006">
        <v>1.6877172640776299</v>
      </c>
      <c r="Z1006">
        <v>1687.71726407763</v>
      </c>
      <c r="AA1006">
        <v>4.6254861111111101</v>
      </c>
      <c r="AB1006">
        <v>-74.066980555555503</v>
      </c>
      <c r="AC1006">
        <v>2621</v>
      </c>
      <c r="AD1006">
        <v>15</v>
      </c>
      <c r="AE1006" t="s">
        <v>80</v>
      </c>
      <c r="AF1006" t="s">
        <v>81</v>
      </c>
      <c r="AG1006" t="s">
        <v>82</v>
      </c>
      <c r="AH1006" t="s">
        <v>83</v>
      </c>
      <c r="AI1006" t="s">
        <v>138</v>
      </c>
      <c r="AJ1006">
        <v>2.4744247384976801E-2</v>
      </c>
      <c r="AK1006">
        <v>0.75490875673799296</v>
      </c>
      <c r="AL1006">
        <v>0.15094825682780899</v>
      </c>
      <c r="AM1006">
        <v>0.33544475904767301</v>
      </c>
      <c r="AN1006">
        <v>0.72616053254737101</v>
      </c>
      <c r="AO1006">
        <v>4.8634005935610798E-2</v>
      </c>
      <c r="AP1006">
        <v>4.8634005935610798E-2</v>
      </c>
      <c r="AQ1006">
        <v>2</v>
      </c>
      <c r="AR1006">
        <v>8</v>
      </c>
      <c r="AS1006">
        <v>0</v>
      </c>
      <c r="AT1006">
        <v>22</v>
      </c>
      <c r="AU1006">
        <v>9</v>
      </c>
      <c r="AV1006">
        <v>64</v>
      </c>
      <c r="AW1006">
        <v>1</v>
      </c>
      <c r="AX1006">
        <v>6</v>
      </c>
      <c r="AZ1006">
        <v>6.8</v>
      </c>
      <c r="BA1006">
        <v>19.899999999999999</v>
      </c>
      <c r="BB1006">
        <v>564</v>
      </c>
      <c r="BC1006">
        <v>68</v>
      </c>
      <c r="BD1006">
        <v>1.5</v>
      </c>
      <c r="BE1006">
        <v>135</v>
      </c>
      <c r="BF1006">
        <v>0.8</v>
      </c>
      <c r="BG1006">
        <v>162</v>
      </c>
      <c r="BH1006">
        <v>9.1</v>
      </c>
      <c r="BI1006">
        <v>9.1999999999999993</v>
      </c>
      <c r="BJ1006">
        <v>18.3</v>
      </c>
      <c r="BK1006">
        <v>0.34</v>
      </c>
      <c r="BL1006">
        <v>7.3</v>
      </c>
      <c r="BM1006">
        <v>0.9</v>
      </c>
      <c r="BN1006">
        <v>7.5</v>
      </c>
      <c r="BO1006">
        <v>2.9</v>
      </c>
      <c r="BP1006">
        <f t="shared" si="30"/>
        <v>6.2549966453902552</v>
      </c>
      <c r="BQ1006">
        <f t="shared" si="31"/>
        <v>19.110052727245819</v>
      </c>
    </row>
    <row r="1007" spans="1:69" hidden="1" x14ac:dyDescent="0.2">
      <c r="A1007" t="s">
        <v>3685</v>
      </c>
      <c r="B1007" t="s">
        <v>68</v>
      </c>
      <c r="C1007" t="s">
        <v>3294</v>
      </c>
      <c r="D1007" t="s">
        <v>70</v>
      </c>
      <c r="E1007" t="s">
        <v>1098</v>
      </c>
      <c r="F1007">
        <v>3</v>
      </c>
      <c r="G1007">
        <v>51.67</v>
      </c>
      <c r="H1007">
        <v>1</v>
      </c>
      <c r="I1007">
        <v>1</v>
      </c>
      <c r="J1007">
        <v>0</v>
      </c>
      <c r="K1007" t="s">
        <v>110</v>
      </c>
      <c r="L1007" t="s">
        <v>162</v>
      </c>
      <c r="M1007" s="4">
        <v>249000000</v>
      </c>
      <c r="N1007">
        <v>0</v>
      </c>
      <c r="O1007">
        <v>4.6050910949999997</v>
      </c>
      <c r="P1007">
        <v>-74.070846560000007</v>
      </c>
      <c r="Q1007" t="s">
        <v>3686</v>
      </c>
      <c r="R1007">
        <v>4819043.9330000002</v>
      </c>
      <c r="S1007">
        <v>0</v>
      </c>
      <c r="T1007" t="s">
        <v>126</v>
      </c>
      <c r="U1007" t="s">
        <v>127</v>
      </c>
      <c r="V1007" t="s">
        <v>77</v>
      </c>
      <c r="W1007" t="s">
        <v>128</v>
      </c>
      <c r="X1007" t="s">
        <v>129</v>
      </c>
      <c r="Y1007">
        <v>2.3105322454666299</v>
      </c>
      <c r="Z1007">
        <v>2310.5322454666298</v>
      </c>
      <c r="AA1007">
        <v>4.6254861111111101</v>
      </c>
      <c r="AB1007">
        <v>-74.066980555555503</v>
      </c>
      <c r="AC1007">
        <v>2621</v>
      </c>
      <c r="AD1007">
        <v>15</v>
      </c>
      <c r="AE1007" t="s">
        <v>80</v>
      </c>
      <c r="AF1007" t="s">
        <v>81</v>
      </c>
      <c r="AG1007" t="s">
        <v>82</v>
      </c>
      <c r="AH1007" t="s">
        <v>83</v>
      </c>
      <c r="AI1007" t="s">
        <v>138</v>
      </c>
      <c r="AJ1007">
        <v>0.38800242094740101</v>
      </c>
      <c r="AK1007">
        <v>0.70685478996705198</v>
      </c>
      <c r="AL1007">
        <v>9.2734722915972401E-2</v>
      </c>
      <c r="AM1007">
        <v>6.9330289867294198E-2</v>
      </c>
      <c r="AN1007">
        <v>1.23114125006788</v>
      </c>
      <c r="AO1007">
        <v>9.7237452896506302E-2</v>
      </c>
      <c r="AP1007">
        <v>9.7237452896506302E-2</v>
      </c>
      <c r="AQ1007">
        <v>4</v>
      </c>
      <c r="AR1007">
        <v>9</v>
      </c>
      <c r="AS1007">
        <v>0</v>
      </c>
      <c r="AT1007">
        <v>26</v>
      </c>
      <c r="AU1007">
        <v>12</v>
      </c>
      <c r="AV1007">
        <v>50</v>
      </c>
      <c r="AW1007">
        <v>0</v>
      </c>
      <c r="AX1007">
        <v>9</v>
      </c>
      <c r="AZ1007">
        <v>6.8</v>
      </c>
      <c r="BA1007">
        <v>19.899999999999999</v>
      </c>
      <c r="BB1007">
        <v>564</v>
      </c>
      <c r="BC1007">
        <v>68</v>
      </c>
      <c r="BD1007">
        <v>1.5</v>
      </c>
      <c r="BE1007">
        <v>135</v>
      </c>
      <c r="BF1007">
        <v>0.8</v>
      </c>
      <c r="BG1007">
        <v>162</v>
      </c>
      <c r="BH1007">
        <v>9.1</v>
      </c>
      <c r="BI1007">
        <v>9.1999999999999993</v>
      </c>
      <c r="BJ1007">
        <v>18.3</v>
      </c>
      <c r="BK1007">
        <v>0.34</v>
      </c>
      <c r="BL1007">
        <v>7.3</v>
      </c>
      <c r="BM1007">
        <v>0.9</v>
      </c>
      <c r="BN1007">
        <v>7.5</v>
      </c>
      <c r="BO1007">
        <v>2.9</v>
      </c>
      <c r="BP1007">
        <f t="shared" si="30"/>
        <v>6.0651014296971342</v>
      </c>
      <c r="BQ1007">
        <f t="shared" si="31"/>
        <v>18.826528353723901</v>
      </c>
    </row>
    <row r="1008" spans="1:69" hidden="1" x14ac:dyDescent="0.2">
      <c r="A1008" t="s">
        <v>3694</v>
      </c>
      <c r="B1008" t="s">
        <v>68</v>
      </c>
      <c r="C1008" t="s">
        <v>3294</v>
      </c>
      <c r="D1008" t="s">
        <v>70</v>
      </c>
      <c r="E1008" t="s">
        <v>1098</v>
      </c>
      <c r="F1008">
        <v>1</v>
      </c>
      <c r="G1008">
        <v>51.65</v>
      </c>
      <c r="H1008">
        <v>1</v>
      </c>
      <c r="I1008">
        <v>2</v>
      </c>
      <c r="J1008">
        <v>0</v>
      </c>
      <c r="K1008" t="s">
        <v>110</v>
      </c>
      <c r="L1008" t="s">
        <v>124</v>
      </c>
      <c r="M1008" s="4">
        <v>353074569</v>
      </c>
      <c r="N1008">
        <v>0</v>
      </c>
      <c r="O1008">
        <v>4.6080965999999997</v>
      </c>
      <c r="P1008">
        <v>-74.068954469999994</v>
      </c>
      <c r="Q1008" t="s">
        <v>3695</v>
      </c>
      <c r="R1008">
        <v>6835906.4670000002</v>
      </c>
      <c r="S1008">
        <v>0</v>
      </c>
      <c r="T1008" t="s">
        <v>126</v>
      </c>
      <c r="U1008" t="s">
        <v>127</v>
      </c>
      <c r="V1008" t="s">
        <v>77</v>
      </c>
      <c r="W1008" t="s">
        <v>128</v>
      </c>
      <c r="X1008" t="s">
        <v>129</v>
      </c>
      <c r="Y1008">
        <v>1.94814258542791</v>
      </c>
      <c r="Z1008">
        <v>1948.14258542791</v>
      </c>
      <c r="AA1008">
        <v>4.6254861111111101</v>
      </c>
      <c r="AB1008">
        <v>-74.066980555555503</v>
      </c>
      <c r="AC1008">
        <v>2621</v>
      </c>
      <c r="AD1008">
        <v>15</v>
      </c>
      <c r="AE1008" t="s">
        <v>80</v>
      </c>
      <c r="AF1008" t="s">
        <v>81</v>
      </c>
      <c r="AG1008" t="s">
        <v>82</v>
      </c>
      <c r="AH1008" t="s">
        <v>83</v>
      </c>
      <c r="AI1008" t="s">
        <v>138</v>
      </c>
      <c r="AJ1008">
        <v>0.41905411955164201</v>
      </c>
      <c r="AK1008">
        <v>0.45177826857383202</v>
      </c>
      <c r="AL1008">
        <v>0.19446416438957201</v>
      </c>
      <c r="AM1008">
        <v>0.16225223524732299</v>
      </c>
      <c r="AN1008">
        <v>0.84454071999795999</v>
      </c>
      <c r="AO1008">
        <v>3.38144449294005E-2</v>
      </c>
      <c r="AP1008">
        <v>3.38144449294005E-2</v>
      </c>
      <c r="AQ1008">
        <v>2</v>
      </c>
      <c r="AR1008">
        <v>8</v>
      </c>
      <c r="AS1008">
        <v>3</v>
      </c>
      <c r="AT1008">
        <v>29</v>
      </c>
      <c r="AU1008">
        <v>12</v>
      </c>
      <c r="AV1008">
        <v>55</v>
      </c>
      <c r="AW1008">
        <v>1</v>
      </c>
      <c r="AX1008">
        <v>8</v>
      </c>
      <c r="AZ1008">
        <v>6.8</v>
      </c>
      <c r="BA1008">
        <v>19.899999999999999</v>
      </c>
      <c r="BB1008">
        <v>564</v>
      </c>
      <c r="BC1008">
        <v>68</v>
      </c>
      <c r="BD1008">
        <v>1.5</v>
      </c>
      <c r="BE1008">
        <v>135</v>
      </c>
      <c r="BF1008">
        <v>0.8</v>
      </c>
      <c r="BG1008">
        <v>162</v>
      </c>
      <c r="BH1008">
        <v>9.1</v>
      </c>
      <c r="BI1008">
        <v>9.1999999999999993</v>
      </c>
      <c r="BJ1008">
        <v>18.3</v>
      </c>
      <c r="BK1008">
        <v>0.34</v>
      </c>
      <c r="BL1008">
        <v>7.3</v>
      </c>
      <c r="BM1008">
        <v>0.9</v>
      </c>
      <c r="BN1008">
        <v>7.5</v>
      </c>
      <c r="BO1008">
        <v>2.9</v>
      </c>
      <c r="BP1008">
        <f t="shared" si="30"/>
        <v>6.1748806488350976</v>
      </c>
      <c r="BQ1008">
        <f t="shared" si="31"/>
        <v>18.990983419878013</v>
      </c>
    </row>
    <row r="1009" spans="1:69" hidden="1" x14ac:dyDescent="0.2">
      <c r="A1009" t="s">
        <v>4491</v>
      </c>
      <c r="B1009" t="s">
        <v>68</v>
      </c>
      <c r="C1009" t="s">
        <v>3294</v>
      </c>
      <c r="D1009" t="s">
        <v>70</v>
      </c>
      <c r="E1009" t="s">
        <v>3559</v>
      </c>
      <c r="F1009">
        <v>4</v>
      </c>
      <c r="G1009">
        <v>51</v>
      </c>
      <c r="H1009">
        <v>1</v>
      </c>
      <c r="I1009">
        <v>2</v>
      </c>
      <c r="J1009">
        <v>1</v>
      </c>
      <c r="K1009" t="s">
        <v>110</v>
      </c>
      <c r="L1009" t="s">
        <v>133</v>
      </c>
      <c r="M1009" s="4">
        <v>550000000</v>
      </c>
      <c r="N1009">
        <v>0</v>
      </c>
      <c r="O1009">
        <v>4.6191599999999999</v>
      </c>
      <c r="P1009">
        <v>-74.066500000000005</v>
      </c>
      <c r="Q1009" t="s">
        <v>4492</v>
      </c>
      <c r="R1009">
        <v>10784313.73</v>
      </c>
      <c r="S1009">
        <v>0</v>
      </c>
      <c r="T1009" t="s">
        <v>126</v>
      </c>
      <c r="U1009" t="s">
        <v>127</v>
      </c>
      <c r="V1009" t="s">
        <v>77</v>
      </c>
      <c r="W1009" t="s">
        <v>128</v>
      </c>
      <c r="X1009" t="s">
        <v>129</v>
      </c>
      <c r="Y1009">
        <v>0.70623523696166501</v>
      </c>
      <c r="Z1009">
        <v>706.23523696166501</v>
      </c>
      <c r="AA1009">
        <v>4.6254861111111101</v>
      </c>
      <c r="AB1009">
        <v>-74.066980555555503</v>
      </c>
      <c r="AC1009">
        <v>2621</v>
      </c>
      <c r="AD1009">
        <v>15</v>
      </c>
      <c r="AE1009" t="s">
        <v>80</v>
      </c>
      <c r="AF1009" t="s">
        <v>81</v>
      </c>
      <c r="AG1009" t="s">
        <v>82</v>
      </c>
      <c r="AH1009" t="s">
        <v>83</v>
      </c>
      <c r="AI1009" t="s">
        <v>138</v>
      </c>
      <c r="AJ1009">
        <v>0.44574799538938198</v>
      </c>
      <c r="AK1009">
        <v>0.509613871712011</v>
      </c>
      <c r="AL1009">
        <v>0.19919220863237999</v>
      </c>
      <c r="AM1009">
        <v>0.137927940215649</v>
      </c>
      <c r="AN1009">
        <v>0.42872094976583702</v>
      </c>
      <c r="AO1009">
        <v>9.9322316071138297E-2</v>
      </c>
      <c r="AP1009">
        <v>9.9322316071138297E-2</v>
      </c>
      <c r="AQ1009">
        <v>1</v>
      </c>
      <c r="AR1009">
        <v>5</v>
      </c>
      <c r="AS1009">
        <v>0</v>
      </c>
      <c r="AT1009">
        <v>8</v>
      </c>
      <c r="AU1009">
        <v>13</v>
      </c>
      <c r="AV1009">
        <v>68</v>
      </c>
      <c r="AW1009">
        <v>2</v>
      </c>
      <c r="AX1009">
        <v>2</v>
      </c>
      <c r="AZ1009">
        <v>6.8</v>
      </c>
      <c r="BA1009">
        <v>19.899999999999999</v>
      </c>
      <c r="BB1009">
        <v>564</v>
      </c>
      <c r="BC1009">
        <v>68</v>
      </c>
      <c r="BD1009">
        <v>1.5</v>
      </c>
      <c r="BE1009">
        <v>135</v>
      </c>
      <c r="BF1009">
        <v>0.8</v>
      </c>
      <c r="BG1009">
        <v>162</v>
      </c>
      <c r="BH1009">
        <v>9.1</v>
      </c>
      <c r="BI1009">
        <v>9.1999999999999993</v>
      </c>
      <c r="BJ1009">
        <v>18.3</v>
      </c>
      <c r="BK1009">
        <v>0.34</v>
      </c>
      <c r="BL1009">
        <v>7.3</v>
      </c>
      <c r="BM1009">
        <v>0.9</v>
      </c>
      <c r="BN1009">
        <v>7.5</v>
      </c>
      <c r="BO1009">
        <v>2.9</v>
      </c>
      <c r="BP1009">
        <f t="shared" si="30"/>
        <v>6.5663883829865917</v>
      </c>
      <c r="BQ1009">
        <f t="shared" si="31"/>
        <v>19.565544508980999</v>
      </c>
    </row>
    <row r="1010" spans="1:69" hidden="1" x14ac:dyDescent="0.2">
      <c r="A1010" t="s">
        <v>1681</v>
      </c>
      <c r="B1010" t="s">
        <v>68</v>
      </c>
      <c r="C1010" t="s">
        <v>69</v>
      </c>
      <c r="D1010" t="s">
        <v>70</v>
      </c>
      <c r="E1010" t="s">
        <v>132</v>
      </c>
      <c r="F1010">
        <v>6</v>
      </c>
      <c r="G1010">
        <v>51</v>
      </c>
      <c r="H1010">
        <v>1</v>
      </c>
      <c r="I1010">
        <v>1</v>
      </c>
      <c r="J1010">
        <v>1</v>
      </c>
      <c r="K1010" t="s">
        <v>110</v>
      </c>
      <c r="L1010" t="s">
        <v>124</v>
      </c>
      <c r="M1010" s="4">
        <v>520000000</v>
      </c>
      <c r="N1010">
        <v>0</v>
      </c>
      <c r="O1010">
        <v>4.6746320719999996</v>
      </c>
      <c r="P1010">
        <v>-74.055717470000005</v>
      </c>
      <c r="Q1010" t="s">
        <v>1682</v>
      </c>
      <c r="R1010">
        <v>10196078.43</v>
      </c>
      <c r="S1010">
        <v>0</v>
      </c>
      <c r="T1010" t="s">
        <v>75</v>
      </c>
      <c r="U1010" t="s">
        <v>76</v>
      </c>
      <c r="V1010" t="s">
        <v>77</v>
      </c>
      <c r="W1010" t="s">
        <v>78</v>
      </c>
      <c r="X1010" t="s">
        <v>79</v>
      </c>
      <c r="Y1010">
        <v>3.61412307553163</v>
      </c>
      <c r="Z1010">
        <v>3614.1230755316301</v>
      </c>
      <c r="AA1010">
        <v>4.6584666666666701</v>
      </c>
      <c r="AB1010">
        <v>-74.083966666666697</v>
      </c>
      <c r="AC1010">
        <v>2552</v>
      </c>
      <c r="AD1010">
        <v>0</v>
      </c>
      <c r="AE1010" t="s">
        <v>80</v>
      </c>
      <c r="AF1010" t="s">
        <v>81</v>
      </c>
      <c r="AG1010" t="s">
        <v>82</v>
      </c>
      <c r="AH1010" t="s">
        <v>83</v>
      </c>
      <c r="AI1010" t="s">
        <v>130</v>
      </c>
      <c r="AJ1010">
        <v>0.39600668473727402</v>
      </c>
      <c r="AK1010">
        <v>1.5506048490538</v>
      </c>
      <c r="AL1010">
        <v>0.80816478051143903</v>
      </c>
      <c r="AM1010">
        <v>0.119440344157365</v>
      </c>
      <c r="AN1010">
        <v>2.9003565945831302</v>
      </c>
      <c r="AO1010">
        <v>0.71653942176523799</v>
      </c>
      <c r="AP1010">
        <v>0.71653942176523799</v>
      </c>
      <c r="AQ1010">
        <v>1</v>
      </c>
      <c r="AR1010">
        <v>4</v>
      </c>
      <c r="AS1010">
        <v>0</v>
      </c>
      <c r="AT1010">
        <v>0</v>
      </c>
      <c r="AU1010">
        <v>5</v>
      </c>
      <c r="AV1010">
        <v>314</v>
      </c>
      <c r="AW1010">
        <v>0</v>
      </c>
      <c r="AX1010">
        <v>0</v>
      </c>
      <c r="AZ1010">
        <v>6.8</v>
      </c>
      <c r="BA1010">
        <v>19.899999999999999</v>
      </c>
      <c r="BB1010">
        <v>564</v>
      </c>
      <c r="BC1010">
        <v>68</v>
      </c>
      <c r="BD1010">
        <v>1.5</v>
      </c>
      <c r="BE1010">
        <v>135</v>
      </c>
      <c r="BF1010">
        <v>0.8</v>
      </c>
      <c r="BG1010">
        <v>162</v>
      </c>
      <c r="BH1010">
        <v>9.1</v>
      </c>
      <c r="BI1010">
        <v>9.1999999999999993</v>
      </c>
      <c r="BJ1010">
        <v>18.3</v>
      </c>
      <c r="BK1010">
        <v>0.34</v>
      </c>
      <c r="BL1010">
        <v>7.3</v>
      </c>
      <c r="BM1010">
        <v>0.9</v>
      </c>
      <c r="BN1010">
        <v>7.5</v>
      </c>
      <c r="BO1010">
        <v>2.9</v>
      </c>
      <c r="BP1010">
        <f t="shared" si="30"/>
        <v>5.6860938579529314</v>
      </c>
      <c r="BQ1010">
        <f t="shared" si="31"/>
        <v>18.246636796409945</v>
      </c>
    </row>
    <row r="1011" spans="1:69" hidden="1" x14ac:dyDescent="0.2">
      <c r="A1011" t="s">
        <v>1464</v>
      </c>
      <c r="B1011" t="s">
        <v>68</v>
      </c>
      <c r="C1011" t="s">
        <v>69</v>
      </c>
      <c r="D1011" t="s">
        <v>70</v>
      </c>
      <c r="E1011" t="s">
        <v>514</v>
      </c>
      <c r="F1011">
        <v>4</v>
      </c>
      <c r="G1011">
        <v>51</v>
      </c>
      <c r="H1011">
        <v>2</v>
      </c>
      <c r="I1011">
        <v>2</v>
      </c>
      <c r="J1011">
        <v>1</v>
      </c>
      <c r="K1011" t="s">
        <v>110</v>
      </c>
      <c r="L1011" t="s">
        <v>162</v>
      </c>
      <c r="M1011" s="4">
        <v>440000000</v>
      </c>
      <c r="N1011">
        <v>0</v>
      </c>
      <c r="O1011">
        <v>4.6364316939999997</v>
      </c>
      <c r="P1011">
        <v>-74.062583919999994</v>
      </c>
      <c r="Q1011" t="s">
        <v>1465</v>
      </c>
      <c r="R1011">
        <v>8627450.9800000004</v>
      </c>
      <c r="S1011">
        <v>0</v>
      </c>
      <c r="T1011" t="s">
        <v>126</v>
      </c>
      <c r="U1011" t="s">
        <v>127</v>
      </c>
      <c r="V1011" t="s">
        <v>77</v>
      </c>
      <c r="W1011" t="s">
        <v>128</v>
      </c>
      <c r="X1011" t="s">
        <v>129</v>
      </c>
      <c r="Y1011">
        <v>1.3124855126778801</v>
      </c>
      <c r="Z1011">
        <v>1312.48551267788</v>
      </c>
      <c r="AA1011">
        <v>4.6254861111111101</v>
      </c>
      <c r="AB1011">
        <v>-74.066980555555503</v>
      </c>
      <c r="AC1011">
        <v>2621</v>
      </c>
      <c r="AD1011">
        <v>15</v>
      </c>
      <c r="AE1011" t="s">
        <v>80</v>
      </c>
      <c r="AF1011" t="s">
        <v>81</v>
      </c>
      <c r="AG1011" t="s">
        <v>82</v>
      </c>
      <c r="AH1011" t="s">
        <v>83</v>
      </c>
      <c r="AI1011" t="s">
        <v>130</v>
      </c>
      <c r="AJ1011">
        <v>0.48253725345044601</v>
      </c>
      <c r="AK1011">
        <v>0.42642828077251899</v>
      </c>
      <c r="AL1011">
        <v>0.25287758446047898</v>
      </c>
      <c r="AM1011">
        <v>8.9157215103474796E-2</v>
      </c>
      <c r="AN1011">
        <v>0.73761148752786099</v>
      </c>
      <c r="AO1011">
        <v>4.6533989976154197E-2</v>
      </c>
      <c r="AP1011">
        <v>4.6533989976154197E-2</v>
      </c>
      <c r="AQ1011">
        <v>2</v>
      </c>
      <c r="AR1011">
        <v>4</v>
      </c>
      <c r="AS1011">
        <v>7</v>
      </c>
      <c r="AT1011">
        <v>40</v>
      </c>
      <c r="AU1011">
        <v>11</v>
      </c>
      <c r="AV1011">
        <v>126</v>
      </c>
      <c r="AW1011">
        <v>1</v>
      </c>
      <c r="AX1011">
        <v>0</v>
      </c>
      <c r="AZ1011">
        <v>6.8</v>
      </c>
      <c r="BA1011">
        <v>19.899999999999999</v>
      </c>
      <c r="BB1011">
        <v>564</v>
      </c>
      <c r="BC1011">
        <v>68</v>
      </c>
      <c r="BD1011">
        <v>1.5</v>
      </c>
      <c r="BE1011">
        <v>135</v>
      </c>
      <c r="BF1011">
        <v>0.8</v>
      </c>
      <c r="BG1011">
        <v>162</v>
      </c>
      <c r="BH1011">
        <v>9.1</v>
      </c>
      <c r="BI1011">
        <v>9.1999999999999993</v>
      </c>
      <c r="BJ1011">
        <v>18.3</v>
      </c>
      <c r="BK1011">
        <v>0.34</v>
      </c>
      <c r="BL1011">
        <v>7.3</v>
      </c>
      <c r="BM1011">
        <v>0.9</v>
      </c>
      <c r="BN1011">
        <v>7.5</v>
      </c>
      <c r="BO1011">
        <v>2.9</v>
      </c>
      <c r="BP1011">
        <f t="shared" si="30"/>
        <v>6.3722624506044898</v>
      </c>
      <c r="BQ1011">
        <f t="shared" si="31"/>
        <v>19.282926738019558</v>
      </c>
    </row>
    <row r="1012" spans="1:69" hidden="1" x14ac:dyDescent="0.2">
      <c r="A1012" t="s">
        <v>1042</v>
      </c>
      <c r="B1012" t="s">
        <v>68</v>
      </c>
      <c r="C1012" t="s">
        <v>69</v>
      </c>
      <c r="D1012" t="s">
        <v>70</v>
      </c>
      <c r="E1012" t="s">
        <v>1043</v>
      </c>
      <c r="F1012">
        <v>2</v>
      </c>
      <c r="G1012">
        <v>51</v>
      </c>
      <c r="H1012">
        <v>3</v>
      </c>
      <c r="I1012">
        <v>2</v>
      </c>
      <c r="J1012">
        <v>0</v>
      </c>
      <c r="K1012" t="s">
        <v>110</v>
      </c>
      <c r="L1012" t="s">
        <v>133</v>
      </c>
      <c r="M1012" s="4">
        <v>208000000</v>
      </c>
      <c r="N1012">
        <v>0</v>
      </c>
      <c r="O1012">
        <v>4.6213480999999996</v>
      </c>
      <c r="P1012">
        <v>-74.195002599999995</v>
      </c>
      <c r="Q1012" t="s">
        <v>1044</v>
      </c>
      <c r="R1012">
        <v>4078431.3730000001</v>
      </c>
      <c r="S1012">
        <v>0</v>
      </c>
      <c r="T1012" t="s">
        <v>365</v>
      </c>
      <c r="U1012" t="s">
        <v>366</v>
      </c>
      <c r="V1012" t="s">
        <v>77</v>
      </c>
      <c r="W1012" t="s">
        <v>365</v>
      </c>
      <c r="X1012" t="s">
        <v>367</v>
      </c>
      <c r="Y1012">
        <v>2.0193938781938199</v>
      </c>
      <c r="Z1012">
        <v>2019.39387819382</v>
      </c>
      <c r="AA1012">
        <v>4.6056111111111102</v>
      </c>
      <c r="AB1012">
        <v>-74.204055555555598</v>
      </c>
      <c r="AC1012">
        <v>2546</v>
      </c>
      <c r="AD1012">
        <v>0</v>
      </c>
      <c r="AE1012" t="s">
        <v>80</v>
      </c>
      <c r="AF1012" t="s">
        <v>107</v>
      </c>
      <c r="AG1012" t="s">
        <v>82</v>
      </c>
      <c r="AH1012" t="s">
        <v>83</v>
      </c>
      <c r="AI1012" t="s">
        <v>368</v>
      </c>
      <c r="AJ1012">
        <v>2.59036984882079</v>
      </c>
      <c r="AK1012">
        <v>2.20974583013105</v>
      </c>
      <c r="AL1012">
        <v>6.9887292040096503</v>
      </c>
      <c r="AM1012">
        <v>0.62604129332083103</v>
      </c>
      <c r="AN1012">
        <v>2.5129796320702602</v>
      </c>
      <c r="AO1012">
        <v>1.27251786144726E-2</v>
      </c>
      <c r="AP1012">
        <v>1.27251786144726E-2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7</v>
      </c>
      <c r="AW1012">
        <v>0</v>
      </c>
      <c r="AX1012">
        <v>0</v>
      </c>
      <c r="AZ1012">
        <v>6.8</v>
      </c>
      <c r="BA1012">
        <v>19.899999999999999</v>
      </c>
      <c r="BB1012">
        <v>564</v>
      </c>
      <c r="BC1012">
        <v>68</v>
      </c>
      <c r="BD1012">
        <v>1.5</v>
      </c>
      <c r="BE1012">
        <v>135</v>
      </c>
      <c r="BF1012">
        <v>0.8</v>
      </c>
      <c r="BG1012">
        <v>162</v>
      </c>
      <c r="BH1012">
        <v>9.1</v>
      </c>
      <c r="BI1012">
        <v>9.1999999999999993</v>
      </c>
      <c r="BJ1012">
        <v>18.3</v>
      </c>
      <c r="BK1012">
        <v>0.34</v>
      </c>
      <c r="BL1012">
        <v>7.3</v>
      </c>
      <c r="BM1012">
        <v>0.9</v>
      </c>
      <c r="BN1012">
        <v>7.5</v>
      </c>
      <c r="BO1012">
        <v>2.9</v>
      </c>
      <c r="BP1012">
        <f t="shared" si="30"/>
        <v>6.1531405819849727</v>
      </c>
      <c r="BQ1012">
        <f t="shared" si="31"/>
        <v>18.95853599996282</v>
      </c>
    </row>
    <row r="1013" spans="1:69" hidden="1" x14ac:dyDescent="0.2">
      <c r="A1013" t="s">
        <v>1016</v>
      </c>
      <c r="B1013" t="s">
        <v>68</v>
      </c>
      <c r="C1013" t="s">
        <v>69</v>
      </c>
      <c r="D1013" t="s">
        <v>70</v>
      </c>
      <c r="E1013" t="s">
        <v>1017</v>
      </c>
      <c r="F1013">
        <v>2</v>
      </c>
      <c r="G1013">
        <v>51</v>
      </c>
      <c r="H1013">
        <v>3</v>
      </c>
      <c r="I1013">
        <v>2</v>
      </c>
      <c r="J1013">
        <v>0</v>
      </c>
      <c r="K1013" t="s">
        <v>110</v>
      </c>
      <c r="L1013" t="s">
        <v>111</v>
      </c>
      <c r="M1013" s="4">
        <v>198900000</v>
      </c>
      <c r="N1013">
        <v>0</v>
      </c>
      <c r="O1013">
        <v>4.6159607490000001</v>
      </c>
      <c r="P1013">
        <v>-74.194955910000004</v>
      </c>
      <c r="Q1013" t="s">
        <v>1018</v>
      </c>
      <c r="R1013">
        <v>3900000</v>
      </c>
      <c r="S1013">
        <v>0</v>
      </c>
      <c r="T1013" t="s">
        <v>365</v>
      </c>
      <c r="U1013" t="s">
        <v>366</v>
      </c>
      <c r="V1013" t="s">
        <v>77</v>
      </c>
      <c r="W1013" t="s">
        <v>365</v>
      </c>
      <c r="X1013" t="s">
        <v>367</v>
      </c>
      <c r="Y1013">
        <v>1.53194175594267</v>
      </c>
      <c r="Z1013">
        <v>1531.9417559426699</v>
      </c>
      <c r="AA1013">
        <v>4.6056111111111102</v>
      </c>
      <c r="AB1013">
        <v>-74.204055555555598</v>
      </c>
      <c r="AC1013">
        <v>2546</v>
      </c>
      <c r="AD1013">
        <v>0</v>
      </c>
      <c r="AE1013" t="s">
        <v>80</v>
      </c>
      <c r="AF1013" t="s">
        <v>107</v>
      </c>
      <c r="AG1013" t="s">
        <v>82</v>
      </c>
      <c r="AH1013" t="s">
        <v>83</v>
      </c>
      <c r="AI1013" t="s">
        <v>368</v>
      </c>
      <c r="AJ1013">
        <v>2.48037303074896</v>
      </c>
      <c r="AK1013">
        <v>2.49925514373155</v>
      </c>
      <c r="AL1013">
        <v>6.7344738296522602</v>
      </c>
      <c r="AM1013">
        <v>0.44793084311094999</v>
      </c>
      <c r="AN1013">
        <v>1.9675660654987901</v>
      </c>
      <c r="AO1013">
        <v>3.7276643966385799E-3</v>
      </c>
      <c r="AP1013">
        <v>3.7276643966385799E-3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2</v>
      </c>
      <c r="AW1013">
        <v>0</v>
      </c>
      <c r="AX1013">
        <v>0</v>
      </c>
      <c r="AZ1013">
        <v>6.8</v>
      </c>
      <c r="BA1013">
        <v>19.899999999999999</v>
      </c>
      <c r="BB1013">
        <v>564</v>
      </c>
      <c r="BC1013">
        <v>68</v>
      </c>
      <c r="BD1013">
        <v>1.5</v>
      </c>
      <c r="BE1013">
        <v>135</v>
      </c>
      <c r="BF1013">
        <v>0.8</v>
      </c>
      <c r="BG1013">
        <v>162</v>
      </c>
      <c r="BH1013">
        <v>9.1</v>
      </c>
      <c r="BI1013">
        <v>9.1999999999999993</v>
      </c>
      <c r="BJ1013">
        <v>18.3</v>
      </c>
      <c r="BK1013">
        <v>0.34</v>
      </c>
      <c r="BL1013">
        <v>7.3</v>
      </c>
      <c r="BM1013">
        <v>0.9</v>
      </c>
      <c r="BN1013">
        <v>7.5</v>
      </c>
      <c r="BO1013">
        <v>2.9</v>
      </c>
      <c r="BP1013">
        <f t="shared" si="30"/>
        <v>6.3034146548041559</v>
      </c>
      <c r="BQ1013">
        <f t="shared" si="31"/>
        <v>19.18163152272972</v>
      </c>
    </row>
    <row r="1014" spans="1:69" hidden="1" x14ac:dyDescent="0.2">
      <c r="A1014" t="s">
        <v>3510</v>
      </c>
      <c r="B1014" t="s">
        <v>68</v>
      </c>
      <c r="C1014" t="s">
        <v>3294</v>
      </c>
      <c r="D1014" t="s">
        <v>70</v>
      </c>
      <c r="E1014" t="s">
        <v>989</v>
      </c>
      <c r="F1014">
        <v>6</v>
      </c>
      <c r="G1014">
        <v>50.46</v>
      </c>
      <c r="H1014">
        <v>1</v>
      </c>
      <c r="I1014">
        <v>1</v>
      </c>
      <c r="J1014">
        <v>0</v>
      </c>
      <c r="K1014" t="s">
        <v>110</v>
      </c>
      <c r="L1014" t="s">
        <v>162</v>
      </c>
      <c r="M1014" s="4">
        <v>365000000</v>
      </c>
      <c r="N1014">
        <v>0</v>
      </c>
      <c r="O1014">
        <v>4.6707220859999996</v>
      </c>
      <c r="P1014">
        <v>-74.043935610000005</v>
      </c>
      <c r="Q1014" t="s">
        <v>3511</v>
      </c>
      <c r="R1014">
        <v>7233452.2390000001</v>
      </c>
      <c r="S1014">
        <v>0</v>
      </c>
      <c r="T1014" t="s">
        <v>75</v>
      </c>
      <c r="U1014" t="s">
        <v>76</v>
      </c>
      <c r="V1014" t="s">
        <v>77</v>
      </c>
      <c r="W1014" t="s">
        <v>78</v>
      </c>
      <c r="X1014" t="s">
        <v>79</v>
      </c>
      <c r="Y1014">
        <v>4.6462826734795604</v>
      </c>
      <c r="Z1014">
        <v>4646.2826734795599</v>
      </c>
      <c r="AA1014">
        <v>4.6584666666666701</v>
      </c>
      <c r="AB1014">
        <v>-74.083966666666697</v>
      </c>
      <c r="AC1014">
        <v>2552</v>
      </c>
      <c r="AD1014">
        <v>0</v>
      </c>
      <c r="AE1014" t="s">
        <v>80</v>
      </c>
      <c r="AF1014" t="s">
        <v>81</v>
      </c>
      <c r="AG1014" t="s">
        <v>82</v>
      </c>
      <c r="AH1014" t="s">
        <v>83</v>
      </c>
      <c r="AI1014" t="s">
        <v>130</v>
      </c>
      <c r="AJ1014">
        <v>1.75058662352066</v>
      </c>
      <c r="AK1014">
        <v>0.26537259974658101</v>
      </c>
      <c r="AL1014">
        <v>1.2610593546992399</v>
      </c>
      <c r="AM1014">
        <v>0.58235143322426297</v>
      </c>
      <c r="AN1014">
        <v>3.5941069432121902</v>
      </c>
      <c r="AO1014">
        <v>0.74030485752568198</v>
      </c>
      <c r="AP1014">
        <v>0.74030485752568198</v>
      </c>
      <c r="AQ1014">
        <v>0</v>
      </c>
      <c r="AR1014">
        <v>0</v>
      </c>
      <c r="AS1014">
        <v>11</v>
      </c>
      <c r="AT1014">
        <v>32</v>
      </c>
      <c r="AU1014">
        <v>0</v>
      </c>
      <c r="AV1014">
        <v>23</v>
      </c>
      <c r="AW1014">
        <v>0</v>
      </c>
      <c r="AX1014">
        <v>0</v>
      </c>
      <c r="AZ1014">
        <v>6.8</v>
      </c>
      <c r="BA1014">
        <v>19.899999999999999</v>
      </c>
      <c r="BB1014">
        <v>564</v>
      </c>
      <c r="BC1014">
        <v>68</v>
      </c>
      <c r="BD1014">
        <v>1.5</v>
      </c>
      <c r="BE1014">
        <v>135</v>
      </c>
      <c r="BF1014">
        <v>0.8</v>
      </c>
      <c r="BG1014">
        <v>162</v>
      </c>
      <c r="BH1014">
        <v>9.1</v>
      </c>
      <c r="BI1014">
        <v>9.1999999999999993</v>
      </c>
      <c r="BJ1014">
        <v>18.3</v>
      </c>
      <c r="BK1014">
        <v>0.34</v>
      </c>
      <c r="BL1014">
        <v>7.3</v>
      </c>
      <c r="BM1014">
        <v>0.9</v>
      </c>
      <c r="BN1014">
        <v>7.5</v>
      </c>
      <c r="BO1014">
        <v>2.9</v>
      </c>
      <c r="BP1014">
        <f t="shared" si="30"/>
        <v>5.4028771640989195</v>
      </c>
      <c r="BQ1014">
        <f t="shared" si="31"/>
        <v>17.800186727765787</v>
      </c>
    </row>
    <row r="1015" spans="1:69" hidden="1" x14ac:dyDescent="0.2">
      <c r="A1015" t="s">
        <v>3823</v>
      </c>
      <c r="B1015" t="s">
        <v>68</v>
      </c>
      <c r="C1015" t="s">
        <v>3294</v>
      </c>
      <c r="D1015" t="s">
        <v>70</v>
      </c>
      <c r="E1015" t="s">
        <v>414</v>
      </c>
      <c r="F1015">
        <v>4</v>
      </c>
      <c r="G1015">
        <v>50.16</v>
      </c>
      <c r="H1015">
        <v>1</v>
      </c>
      <c r="I1015">
        <v>1</v>
      </c>
      <c r="J1015">
        <v>1</v>
      </c>
      <c r="K1015" t="s">
        <v>110</v>
      </c>
      <c r="L1015" t="s">
        <v>111</v>
      </c>
      <c r="M1015" s="4">
        <v>397000000</v>
      </c>
      <c r="N1015">
        <v>0</v>
      </c>
      <c r="O1015">
        <v>4.6482400000000004</v>
      </c>
      <c r="P1015">
        <v>-74.080039999999997</v>
      </c>
      <c r="Q1015" t="s">
        <v>3824</v>
      </c>
      <c r="R1015">
        <v>7914673.0460000001</v>
      </c>
      <c r="S1015">
        <v>0</v>
      </c>
      <c r="T1015" t="s">
        <v>75</v>
      </c>
      <c r="U1015" t="s">
        <v>76</v>
      </c>
      <c r="V1015" t="s">
        <v>77</v>
      </c>
      <c r="W1015" t="s">
        <v>78</v>
      </c>
      <c r="X1015" t="s">
        <v>79</v>
      </c>
      <c r="Y1015">
        <v>1.2189455895544501</v>
      </c>
      <c r="Z1015">
        <v>1218.94558955445</v>
      </c>
      <c r="AA1015">
        <v>4.6584666666666701</v>
      </c>
      <c r="AB1015">
        <v>-74.083966666666697</v>
      </c>
      <c r="AC1015">
        <v>2552</v>
      </c>
      <c r="AD1015">
        <v>0</v>
      </c>
      <c r="AE1015" t="s">
        <v>80</v>
      </c>
      <c r="AF1015" t="s">
        <v>81</v>
      </c>
      <c r="AG1015" t="s">
        <v>82</v>
      </c>
      <c r="AH1015" t="s">
        <v>83</v>
      </c>
      <c r="AI1015" t="s">
        <v>84</v>
      </c>
      <c r="AJ1015">
        <v>0.27233388188228302</v>
      </c>
      <c r="AK1015">
        <v>2.6220188378115701</v>
      </c>
      <c r="AL1015">
        <v>0.34199275419063102</v>
      </c>
      <c r="AM1015">
        <v>5.4166274894684403E-2</v>
      </c>
      <c r="AN1015">
        <v>2.5099014121264598</v>
      </c>
      <c r="AO1015">
        <v>0.17009234299023701</v>
      </c>
      <c r="AP1015">
        <v>0.17009234299023701</v>
      </c>
      <c r="AQ1015">
        <v>2</v>
      </c>
      <c r="AR1015">
        <v>2</v>
      </c>
      <c r="AS1015">
        <v>0</v>
      </c>
      <c r="AT1015">
        <v>0</v>
      </c>
      <c r="AU1015">
        <v>3</v>
      </c>
      <c r="AV1015">
        <v>35</v>
      </c>
      <c r="AW1015">
        <v>0</v>
      </c>
      <c r="AX1015">
        <v>0</v>
      </c>
      <c r="AZ1015">
        <v>6.8</v>
      </c>
      <c r="BA1015">
        <v>19.899999999999999</v>
      </c>
      <c r="BB1015">
        <v>564</v>
      </c>
      <c r="BC1015">
        <v>68</v>
      </c>
      <c r="BD1015">
        <v>1.5</v>
      </c>
      <c r="BE1015">
        <v>135</v>
      </c>
      <c r="BF1015">
        <v>0.8</v>
      </c>
      <c r="BG1015">
        <v>162</v>
      </c>
      <c r="BH1015">
        <v>9.1</v>
      </c>
      <c r="BI1015">
        <v>9.1999999999999993</v>
      </c>
      <c r="BJ1015">
        <v>18.3</v>
      </c>
      <c r="BK1015">
        <v>0.34</v>
      </c>
      <c r="BL1015">
        <v>7.3</v>
      </c>
      <c r="BM1015">
        <v>0.9</v>
      </c>
      <c r="BN1015">
        <v>7.5</v>
      </c>
      <c r="BO1015">
        <v>2.9</v>
      </c>
      <c r="BP1015">
        <f t="shared" si="30"/>
        <v>6.4018358801208484</v>
      </c>
      <c r="BQ1015">
        <f t="shared" si="31"/>
        <v>19.326264729438879</v>
      </c>
    </row>
    <row r="1016" spans="1:69" hidden="1" x14ac:dyDescent="0.2">
      <c r="A1016" t="s">
        <v>3874</v>
      </c>
      <c r="B1016" t="s">
        <v>68</v>
      </c>
      <c r="C1016" t="s">
        <v>3294</v>
      </c>
      <c r="D1016" t="s">
        <v>70</v>
      </c>
      <c r="E1016" t="s">
        <v>509</v>
      </c>
      <c r="F1016">
        <v>4</v>
      </c>
      <c r="G1016">
        <v>50</v>
      </c>
      <c r="H1016">
        <v>1</v>
      </c>
      <c r="I1016">
        <v>2</v>
      </c>
      <c r="J1016">
        <v>1</v>
      </c>
      <c r="K1016" t="s">
        <v>110</v>
      </c>
      <c r="L1016" t="s">
        <v>111</v>
      </c>
      <c r="M1016" s="4">
        <v>470000000</v>
      </c>
      <c r="N1016">
        <v>0</v>
      </c>
      <c r="O1016">
        <v>4.6414900000000001</v>
      </c>
      <c r="P1016">
        <v>-74.060630000000003</v>
      </c>
      <c r="Q1016" t="s">
        <v>3875</v>
      </c>
      <c r="R1016">
        <v>9400000</v>
      </c>
      <c r="S1016">
        <v>0</v>
      </c>
      <c r="T1016" t="s">
        <v>126</v>
      </c>
      <c r="U1016" t="s">
        <v>127</v>
      </c>
      <c r="V1016" t="s">
        <v>77</v>
      </c>
      <c r="W1016" t="s">
        <v>128</v>
      </c>
      <c r="X1016" t="s">
        <v>129</v>
      </c>
      <c r="Y1016">
        <v>1.9158302298827501</v>
      </c>
      <c r="Z1016">
        <v>1915.83022988275</v>
      </c>
      <c r="AA1016">
        <v>4.6254861111111101</v>
      </c>
      <c r="AB1016">
        <v>-74.066980555555503</v>
      </c>
      <c r="AC1016">
        <v>2621</v>
      </c>
      <c r="AD1016">
        <v>15</v>
      </c>
      <c r="AE1016" t="s">
        <v>80</v>
      </c>
      <c r="AF1016" t="s">
        <v>81</v>
      </c>
      <c r="AG1016" t="s">
        <v>82</v>
      </c>
      <c r="AH1016" t="s">
        <v>83</v>
      </c>
      <c r="AI1016" t="s">
        <v>130</v>
      </c>
      <c r="AJ1016">
        <v>0.59952693323961603</v>
      </c>
      <c r="AK1016">
        <v>0.34595015838121301</v>
      </c>
      <c r="AL1016">
        <v>0.36379730236707097</v>
      </c>
      <c r="AM1016">
        <v>0.14841649671931301</v>
      </c>
      <c r="AN1016">
        <v>0.248722257637844</v>
      </c>
      <c r="AO1016">
        <v>2.5939727013007601E-2</v>
      </c>
      <c r="AP1016">
        <v>2.5939727013007601E-2</v>
      </c>
      <c r="AQ1016">
        <v>0</v>
      </c>
      <c r="AR1016">
        <v>4</v>
      </c>
      <c r="AS1016">
        <v>8</v>
      </c>
      <c r="AT1016">
        <v>40</v>
      </c>
      <c r="AU1016">
        <v>6</v>
      </c>
      <c r="AV1016">
        <v>119</v>
      </c>
      <c r="AW1016">
        <v>1</v>
      </c>
      <c r="AX1016">
        <v>0</v>
      </c>
      <c r="AZ1016">
        <v>6.8</v>
      </c>
      <c r="BA1016">
        <v>19.899999999999999</v>
      </c>
      <c r="BB1016">
        <v>564</v>
      </c>
      <c r="BC1016">
        <v>68</v>
      </c>
      <c r="BD1016">
        <v>1.5</v>
      </c>
      <c r="BE1016">
        <v>135</v>
      </c>
      <c r="BF1016">
        <v>0.8</v>
      </c>
      <c r="BG1016">
        <v>162</v>
      </c>
      <c r="BH1016">
        <v>9.1</v>
      </c>
      <c r="BI1016">
        <v>9.1999999999999993</v>
      </c>
      <c r="BJ1016">
        <v>18.3</v>
      </c>
      <c r="BK1016">
        <v>0.34</v>
      </c>
      <c r="BL1016">
        <v>7.3</v>
      </c>
      <c r="BM1016">
        <v>0.9</v>
      </c>
      <c r="BN1016">
        <v>7.5</v>
      </c>
      <c r="BO1016">
        <v>2.9</v>
      </c>
      <c r="BP1016">
        <f t="shared" si="30"/>
        <v>6.1847650360559614</v>
      </c>
      <c r="BQ1016">
        <f t="shared" si="31"/>
        <v>19.005716573696464</v>
      </c>
    </row>
    <row r="1017" spans="1:69" hidden="1" x14ac:dyDescent="0.2">
      <c r="A1017" t="s">
        <v>3782</v>
      </c>
      <c r="B1017" t="s">
        <v>68</v>
      </c>
      <c r="C1017" t="s">
        <v>3294</v>
      </c>
      <c r="D1017" t="s">
        <v>70</v>
      </c>
      <c r="E1017" t="s">
        <v>3783</v>
      </c>
      <c r="F1017">
        <v>6</v>
      </c>
      <c r="G1017">
        <v>50</v>
      </c>
      <c r="H1017">
        <v>1</v>
      </c>
      <c r="I1017">
        <v>2</v>
      </c>
      <c r="J1017">
        <v>1</v>
      </c>
      <c r="K1017" t="s">
        <v>110</v>
      </c>
      <c r="L1017" t="s">
        <v>111</v>
      </c>
      <c r="M1017" s="4">
        <v>450000000</v>
      </c>
      <c r="N1017">
        <v>0</v>
      </c>
      <c r="O1017">
        <v>4.5710819499999999</v>
      </c>
      <c r="P1017">
        <v>-74.120686300000003</v>
      </c>
      <c r="Q1017" t="s">
        <v>3784</v>
      </c>
      <c r="R1017">
        <v>9000000</v>
      </c>
      <c r="S1017">
        <v>0</v>
      </c>
      <c r="T1017" t="s">
        <v>1843</v>
      </c>
      <c r="U1017" t="s">
        <v>1844</v>
      </c>
      <c r="V1017" t="s">
        <v>77</v>
      </c>
      <c r="W1017" t="s">
        <v>1845</v>
      </c>
      <c r="X1017" t="s">
        <v>1846</v>
      </c>
      <c r="Y1017">
        <v>1.2752667513573499</v>
      </c>
      <c r="Z1017">
        <v>1275.2667513573499</v>
      </c>
      <c r="AA1017">
        <v>4.576225</v>
      </c>
      <c r="AB1017">
        <v>-74.130955555555502</v>
      </c>
      <c r="AC1017">
        <v>2589</v>
      </c>
      <c r="AD1017">
        <v>0</v>
      </c>
      <c r="AE1017" t="s">
        <v>80</v>
      </c>
      <c r="AF1017" t="s">
        <v>107</v>
      </c>
      <c r="AG1017" t="s">
        <v>82</v>
      </c>
      <c r="AH1017" t="s">
        <v>83</v>
      </c>
      <c r="AI1017" t="s">
        <v>1847</v>
      </c>
      <c r="AJ1017">
        <v>0.44626367875342099</v>
      </c>
      <c r="AK1017">
        <v>4.5839320941976398</v>
      </c>
      <c r="AL1017">
        <v>1.9797599919269799</v>
      </c>
      <c r="AM1017">
        <v>9.1160024096287803E-2</v>
      </c>
      <c r="AN1017">
        <v>1.93906474080381</v>
      </c>
      <c r="AO1017">
        <v>8.4166916062687197E-3</v>
      </c>
      <c r="AP1017">
        <v>8.4166916062687197E-3</v>
      </c>
      <c r="AQ1017">
        <v>1</v>
      </c>
      <c r="AR1017">
        <v>4</v>
      </c>
      <c r="AS1017">
        <v>0</v>
      </c>
      <c r="AT1017">
        <v>0</v>
      </c>
      <c r="AU1017">
        <v>0</v>
      </c>
      <c r="AV1017">
        <v>11</v>
      </c>
      <c r="AW1017">
        <v>0</v>
      </c>
      <c r="AX1017">
        <v>0</v>
      </c>
      <c r="AZ1017">
        <v>6.8</v>
      </c>
      <c r="BA1017">
        <v>19.899999999999999</v>
      </c>
      <c r="BB1017">
        <v>564</v>
      </c>
      <c r="BC1017">
        <v>68</v>
      </c>
      <c r="BD1017">
        <v>1.5</v>
      </c>
      <c r="BE1017">
        <v>135</v>
      </c>
      <c r="BF1017">
        <v>0.8</v>
      </c>
      <c r="BG1017">
        <v>162</v>
      </c>
      <c r="BH1017">
        <v>9.1</v>
      </c>
      <c r="BI1017">
        <v>9.1999999999999993</v>
      </c>
      <c r="BJ1017">
        <v>18.3</v>
      </c>
      <c r="BK1017">
        <v>0.34</v>
      </c>
      <c r="BL1017">
        <v>7.3</v>
      </c>
      <c r="BM1017">
        <v>0.9</v>
      </c>
      <c r="BN1017">
        <v>7.5</v>
      </c>
      <c r="BO1017">
        <v>2.9</v>
      </c>
      <c r="BP1017">
        <f t="shared" si="30"/>
        <v>6.384013073439041</v>
      </c>
      <c r="BQ1017">
        <f t="shared" si="31"/>
        <v>19.30015891274391</v>
      </c>
    </row>
    <row r="1018" spans="1:69" hidden="1" x14ac:dyDescent="0.2">
      <c r="A1018" t="s">
        <v>3450</v>
      </c>
      <c r="B1018" t="s">
        <v>68</v>
      </c>
      <c r="C1018" t="s">
        <v>3294</v>
      </c>
      <c r="D1018" t="s">
        <v>70</v>
      </c>
      <c r="E1018" t="s">
        <v>832</v>
      </c>
      <c r="F1018">
        <v>4</v>
      </c>
      <c r="G1018">
        <v>50</v>
      </c>
      <c r="H1018">
        <v>1</v>
      </c>
      <c r="I1018">
        <v>1</v>
      </c>
      <c r="J1018">
        <v>1</v>
      </c>
      <c r="K1018" t="s">
        <v>110</v>
      </c>
      <c r="L1018" t="s">
        <v>124</v>
      </c>
      <c r="M1018" s="4">
        <v>420000000</v>
      </c>
      <c r="N1018">
        <v>0</v>
      </c>
      <c r="O1018">
        <v>4.6476483000000002</v>
      </c>
      <c r="P1018">
        <v>-74.056289300000003</v>
      </c>
      <c r="Q1018" t="s">
        <v>3451</v>
      </c>
      <c r="R1018">
        <v>8400000</v>
      </c>
      <c r="S1018">
        <v>0</v>
      </c>
      <c r="T1018" t="s">
        <v>126</v>
      </c>
      <c r="U1018" t="s">
        <v>127</v>
      </c>
      <c r="V1018" t="s">
        <v>77</v>
      </c>
      <c r="W1018" t="s">
        <v>128</v>
      </c>
      <c r="X1018" t="s">
        <v>129</v>
      </c>
      <c r="Y1018">
        <v>2.73746074093676</v>
      </c>
      <c r="Z1018">
        <v>2737.46074093676</v>
      </c>
      <c r="AA1018">
        <v>4.6254861111111101</v>
      </c>
      <c r="AB1018">
        <v>-74.066980555555503</v>
      </c>
      <c r="AC1018">
        <v>2621</v>
      </c>
      <c r="AD1018">
        <v>15</v>
      </c>
      <c r="AE1018" t="s">
        <v>80</v>
      </c>
      <c r="AF1018" t="s">
        <v>81</v>
      </c>
      <c r="AG1018" t="s">
        <v>82</v>
      </c>
      <c r="AH1018" t="s">
        <v>83</v>
      </c>
      <c r="AI1018" t="s">
        <v>130</v>
      </c>
      <c r="AJ1018">
        <v>0.95519695577889496</v>
      </c>
      <c r="AK1018">
        <v>0.46241129326515501</v>
      </c>
      <c r="AL1018">
        <v>0.20349206496720099</v>
      </c>
      <c r="AM1018">
        <v>0.174180306689216</v>
      </c>
      <c r="AN1018">
        <v>0.70652235070084202</v>
      </c>
      <c r="AO1018">
        <v>3.5605555002363398E-2</v>
      </c>
      <c r="AP1018">
        <v>3.5605555002363398E-2</v>
      </c>
      <c r="AQ1018">
        <v>0</v>
      </c>
      <c r="AR1018">
        <v>1</v>
      </c>
      <c r="AS1018">
        <v>3</v>
      </c>
      <c r="AT1018">
        <v>43</v>
      </c>
      <c r="AU1018">
        <v>8</v>
      </c>
      <c r="AV1018">
        <v>55</v>
      </c>
      <c r="AW1018">
        <v>1</v>
      </c>
      <c r="AX1018">
        <v>0</v>
      </c>
      <c r="AZ1018">
        <v>6.8</v>
      </c>
      <c r="BA1018">
        <v>19.899999999999999</v>
      </c>
      <c r="BB1018">
        <v>564</v>
      </c>
      <c r="BC1018">
        <v>68</v>
      </c>
      <c r="BD1018">
        <v>1.5</v>
      </c>
      <c r="BE1018">
        <v>135</v>
      </c>
      <c r="BF1018">
        <v>0.8</v>
      </c>
      <c r="BG1018">
        <v>162</v>
      </c>
      <c r="BH1018">
        <v>9.1</v>
      </c>
      <c r="BI1018">
        <v>9.1999999999999993</v>
      </c>
      <c r="BJ1018">
        <v>18.3</v>
      </c>
      <c r="BK1018">
        <v>0.34</v>
      </c>
      <c r="BL1018">
        <v>7.3</v>
      </c>
      <c r="BM1018">
        <v>0.9</v>
      </c>
      <c r="BN1018">
        <v>7.5</v>
      </c>
      <c r="BO1018">
        <v>2.9</v>
      </c>
      <c r="BP1018">
        <f t="shared" si="30"/>
        <v>5.9382727336397307</v>
      </c>
      <c r="BQ1018">
        <f t="shared" si="31"/>
        <v>18.634611296900989</v>
      </c>
    </row>
    <row r="1019" spans="1:69" hidden="1" x14ac:dyDescent="0.2">
      <c r="A1019" t="s">
        <v>4299</v>
      </c>
      <c r="B1019" t="s">
        <v>68</v>
      </c>
      <c r="C1019" t="s">
        <v>3294</v>
      </c>
      <c r="D1019" t="s">
        <v>70</v>
      </c>
      <c r="E1019" t="s">
        <v>2034</v>
      </c>
      <c r="F1019">
        <v>4</v>
      </c>
      <c r="G1019">
        <v>50</v>
      </c>
      <c r="H1019">
        <v>1</v>
      </c>
      <c r="I1019">
        <v>2</v>
      </c>
      <c r="J1019">
        <v>1</v>
      </c>
      <c r="K1019" t="s">
        <v>110</v>
      </c>
      <c r="L1019" t="s">
        <v>133</v>
      </c>
      <c r="M1019" s="4">
        <v>415000000</v>
      </c>
      <c r="N1019">
        <v>0</v>
      </c>
      <c r="O1019">
        <v>4.6923542019999998</v>
      </c>
      <c r="P1019">
        <v>-74.067092900000006</v>
      </c>
      <c r="Q1019" t="s">
        <v>4300</v>
      </c>
      <c r="R1019">
        <v>8300000</v>
      </c>
      <c r="S1019">
        <v>0</v>
      </c>
      <c r="T1019" t="s">
        <v>75</v>
      </c>
      <c r="U1019" t="s">
        <v>76</v>
      </c>
      <c r="V1019" t="s">
        <v>77</v>
      </c>
      <c r="W1019" t="s">
        <v>78</v>
      </c>
      <c r="X1019" t="s">
        <v>79</v>
      </c>
      <c r="Y1019">
        <v>4.2113464516015</v>
      </c>
      <c r="Z1019">
        <v>4211.3464516015001</v>
      </c>
      <c r="AA1019">
        <v>4.6584666666666701</v>
      </c>
      <c r="AB1019">
        <v>-74.083966666666697</v>
      </c>
      <c r="AC1019">
        <v>2552</v>
      </c>
      <c r="AD1019">
        <v>0</v>
      </c>
      <c r="AE1019" t="s">
        <v>80</v>
      </c>
      <c r="AF1019" t="s">
        <v>81</v>
      </c>
      <c r="AG1019" t="s">
        <v>82</v>
      </c>
      <c r="AH1019" t="s">
        <v>83</v>
      </c>
      <c r="AI1019" t="s">
        <v>121</v>
      </c>
      <c r="AJ1019">
        <v>0.116369878892988</v>
      </c>
      <c r="AK1019">
        <v>3.6713527563124702</v>
      </c>
      <c r="AL1019">
        <v>0.66589099616134695</v>
      </c>
      <c r="AM1019">
        <v>8.3316858019037404E-2</v>
      </c>
      <c r="AN1019">
        <v>2.6231101662006</v>
      </c>
      <c r="AO1019">
        <v>0.359032015968763</v>
      </c>
      <c r="AP1019">
        <v>0.359032015968763</v>
      </c>
      <c r="AQ1019">
        <v>1</v>
      </c>
      <c r="AR1019">
        <v>4</v>
      </c>
      <c r="AS1019">
        <v>0</v>
      </c>
      <c r="AT1019">
        <v>0</v>
      </c>
      <c r="AU1019">
        <v>1</v>
      </c>
      <c r="AV1019">
        <v>71</v>
      </c>
      <c r="AW1019">
        <v>0</v>
      </c>
      <c r="AX1019">
        <v>0</v>
      </c>
      <c r="AZ1019">
        <v>6.8</v>
      </c>
      <c r="BA1019">
        <v>19.899999999999999</v>
      </c>
      <c r="BB1019">
        <v>564</v>
      </c>
      <c r="BC1019">
        <v>68</v>
      </c>
      <c r="BD1019">
        <v>1.5</v>
      </c>
      <c r="BE1019">
        <v>135</v>
      </c>
      <c r="BF1019">
        <v>0.8</v>
      </c>
      <c r="BG1019">
        <v>162</v>
      </c>
      <c r="BH1019">
        <v>9.1</v>
      </c>
      <c r="BI1019">
        <v>9.1999999999999993</v>
      </c>
      <c r="BJ1019">
        <v>18.3</v>
      </c>
      <c r="BK1019">
        <v>0.34</v>
      </c>
      <c r="BL1019">
        <v>7.3</v>
      </c>
      <c r="BM1019">
        <v>0.9</v>
      </c>
      <c r="BN1019">
        <v>7.5</v>
      </c>
      <c r="BO1019">
        <v>2.9</v>
      </c>
      <c r="BP1019">
        <f t="shared" si="30"/>
        <v>5.5204587450752571</v>
      </c>
      <c r="BQ1019">
        <f t="shared" si="31"/>
        <v>17.986966582814325</v>
      </c>
    </row>
    <row r="1020" spans="1:69" hidden="1" x14ac:dyDescent="0.2">
      <c r="A1020" t="s">
        <v>3675</v>
      </c>
      <c r="B1020" t="s">
        <v>68</v>
      </c>
      <c r="C1020" t="s">
        <v>3294</v>
      </c>
      <c r="D1020" t="s">
        <v>70</v>
      </c>
      <c r="E1020" t="s">
        <v>2034</v>
      </c>
      <c r="F1020">
        <v>4</v>
      </c>
      <c r="G1020">
        <v>50</v>
      </c>
      <c r="H1020">
        <v>1</v>
      </c>
      <c r="I1020">
        <v>2</v>
      </c>
      <c r="J1020">
        <v>1</v>
      </c>
      <c r="K1020" t="s">
        <v>110</v>
      </c>
      <c r="L1020" t="s">
        <v>111</v>
      </c>
      <c r="M1020" s="4">
        <v>390000000</v>
      </c>
      <c r="N1020">
        <v>0</v>
      </c>
      <c r="O1020">
        <v>4.691466331</v>
      </c>
      <c r="P1020">
        <v>-74.067245479999997</v>
      </c>
      <c r="Q1020" t="s">
        <v>3676</v>
      </c>
      <c r="R1020">
        <v>7800000</v>
      </c>
      <c r="S1020">
        <v>0</v>
      </c>
      <c r="T1020" t="s">
        <v>75</v>
      </c>
      <c r="U1020" t="s">
        <v>76</v>
      </c>
      <c r="V1020" t="s">
        <v>77</v>
      </c>
      <c r="W1020" t="s">
        <v>78</v>
      </c>
      <c r="X1020" t="s">
        <v>79</v>
      </c>
      <c r="Y1020">
        <v>4.1153878121033101</v>
      </c>
      <c r="Z1020">
        <v>4115.3878121033104</v>
      </c>
      <c r="AA1020">
        <v>4.6584666666666701</v>
      </c>
      <c r="AB1020">
        <v>-74.083966666666697</v>
      </c>
      <c r="AC1020">
        <v>2552</v>
      </c>
      <c r="AD1020">
        <v>0</v>
      </c>
      <c r="AE1020" t="s">
        <v>80</v>
      </c>
      <c r="AF1020" t="s">
        <v>81</v>
      </c>
      <c r="AG1020" t="s">
        <v>82</v>
      </c>
      <c r="AH1020" t="s">
        <v>83</v>
      </c>
      <c r="AI1020" t="s">
        <v>121</v>
      </c>
      <c r="AJ1020">
        <v>0.213818445905813</v>
      </c>
      <c r="AK1020">
        <v>3.63314110650207</v>
      </c>
      <c r="AL1020">
        <v>0.75000972237503305</v>
      </c>
      <c r="AM1020">
        <v>0.13946301890226101</v>
      </c>
      <c r="AN1020">
        <v>2.5363527735147202</v>
      </c>
      <c r="AO1020">
        <v>0.42511336293000701</v>
      </c>
      <c r="AP1020">
        <v>0.42511336293000701</v>
      </c>
      <c r="AQ1020">
        <v>1</v>
      </c>
      <c r="AR1020">
        <v>4</v>
      </c>
      <c r="AS1020">
        <v>0</v>
      </c>
      <c r="AT1020">
        <v>0</v>
      </c>
      <c r="AU1020">
        <v>1</v>
      </c>
      <c r="AV1020">
        <v>71</v>
      </c>
      <c r="AW1020">
        <v>0</v>
      </c>
      <c r="AX1020">
        <v>0</v>
      </c>
      <c r="AZ1020">
        <v>6.8</v>
      </c>
      <c r="BA1020">
        <v>19.899999999999999</v>
      </c>
      <c r="BB1020">
        <v>564</v>
      </c>
      <c r="BC1020">
        <v>68</v>
      </c>
      <c r="BD1020">
        <v>1.5</v>
      </c>
      <c r="BE1020">
        <v>135</v>
      </c>
      <c r="BF1020">
        <v>0.8</v>
      </c>
      <c r="BG1020">
        <v>162</v>
      </c>
      <c r="BH1020">
        <v>9.1</v>
      </c>
      <c r="BI1020">
        <v>9.1999999999999993</v>
      </c>
      <c r="BJ1020">
        <v>18.3</v>
      </c>
      <c r="BK1020">
        <v>0.34</v>
      </c>
      <c r="BL1020">
        <v>7.3</v>
      </c>
      <c r="BM1020">
        <v>0.9</v>
      </c>
      <c r="BN1020">
        <v>7.5</v>
      </c>
      <c r="BO1020">
        <v>2.9</v>
      </c>
      <c r="BP1020">
        <f t="shared" si="30"/>
        <v>5.5467430379034424</v>
      </c>
      <c r="BQ1020">
        <f t="shared" si="31"/>
        <v>18.028438435682926</v>
      </c>
    </row>
    <row r="1021" spans="1:69" hidden="1" x14ac:dyDescent="0.2">
      <c r="A1021" t="s">
        <v>3683</v>
      </c>
      <c r="B1021" t="s">
        <v>68</v>
      </c>
      <c r="C1021" t="s">
        <v>3294</v>
      </c>
      <c r="D1021" t="s">
        <v>70</v>
      </c>
      <c r="E1021" t="s">
        <v>2034</v>
      </c>
      <c r="F1021">
        <v>4</v>
      </c>
      <c r="G1021">
        <v>50</v>
      </c>
      <c r="H1021">
        <v>1</v>
      </c>
      <c r="I1021">
        <v>2</v>
      </c>
      <c r="J1021">
        <v>1</v>
      </c>
      <c r="K1021" t="s">
        <v>110</v>
      </c>
      <c r="L1021" t="s">
        <v>111</v>
      </c>
      <c r="M1021" s="4">
        <v>390000000</v>
      </c>
      <c r="N1021">
        <v>0</v>
      </c>
      <c r="O1021">
        <v>4.6898264879999996</v>
      </c>
      <c r="P1021">
        <v>-74.067672729999998</v>
      </c>
      <c r="Q1021" t="s">
        <v>3684</v>
      </c>
      <c r="R1021">
        <v>7800000</v>
      </c>
      <c r="S1021">
        <v>0</v>
      </c>
      <c r="T1021" t="s">
        <v>75</v>
      </c>
      <c r="U1021" t="s">
        <v>76</v>
      </c>
      <c r="V1021" t="s">
        <v>77</v>
      </c>
      <c r="W1021" t="s">
        <v>78</v>
      </c>
      <c r="X1021" t="s">
        <v>79</v>
      </c>
      <c r="Y1021">
        <v>3.9312770581906</v>
      </c>
      <c r="Z1021">
        <v>3931.2770581906002</v>
      </c>
      <c r="AA1021">
        <v>4.6584666666666701</v>
      </c>
      <c r="AB1021">
        <v>-74.083966666666697</v>
      </c>
      <c r="AC1021">
        <v>2552</v>
      </c>
      <c r="AD1021">
        <v>0</v>
      </c>
      <c r="AE1021" t="s">
        <v>80</v>
      </c>
      <c r="AF1021" t="s">
        <v>81</v>
      </c>
      <c r="AG1021" t="s">
        <v>82</v>
      </c>
      <c r="AH1021" t="s">
        <v>83</v>
      </c>
      <c r="AI1021" t="s">
        <v>121</v>
      </c>
      <c r="AJ1021">
        <v>0.39833891454319098</v>
      </c>
      <c r="AK1021">
        <v>3.5805345342320498</v>
      </c>
      <c r="AL1021">
        <v>0.87962656786768101</v>
      </c>
      <c r="AM1021">
        <v>3.54658295144228E-2</v>
      </c>
      <c r="AN1021">
        <v>2.3680116473398201</v>
      </c>
      <c r="AO1021">
        <v>0.43114124000127002</v>
      </c>
      <c r="AP1021">
        <v>0.43114124000127002</v>
      </c>
      <c r="AQ1021">
        <v>2</v>
      </c>
      <c r="AR1021">
        <v>3</v>
      </c>
      <c r="AS1021">
        <v>0</v>
      </c>
      <c r="AT1021">
        <v>0</v>
      </c>
      <c r="AU1021">
        <v>2</v>
      </c>
      <c r="AV1021">
        <v>70</v>
      </c>
      <c r="AW1021">
        <v>0</v>
      </c>
      <c r="AX1021">
        <v>0</v>
      </c>
      <c r="AZ1021">
        <v>6.8</v>
      </c>
      <c r="BA1021">
        <v>19.899999999999999</v>
      </c>
      <c r="BB1021">
        <v>564</v>
      </c>
      <c r="BC1021">
        <v>68</v>
      </c>
      <c r="BD1021">
        <v>1.5</v>
      </c>
      <c r="BE1021">
        <v>135</v>
      </c>
      <c r="BF1021">
        <v>0.8</v>
      </c>
      <c r="BG1021">
        <v>162</v>
      </c>
      <c r="BH1021">
        <v>9.1</v>
      </c>
      <c r="BI1021">
        <v>9.1999999999999993</v>
      </c>
      <c r="BJ1021">
        <v>18.3</v>
      </c>
      <c r="BK1021">
        <v>0.34</v>
      </c>
      <c r="BL1021">
        <v>7.3</v>
      </c>
      <c r="BM1021">
        <v>0.9</v>
      </c>
      <c r="BN1021">
        <v>7.5</v>
      </c>
      <c r="BO1021">
        <v>2.9</v>
      </c>
      <c r="BP1021">
        <f t="shared" si="30"/>
        <v>5.5975242277724346</v>
      </c>
      <c r="BQ1021">
        <f t="shared" si="31"/>
        <v>18.108276199087371</v>
      </c>
    </row>
    <row r="1022" spans="1:69" hidden="1" x14ac:dyDescent="0.2">
      <c r="A1022" t="s">
        <v>1470</v>
      </c>
      <c r="B1022" t="s">
        <v>68</v>
      </c>
      <c r="C1022" t="s">
        <v>69</v>
      </c>
      <c r="D1022" t="s">
        <v>70</v>
      </c>
      <c r="E1022" t="s">
        <v>1471</v>
      </c>
      <c r="F1022">
        <v>2</v>
      </c>
      <c r="G1022">
        <v>50</v>
      </c>
      <c r="H1022">
        <v>2</v>
      </c>
      <c r="I1022">
        <v>1</v>
      </c>
      <c r="J1022">
        <v>0</v>
      </c>
      <c r="K1022" t="s">
        <v>110</v>
      </c>
      <c r="L1022" t="s">
        <v>133</v>
      </c>
      <c r="M1022" s="4">
        <v>169500000</v>
      </c>
      <c r="N1022">
        <v>0</v>
      </c>
      <c r="O1022">
        <v>4.6129245829999999</v>
      </c>
      <c r="P1022">
        <v>-74.204232970000007</v>
      </c>
      <c r="Q1022" t="s">
        <v>1472</v>
      </c>
      <c r="R1022">
        <v>3390000</v>
      </c>
      <c r="S1022">
        <v>0</v>
      </c>
      <c r="T1022" t="s">
        <v>365</v>
      </c>
      <c r="U1022" t="s">
        <v>366</v>
      </c>
      <c r="V1022" t="s">
        <v>77</v>
      </c>
      <c r="W1022" t="s">
        <v>365</v>
      </c>
      <c r="X1022" t="s">
        <v>367</v>
      </c>
      <c r="Y1022">
        <v>0.81436993453641005</v>
      </c>
      <c r="Z1022">
        <v>814.36993453641003</v>
      </c>
      <c r="AA1022">
        <v>4.6056111111111102</v>
      </c>
      <c r="AB1022">
        <v>-74.204055555555598</v>
      </c>
      <c r="AC1022">
        <v>2546</v>
      </c>
      <c r="AD1022">
        <v>0</v>
      </c>
      <c r="AE1022" t="s">
        <v>80</v>
      </c>
      <c r="AF1022" t="s">
        <v>107</v>
      </c>
      <c r="AG1022" t="s">
        <v>82</v>
      </c>
      <c r="AH1022" t="s">
        <v>83</v>
      </c>
      <c r="AI1022" t="s">
        <v>368</v>
      </c>
      <c r="AJ1022">
        <v>2.6027791749257099</v>
      </c>
      <c r="AK1022">
        <v>1.98128621292136</v>
      </c>
      <c r="AL1022">
        <v>7.5891292963121497</v>
      </c>
      <c r="AM1022">
        <v>0.52327119027577595</v>
      </c>
      <c r="AN1022">
        <v>2.3946121566702701</v>
      </c>
      <c r="AO1022">
        <v>0.106732815753382</v>
      </c>
      <c r="AP1022">
        <v>0.106732815753382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2</v>
      </c>
      <c r="AW1022">
        <v>0</v>
      </c>
      <c r="AX1022">
        <v>0</v>
      </c>
      <c r="AZ1022">
        <v>6.8</v>
      </c>
      <c r="BA1022">
        <v>19.899999999999999</v>
      </c>
      <c r="BB1022">
        <v>564</v>
      </c>
      <c r="BC1022">
        <v>68</v>
      </c>
      <c r="BD1022">
        <v>1.5</v>
      </c>
      <c r="BE1022">
        <v>135</v>
      </c>
      <c r="BF1022">
        <v>0.8</v>
      </c>
      <c r="BG1022">
        <v>162</v>
      </c>
      <c r="BH1022">
        <v>9.1</v>
      </c>
      <c r="BI1022">
        <v>9.1999999999999993</v>
      </c>
      <c r="BJ1022">
        <v>18.3</v>
      </c>
      <c r="BK1022">
        <v>0.34</v>
      </c>
      <c r="BL1022">
        <v>7.3</v>
      </c>
      <c r="BM1022">
        <v>0.9</v>
      </c>
      <c r="BN1022">
        <v>7.5</v>
      </c>
      <c r="BO1022">
        <v>2.9</v>
      </c>
      <c r="BP1022">
        <f t="shared" si="30"/>
        <v>6.5313345884478142</v>
      </c>
      <c r="BQ1022">
        <f t="shared" si="31"/>
        <v>19.514833199548278</v>
      </c>
    </row>
    <row r="1023" spans="1:69" hidden="1" x14ac:dyDescent="0.2">
      <c r="A1023" t="s">
        <v>513</v>
      </c>
      <c r="B1023" t="s">
        <v>68</v>
      </c>
      <c r="C1023" t="s">
        <v>69</v>
      </c>
      <c r="D1023" t="s">
        <v>70</v>
      </c>
      <c r="E1023" t="s">
        <v>514</v>
      </c>
      <c r="F1023">
        <v>4</v>
      </c>
      <c r="G1023">
        <v>49.5</v>
      </c>
      <c r="H1023">
        <v>1</v>
      </c>
      <c r="I1023">
        <v>2</v>
      </c>
      <c r="J1023">
        <v>1</v>
      </c>
      <c r="K1023" t="s">
        <v>110</v>
      </c>
      <c r="L1023" t="s">
        <v>111</v>
      </c>
      <c r="M1023" s="4">
        <v>480000000</v>
      </c>
      <c r="N1023">
        <v>0</v>
      </c>
      <c r="O1023">
        <v>4.6328649520000003</v>
      </c>
      <c r="P1023">
        <v>-74.063392640000004</v>
      </c>
      <c r="Q1023" t="s">
        <v>515</v>
      </c>
      <c r="R1023">
        <v>9696969.6970000006</v>
      </c>
      <c r="S1023">
        <v>0</v>
      </c>
      <c r="T1023" t="s">
        <v>126</v>
      </c>
      <c r="U1023" t="s">
        <v>127</v>
      </c>
      <c r="V1023" t="s">
        <v>77</v>
      </c>
      <c r="W1023" t="s">
        <v>128</v>
      </c>
      <c r="X1023" t="s">
        <v>129</v>
      </c>
      <c r="Y1023">
        <v>0.91279661834840398</v>
      </c>
      <c r="Z1023">
        <v>912.79661834840397</v>
      </c>
      <c r="AA1023">
        <v>4.6254861111111101</v>
      </c>
      <c r="AB1023">
        <v>-74.066980555555503</v>
      </c>
      <c r="AC1023">
        <v>2621</v>
      </c>
      <c r="AD1023">
        <v>15</v>
      </c>
      <c r="AE1023" t="s">
        <v>80</v>
      </c>
      <c r="AF1023" t="s">
        <v>81</v>
      </c>
      <c r="AG1023" t="s">
        <v>82</v>
      </c>
      <c r="AH1023" t="s">
        <v>83</v>
      </c>
      <c r="AI1023" t="s">
        <v>130</v>
      </c>
      <c r="AJ1023">
        <v>0.52137376365254495</v>
      </c>
      <c r="AK1023">
        <v>0.38381209955398699</v>
      </c>
      <c r="AL1023">
        <v>0.21452315181971901</v>
      </c>
      <c r="AM1023">
        <v>0.177599266202145</v>
      </c>
      <c r="AN1023">
        <v>0.69380693213769196</v>
      </c>
      <c r="AO1023">
        <v>1.4745086287343501E-2</v>
      </c>
      <c r="AP1023">
        <v>1.4745086287343501E-2</v>
      </c>
      <c r="AQ1023">
        <v>0</v>
      </c>
      <c r="AR1023">
        <v>4</v>
      </c>
      <c r="AS1023">
        <v>3</v>
      </c>
      <c r="AT1023">
        <v>40</v>
      </c>
      <c r="AU1023">
        <v>10</v>
      </c>
      <c r="AV1023">
        <v>123</v>
      </c>
      <c r="AW1023">
        <v>1</v>
      </c>
      <c r="AX1023">
        <v>0</v>
      </c>
      <c r="AZ1023">
        <v>6.8</v>
      </c>
      <c r="BA1023">
        <v>19.899999999999999</v>
      </c>
      <c r="BB1023">
        <v>564</v>
      </c>
      <c r="BC1023">
        <v>68</v>
      </c>
      <c r="BD1023">
        <v>1.5</v>
      </c>
      <c r="BE1023">
        <v>135</v>
      </c>
      <c r="BF1023">
        <v>0.8</v>
      </c>
      <c r="BG1023">
        <v>162</v>
      </c>
      <c r="BH1023">
        <v>9.1</v>
      </c>
      <c r="BI1023">
        <v>9.1999999999999993</v>
      </c>
      <c r="BJ1023">
        <v>18.3</v>
      </c>
      <c r="BK1023">
        <v>0.34</v>
      </c>
      <c r="BL1023">
        <v>7.3</v>
      </c>
      <c r="BM1023">
        <v>0.9</v>
      </c>
      <c r="BN1023">
        <v>7.5</v>
      </c>
      <c r="BO1023">
        <v>2.9</v>
      </c>
      <c r="BP1023">
        <f t="shared" si="30"/>
        <v>6.499590530267338</v>
      </c>
      <c r="BQ1023">
        <f t="shared" si="31"/>
        <v>19.468788877231606</v>
      </c>
    </row>
    <row r="1024" spans="1:69" hidden="1" x14ac:dyDescent="0.2">
      <c r="A1024" t="s">
        <v>3640</v>
      </c>
      <c r="B1024" t="s">
        <v>68</v>
      </c>
      <c r="C1024" t="s">
        <v>3294</v>
      </c>
      <c r="D1024" t="s">
        <v>70</v>
      </c>
      <c r="E1024" t="s">
        <v>130</v>
      </c>
      <c r="F1024">
        <v>4</v>
      </c>
      <c r="G1024">
        <v>49.24</v>
      </c>
      <c r="H1024">
        <v>1</v>
      </c>
      <c r="I1024">
        <v>1</v>
      </c>
      <c r="J1024">
        <v>0</v>
      </c>
      <c r="K1024" t="s">
        <v>110</v>
      </c>
      <c r="L1024" t="s">
        <v>124</v>
      </c>
      <c r="M1024" s="4">
        <v>330000000</v>
      </c>
      <c r="N1024">
        <v>0</v>
      </c>
      <c r="O1024">
        <v>4.6691599999999998</v>
      </c>
      <c r="P1024">
        <v>-74.050190000000001</v>
      </c>
      <c r="Q1024" t="s">
        <v>3641</v>
      </c>
      <c r="R1024">
        <v>6701868.4000000004</v>
      </c>
      <c r="S1024">
        <v>0</v>
      </c>
      <c r="T1024" t="s">
        <v>75</v>
      </c>
      <c r="U1024" t="s">
        <v>76</v>
      </c>
      <c r="V1024" t="s">
        <v>77</v>
      </c>
      <c r="W1024" t="s">
        <v>78</v>
      </c>
      <c r="X1024" t="s">
        <v>79</v>
      </c>
      <c r="Y1024">
        <v>3.9320656164146</v>
      </c>
      <c r="Z1024">
        <v>3932.0656164145998</v>
      </c>
      <c r="AA1024">
        <v>4.6584666666666701</v>
      </c>
      <c r="AB1024">
        <v>-74.083966666666697</v>
      </c>
      <c r="AC1024">
        <v>2552</v>
      </c>
      <c r="AD1024">
        <v>0</v>
      </c>
      <c r="AE1024" t="s">
        <v>80</v>
      </c>
      <c r="AF1024" t="s">
        <v>81</v>
      </c>
      <c r="AG1024" t="s">
        <v>82</v>
      </c>
      <c r="AH1024" t="s">
        <v>83</v>
      </c>
      <c r="AI1024" t="s">
        <v>130</v>
      </c>
      <c r="AJ1024">
        <v>1.1046287965158099</v>
      </c>
      <c r="AK1024">
        <v>0.74562746672478897</v>
      </c>
      <c r="AL1024">
        <v>0.61572356531893102</v>
      </c>
      <c r="AM1024">
        <v>0.35597664226380299</v>
      </c>
      <c r="AN1024">
        <v>3.1771980375543198</v>
      </c>
      <c r="AO1024">
        <v>0.31263290836796498</v>
      </c>
      <c r="AP1024">
        <v>0.31263290836796498</v>
      </c>
      <c r="AQ1024">
        <v>0</v>
      </c>
      <c r="AR1024">
        <v>0</v>
      </c>
      <c r="AS1024">
        <v>0</v>
      </c>
      <c r="AT1024">
        <v>19</v>
      </c>
      <c r="AU1024">
        <v>5</v>
      </c>
      <c r="AV1024">
        <v>200</v>
      </c>
      <c r="AW1024">
        <v>0</v>
      </c>
      <c r="AX1024">
        <v>0</v>
      </c>
      <c r="AZ1024">
        <v>6.8</v>
      </c>
      <c r="BA1024">
        <v>19.899999999999999</v>
      </c>
      <c r="BB1024">
        <v>564</v>
      </c>
      <c r="BC1024">
        <v>68</v>
      </c>
      <c r="BD1024">
        <v>1.5</v>
      </c>
      <c r="BE1024">
        <v>135</v>
      </c>
      <c r="BF1024">
        <v>0.8</v>
      </c>
      <c r="BG1024">
        <v>162</v>
      </c>
      <c r="BH1024">
        <v>9.1</v>
      </c>
      <c r="BI1024">
        <v>9.1999999999999993</v>
      </c>
      <c r="BJ1024">
        <v>18.3</v>
      </c>
      <c r="BK1024">
        <v>0.34</v>
      </c>
      <c r="BL1024">
        <v>7.3</v>
      </c>
      <c r="BM1024">
        <v>0.9</v>
      </c>
      <c r="BN1024">
        <v>7.5</v>
      </c>
      <c r="BO1024">
        <v>2.9</v>
      </c>
      <c r="BP1024">
        <f t="shared" si="30"/>
        <v>5.5973057403353312</v>
      </c>
      <c r="BQ1024">
        <f t="shared" si="31"/>
        <v>18.107933496007416</v>
      </c>
    </row>
    <row r="1025" spans="1:69" hidden="1" x14ac:dyDescent="0.2">
      <c r="A1025" t="s">
        <v>1745</v>
      </c>
      <c r="B1025" t="s">
        <v>68</v>
      </c>
      <c r="C1025" t="s">
        <v>69</v>
      </c>
      <c r="D1025" t="s">
        <v>70</v>
      </c>
      <c r="E1025" t="s">
        <v>1098</v>
      </c>
      <c r="F1025">
        <v>4</v>
      </c>
      <c r="G1025">
        <v>49.12</v>
      </c>
      <c r="H1025">
        <v>2</v>
      </c>
      <c r="I1025">
        <v>2</v>
      </c>
      <c r="J1025">
        <v>1</v>
      </c>
      <c r="K1025" t="s">
        <v>110</v>
      </c>
      <c r="L1025" t="s">
        <v>133</v>
      </c>
      <c r="M1025" s="4">
        <v>460000000</v>
      </c>
      <c r="N1025">
        <v>0</v>
      </c>
      <c r="O1025">
        <v>4.6082349999999996</v>
      </c>
      <c r="P1025">
        <v>-74.069140000000004</v>
      </c>
      <c r="Q1025" t="s">
        <v>1746</v>
      </c>
      <c r="R1025">
        <v>9364820.8469999991</v>
      </c>
      <c r="S1025">
        <v>0</v>
      </c>
      <c r="T1025" t="s">
        <v>126</v>
      </c>
      <c r="U1025" t="s">
        <v>127</v>
      </c>
      <c r="V1025" t="s">
        <v>77</v>
      </c>
      <c r="W1025" t="s">
        <v>128</v>
      </c>
      <c r="X1025" t="s">
        <v>129</v>
      </c>
      <c r="Y1025">
        <v>1.9352752506316699</v>
      </c>
      <c r="Z1025">
        <v>1935.2752506316699</v>
      </c>
      <c r="AA1025">
        <v>4.6254861111111101</v>
      </c>
      <c r="AB1025">
        <v>-74.066980555555503</v>
      </c>
      <c r="AC1025">
        <v>2621</v>
      </c>
      <c r="AD1025">
        <v>15</v>
      </c>
      <c r="AE1025" t="s">
        <v>80</v>
      </c>
      <c r="AF1025" t="s">
        <v>81</v>
      </c>
      <c r="AG1025" t="s">
        <v>82</v>
      </c>
      <c r="AH1025" t="s">
        <v>83</v>
      </c>
      <c r="AI1025" t="s">
        <v>138</v>
      </c>
      <c r="AJ1025">
        <v>0.39392145208075102</v>
      </c>
      <c r="AK1025">
        <v>0.47329336812274198</v>
      </c>
      <c r="AL1025">
        <v>0.20593114428944601</v>
      </c>
      <c r="AM1025">
        <v>0.15353377534080201</v>
      </c>
      <c r="AN1025">
        <v>0.83751566533570498</v>
      </c>
      <c r="AO1025">
        <v>5.9155208179488099E-2</v>
      </c>
      <c r="AP1025">
        <v>5.9155208179488099E-2</v>
      </c>
      <c r="AQ1025">
        <v>2</v>
      </c>
      <c r="AR1025">
        <v>9</v>
      </c>
      <c r="AS1025">
        <v>3</v>
      </c>
      <c r="AT1025">
        <v>29</v>
      </c>
      <c r="AU1025">
        <v>12</v>
      </c>
      <c r="AV1025">
        <v>56</v>
      </c>
      <c r="AW1025">
        <v>1</v>
      </c>
      <c r="AX1025">
        <v>8</v>
      </c>
      <c r="AZ1025">
        <v>6.8</v>
      </c>
      <c r="BA1025">
        <v>19.899999999999999</v>
      </c>
      <c r="BB1025">
        <v>564</v>
      </c>
      <c r="BC1025">
        <v>68</v>
      </c>
      <c r="BD1025">
        <v>1.5</v>
      </c>
      <c r="BE1025">
        <v>135</v>
      </c>
      <c r="BF1025">
        <v>0.8</v>
      </c>
      <c r="BG1025">
        <v>162</v>
      </c>
      <c r="BH1025">
        <v>9.1</v>
      </c>
      <c r="BI1025">
        <v>9.1999999999999993</v>
      </c>
      <c r="BJ1025">
        <v>18.3</v>
      </c>
      <c r="BK1025">
        <v>0.34</v>
      </c>
      <c r="BL1025">
        <v>7.3</v>
      </c>
      <c r="BM1025">
        <v>0.9</v>
      </c>
      <c r="BN1025">
        <v>7.5</v>
      </c>
      <c r="BO1025">
        <v>2.9</v>
      </c>
      <c r="BP1025">
        <f t="shared" si="30"/>
        <v>6.1788148873288504</v>
      </c>
      <c r="BQ1025">
        <f t="shared" si="31"/>
        <v>18.996849045733619</v>
      </c>
    </row>
    <row r="1026" spans="1:69" hidden="1" x14ac:dyDescent="0.2">
      <c r="A1026" t="s">
        <v>4035</v>
      </c>
      <c r="B1026" t="s">
        <v>68</v>
      </c>
      <c r="C1026" t="s">
        <v>3294</v>
      </c>
      <c r="D1026" t="s">
        <v>70</v>
      </c>
      <c r="E1026" t="s">
        <v>1291</v>
      </c>
      <c r="F1026">
        <v>4</v>
      </c>
      <c r="G1026">
        <v>49</v>
      </c>
      <c r="H1026">
        <v>1</v>
      </c>
      <c r="I1026">
        <v>2</v>
      </c>
      <c r="J1026">
        <v>1</v>
      </c>
      <c r="K1026" t="s">
        <v>110</v>
      </c>
      <c r="L1026" t="s">
        <v>111</v>
      </c>
      <c r="M1026" s="4">
        <v>485000000</v>
      </c>
      <c r="N1026">
        <v>0</v>
      </c>
      <c r="O1026">
        <v>4.6354800000000003</v>
      </c>
      <c r="P1026">
        <v>-74.063079999999999</v>
      </c>
      <c r="Q1026" t="s">
        <v>4036</v>
      </c>
      <c r="R1026">
        <v>9897959.1840000004</v>
      </c>
      <c r="S1026">
        <v>0</v>
      </c>
      <c r="T1026" t="s">
        <v>126</v>
      </c>
      <c r="U1026" t="s">
        <v>127</v>
      </c>
      <c r="V1026" t="s">
        <v>77</v>
      </c>
      <c r="W1026" t="s">
        <v>128</v>
      </c>
      <c r="X1026" t="s">
        <v>129</v>
      </c>
      <c r="Y1026">
        <v>1.19373217966449</v>
      </c>
      <c r="Z1026">
        <v>1193.7321796644901</v>
      </c>
      <c r="AA1026">
        <v>4.6254861111111101</v>
      </c>
      <c r="AB1026">
        <v>-74.066980555555503</v>
      </c>
      <c r="AC1026">
        <v>2621</v>
      </c>
      <c r="AD1026">
        <v>15</v>
      </c>
      <c r="AE1026" t="s">
        <v>80</v>
      </c>
      <c r="AF1026" t="s">
        <v>81</v>
      </c>
      <c r="AG1026" t="s">
        <v>82</v>
      </c>
      <c r="AH1026" t="s">
        <v>83</v>
      </c>
      <c r="AI1026" t="s">
        <v>130</v>
      </c>
      <c r="AJ1026">
        <v>0.471007738434575</v>
      </c>
      <c r="AK1026">
        <v>0.40344952885992402</v>
      </c>
      <c r="AL1026">
        <v>0.30665976891394497</v>
      </c>
      <c r="AM1026">
        <v>8.5022607643256198E-2</v>
      </c>
      <c r="AN1026">
        <v>0.85425767181380197</v>
      </c>
      <c r="AO1026">
        <v>5.3773662486221903E-2</v>
      </c>
      <c r="AP1026">
        <v>5.3773662486221903E-2</v>
      </c>
      <c r="AQ1026">
        <v>2</v>
      </c>
      <c r="AR1026">
        <v>4</v>
      </c>
      <c r="AS1026">
        <v>3</v>
      </c>
      <c r="AT1026">
        <v>39</v>
      </c>
      <c r="AU1026">
        <v>10</v>
      </c>
      <c r="AV1026">
        <v>127</v>
      </c>
      <c r="AW1026">
        <v>2</v>
      </c>
      <c r="AX1026">
        <v>0</v>
      </c>
      <c r="AZ1026">
        <v>6.8</v>
      </c>
      <c r="BA1026">
        <v>19.899999999999999</v>
      </c>
      <c r="BB1026">
        <v>564</v>
      </c>
      <c r="BC1026">
        <v>68</v>
      </c>
      <c r="BD1026">
        <v>1.5</v>
      </c>
      <c r="BE1026">
        <v>135</v>
      </c>
      <c r="BF1026">
        <v>0.8</v>
      </c>
      <c r="BG1026">
        <v>162</v>
      </c>
      <c r="BH1026">
        <v>9.1</v>
      </c>
      <c r="BI1026">
        <v>9.1999999999999993</v>
      </c>
      <c r="BJ1026">
        <v>18.3</v>
      </c>
      <c r="BK1026">
        <v>0.34</v>
      </c>
      <c r="BL1026">
        <v>7.3</v>
      </c>
      <c r="BM1026">
        <v>0.9</v>
      </c>
      <c r="BN1026">
        <v>7.5</v>
      </c>
      <c r="BO1026">
        <v>2.9</v>
      </c>
      <c r="BP1026">
        <f t="shared" ref="BP1026:BP1089" si="32">+AZ1026*EXP(-0.0495*Y1026)</f>
        <v>6.4098307676965529</v>
      </c>
      <c r="BQ1026">
        <f t="shared" ref="BQ1026:BQ1089" si="33">+BA1026*EXP(-0.024*Y1026)</f>
        <v>19.337963013347803</v>
      </c>
    </row>
    <row r="1027" spans="1:69" hidden="1" x14ac:dyDescent="0.2">
      <c r="A1027" t="s">
        <v>3638</v>
      </c>
      <c r="B1027" t="s">
        <v>68</v>
      </c>
      <c r="C1027" t="s">
        <v>3294</v>
      </c>
      <c r="D1027" t="s">
        <v>70</v>
      </c>
      <c r="E1027" t="s">
        <v>223</v>
      </c>
      <c r="F1027">
        <v>5</v>
      </c>
      <c r="G1027">
        <v>49</v>
      </c>
      <c r="H1027">
        <v>1</v>
      </c>
      <c r="I1027">
        <v>2</v>
      </c>
      <c r="J1027">
        <v>1</v>
      </c>
      <c r="K1027" t="s">
        <v>110</v>
      </c>
      <c r="L1027" t="s">
        <v>162</v>
      </c>
      <c r="M1027" s="4">
        <v>420000000</v>
      </c>
      <c r="N1027">
        <v>0</v>
      </c>
      <c r="O1027">
        <v>4.6578741069999996</v>
      </c>
      <c r="P1027">
        <v>-74.057022090000004</v>
      </c>
      <c r="Q1027" t="s">
        <v>3639</v>
      </c>
      <c r="R1027">
        <v>8571428.5710000005</v>
      </c>
      <c r="S1027">
        <v>0</v>
      </c>
      <c r="T1027" t="s">
        <v>75</v>
      </c>
      <c r="U1027" t="s">
        <v>76</v>
      </c>
      <c r="V1027" t="s">
        <v>77</v>
      </c>
      <c r="W1027" t="s">
        <v>78</v>
      </c>
      <c r="X1027" t="s">
        <v>79</v>
      </c>
      <c r="Y1027">
        <v>2.9902768163178099</v>
      </c>
      <c r="Z1027">
        <v>2990.2768163178098</v>
      </c>
      <c r="AA1027">
        <v>4.6584666666666701</v>
      </c>
      <c r="AB1027">
        <v>-74.083966666666697</v>
      </c>
      <c r="AC1027">
        <v>2552</v>
      </c>
      <c r="AD1027">
        <v>0</v>
      </c>
      <c r="AE1027" t="s">
        <v>80</v>
      </c>
      <c r="AF1027" t="s">
        <v>81</v>
      </c>
      <c r="AG1027" t="s">
        <v>82</v>
      </c>
      <c r="AH1027" t="s">
        <v>83</v>
      </c>
      <c r="AI1027" t="s">
        <v>130</v>
      </c>
      <c r="AJ1027">
        <v>0.56093735345511198</v>
      </c>
      <c r="AK1027">
        <v>1.04643216835492</v>
      </c>
      <c r="AL1027">
        <v>5.3333925969496099E-2</v>
      </c>
      <c r="AM1027">
        <v>3.2190203560364401E-2</v>
      </c>
      <c r="AN1027">
        <v>1.8034728078581901</v>
      </c>
      <c r="AO1027">
        <v>0.122360124716656</v>
      </c>
      <c r="AP1027">
        <v>0.122360124716656</v>
      </c>
      <c r="AQ1027">
        <v>0</v>
      </c>
      <c r="AR1027">
        <v>3</v>
      </c>
      <c r="AS1027">
        <v>0</v>
      </c>
      <c r="AT1027">
        <v>0</v>
      </c>
      <c r="AU1027">
        <v>26</v>
      </c>
      <c r="AV1027">
        <v>84</v>
      </c>
      <c r="AW1027">
        <v>0</v>
      </c>
      <c r="AX1027">
        <v>0</v>
      </c>
      <c r="AZ1027">
        <v>6.8</v>
      </c>
      <c r="BA1027">
        <v>19.899999999999999</v>
      </c>
      <c r="BB1027">
        <v>564</v>
      </c>
      <c r="BC1027">
        <v>68</v>
      </c>
      <c r="BD1027">
        <v>1.5</v>
      </c>
      <c r="BE1027">
        <v>135</v>
      </c>
      <c r="BF1027">
        <v>0.8</v>
      </c>
      <c r="BG1027">
        <v>162</v>
      </c>
      <c r="BH1027">
        <v>9.1</v>
      </c>
      <c r="BI1027">
        <v>9.1999999999999993</v>
      </c>
      <c r="BJ1027">
        <v>18.3</v>
      </c>
      <c r="BK1027">
        <v>0.34</v>
      </c>
      <c r="BL1027">
        <v>7.3</v>
      </c>
      <c r="BM1027">
        <v>0.9</v>
      </c>
      <c r="BN1027">
        <v>7.5</v>
      </c>
      <c r="BO1027">
        <v>2.9</v>
      </c>
      <c r="BP1027">
        <f t="shared" si="32"/>
        <v>5.864421901770756</v>
      </c>
      <c r="BQ1027">
        <f t="shared" si="33"/>
        <v>18.521886523290934</v>
      </c>
    </row>
    <row r="1028" spans="1:69" hidden="1" x14ac:dyDescent="0.2">
      <c r="A1028" t="s">
        <v>3667</v>
      </c>
      <c r="B1028" t="s">
        <v>68</v>
      </c>
      <c r="C1028" t="s">
        <v>3294</v>
      </c>
      <c r="D1028" t="s">
        <v>70</v>
      </c>
      <c r="E1028" t="s">
        <v>2060</v>
      </c>
      <c r="F1028">
        <v>4</v>
      </c>
      <c r="G1028">
        <v>49</v>
      </c>
      <c r="H1028">
        <v>1</v>
      </c>
      <c r="I1028">
        <v>1</v>
      </c>
      <c r="J1028">
        <v>1</v>
      </c>
      <c r="K1028" t="s">
        <v>110</v>
      </c>
      <c r="L1028" t="s">
        <v>162</v>
      </c>
      <c r="M1028" s="4">
        <v>350000000</v>
      </c>
      <c r="N1028">
        <v>0</v>
      </c>
      <c r="O1028">
        <v>4.6349499999999999</v>
      </c>
      <c r="P1028">
        <v>-74.071730000000002</v>
      </c>
      <c r="Q1028" t="s">
        <v>3668</v>
      </c>
      <c r="R1028">
        <v>7142857.1430000002</v>
      </c>
      <c r="S1028">
        <v>0</v>
      </c>
      <c r="T1028" t="s">
        <v>126</v>
      </c>
      <c r="U1028" t="s">
        <v>127</v>
      </c>
      <c r="V1028" t="s">
        <v>77</v>
      </c>
      <c r="W1028" t="s">
        <v>128</v>
      </c>
      <c r="X1028" t="s">
        <v>129</v>
      </c>
      <c r="Y1028">
        <v>1.1779654836783999</v>
      </c>
      <c r="Z1028">
        <v>1177.9654836784</v>
      </c>
      <c r="AA1028">
        <v>4.6254861111111101</v>
      </c>
      <c r="AB1028">
        <v>-74.066980555555503</v>
      </c>
      <c r="AC1028">
        <v>2621</v>
      </c>
      <c r="AD1028">
        <v>15</v>
      </c>
      <c r="AE1028" t="s">
        <v>80</v>
      </c>
      <c r="AF1028" t="s">
        <v>81</v>
      </c>
      <c r="AG1028" t="s">
        <v>82</v>
      </c>
      <c r="AH1028" t="s">
        <v>83</v>
      </c>
      <c r="AI1028" t="s">
        <v>84</v>
      </c>
      <c r="AJ1028">
        <v>0.57600835333309197</v>
      </c>
      <c r="AK1028">
        <v>1.31156101739784</v>
      </c>
      <c r="AL1028">
        <v>0.28113659034938498</v>
      </c>
      <c r="AM1028">
        <v>0.114265510921691</v>
      </c>
      <c r="AN1028">
        <v>0.997901573337861</v>
      </c>
      <c r="AO1028">
        <v>1.49479805099177E-2</v>
      </c>
      <c r="AP1028">
        <v>1.49479805099177E-2</v>
      </c>
      <c r="AQ1028">
        <v>0</v>
      </c>
      <c r="AR1028">
        <v>5</v>
      </c>
      <c r="AS1028">
        <v>0</v>
      </c>
      <c r="AT1028">
        <v>0</v>
      </c>
      <c r="AU1028">
        <v>14</v>
      </c>
      <c r="AV1028">
        <v>199</v>
      </c>
      <c r="AW1028">
        <v>1</v>
      </c>
      <c r="AX1028">
        <v>0</v>
      </c>
      <c r="AZ1028">
        <v>6.8</v>
      </c>
      <c r="BA1028">
        <v>19.899999999999999</v>
      </c>
      <c r="BB1028">
        <v>564</v>
      </c>
      <c r="BC1028">
        <v>68</v>
      </c>
      <c r="BD1028">
        <v>1.5</v>
      </c>
      <c r="BE1028">
        <v>135</v>
      </c>
      <c r="BF1028">
        <v>0.8</v>
      </c>
      <c r="BG1028">
        <v>162</v>
      </c>
      <c r="BH1028">
        <v>9.1</v>
      </c>
      <c r="BI1028">
        <v>9.1999999999999993</v>
      </c>
      <c r="BJ1028">
        <v>18.3</v>
      </c>
      <c r="BK1028">
        <v>0.34</v>
      </c>
      <c r="BL1028">
        <v>7.3</v>
      </c>
      <c r="BM1028">
        <v>0.9</v>
      </c>
      <c r="BN1028">
        <v>7.5</v>
      </c>
      <c r="BO1028">
        <v>2.9</v>
      </c>
      <c r="BP1028">
        <f t="shared" si="32"/>
        <v>6.4148352820580881</v>
      </c>
      <c r="BQ1028">
        <f t="shared" si="33"/>
        <v>19.345281896807521</v>
      </c>
    </row>
    <row r="1029" spans="1:69" hidden="1" x14ac:dyDescent="0.2">
      <c r="A1029" t="s">
        <v>3409</v>
      </c>
      <c r="B1029" t="s">
        <v>68</v>
      </c>
      <c r="C1029" t="s">
        <v>3294</v>
      </c>
      <c r="D1029" t="s">
        <v>70</v>
      </c>
      <c r="E1029" t="s">
        <v>3410</v>
      </c>
      <c r="F1029">
        <v>3</v>
      </c>
      <c r="G1029">
        <v>48.5</v>
      </c>
      <c r="H1029">
        <v>1</v>
      </c>
      <c r="I1029">
        <v>2</v>
      </c>
      <c r="J1029">
        <v>0</v>
      </c>
      <c r="K1029" t="s">
        <v>110</v>
      </c>
      <c r="L1029" t="s">
        <v>111</v>
      </c>
      <c r="M1029" s="4">
        <v>345000000</v>
      </c>
      <c r="N1029">
        <v>0</v>
      </c>
      <c r="O1029">
        <v>4.6080851999999997</v>
      </c>
      <c r="P1029">
        <v>-74.081231799999998</v>
      </c>
      <c r="Q1029" t="s">
        <v>3411</v>
      </c>
      <c r="R1029">
        <v>7113402.0619999999</v>
      </c>
      <c r="S1029">
        <v>0</v>
      </c>
      <c r="T1029" t="s">
        <v>126</v>
      </c>
      <c r="U1029" t="s">
        <v>127</v>
      </c>
      <c r="V1029" t="s">
        <v>77</v>
      </c>
      <c r="W1029" t="s">
        <v>128</v>
      </c>
      <c r="X1029" t="s">
        <v>129</v>
      </c>
      <c r="Y1029">
        <v>2.5005386882200602</v>
      </c>
      <c r="Z1029">
        <v>2500.5386882200601</v>
      </c>
      <c r="AA1029">
        <v>4.6254861111111101</v>
      </c>
      <c r="AB1029">
        <v>-74.066980555555503</v>
      </c>
      <c r="AC1029">
        <v>2621</v>
      </c>
      <c r="AD1029">
        <v>15</v>
      </c>
      <c r="AE1029" t="s">
        <v>80</v>
      </c>
      <c r="AF1029" t="s">
        <v>81</v>
      </c>
      <c r="AG1029" t="s">
        <v>82</v>
      </c>
      <c r="AH1029" t="s">
        <v>83</v>
      </c>
      <c r="AI1029" t="s">
        <v>308</v>
      </c>
      <c r="AJ1029">
        <v>0.303443781092255</v>
      </c>
      <c r="AK1029">
        <v>1.81282188171133</v>
      </c>
      <c r="AL1029">
        <v>0.27016496447404498</v>
      </c>
      <c r="AM1029">
        <v>0.101414739887438</v>
      </c>
      <c r="AN1029">
        <v>0.82527137543644502</v>
      </c>
      <c r="AO1029">
        <v>0.39074163854184402</v>
      </c>
      <c r="AP1029">
        <v>0.39074163854184402</v>
      </c>
      <c r="AQ1029">
        <v>2</v>
      </c>
      <c r="AR1029">
        <v>9</v>
      </c>
      <c r="AS1029">
        <v>0</v>
      </c>
      <c r="AT1029">
        <v>0</v>
      </c>
      <c r="AU1029">
        <v>3</v>
      </c>
      <c r="AV1029">
        <v>46</v>
      </c>
      <c r="AW1029">
        <v>1</v>
      </c>
      <c r="AX1029">
        <v>1</v>
      </c>
      <c r="AZ1029">
        <v>6.8</v>
      </c>
      <c r="BA1029">
        <v>19.899999999999999</v>
      </c>
      <c r="BB1029">
        <v>564</v>
      </c>
      <c r="BC1029">
        <v>68</v>
      </c>
      <c r="BD1029">
        <v>1.5</v>
      </c>
      <c r="BE1029">
        <v>135</v>
      </c>
      <c r="BF1029">
        <v>0.8</v>
      </c>
      <c r="BG1029">
        <v>162</v>
      </c>
      <c r="BH1029">
        <v>9.1</v>
      </c>
      <c r="BI1029">
        <v>9.1999999999999993</v>
      </c>
      <c r="BJ1029">
        <v>18.3</v>
      </c>
      <c r="BK1029">
        <v>0.34</v>
      </c>
      <c r="BL1029">
        <v>7.3</v>
      </c>
      <c r="BM1029">
        <v>0.9</v>
      </c>
      <c r="BN1029">
        <v>7.5</v>
      </c>
      <c r="BO1029">
        <v>2.9</v>
      </c>
      <c r="BP1029">
        <f t="shared" si="32"/>
        <v>6.0083246369516523</v>
      </c>
      <c r="BQ1029">
        <f t="shared" si="33"/>
        <v>18.740871925073751</v>
      </c>
    </row>
    <row r="1030" spans="1:69" hidden="1" x14ac:dyDescent="0.2">
      <c r="A1030" t="s">
        <v>4283</v>
      </c>
      <c r="B1030" t="s">
        <v>68</v>
      </c>
      <c r="C1030" t="s">
        <v>3294</v>
      </c>
      <c r="D1030" t="s">
        <v>70</v>
      </c>
      <c r="E1030" t="s">
        <v>3410</v>
      </c>
      <c r="F1030">
        <v>3</v>
      </c>
      <c r="G1030">
        <v>48</v>
      </c>
      <c r="H1030">
        <v>1</v>
      </c>
      <c r="I1030">
        <v>2</v>
      </c>
      <c r="J1030">
        <v>0</v>
      </c>
      <c r="K1030" t="s">
        <v>110</v>
      </c>
      <c r="L1030" t="s">
        <v>111</v>
      </c>
      <c r="M1030" s="4">
        <v>330000000</v>
      </c>
      <c r="N1030">
        <v>0</v>
      </c>
      <c r="O1030">
        <v>4.6078700000000001</v>
      </c>
      <c r="P1030">
        <v>-74.081980000000001</v>
      </c>
      <c r="Q1030" t="s">
        <v>4284</v>
      </c>
      <c r="R1030">
        <v>6875000</v>
      </c>
      <c r="S1030">
        <v>0</v>
      </c>
      <c r="T1030" t="s">
        <v>126</v>
      </c>
      <c r="U1030" t="s">
        <v>127</v>
      </c>
      <c r="V1030" t="s">
        <v>77</v>
      </c>
      <c r="W1030" t="s">
        <v>128</v>
      </c>
      <c r="X1030" t="s">
        <v>129</v>
      </c>
      <c r="Y1030">
        <v>2.5720660439771601</v>
      </c>
      <c r="Z1030">
        <v>2572.06604397716</v>
      </c>
      <c r="AA1030">
        <v>4.6254861111111101</v>
      </c>
      <c r="AB1030">
        <v>-74.066980555555503</v>
      </c>
      <c r="AC1030">
        <v>2621</v>
      </c>
      <c r="AD1030">
        <v>15</v>
      </c>
      <c r="AE1030" t="s">
        <v>80</v>
      </c>
      <c r="AF1030" t="s">
        <v>81</v>
      </c>
      <c r="AG1030" t="s">
        <v>82</v>
      </c>
      <c r="AH1030" t="s">
        <v>83</v>
      </c>
      <c r="AI1030" t="s">
        <v>308</v>
      </c>
      <c r="AJ1030">
        <v>0.270801397551029</v>
      </c>
      <c r="AK1030">
        <v>1.8956737630452301</v>
      </c>
      <c r="AL1030">
        <v>0.23552271227852101</v>
      </c>
      <c r="AM1030">
        <v>9.4648564345650693E-2</v>
      </c>
      <c r="AN1030">
        <v>0.74624500984226505</v>
      </c>
      <c r="AO1030">
        <v>0.464821197787323</v>
      </c>
      <c r="AP1030">
        <v>0.464821197787323</v>
      </c>
      <c r="AQ1030">
        <v>1</v>
      </c>
      <c r="AR1030">
        <v>9</v>
      </c>
      <c r="AS1030">
        <v>0</v>
      </c>
      <c r="AT1030">
        <v>0</v>
      </c>
      <c r="AU1030">
        <v>3</v>
      </c>
      <c r="AV1030">
        <v>31</v>
      </c>
      <c r="AW1030">
        <v>1</v>
      </c>
      <c r="AX1030">
        <v>1</v>
      </c>
      <c r="AZ1030">
        <v>6.8</v>
      </c>
      <c r="BA1030">
        <v>19.899999999999999</v>
      </c>
      <c r="BB1030">
        <v>564</v>
      </c>
      <c r="BC1030">
        <v>68</v>
      </c>
      <c r="BD1030">
        <v>1.5</v>
      </c>
      <c r="BE1030">
        <v>135</v>
      </c>
      <c r="BF1030">
        <v>0.8</v>
      </c>
      <c r="BG1030">
        <v>162</v>
      </c>
      <c r="BH1030">
        <v>9.1</v>
      </c>
      <c r="BI1030">
        <v>9.1999999999999993</v>
      </c>
      <c r="BJ1030">
        <v>18.3</v>
      </c>
      <c r="BK1030">
        <v>0.34</v>
      </c>
      <c r="BL1030">
        <v>7.3</v>
      </c>
      <c r="BM1030">
        <v>0.9</v>
      </c>
      <c r="BN1030">
        <v>7.5</v>
      </c>
      <c r="BO1030">
        <v>2.9</v>
      </c>
      <c r="BP1030">
        <f t="shared" si="32"/>
        <v>5.9870891534518469</v>
      </c>
      <c r="BQ1030">
        <f t="shared" si="33"/>
        <v>18.708727882786537</v>
      </c>
    </row>
    <row r="1031" spans="1:69" hidden="1" x14ac:dyDescent="0.2">
      <c r="A1031" t="s">
        <v>1316</v>
      </c>
      <c r="B1031" t="s">
        <v>68</v>
      </c>
      <c r="C1031" t="s">
        <v>69</v>
      </c>
      <c r="D1031" t="s">
        <v>70</v>
      </c>
      <c r="E1031" t="s">
        <v>1317</v>
      </c>
      <c r="F1031">
        <v>2</v>
      </c>
      <c r="G1031">
        <v>48</v>
      </c>
      <c r="H1031">
        <v>2</v>
      </c>
      <c r="I1031">
        <v>2</v>
      </c>
      <c r="J1031">
        <v>0</v>
      </c>
      <c r="K1031" t="s">
        <v>110</v>
      </c>
      <c r="L1031" t="s">
        <v>111</v>
      </c>
      <c r="M1031" s="4">
        <v>192000000</v>
      </c>
      <c r="N1031">
        <v>0</v>
      </c>
      <c r="O1031">
        <v>4.6128818799999998</v>
      </c>
      <c r="P1031">
        <v>-74.19269783</v>
      </c>
      <c r="Q1031" t="s">
        <v>1318</v>
      </c>
      <c r="R1031">
        <v>4000000</v>
      </c>
      <c r="S1031">
        <v>0</v>
      </c>
      <c r="T1031" t="s">
        <v>365</v>
      </c>
      <c r="U1031" t="s">
        <v>366</v>
      </c>
      <c r="V1031" t="s">
        <v>77</v>
      </c>
      <c r="W1031" t="s">
        <v>365</v>
      </c>
      <c r="X1031" t="s">
        <v>367</v>
      </c>
      <c r="Y1031">
        <v>1.4977704705343899</v>
      </c>
      <c r="Z1031">
        <v>1497.7704705343899</v>
      </c>
      <c r="AA1031">
        <v>4.6056111111111102</v>
      </c>
      <c r="AB1031">
        <v>-74.204055555555598</v>
      </c>
      <c r="AC1031">
        <v>2546</v>
      </c>
      <c r="AD1031">
        <v>0</v>
      </c>
      <c r="AE1031" t="s">
        <v>80</v>
      </c>
      <c r="AF1031" t="s">
        <v>107</v>
      </c>
      <c r="AG1031" t="s">
        <v>82</v>
      </c>
      <c r="AH1031" t="s">
        <v>83</v>
      </c>
      <c r="AI1031" t="s">
        <v>368</v>
      </c>
      <c r="AJ1031">
        <v>2.0841334040781301</v>
      </c>
      <c r="AK1031">
        <v>2.89686434317177</v>
      </c>
      <c r="AL1031">
        <v>6.3766097895668503</v>
      </c>
      <c r="AM1031">
        <v>0.14390640483782599</v>
      </c>
      <c r="AN1031">
        <v>1.55160433315781</v>
      </c>
      <c r="AO1031">
        <v>7.3759082340074901E-3</v>
      </c>
      <c r="AP1031">
        <v>7.3759082340074901E-3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4</v>
      </c>
      <c r="AW1031">
        <v>0</v>
      </c>
      <c r="AX1031">
        <v>0</v>
      </c>
      <c r="AZ1031">
        <v>6.8</v>
      </c>
      <c r="BA1031">
        <v>19.899999999999999</v>
      </c>
      <c r="BB1031">
        <v>564</v>
      </c>
      <c r="BC1031">
        <v>68</v>
      </c>
      <c r="BD1031">
        <v>1.5</v>
      </c>
      <c r="BE1031">
        <v>135</v>
      </c>
      <c r="BF1031">
        <v>0.8</v>
      </c>
      <c r="BG1031">
        <v>162</v>
      </c>
      <c r="BH1031">
        <v>9.1</v>
      </c>
      <c r="BI1031">
        <v>9.1999999999999993</v>
      </c>
      <c r="BJ1031">
        <v>18.3</v>
      </c>
      <c r="BK1031">
        <v>0.34</v>
      </c>
      <c r="BL1031">
        <v>7.3</v>
      </c>
      <c r="BM1031">
        <v>0.9</v>
      </c>
      <c r="BN1031">
        <v>7.5</v>
      </c>
      <c r="BO1031">
        <v>2.9</v>
      </c>
      <c r="BP1031">
        <f t="shared" si="32"/>
        <v>6.3140857684103899</v>
      </c>
      <c r="BQ1031">
        <f t="shared" si="33"/>
        <v>19.197369039230303</v>
      </c>
    </row>
    <row r="1032" spans="1:69" hidden="1" x14ac:dyDescent="0.2">
      <c r="A1032" t="s">
        <v>3531</v>
      </c>
      <c r="B1032" t="s">
        <v>68</v>
      </c>
      <c r="C1032" t="s">
        <v>3294</v>
      </c>
      <c r="D1032" t="s">
        <v>70</v>
      </c>
      <c r="E1032" t="s">
        <v>3532</v>
      </c>
      <c r="F1032">
        <v>1</v>
      </c>
      <c r="G1032">
        <v>47.85</v>
      </c>
      <c r="H1032">
        <v>1</v>
      </c>
      <c r="I1032">
        <v>2</v>
      </c>
      <c r="J1032">
        <v>0</v>
      </c>
      <c r="K1032" t="s">
        <v>110</v>
      </c>
      <c r="L1032" t="s">
        <v>111</v>
      </c>
      <c r="M1032" s="4">
        <v>280000000</v>
      </c>
      <c r="N1032">
        <v>0</v>
      </c>
      <c r="O1032">
        <v>4.60785</v>
      </c>
      <c r="P1032">
        <v>-74.081860000000006</v>
      </c>
      <c r="Q1032" t="s">
        <v>3533</v>
      </c>
      <c r="R1032">
        <v>5851619.6449999996</v>
      </c>
      <c r="S1032">
        <v>0</v>
      </c>
      <c r="T1032" t="s">
        <v>126</v>
      </c>
      <c r="U1032" t="s">
        <v>127</v>
      </c>
      <c r="V1032" t="s">
        <v>77</v>
      </c>
      <c r="W1032" t="s">
        <v>128</v>
      </c>
      <c r="X1032" t="s">
        <v>129</v>
      </c>
      <c r="Y1032">
        <v>2.5651739479179101</v>
      </c>
      <c r="Z1032">
        <v>2565.17394791791</v>
      </c>
      <c r="AA1032">
        <v>4.6254861111111101</v>
      </c>
      <c r="AB1032">
        <v>-74.066980555555503</v>
      </c>
      <c r="AC1032">
        <v>2621</v>
      </c>
      <c r="AD1032">
        <v>15</v>
      </c>
      <c r="AE1032" t="s">
        <v>80</v>
      </c>
      <c r="AF1032" t="s">
        <v>81</v>
      </c>
      <c r="AG1032" t="s">
        <v>82</v>
      </c>
      <c r="AH1032" t="s">
        <v>83</v>
      </c>
      <c r="AI1032" t="s">
        <v>308</v>
      </c>
      <c r="AJ1032">
        <v>0.26845111705455299</v>
      </c>
      <c r="AK1032">
        <v>1.8823712887200901</v>
      </c>
      <c r="AL1032">
        <v>0.23330469889104399</v>
      </c>
      <c r="AM1032">
        <v>0.105222136198013</v>
      </c>
      <c r="AN1032">
        <v>0.75973413827688696</v>
      </c>
      <c r="AO1032">
        <v>0.45691658155752701</v>
      </c>
      <c r="AP1032">
        <v>0.45691658155752701</v>
      </c>
      <c r="AQ1032">
        <v>1</v>
      </c>
      <c r="AR1032">
        <v>9</v>
      </c>
      <c r="AS1032">
        <v>0</v>
      </c>
      <c r="AT1032">
        <v>0</v>
      </c>
      <c r="AU1032">
        <v>3</v>
      </c>
      <c r="AV1032">
        <v>31</v>
      </c>
      <c r="AW1032">
        <v>1</v>
      </c>
      <c r="AX1032">
        <v>1</v>
      </c>
      <c r="AZ1032">
        <v>6.8</v>
      </c>
      <c r="BA1032">
        <v>19.899999999999999</v>
      </c>
      <c r="BB1032">
        <v>564</v>
      </c>
      <c r="BC1032">
        <v>68</v>
      </c>
      <c r="BD1032">
        <v>1.5</v>
      </c>
      <c r="BE1032">
        <v>135</v>
      </c>
      <c r="BF1032">
        <v>0.8</v>
      </c>
      <c r="BG1032">
        <v>162</v>
      </c>
      <c r="BH1032">
        <v>9.1</v>
      </c>
      <c r="BI1032">
        <v>9.1999999999999993</v>
      </c>
      <c r="BJ1032">
        <v>18.3</v>
      </c>
      <c r="BK1032">
        <v>0.34</v>
      </c>
      <c r="BL1032">
        <v>7.3</v>
      </c>
      <c r="BM1032">
        <v>0.9</v>
      </c>
      <c r="BN1032">
        <v>7.5</v>
      </c>
      <c r="BO1032">
        <v>2.9</v>
      </c>
      <c r="BP1032">
        <f t="shared" si="32"/>
        <v>5.9891320497892817</v>
      </c>
      <c r="BQ1032">
        <f t="shared" si="33"/>
        <v>18.71182275513452</v>
      </c>
    </row>
    <row r="1033" spans="1:69" hidden="1" x14ac:dyDescent="0.2">
      <c r="A1033" t="s">
        <v>3540</v>
      </c>
      <c r="B1033" t="s">
        <v>68</v>
      </c>
      <c r="C1033" t="s">
        <v>3294</v>
      </c>
      <c r="D1033" t="s">
        <v>70</v>
      </c>
      <c r="E1033" t="s">
        <v>1530</v>
      </c>
      <c r="F1033">
        <v>4</v>
      </c>
      <c r="G1033">
        <v>47.75</v>
      </c>
      <c r="H1033">
        <v>1</v>
      </c>
      <c r="I1033">
        <v>2</v>
      </c>
      <c r="J1033">
        <v>1</v>
      </c>
      <c r="K1033" t="s">
        <v>110</v>
      </c>
      <c r="L1033" t="s">
        <v>133</v>
      </c>
      <c r="M1033" s="4">
        <v>550000000</v>
      </c>
      <c r="N1033">
        <v>0</v>
      </c>
      <c r="O1033">
        <v>4.61937</v>
      </c>
      <c r="P1033">
        <v>-74.066999999999993</v>
      </c>
      <c r="Q1033" t="s">
        <v>3541</v>
      </c>
      <c r="R1033">
        <v>11518324.609999999</v>
      </c>
      <c r="S1033">
        <v>0</v>
      </c>
      <c r="T1033" t="s">
        <v>126</v>
      </c>
      <c r="U1033" t="s">
        <v>127</v>
      </c>
      <c r="V1033" t="s">
        <v>77</v>
      </c>
      <c r="W1033" t="s">
        <v>128</v>
      </c>
      <c r="X1033" t="s">
        <v>129</v>
      </c>
      <c r="Y1033">
        <v>0.68084579294919501</v>
      </c>
      <c r="Z1033">
        <v>680.84579294919502</v>
      </c>
      <c r="AA1033">
        <v>4.6254861111111101</v>
      </c>
      <c r="AB1033">
        <v>-74.066980555555503</v>
      </c>
      <c r="AC1033">
        <v>2621</v>
      </c>
      <c r="AD1033">
        <v>15</v>
      </c>
      <c r="AE1033" t="s">
        <v>80</v>
      </c>
      <c r="AF1033" t="s">
        <v>81</v>
      </c>
      <c r="AG1033" t="s">
        <v>82</v>
      </c>
      <c r="AH1033" t="s">
        <v>83</v>
      </c>
      <c r="AI1033" t="s">
        <v>138</v>
      </c>
      <c r="AJ1033">
        <v>0.387722113857146</v>
      </c>
      <c r="AK1033">
        <v>0.56569115516051005</v>
      </c>
      <c r="AL1033">
        <v>0.19612876898387599</v>
      </c>
      <c r="AM1033">
        <v>9.6187038307827294E-2</v>
      </c>
      <c r="AN1033">
        <v>0.45713637495506199</v>
      </c>
      <c r="AO1033">
        <v>0.15929277614763701</v>
      </c>
      <c r="AP1033">
        <v>0.15929277614763701</v>
      </c>
      <c r="AQ1033">
        <v>1</v>
      </c>
      <c r="AR1033">
        <v>5</v>
      </c>
      <c r="AS1033">
        <v>0</v>
      </c>
      <c r="AT1033">
        <v>8</v>
      </c>
      <c r="AU1033">
        <v>14</v>
      </c>
      <c r="AV1033">
        <v>70</v>
      </c>
      <c r="AW1033">
        <v>2</v>
      </c>
      <c r="AX1033">
        <v>2</v>
      </c>
      <c r="AZ1033">
        <v>6.8</v>
      </c>
      <c r="BA1033">
        <v>19.899999999999999</v>
      </c>
      <c r="BB1033">
        <v>564</v>
      </c>
      <c r="BC1033">
        <v>68</v>
      </c>
      <c r="BD1033">
        <v>1.5</v>
      </c>
      <c r="BE1033">
        <v>135</v>
      </c>
      <c r="BF1033">
        <v>0.8</v>
      </c>
      <c r="BG1033">
        <v>162</v>
      </c>
      <c r="BH1033">
        <v>9.1</v>
      </c>
      <c r="BI1033">
        <v>9.1999999999999993</v>
      </c>
      <c r="BJ1033">
        <v>18.3</v>
      </c>
      <c r="BK1033">
        <v>0.34</v>
      </c>
      <c r="BL1033">
        <v>7.3</v>
      </c>
      <c r="BM1033">
        <v>0.9</v>
      </c>
      <c r="BN1033">
        <v>7.5</v>
      </c>
      <c r="BO1033">
        <v>2.9</v>
      </c>
      <c r="BP1033">
        <f t="shared" si="32"/>
        <v>6.5746460599665006</v>
      </c>
      <c r="BQ1033">
        <f t="shared" si="33"/>
        <v>19.577470341220213</v>
      </c>
    </row>
    <row r="1034" spans="1:69" hidden="1" x14ac:dyDescent="0.2">
      <c r="A1034" t="s">
        <v>4322</v>
      </c>
      <c r="B1034" t="s">
        <v>68</v>
      </c>
      <c r="C1034" t="s">
        <v>3294</v>
      </c>
      <c r="D1034" t="s">
        <v>70</v>
      </c>
      <c r="E1034" t="s">
        <v>509</v>
      </c>
      <c r="F1034">
        <v>5</v>
      </c>
      <c r="G1034">
        <v>47.14</v>
      </c>
      <c r="H1034">
        <v>1</v>
      </c>
      <c r="I1034">
        <v>2</v>
      </c>
      <c r="J1034">
        <v>1</v>
      </c>
      <c r="K1034" t="s">
        <v>110</v>
      </c>
      <c r="L1034" t="s">
        <v>124</v>
      </c>
      <c r="M1034" s="4">
        <v>415000000</v>
      </c>
      <c r="N1034">
        <v>0</v>
      </c>
      <c r="O1034">
        <v>4.6417523000000003</v>
      </c>
      <c r="P1034">
        <v>-74.060697399999995</v>
      </c>
      <c r="Q1034" t="s">
        <v>4323</v>
      </c>
      <c r="R1034">
        <v>8803563.852</v>
      </c>
      <c r="S1034">
        <v>0</v>
      </c>
      <c r="T1034" t="s">
        <v>126</v>
      </c>
      <c r="U1034" t="s">
        <v>127</v>
      </c>
      <c r="V1034" t="s">
        <v>77</v>
      </c>
      <c r="W1034" t="s">
        <v>128</v>
      </c>
      <c r="X1034" t="s">
        <v>129</v>
      </c>
      <c r="Y1034">
        <v>1.94031280682993</v>
      </c>
      <c r="Z1034">
        <v>1940.31280682993</v>
      </c>
      <c r="AA1034">
        <v>4.6254861111111101</v>
      </c>
      <c r="AB1034">
        <v>-74.066980555555503</v>
      </c>
      <c r="AC1034">
        <v>2621</v>
      </c>
      <c r="AD1034">
        <v>15</v>
      </c>
      <c r="AE1034" t="s">
        <v>80</v>
      </c>
      <c r="AF1034" t="s">
        <v>81</v>
      </c>
      <c r="AG1034" t="s">
        <v>82</v>
      </c>
      <c r="AH1034" t="s">
        <v>83</v>
      </c>
      <c r="AI1034" t="s">
        <v>130</v>
      </c>
      <c r="AJ1034">
        <v>0.58494084803608104</v>
      </c>
      <c r="AK1034">
        <v>0.36063248013048299</v>
      </c>
      <c r="AL1034">
        <v>0.33677224256031701</v>
      </c>
      <c r="AM1034">
        <v>0.14939567588150099</v>
      </c>
      <c r="AN1034">
        <v>0.25629088718386001</v>
      </c>
      <c r="AO1034">
        <v>4.2012514393997301E-2</v>
      </c>
      <c r="AP1034">
        <v>4.2012514393997301E-2</v>
      </c>
      <c r="AQ1034">
        <v>0</v>
      </c>
      <c r="AR1034">
        <v>4</v>
      </c>
      <c r="AS1034">
        <v>8</v>
      </c>
      <c r="AT1034">
        <v>38</v>
      </c>
      <c r="AU1034">
        <v>7</v>
      </c>
      <c r="AV1034">
        <v>120</v>
      </c>
      <c r="AW1034">
        <v>1</v>
      </c>
      <c r="AX1034">
        <v>0</v>
      </c>
      <c r="AZ1034">
        <v>6.8</v>
      </c>
      <c r="BA1034">
        <v>19.899999999999999</v>
      </c>
      <c r="BB1034">
        <v>564</v>
      </c>
      <c r="BC1034">
        <v>68</v>
      </c>
      <c r="BD1034">
        <v>1.5</v>
      </c>
      <c r="BE1034">
        <v>135</v>
      </c>
      <c r="BF1034">
        <v>0.8</v>
      </c>
      <c r="BG1034">
        <v>162</v>
      </c>
      <c r="BH1034">
        <v>9.1</v>
      </c>
      <c r="BI1034">
        <v>9.1999999999999993</v>
      </c>
      <c r="BJ1034">
        <v>18.3</v>
      </c>
      <c r="BK1034">
        <v>0.34</v>
      </c>
      <c r="BL1034">
        <v>7.3</v>
      </c>
      <c r="BM1034">
        <v>0.9</v>
      </c>
      <c r="BN1034">
        <v>7.5</v>
      </c>
      <c r="BO1034">
        <v>2.9</v>
      </c>
      <c r="BP1034">
        <f t="shared" si="32"/>
        <v>6.1772743361139506</v>
      </c>
      <c r="BQ1034">
        <f t="shared" si="33"/>
        <v>18.994552439896001</v>
      </c>
    </row>
    <row r="1035" spans="1:69" hidden="1" x14ac:dyDescent="0.2">
      <c r="A1035" t="s">
        <v>663</v>
      </c>
      <c r="B1035" t="s">
        <v>68</v>
      </c>
      <c r="C1035" t="s">
        <v>69</v>
      </c>
      <c r="D1035" t="s">
        <v>70</v>
      </c>
      <c r="E1035" t="s">
        <v>664</v>
      </c>
      <c r="F1035">
        <v>3</v>
      </c>
      <c r="G1035">
        <v>47</v>
      </c>
      <c r="H1035">
        <v>3</v>
      </c>
      <c r="I1035">
        <v>1</v>
      </c>
      <c r="J1035">
        <v>1</v>
      </c>
      <c r="K1035" t="s">
        <v>110</v>
      </c>
      <c r="L1035" t="s">
        <v>124</v>
      </c>
      <c r="M1035" s="4">
        <v>270000000</v>
      </c>
      <c r="N1035">
        <v>0</v>
      </c>
      <c r="O1035">
        <v>4.7290320000000001</v>
      </c>
      <c r="P1035">
        <v>-74.116140000000001</v>
      </c>
      <c r="Q1035" t="s">
        <v>665</v>
      </c>
      <c r="R1035">
        <v>5744680.8509999998</v>
      </c>
      <c r="S1035">
        <v>0</v>
      </c>
      <c r="T1035" t="s">
        <v>419</v>
      </c>
      <c r="U1035" t="s">
        <v>420</v>
      </c>
      <c r="V1035" t="s">
        <v>77</v>
      </c>
      <c r="W1035" t="s">
        <v>78</v>
      </c>
      <c r="X1035" t="s">
        <v>421</v>
      </c>
      <c r="Y1035">
        <v>1.3184428781750099</v>
      </c>
      <c r="Z1035">
        <v>1318.44287817501</v>
      </c>
      <c r="AA1035">
        <v>4.7358055555555598</v>
      </c>
      <c r="AB1035">
        <v>-74.125888888888895</v>
      </c>
      <c r="AC1035">
        <v>2574</v>
      </c>
      <c r="AD1035">
        <v>0</v>
      </c>
      <c r="AE1035" t="s">
        <v>154</v>
      </c>
      <c r="AF1035" t="s">
        <v>107</v>
      </c>
      <c r="AG1035" t="s">
        <v>82</v>
      </c>
      <c r="AH1035" t="s">
        <v>83</v>
      </c>
      <c r="AI1035" t="s">
        <v>412</v>
      </c>
      <c r="AJ1035">
        <v>2.2121727041061701</v>
      </c>
      <c r="AK1035">
        <v>0.97362461521752497</v>
      </c>
      <c r="AL1035">
        <v>4.1406495495915596</v>
      </c>
      <c r="AM1035">
        <v>0.63187469445570499</v>
      </c>
      <c r="AN1035">
        <v>3.6818201645685602</v>
      </c>
      <c r="AO1035">
        <v>0.35722571421358101</v>
      </c>
      <c r="AP1035">
        <v>0.35722571421358101</v>
      </c>
      <c r="AQ1035">
        <v>0</v>
      </c>
      <c r="AR1035">
        <v>0</v>
      </c>
      <c r="AS1035">
        <v>0</v>
      </c>
      <c r="AT1035">
        <v>1</v>
      </c>
      <c r="AU1035">
        <v>0</v>
      </c>
      <c r="AV1035">
        <v>7</v>
      </c>
      <c r="AW1035">
        <v>0</v>
      </c>
      <c r="AX1035">
        <v>0</v>
      </c>
      <c r="AZ1035">
        <v>6.8</v>
      </c>
      <c r="BA1035">
        <v>19.899999999999999</v>
      </c>
      <c r="BB1035">
        <v>564</v>
      </c>
      <c r="BC1035">
        <v>68</v>
      </c>
      <c r="BD1035">
        <v>1.5</v>
      </c>
      <c r="BE1035">
        <v>135</v>
      </c>
      <c r="BF1035">
        <v>0.8</v>
      </c>
      <c r="BG1035">
        <v>162</v>
      </c>
      <c r="BH1035">
        <v>9.1</v>
      </c>
      <c r="BI1035">
        <v>9.1999999999999993</v>
      </c>
      <c r="BJ1035">
        <v>18.3</v>
      </c>
      <c r="BK1035">
        <v>0.34</v>
      </c>
      <c r="BL1035">
        <v>7.3</v>
      </c>
      <c r="BM1035">
        <v>0.9</v>
      </c>
      <c r="BN1035">
        <v>7.5</v>
      </c>
      <c r="BO1035">
        <v>2.9</v>
      </c>
      <c r="BP1035">
        <f t="shared" si="32"/>
        <v>6.3703836137679559</v>
      </c>
      <c r="BQ1035">
        <f t="shared" si="33"/>
        <v>19.280169924486017</v>
      </c>
    </row>
    <row r="1036" spans="1:69" hidden="1" x14ac:dyDescent="0.2">
      <c r="A1036" t="s">
        <v>4344</v>
      </c>
      <c r="B1036" t="s">
        <v>68</v>
      </c>
      <c r="C1036" t="s">
        <v>3294</v>
      </c>
      <c r="D1036" t="s">
        <v>70</v>
      </c>
      <c r="E1036" t="s">
        <v>4190</v>
      </c>
      <c r="F1036">
        <v>3</v>
      </c>
      <c r="G1036">
        <v>47</v>
      </c>
      <c r="H1036">
        <v>1</v>
      </c>
      <c r="I1036">
        <v>1</v>
      </c>
      <c r="J1036">
        <v>1</v>
      </c>
      <c r="K1036" t="s">
        <v>110</v>
      </c>
      <c r="L1036" t="s">
        <v>162</v>
      </c>
      <c r="M1036" s="4">
        <v>299000000</v>
      </c>
      <c r="N1036">
        <v>0</v>
      </c>
      <c r="O1036">
        <v>4.6266899109999997</v>
      </c>
      <c r="P1036">
        <v>-74.068214420000004</v>
      </c>
      <c r="Q1036" t="s">
        <v>4345</v>
      </c>
      <c r="R1036">
        <v>6361702.1279999996</v>
      </c>
      <c r="S1036">
        <v>0</v>
      </c>
      <c r="T1036" t="s">
        <v>126</v>
      </c>
      <c r="U1036" t="s">
        <v>127</v>
      </c>
      <c r="V1036" t="s">
        <v>77</v>
      </c>
      <c r="W1036" t="s">
        <v>128</v>
      </c>
      <c r="X1036" t="s">
        <v>129</v>
      </c>
      <c r="Y1036">
        <v>0.19157474675594299</v>
      </c>
      <c r="Z1036">
        <v>191.57474675594301</v>
      </c>
      <c r="AA1036">
        <v>4.6254861111111101</v>
      </c>
      <c r="AB1036">
        <v>-74.066980555555503</v>
      </c>
      <c r="AC1036">
        <v>2621</v>
      </c>
      <c r="AD1036">
        <v>15</v>
      </c>
      <c r="AE1036" t="s">
        <v>80</v>
      </c>
      <c r="AF1036" t="s">
        <v>81</v>
      </c>
      <c r="AG1036" t="s">
        <v>82</v>
      </c>
      <c r="AH1036" t="s">
        <v>83</v>
      </c>
      <c r="AI1036" t="s">
        <v>138</v>
      </c>
      <c r="AJ1036">
        <v>5.8187812628036802E-2</v>
      </c>
      <c r="AK1036">
        <v>0.80299657141838898</v>
      </c>
      <c r="AL1036">
        <v>0.29676001376966299</v>
      </c>
      <c r="AM1036">
        <v>0.10357082135128701</v>
      </c>
      <c r="AN1036">
        <v>0.195885303489685</v>
      </c>
      <c r="AO1036">
        <v>7.6311510416440603E-2</v>
      </c>
      <c r="AP1036">
        <v>7.6311510416440603E-2</v>
      </c>
      <c r="AQ1036">
        <v>2</v>
      </c>
      <c r="AR1036">
        <v>4</v>
      </c>
      <c r="AS1036">
        <v>0</v>
      </c>
      <c r="AT1036">
        <v>13</v>
      </c>
      <c r="AU1036">
        <v>20</v>
      </c>
      <c r="AV1036">
        <v>108</v>
      </c>
      <c r="AW1036">
        <v>1</v>
      </c>
      <c r="AX1036">
        <v>1</v>
      </c>
      <c r="AZ1036">
        <v>6.8</v>
      </c>
      <c r="BA1036">
        <v>19.899999999999999</v>
      </c>
      <c r="BB1036">
        <v>564</v>
      </c>
      <c r="BC1036">
        <v>68</v>
      </c>
      <c r="BD1036">
        <v>1.5</v>
      </c>
      <c r="BE1036">
        <v>135</v>
      </c>
      <c r="BF1036">
        <v>0.8</v>
      </c>
      <c r="BG1036">
        <v>162</v>
      </c>
      <c r="BH1036">
        <v>9.1</v>
      </c>
      <c r="BI1036">
        <v>9.1999999999999993</v>
      </c>
      <c r="BJ1036">
        <v>18.3</v>
      </c>
      <c r="BK1036">
        <v>0.34</v>
      </c>
      <c r="BL1036">
        <v>7.3</v>
      </c>
      <c r="BM1036">
        <v>0.9</v>
      </c>
      <c r="BN1036">
        <v>7.5</v>
      </c>
      <c r="BO1036">
        <v>2.9</v>
      </c>
      <c r="BP1036">
        <f t="shared" si="32"/>
        <v>6.7358207256157021</v>
      </c>
      <c r="BQ1036">
        <f t="shared" si="33"/>
        <v>19.808713919056803</v>
      </c>
    </row>
    <row r="1037" spans="1:69" hidden="1" x14ac:dyDescent="0.2">
      <c r="A1037" t="s">
        <v>4346</v>
      </c>
      <c r="B1037" t="s">
        <v>68</v>
      </c>
      <c r="C1037" t="s">
        <v>3294</v>
      </c>
      <c r="D1037" t="s">
        <v>70</v>
      </c>
      <c r="E1037" t="s">
        <v>4190</v>
      </c>
      <c r="F1037">
        <v>3</v>
      </c>
      <c r="G1037">
        <v>47</v>
      </c>
      <c r="H1037">
        <v>1</v>
      </c>
      <c r="I1037">
        <v>1</v>
      </c>
      <c r="J1037">
        <v>1</v>
      </c>
      <c r="K1037" t="s">
        <v>110</v>
      </c>
      <c r="L1037" t="s">
        <v>162</v>
      </c>
      <c r="M1037" s="4">
        <v>299000000</v>
      </c>
      <c r="N1037">
        <v>0</v>
      </c>
      <c r="O1037">
        <v>4.6266899109999997</v>
      </c>
      <c r="P1037">
        <v>-74.068214420000004</v>
      </c>
      <c r="Q1037" t="s">
        <v>4347</v>
      </c>
      <c r="R1037">
        <v>6361702.1279999996</v>
      </c>
      <c r="S1037">
        <v>0</v>
      </c>
      <c r="T1037" t="s">
        <v>126</v>
      </c>
      <c r="U1037" t="s">
        <v>127</v>
      </c>
      <c r="V1037" t="s">
        <v>77</v>
      </c>
      <c r="W1037" t="s">
        <v>128</v>
      </c>
      <c r="X1037" t="s">
        <v>129</v>
      </c>
      <c r="Y1037">
        <v>0.19157474675594299</v>
      </c>
      <c r="Z1037">
        <v>191.57474675594301</v>
      </c>
      <c r="AA1037">
        <v>4.6254861111111101</v>
      </c>
      <c r="AB1037">
        <v>-74.066980555555503</v>
      </c>
      <c r="AC1037">
        <v>2621</v>
      </c>
      <c r="AD1037">
        <v>15</v>
      </c>
      <c r="AE1037" t="s">
        <v>80</v>
      </c>
      <c r="AF1037" t="s">
        <v>81</v>
      </c>
      <c r="AG1037" t="s">
        <v>82</v>
      </c>
      <c r="AH1037" t="s">
        <v>83</v>
      </c>
      <c r="AI1037" t="s">
        <v>138</v>
      </c>
      <c r="AJ1037">
        <v>5.8187812628036802E-2</v>
      </c>
      <c r="AK1037">
        <v>0.80299657141838898</v>
      </c>
      <c r="AL1037">
        <v>0.29676001376966299</v>
      </c>
      <c r="AM1037">
        <v>0.10357082135128701</v>
      </c>
      <c r="AN1037">
        <v>0.195885303489685</v>
      </c>
      <c r="AO1037">
        <v>7.6311510416440603E-2</v>
      </c>
      <c r="AP1037">
        <v>7.6311510416440603E-2</v>
      </c>
      <c r="AQ1037">
        <v>2</v>
      </c>
      <c r="AR1037">
        <v>4</v>
      </c>
      <c r="AS1037">
        <v>0</v>
      </c>
      <c r="AT1037">
        <v>13</v>
      </c>
      <c r="AU1037">
        <v>20</v>
      </c>
      <c r="AV1037">
        <v>108</v>
      </c>
      <c r="AW1037">
        <v>1</v>
      </c>
      <c r="AX1037">
        <v>1</v>
      </c>
      <c r="AZ1037">
        <v>6.8</v>
      </c>
      <c r="BA1037">
        <v>19.899999999999999</v>
      </c>
      <c r="BB1037">
        <v>564</v>
      </c>
      <c r="BC1037">
        <v>68</v>
      </c>
      <c r="BD1037">
        <v>1.5</v>
      </c>
      <c r="BE1037">
        <v>135</v>
      </c>
      <c r="BF1037">
        <v>0.8</v>
      </c>
      <c r="BG1037">
        <v>162</v>
      </c>
      <c r="BH1037">
        <v>9.1</v>
      </c>
      <c r="BI1037">
        <v>9.1999999999999993</v>
      </c>
      <c r="BJ1037">
        <v>18.3</v>
      </c>
      <c r="BK1037">
        <v>0.34</v>
      </c>
      <c r="BL1037">
        <v>7.3</v>
      </c>
      <c r="BM1037">
        <v>0.9</v>
      </c>
      <c r="BN1037">
        <v>7.5</v>
      </c>
      <c r="BO1037">
        <v>2.9</v>
      </c>
      <c r="BP1037">
        <f t="shared" si="32"/>
        <v>6.7358207256157021</v>
      </c>
      <c r="BQ1037">
        <f t="shared" si="33"/>
        <v>19.808713919056803</v>
      </c>
    </row>
    <row r="1038" spans="1:69" hidden="1" x14ac:dyDescent="0.2">
      <c r="A1038" t="s">
        <v>4481</v>
      </c>
      <c r="B1038" t="s">
        <v>68</v>
      </c>
      <c r="C1038" t="s">
        <v>3294</v>
      </c>
      <c r="D1038" t="s">
        <v>70</v>
      </c>
      <c r="E1038" t="s">
        <v>832</v>
      </c>
      <c r="F1038">
        <v>6</v>
      </c>
      <c r="G1038">
        <v>46.9</v>
      </c>
      <c r="H1038">
        <v>1</v>
      </c>
      <c r="I1038">
        <v>1</v>
      </c>
      <c r="J1038">
        <v>1</v>
      </c>
      <c r="K1038" t="s">
        <v>110</v>
      </c>
      <c r="L1038" t="s">
        <v>162</v>
      </c>
      <c r="M1038" s="4">
        <v>410000000</v>
      </c>
      <c r="N1038">
        <v>0</v>
      </c>
      <c r="O1038">
        <v>4.6513623510000004</v>
      </c>
      <c r="P1038">
        <v>-74.056784859999993</v>
      </c>
      <c r="Q1038" t="s">
        <v>4482</v>
      </c>
      <c r="R1038">
        <v>8742004.2640000004</v>
      </c>
      <c r="S1038">
        <v>0</v>
      </c>
      <c r="T1038" t="s">
        <v>126</v>
      </c>
      <c r="U1038" t="s">
        <v>127</v>
      </c>
      <c r="V1038" t="s">
        <v>77</v>
      </c>
      <c r="W1038" t="s">
        <v>128</v>
      </c>
      <c r="X1038" t="s">
        <v>129</v>
      </c>
      <c r="Y1038">
        <v>3.0947062662215599</v>
      </c>
      <c r="Z1038">
        <v>3094.7062662215599</v>
      </c>
      <c r="AA1038">
        <v>4.6254861111111101</v>
      </c>
      <c r="AB1038">
        <v>-74.066980555555503</v>
      </c>
      <c r="AC1038">
        <v>2621</v>
      </c>
      <c r="AD1038">
        <v>15</v>
      </c>
      <c r="AE1038" t="s">
        <v>80</v>
      </c>
      <c r="AF1038" t="s">
        <v>81</v>
      </c>
      <c r="AG1038" t="s">
        <v>82</v>
      </c>
      <c r="AH1038" t="s">
        <v>83</v>
      </c>
      <c r="AI1038" t="s">
        <v>130</v>
      </c>
      <c r="AJ1038">
        <v>0.79337959096508903</v>
      </c>
      <c r="AK1038">
        <v>0.68617910727565901</v>
      </c>
      <c r="AL1038">
        <v>0.152131303366419</v>
      </c>
      <c r="AM1038">
        <v>0.20959448640318001</v>
      </c>
      <c r="AN1038">
        <v>1.09206091029344</v>
      </c>
      <c r="AO1038">
        <v>0.134343395776132</v>
      </c>
      <c r="AP1038">
        <v>0.134343395776132</v>
      </c>
      <c r="AQ1038">
        <v>0</v>
      </c>
      <c r="AR1038">
        <v>3</v>
      </c>
      <c r="AS1038">
        <v>0</v>
      </c>
      <c r="AT1038">
        <v>30</v>
      </c>
      <c r="AU1038">
        <v>16</v>
      </c>
      <c r="AV1038">
        <v>59</v>
      </c>
      <c r="AW1038">
        <v>0</v>
      </c>
      <c r="AX1038">
        <v>0</v>
      </c>
      <c r="AZ1038">
        <v>6.8</v>
      </c>
      <c r="BA1038">
        <v>19.899999999999999</v>
      </c>
      <c r="BB1038">
        <v>564</v>
      </c>
      <c r="BC1038">
        <v>68</v>
      </c>
      <c r="BD1038">
        <v>1.5</v>
      </c>
      <c r="BE1038">
        <v>135</v>
      </c>
      <c r="BF1038">
        <v>0.8</v>
      </c>
      <c r="BG1038">
        <v>162</v>
      </c>
      <c r="BH1038">
        <v>9.1</v>
      </c>
      <c r="BI1038">
        <v>9.1999999999999993</v>
      </c>
      <c r="BJ1038">
        <v>18.3</v>
      </c>
      <c r="BK1038">
        <v>0.34</v>
      </c>
      <c r="BL1038">
        <v>7.3</v>
      </c>
      <c r="BM1038">
        <v>0.9</v>
      </c>
      <c r="BN1038">
        <v>7.5</v>
      </c>
      <c r="BO1038">
        <v>2.9</v>
      </c>
      <c r="BP1038">
        <f t="shared" si="32"/>
        <v>5.8341854107248761</v>
      </c>
      <c r="BQ1038">
        <f t="shared" si="33"/>
        <v>18.475523117920186</v>
      </c>
    </row>
    <row r="1039" spans="1:69" hidden="1" x14ac:dyDescent="0.2">
      <c r="A1039" t="s">
        <v>3720</v>
      </c>
      <c r="B1039" t="s">
        <v>68</v>
      </c>
      <c r="C1039" t="s">
        <v>3294</v>
      </c>
      <c r="D1039" t="s">
        <v>70</v>
      </c>
      <c r="E1039" t="s">
        <v>3559</v>
      </c>
      <c r="F1039">
        <v>3</v>
      </c>
      <c r="G1039">
        <v>46.13</v>
      </c>
      <c r="H1039">
        <v>1</v>
      </c>
      <c r="I1039">
        <v>2</v>
      </c>
      <c r="J1039">
        <v>1</v>
      </c>
      <c r="K1039" t="s">
        <v>110</v>
      </c>
      <c r="L1039" t="s">
        <v>133</v>
      </c>
      <c r="M1039" s="4">
        <v>450000000</v>
      </c>
      <c r="N1039">
        <v>0</v>
      </c>
      <c r="O1039">
        <v>4.6190199999999999</v>
      </c>
      <c r="P1039">
        <v>-74.066239999999993</v>
      </c>
      <c r="Q1039" t="s">
        <v>3721</v>
      </c>
      <c r="R1039">
        <v>9755040.1040000003</v>
      </c>
      <c r="S1039">
        <v>0</v>
      </c>
      <c r="T1039" t="s">
        <v>126</v>
      </c>
      <c r="U1039" t="s">
        <v>127</v>
      </c>
      <c r="V1039" t="s">
        <v>77</v>
      </c>
      <c r="W1039" t="s">
        <v>128</v>
      </c>
      <c r="X1039" t="s">
        <v>129</v>
      </c>
      <c r="Y1039">
        <v>0.72447913323997204</v>
      </c>
      <c r="Z1039">
        <v>724.47913323997204</v>
      </c>
      <c r="AA1039">
        <v>4.6254861111111101</v>
      </c>
      <c r="AB1039">
        <v>-74.066980555555503</v>
      </c>
      <c r="AC1039">
        <v>2621</v>
      </c>
      <c r="AD1039">
        <v>15</v>
      </c>
      <c r="AE1039" t="s">
        <v>80</v>
      </c>
      <c r="AF1039" t="s">
        <v>81</v>
      </c>
      <c r="AG1039" t="s">
        <v>82</v>
      </c>
      <c r="AH1039" t="s">
        <v>83</v>
      </c>
      <c r="AI1039" t="s">
        <v>138</v>
      </c>
      <c r="AJ1039">
        <v>0.47812808681992502</v>
      </c>
      <c r="AK1039">
        <v>0.47837912737640598</v>
      </c>
      <c r="AL1039">
        <v>0.21115689988833</v>
      </c>
      <c r="AM1039">
        <v>0.13423901979319</v>
      </c>
      <c r="AN1039">
        <v>0.41321274274605002</v>
      </c>
      <c r="AO1039">
        <v>6.7037484757036303E-2</v>
      </c>
      <c r="AP1039">
        <v>6.7037484757036303E-2</v>
      </c>
      <c r="AQ1039">
        <v>1</v>
      </c>
      <c r="AR1039">
        <v>5</v>
      </c>
      <c r="AS1039">
        <v>1</v>
      </c>
      <c r="AT1039">
        <v>8</v>
      </c>
      <c r="AU1039">
        <v>12</v>
      </c>
      <c r="AV1039">
        <v>65</v>
      </c>
      <c r="AW1039">
        <v>2</v>
      </c>
      <c r="AX1039">
        <v>2</v>
      </c>
      <c r="AZ1039">
        <v>6.8</v>
      </c>
      <c r="BA1039">
        <v>19.899999999999999</v>
      </c>
      <c r="BB1039">
        <v>564</v>
      </c>
      <c r="BC1039">
        <v>68</v>
      </c>
      <c r="BD1039">
        <v>1.5</v>
      </c>
      <c r="BE1039">
        <v>135</v>
      </c>
      <c r="BF1039">
        <v>0.8</v>
      </c>
      <c r="BG1039">
        <v>162</v>
      </c>
      <c r="BH1039">
        <v>9.1</v>
      </c>
      <c r="BI1039">
        <v>9.1999999999999993</v>
      </c>
      <c r="BJ1039">
        <v>18.3</v>
      </c>
      <c r="BK1039">
        <v>0.34</v>
      </c>
      <c r="BL1039">
        <v>7.3</v>
      </c>
      <c r="BM1039">
        <v>0.9</v>
      </c>
      <c r="BN1039">
        <v>7.5</v>
      </c>
      <c r="BO1039">
        <v>2.9</v>
      </c>
      <c r="BP1039">
        <f t="shared" si="32"/>
        <v>6.5604611325840976</v>
      </c>
      <c r="BQ1039">
        <f t="shared" si="33"/>
        <v>19.556979541866681</v>
      </c>
    </row>
    <row r="1040" spans="1:69" hidden="1" x14ac:dyDescent="0.2">
      <c r="A1040" t="s">
        <v>4173</v>
      </c>
      <c r="B1040" t="s">
        <v>68</v>
      </c>
      <c r="C1040" t="s">
        <v>3294</v>
      </c>
      <c r="D1040" t="s">
        <v>70</v>
      </c>
      <c r="E1040" t="s">
        <v>2521</v>
      </c>
      <c r="F1040">
        <v>4</v>
      </c>
      <c r="G1040">
        <v>46</v>
      </c>
      <c r="H1040">
        <v>1</v>
      </c>
      <c r="I1040">
        <v>2</v>
      </c>
      <c r="J1040">
        <v>1</v>
      </c>
      <c r="K1040" t="s">
        <v>110</v>
      </c>
      <c r="L1040" t="s">
        <v>111</v>
      </c>
      <c r="M1040" s="4">
        <v>600000000</v>
      </c>
      <c r="N1040">
        <v>0</v>
      </c>
      <c r="O1040">
        <v>4.673237801</v>
      </c>
      <c r="P1040">
        <v>-74.061592099999999</v>
      </c>
      <c r="Q1040" t="s">
        <v>4174</v>
      </c>
      <c r="R1040">
        <v>13043478.26</v>
      </c>
      <c r="S1040">
        <v>0</v>
      </c>
      <c r="T1040" t="s">
        <v>75</v>
      </c>
      <c r="U1040" t="s">
        <v>76</v>
      </c>
      <c r="V1040" t="s">
        <v>77</v>
      </c>
      <c r="W1040" t="s">
        <v>78</v>
      </c>
      <c r="X1040" t="s">
        <v>79</v>
      </c>
      <c r="Y1040">
        <v>2.9776560609952201</v>
      </c>
      <c r="Z1040">
        <v>2977.6560609952198</v>
      </c>
      <c r="AA1040">
        <v>4.6584666666666701</v>
      </c>
      <c r="AB1040">
        <v>-74.083966666666697</v>
      </c>
      <c r="AC1040">
        <v>2552</v>
      </c>
      <c r="AD1040">
        <v>0</v>
      </c>
      <c r="AE1040" t="s">
        <v>80</v>
      </c>
      <c r="AF1040" t="s">
        <v>81</v>
      </c>
      <c r="AG1040" t="s">
        <v>82</v>
      </c>
      <c r="AH1040" t="s">
        <v>83</v>
      </c>
      <c r="AI1040" t="s">
        <v>342</v>
      </c>
      <c r="AJ1040">
        <v>0.239014279953047</v>
      </c>
      <c r="AK1040">
        <v>2.0527149426710598</v>
      </c>
      <c r="AL1040">
        <v>0.65273479482115704</v>
      </c>
      <c r="AM1040">
        <v>2.0912577562711102E-2</v>
      </c>
      <c r="AN1040">
        <v>2.2484480430675999</v>
      </c>
      <c r="AO1040">
        <v>0.476946403089897</v>
      </c>
      <c r="AP1040">
        <v>0.476946403089897</v>
      </c>
      <c r="AQ1040">
        <v>4</v>
      </c>
      <c r="AR1040">
        <v>8</v>
      </c>
      <c r="AS1040">
        <v>0</v>
      </c>
      <c r="AT1040">
        <v>0</v>
      </c>
      <c r="AU1040">
        <v>5</v>
      </c>
      <c r="AV1040">
        <v>278</v>
      </c>
      <c r="AW1040">
        <v>0</v>
      </c>
      <c r="AX1040">
        <v>0</v>
      </c>
      <c r="AZ1040">
        <v>6.8</v>
      </c>
      <c r="BA1040">
        <v>19.899999999999999</v>
      </c>
      <c r="BB1040">
        <v>564</v>
      </c>
      <c r="BC1040">
        <v>68</v>
      </c>
      <c r="BD1040">
        <v>1.5</v>
      </c>
      <c r="BE1040">
        <v>135</v>
      </c>
      <c r="BF1040">
        <v>0.8</v>
      </c>
      <c r="BG1040">
        <v>162</v>
      </c>
      <c r="BH1040">
        <v>9.1</v>
      </c>
      <c r="BI1040">
        <v>9.1999999999999993</v>
      </c>
      <c r="BJ1040">
        <v>18.3</v>
      </c>
      <c r="BK1040">
        <v>0.34</v>
      </c>
      <c r="BL1040">
        <v>7.3</v>
      </c>
      <c r="BM1040">
        <v>0.9</v>
      </c>
      <c r="BN1040">
        <v>7.5</v>
      </c>
      <c r="BO1040">
        <v>2.9</v>
      </c>
      <c r="BP1040">
        <f t="shared" si="32"/>
        <v>5.8680867113846018</v>
      </c>
      <c r="BQ1040">
        <f t="shared" si="33"/>
        <v>18.527497617793205</v>
      </c>
    </row>
    <row r="1041" spans="1:69" hidden="1" x14ac:dyDescent="0.2">
      <c r="A1041" t="s">
        <v>952</v>
      </c>
      <c r="B1041" t="s">
        <v>68</v>
      </c>
      <c r="C1041" t="s">
        <v>69</v>
      </c>
      <c r="D1041" t="s">
        <v>70</v>
      </c>
      <c r="E1041" t="s">
        <v>223</v>
      </c>
      <c r="F1041">
        <v>5</v>
      </c>
      <c r="G1041">
        <v>46</v>
      </c>
      <c r="H1041">
        <v>1</v>
      </c>
      <c r="I1041">
        <v>2</v>
      </c>
      <c r="J1041">
        <v>1</v>
      </c>
      <c r="K1041" t="s">
        <v>110</v>
      </c>
      <c r="L1041" t="s">
        <v>162</v>
      </c>
      <c r="M1041" s="4">
        <v>420000000</v>
      </c>
      <c r="N1041">
        <v>0</v>
      </c>
      <c r="O1041">
        <v>4.6577944999999996</v>
      </c>
      <c r="P1041">
        <v>-74.057079999999999</v>
      </c>
      <c r="Q1041" t="s">
        <v>953</v>
      </c>
      <c r="R1041">
        <v>9130434.7829999998</v>
      </c>
      <c r="S1041">
        <v>0</v>
      </c>
      <c r="T1041" t="s">
        <v>75</v>
      </c>
      <c r="U1041" t="s">
        <v>76</v>
      </c>
      <c r="V1041" t="s">
        <v>77</v>
      </c>
      <c r="W1041" t="s">
        <v>78</v>
      </c>
      <c r="X1041" t="s">
        <v>79</v>
      </c>
      <c r="Y1041">
        <v>2.9840623918480902</v>
      </c>
      <c r="Z1041">
        <v>2984.0623918480901</v>
      </c>
      <c r="AA1041">
        <v>4.6584666666666701</v>
      </c>
      <c r="AB1041">
        <v>-74.083966666666697</v>
      </c>
      <c r="AC1041">
        <v>2552</v>
      </c>
      <c r="AD1041">
        <v>0</v>
      </c>
      <c r="AE1041" t="s">
        <v>80</v>
      </c>
      <c r="AF1041" t="s">
        <v>81</v>
      </c>
      <c r="AG1041" t="s">
        <v>82</v>
      </c>
      <c r="AH1041" t="s">
        <v>83</v>
      </c>
      <c r="AI1041" t="s">
        <v>130</v>
      </c>
      <c r="AJ1041">
        <v>0.55523927618976499</v>
      </c>
      <c r="AK1041">
        <v>1.0487134608789299</v>
      </c>
      <c r="AL1041">
        <v>4.7432913185767603E-2</v>
      </c>
      <c r="AM1041">
        <v>2.6577717190305501E-2</v>
      </c>
      <c r="AN1041">
        <v>1.79417521117219</v>
      </c>
      <c r="AO1041">
        <v>0.122737953608425</v>
      </c>
      <c r="AP1041">
        <v>0.122737953608425</v>
      </c>
      <c r="AQ1041">
        <v>0</v>
      </c>
      <c r="AR1041">
        <v>3</v>
      </c>
      <c r="AS1041">
        <v>0</v>
      </c>
      <c r="AT1041">
        <v>0</v>
      </c>
      <c r="AU1041">
        <v>26</v>
      </c>
      <c r="AV1041">
        <v>84</v>
      </c>
      <c r="AW1041">
        <v>0</v>
      </c>
      <c r="AX1041">
        <v>0</v>
      </c>
      <c r="AZ1041">
        <v>6.8</v>
      </c>
      <c r="BA1041">
        <v>19.899999999999999</v>
      </c>
      <c r="BB1041">
        <v>564</v>
      </c>
      <c r="BC1041">
        <v>68</v>
      </c>
      <c r="BD1041">
        <v>1.5</v>
      </c>
      <c r="BE1041">
        <v>135</v>
      </c>
      <c r="BF1041">
        <v>0.8</v>
      </c>
      <c r="BG1041">
        <v>162</v>
      </c>
      <c r="BH1041">
        <v>9.1</v>
      </c>
      <c r="BI1041">
        <v>9.1999999999999993</v>
      </c>
      <c r="BJ1041">
        <v>18.3</v>
      </c>
      <c r="BK1041">
        <v>0.34</v>
      </c>
      <c r="BL1041">
        <v>7.3</v>
      </c>
      <c r="BM1041">
        <v>0.9</v>
      </c>
      <c r="BN1041">
        <v>7.5</v>
      </c>
      <c r="BO1041">
        <v>2.9</v>
      </c>
      <c r="BP1041">
        <f t="shared" si="32"/>
        <v>5.8662261576085895</v>
      </c>
      <c r="BQ1041">
        <f t="shared" si="33"/>
        <v>18.524649198063077</v>
      </c>
    </row>
    <row r="1042" spans="1:69" hidden="1" x14ac:dyDescent="0.2">
      <c r="A1042" t="s">
        <v>3931</v>
      </c>
      <c r="B1042" t="s">
        <v>68</v>
      </c>
      <c r="C1042" t="s">
        <v>3294</v>
      </c>
      <c r="D1042" t="s">
        <v>70</v>
      </c>
      <c r="E1042" t="s">
        <v>123</v>
      </c>
      <c r="F1042">
        <v>3</v>
      </c>
      <c r="G1042">
        <v>46</v>
      </c>
      <c r="H1042">
        <v>1</v>
      </c>
      <c r="I1042">
        <v>2</v>
      </c>
      <c r="J1042">
        <v>1</v>
      </c>
      <c r="K1042" t="s">
        <v>110</v>
      </c>
      <c r="L1042" t="s">
        <v>111</v>
      </c>
      <c r="M1042" s="4">
        <v>280000000</v>
      </c>
      <c r="N1042">
        <v>0</v>
      </c>
      <c r="O1042">
        <v>4.6464824680000003</v>
      </c>
      <c r="P1042">
        <v>-74.061416629999997</v>
      </c>
      <c r="Q1042" t="s">
        <v>3932</v>
      </c>
      <c r="R1042">
        <v>6086956.5219999999</v>
      </c>
      <c r="S1042">
        <v>0</v>
      </c>
      <c r="T1042" t="s">
        <v>126</v>
      </c>
      <c r="U1042" t="s">
        <v>127</v>
      </c>
      <c r="V1042" t="s">
        <v>77</v>
      </c>
      <c r="W1042" t="s">
        <v>128</v>
      </c>
      <c r="X1042" t="s">
        <v>129</v>
      </c>
      <c r="Y1042">
        <v>2.4174586085507102</v>
      </c>
      <c r="Z1042">
        <v>2417.4586085507099</v>
      </c>
      <c r="AA1042">
        <v>4.6254861111111101</v>
      </c>
      <c r="AB1042">
        <v>-74.066980555555503</v>
      </c>
      <c r="AC1042">
        <v>2621</v>
      </c>
      <c r="AD1042">
        <v>15</v>
      </c>
      <c r="AE1042" t="s">
        <v>80</v>
      </c>
      <c r="AF1042" t="s">
        <v>81</v>
      </c>
      <c r="AG1042" t="s">
        <v>82</v>
      </c>
      <c r="AH1042" t="s">
        <v>83</v>
      </c>
      <c r="AI1042" t="s">
        <v>130</v>
      </c>
      <c r="AJ1042">
        <v>0.437920056889814</v>
      </c>
      <c r="AK1042">
        <v>0.74383414961175498</v>
      </c>
      <c r="AL1042">
        <v>0.21218198204961899</v>
      </c>
      <c r="AM1042">
        <v>6.0693094385208902E-2</v>
      </c>
      <c r="AN1042">
        <v>0.634222153682787</v>
      </c>
      <c r="AO1042">
        <v>0.33417874393026997</v>
      </c>
      <c r="AP1042">
        <v>0.33417874393026997</v>
      </c>
      <c r="AQ1042">
        <v>1</v>
      </c>
      <c r="AR1042">
        <v>3</v>
      </c>
      <c r="AS1042">
        <v>0</v>
      </c>
      <c r="AT1042">
        <v>11</v>
      </c>
      <c r="AU1042">
        <v>13</v>
      </c>
      <c r="AV1042">
        <v>74</v>
      </c>
      <c r="AW1042">
        <v>1</v>
      </c>
      <c r="AX1042">
        <v>0</v>
      </c>
      <c r="AZ1042">
        <v>6.8</v>
      </c>
      <c r="BA1042">
        <v>19.899999999999999</v>
      </c>
      <c r="BB1042">
        <v>564</v>
      </c>
      <c r="BC1042">
        <v>68</v>
      </c>
      <c r="BD1042">
        <v>1.5</v>
      </c>
      <c r="BE1042">
        <v>135</v>
      </c>
      <c r="BF1042">
        <v>0.8</v>
      </c>
      <c r="BG1042">
        <v>162</v>
      </c>
      <c r="BH1042">
        <v>9.1</v>
      </c>
      <c r="BI1042">
        <v>9.1999999999999993</v>
      </c>
      <c r="BJ1042">
        <v>18.3</v>
      </c>
      <c r="BK1042">
        <v>0.34</v>
      </c>
      <c r="BL1042">
        <v>7.3</v>
      </c>
      <c r="BM1042">
        <v>0.9</v>
      </c>
      <c r="BN1042">
        <v>7.5</v>
      </c>
      <c r="BO1042">
        <v>2.9</v>
      </c>
      <c r="BP1042">
        <f t="shared" si="32"/>
        <v>6.0330845325760798</v>
      </c>
      <c r="BQ1042">
        <f t="shared" si="33"/>
        <v>18.77827703930209</v>
      </c>
    </row>
    <row r="1043" spans="1:69" hidden="1" x14ac:dyDescent="0.2">
      <c r="A1043" t="s">
        <v>1245</v>
      </c>
      <c r="B1043" t="s">
        <v>68</v>
      </c>
      <c r="C1043" t="s">
        <v>69</v>
      </c>
      <c r="D1043" t="s">
        <v>70</v>
      </c>
      <c r="E1043" t="s">
        <v>1246</v>
      </c>
      <c r="F1043">
        <v>5</v>
      </c>
      <c r="G1043">
        <v>45.9</v>
      </c>
      <c r="H1043">
        <v>1</v>
      </c>
      <c r="I1043">
        <v>1</v>
      </c>
      <c r="J1043">
        <v>0</v>
      </c>
      <c r="K1043" t="s">
        <v>72</v>
      </c>
      <c r="L1043" t="s">
        <v>73</v>
      </c>
      <c r="M1043" s="4">
        <v>709000000</v>
      </c>
      <c r="N1043">
        <v>0</v>
      </c>
      <c r="O1043">
        <v>4.6722479999999997</v>
      </c>
      <c r="P1043">
        <v>-74.058210000000003</v>
      </c>
      <c r="Q1043" t="s">
        <v>1247</v>
      </c>
      <c r="R1043">
        <v>15446623.09</v>
      </c>
      <c r="S1043">
        <v>0</v>
      </c>
      <c r="T1043" t="s">
        <v>75</v>
      </c>
      <c r="U1043" t="s">
        <v>76</v>
      </c>
      <c r="V1043" t="s">
        <v>77</v>
      </c>
      <c r="W1043" t="s">
        <v>78</v>
      </c>
      <c r="X1043" t="s">
        <v>79</v>
      </c>
      <c r="Y1043">
        <v>3.2434729711424199</v>
      </c>
      <c r="Z1043">
        <v>3243.4729711424202</v>
      </c>
      <c r="AA1043">
        <v>4.6584666666666701</v>
      </c>
      <c r="AB1043">
        <v>-74.083966666666697</v>
      </c>
      <c r="AC1043">
        <v>2552</v>
      </c>
      <c r="AD1043">
        <v>0</v>
      </c>
      <c r="AE1043" t="s">
        <v>80</v>
      </c>
      <c r="AF1043" t="s">
        <v>81</v>
      </c>
      <c r="AG1043" t="s">
        <v>82</v>
      </c>
      <c r="AH1043" t="s">
        <v>83</v>
      </c>
      <c r="AI1043" t="s">
        <v>130</v>
      </c>
      <c r="AJ1043">
        <v>0.159125330979347</v>
      </c>
      <c r="AK1043">
        <v>1.6714273734279199</v>
      </c>
      <c r="AL1043">
        <v>0.485889339747969</v>
      </c>
      <c r="AM1043">
        <v>5.4385552229093997E-2</v>
      </c>
      <c r="AN1043">
        <v>2.6282578442396698</v>
      </c>
      <c r="AO1043">
        <v>0.79239885688924305</v>
      </c>
      <c r="AP1043">
        <v>0.79239885688924305</v>
      </c>
      <c r="AQ1043">
        <v>2</v>
      </c>
      <c r="AR1043">
        <v>5</v>
      </c>
      <c r="AS1043">
        <v>0</v>
      </c>
      <c r="AT1043">
        <v>0</v>
      </c>
      <c r="AU1043">
        <v>7</v>
      </c>
      <c r="AV1043">
        <v>286</v>
      </c>
      <c r="AW1043">
        <v>0</v>
      </c>
      <c r="AX1043">
        <v>0</v>
      </c>
      <c r="AZ1043">
        <v>6.8</v>
      </c>
      <c r="BA1043">
        <v>19.899999999999999</v>
      </c>
      <c r="BB1043">
        <v>564</v>
      </c>
      <c r="BC1043">
        <v>68</v>
      </c>
      <c r="BD1043">
        <v>1.5</v>
      </c>
      <c r="BE1043">
        <v>135</v>
      </c>
      <c r="BF1043">
        <v>0.8</v>
      </c>
      <c r="BG1043">
        <v>162</v>
      </c>
      <c r="BH1043">
        <v>9.1</v>
      </c>
      <c r="BI1043">
        <v>9.1999999999999993</v>
      </c>
      <c r="BJ1043">
        <v>18.3</v>
      </c>
      <c r="BK1043">
        <v>0.34</v>
      </c>
      <c r="BL1043">
        <v>7.3</v>
      </c>
      <c r="BM1043">
        <v>0.9</v>
      </c>
      <c r="BN1043">
        <v>7.5</v>
      </c>
      <c r="BO1043">
        <v>2.9</v>
      </c>
      <c r="BP1043">
        <f t="shared" si="32"/>
        <v>5.7913805499241633</v>
      </c>
      <c r="BQ1043">
        <f t="shared" si="33"/>
        <v>18.409675713983884</v>
      </c>
    </row>
    <row r="1044" spans="1:69" hidden="1" x14ac:dyDescent="0.2">
      <c r="A1044" t="s">
        <v>3462</v>
      </c>
      <c r="B1044" t="s">
        <v>68</v>
      </c>
      <c r="C1044" t="s">
        <v>3294</v>
      </c>
      <c r="D1044" t="s">
        <v>70</v>
      </c>
      <c r="E1044" t="s">
        <v>3430</v>
      </c>
      <c r="F1044">
        <v>6</v>
      </c>
      <c r="G1044">
        <v>45.54</v>
      </c>
      <c r="H1044">
        <v>1</v>
      </c>
      <c r="I1044">
        <v>1</v>
      </c>
      <c r="J1044">
        <v>2</v>
      </c>
      <c r="K1044" t="s">
        <v>110</v>
      </c>
      <c r="L1044" t="s">
        <v>124</v>
      </c>
      <c r="M1044" s="4">
        <v>425000000</v>
      </c>
      <c r="N1044">
        <v>0</v>
      </c>
      <c r="O1044">
        <v>4.6592900000000004</v>
      </c>
      <c r="P1044">
        <v>-74.066000000000003</v>
      </c>
      <c r="Q1044" t="s">
        <v>3463</v>
      </c>
      <c r="R1044">
        <v>9332454.9849999994</v>
      </c>
      <c r="S1044">
        <v>0</v>
      </c>
      <c r="T1044" t="s">
        <v>75</v>
      </c>
      <c r="U1044" t="s">
        <v>76</v>
      </c>
      <c r="V1044" t="s">
        <v>77</v>
      </c>
      <c r="W1044" t="s">
        <v>78</v>
      </c>
      <c r="X1044" t="s">
        <v>79</v>
      </c>
      <c r="Y1044">
        <v>1.99553780529134</v>
      </c>
      <c r="Z1044">
        <v>1995.53780529134</v>
      </c>
      <c r="AA1044">
        <v>4.6584666666666701</v>
      </c>
      <c r="AB1044">
        <v>-74.083966666666697</v>
      </c>
      <c r="AC1044">
        <v>2552</v>
      </c>
      <c r="AD1044">
        <v>0</v>
      </c>
      <c r="AE1044" t="s">
        <v>80</v>
      </c>
      <c r="AF1044" t="s">
        <v>81</v>
      </c>
      <c r="AG1044" t="s">
        <v>82</v>
      </c>
      <c r="AH1044" t="s">
        <v>83</v>
      </c>
      <c r="AI1044" t="s">
        <v>342</v>
      </c>
      <c r="AJ1044">
        <v>0.45125980307941799</v>
      </c>
      <c r="AK1044">
        <v>2.02488779633194</v>
      </c>
      <c r="AL1044">
        <v>0.23129697511929201</v>
      </c>
      <c r="AM1044">
        <v>0.16661409579082301</v>
      </c>
      <c r="AN1044">
        <v>2.1280012005515099</v>
      </c>
      <c r="AO1044">
        <v>9.6280736427100402E-2</v>
      </c>
      <c r="AP1044">
        <v>9.6280736427100402E-2</v>
      </c>
      <c r="AQ1044">
        <v>1</v>
      </c>
      <c r="AR1044">
        <v>3</v>
      </c>
      <c r="AS1044">
        <v>0</v>
      </c>
      <c r="AT1044">
        <v>0</v>
      </c>
      <c r="AU1044">
        <v>19</v>
      </c>
      <c r="AV1044">
        <v>84</v>
      </c>
      <c r="AW1044">
        <v>0</v>
      </c>
      <c r="AX1044">
        <v>0</v>
      </c>
      <c r="AZ1044">
        <v>6.8</v>
      </c>
      <c r="BA1044">
        <v>19.899999999999999</v>
      </c>
      <c r="BB1044">
        <v>564</v>
      </c>
      <c r="BC1044">
        <v>68</v>
      </c>
      <c r="BD1044">
        <v>1.5</v>
      </c>
      <c r="BE1044">
        <v>135</v>
      </c>
      <c r="BF1044">
        <v>0.8</v>
      </c>
      <c r="BG1044">
        <v>162</v>
      </c>
      <c r="BH1044">
        <v>9.1</v>
      </c>
      <c r="BI1044">
        <v>9.1999999999999993</v>
      </c>
      <c r="BJ1044">
        <v>18.3</v>
      </c>
      <c r="BK1044">
        <v>0.34</v>
      </c>
      <c r="BL1044">
        <v>7.3</v>
      </c>
      <c r="BM1044">
        <v>0.9</v>
      </c>
      <c r="BN1044">
        <v>7.5</v>
      </c>
      <c r="BO1044">
        <v>2.9</v>
      </c>
      <c r="BP1044">
        <f t="shared" si="32"/>
        <v>6.1604109674805621</v>
      </c>
      <c r="BQ1044">
        <f t="shared" si="33"/>
        <v>18.969393737148401</v>
      </c>
    </row>
    <row r="1045" spans="1:69" hidden="1" x14ac:dyDescent="0.2">
      <c r="A1045" t="s">
        <v>4588</v>
      </c>
      <c r="B1045" t="s">
        <v>68</v>
      </c>
      <c r="C1045" t="s">
        <v>3294</v>
      </c>
      <c r="D1045" t="s">
        <v>70</v>
      </c>
      <c r="E1045" t="s">
        <v>123</v>
      </c>
      <c r="F1045">
        <v>4</v>
      </c>
      <c r="G1045">
        <v>45</v>
      </c>
      <c r="H1045">
        <v>1</v>
      </c>
      <c r="I1045">
        <v>1</v>
      </c>
      <c r="J1045">
        <v>1</v>
      </c>
      <c r="K1045" t="s">
        <v>110</v>
      </c>
      <c r="L1045" t="s">
        <v>124</v>
      </c>
      <c r="M1045" s="4">
        <v>339000000</v>
      </c>
      <c r="N1045">
        <v>0</v>
      </c>
      <c r="O1045">
        <v>4.636514376</v>
      </c>
      <c r="P1045">
        <v>-74.064405010000002</v>
      </c>
      <c r="Q1045" t="s">
        <v>4589</v>
      </c>
      <c r="R1045">
        <v>7533333.3329999996</v>
      </c>
      <c r="S1045">
        <v>0</v>
      </c>
      <c r="T1045" t="s">
        <v>126</v>
      </c>
      <c r="U1045" t="s">
        <v>127</v>
      </c>
      <c r="V1045" t="s">
        <v>77</v>
      </c>
      <c r="W1045" t="s">
        <v>128</v>
      </c>
      <c r="X1045" t="s">
        <v>129</v>
      </c>
      <c r="Y1045">
        <v>1.2604828401868</v>
      </c>
      <c r="Z1045">
        <v>1260.4828401868001</v>
      </c>
      <c r="AA1045">
        <v>4.6254861111111101</v>
      </c>
      <c r="AB1045">
        <v>-74.066980555555503</v>
      </c>
      <c r="AC1045">
        <v>2621</v>
      </c>
      <c r="AD1045">
        <v>15</v>
      </c>
      <c r="AE1045" t="s">
        <v>80</v>
      </c>
      <c r="AF1045" t="s">
        <v>81</v>
      </c>
      <c r="AG1045" t="s">
        <v>82</v>
      </c>
      <c r="AH1045" t="s">
        <v>83</v>
      </c>
      <c r="AI1045" t="s">
        <v>130</v>
      </c>
      <c r="AJ1045">
        <v>0.28835913569572402</v>
      </c>
      <c r="AK1045">
        <v>0.58881191963713697</v>
      </c>
      <c r="AL1045">
        <v>0.16447072598139001</v>
      </c>
      <c r="AM1045">
        <v>1.35980422366832E-2</v>
      </c>
      <c r="AN1045">
        <v>0.87308498533666301</v>
      </c>
      <c r="AO1045">
        <v>4.7155142308306801E-2</v>
      </c>
      <c r="AP1045">
        <v>4.7155142308306801E-2</v>
      </c>
      <c r="AQ1045">
        <v>2</v>
      </c>
      <c r="AR1045">
        <v>4</v>
      </c>
      <c r="AS1045">
        <v>0</v>
      </c>
      <c r="AT1045">
        <v>28</v>
      </c>
      <c r="AU1045">
        <v>11</v>
      </c>
      <c r="AV1045">
        <v>141</v>
      </c>
      <c r="AW1045">
        <v>1</v>
      </c>
      <c r="AX1045">
        <v>0</v>
      </c>
      <c r="AZ1045">
        <v>6.8</v>
      </c>
      <c r="BA1045">
        <v>19.899999999999999</v>
      </c>
      <c r="BB1045">
        <v>564</v>
      </c>
      <c r="BC1045">
        <v>68</v>
      </c>
      <c r="BD1045">
        <v>1.5</v>
      </c>
      <c r="BE1045">
        <v>135</v>
      </c>
      <c r="BF1045">
        <v>0.8</v>
      </c>
      <c r="BG1045">
        <v>162</v>
      </c>
      <c r="BH1045">
        <v>9.1</v>
      </c>
      <c r="BI1045">
        <v>9.1999999999999993</v>
      </c>
      <c r="BJ1045">
        <v>18.3</v>
      </c>
      <c r="BK1045">
        <v>0.34</v>
      </c>
      <c r="BL1045">
        <v>7.3</v>
      </c>
      <c r="BM1045">
        <v>0.9</v>
      </c>
      <c r="BN1045">
        <v>7.5</v>
      </c>
      <c r="BO1045">
        <v>2.9</v>
      </c>
      <c r="BP1045">
        <f t="shared" si="32"/>
        <v>6.3886866270605323</v>
      </c>
      <c r="BQ1045">
        <f t="shared" si="33"/>
        <v>19.307008091802558</v>
      </c>
    </row>
    <row r="1046" spans="1:69" hidden="1" x14ac:dyDescent="0.2">
      <c r="A1046" t="s">
        <v>4128</v>
      </c>
      <c r="B1046" t="s">
        <v>68</v>
      </c>
      <c r="C1046" t="s">
        <v>3294</v>
      </c>
      <c r="D1046" t="s">
        <v>70</v>
      </c>
      <c r="E1046" t="s">
        <v>414</v>
      </c>
      <c r="F1046">
        <v>4</v>
      </c>
      <c r="G1046">
        <v>45</v>
      </c>
      <c r="H1046">
        <v>1</v>
      </c>
      <c r="I1046">
        <v>1</v>
      </c>
      <c r="J1046">
        <v>1</v>
      </c>
      <c r="K1046" t="s">
        <v>110</v>
      </c>
      <c r="L1046" t="s">
        <v>162</v>
      </c>
      <c r="M1046" s="4">
        <v>319000000</v>
      </c>
      <c r="N1046">
        <v>0</v>
      </c>
      <c r="O1046">
        <v>4.6451240450000002</v>
      </c>
      <c r="P1046">
        <v>-74.079337050000007</v>
      </c>
      <c r="Q1046" t="s">
        <v>4129</v>
      </c>
      <c r="R1046">
        <v>7088888.8890000004</v>
      </c>
      <c r="S1046">
        <v>0</v>
      </c>
      <c r="T1046" t="s">
        <v>75</v>
      </c>
      <c r="U1046" t="s">
        <v>76</v>
      </c>
      <c r="V1046" t="s">
        <v>77</v>
      </c>
      <c r="W1046" t="s">
        <v>78</v>
      </c>
      <c r="X1046" t="s">
        <v>79</v>
      </c>
      <c r="Y1046">
        <v>1.5716086015641</v>
      </c>
      <c r="Z1046">
        <v>1571.6086015640999</v>
      </c>
      <c r="AA1046">
        <v>4.6584666666666701</v>
      </c>
      <c r="AB1046">
        <v>-74.083966666666697</v>
      </c>
      <c r="AC1046">
        <v>2552</v>
      </c>
      <c r="AD1046">
        <v>0</v>
      </c>
      <c r="AE1046" t="s">
        <v>80</v>
      </c>
      <c r="AF1046" t="s">
        <v>81</v>
      </c>
      <c r="AG1046" t="s">
        <v>82</v>
      </c>
      <c r="AH1046" t="s">
        <v>83</v>
      </c>
      <c r="AI1046" t="s">
        <v>84</v>
      </c>
      <c r="AJ1046">
        <v>7.5808646147287495E-2</v>
      </c>
      <c r="AK1046">
        <v>2.4578499567225198</v>
      </c>
      <c r="AL1046">
        <v>0.64896728691087302</v>
      </c>
      <c r="AM1046">
        <v>0.24743088202581601</v>
      </c>
      <c r="AN1046">
        <v>2.3549145004985901</v>
      </c>
      <c r="AO1046">
        <v>0.50173275159237296</v>
      </c>
      <c r="AP1046">
        <v>0.50173275159237296</v>
      </c>
      <c r="AQ1046">
        <v>1</v>
      </c>
      <c r="AR1046">
        <v>3</v>
      </c>
      <c r="AS1046">
        <v>0</v>
      </c>
      <c r="AT1046">
        <v>0</v>
      </c>
      <c r="AU1046">
        <v>4</v>
      </c>
      <c r="AV1046">
        <v>56</v>
      </c>
      <c r="AW1046">
        <v>0</v>
      </c>
      <c r="AX1046">
        <v>0</v>
      </c>
      <c r="AZ1046">
        <v>6.8</v>
      </c>
      <c r="BA1046">
        <v>19.899999999999999</v>
      </c>
      <c r="BB1046">
        <v>564</v>
      </c>
      <c r="BC1046">
        <v>68</v>
      </c>
      <c r="BD1046">
        <v>1.5</v>
      </c>
      <c r="BE1046">
        <v>135</v>
      </c>
      <c r="BF1046">
        <v>0.8</v>
      </c>
      <c r="BG1046">
        <v>162</v>
      </c>
      <c r="BH1046">
        <v>9.1</v>
      </c>
      <c r="BI1046">
        <v>9.1999999999999993</v>
      </c>
      <c r="BJ1046">
        <v>18.3</v>
      </c>
      <c r="BK1046">
        <v>0.34</v>
      </c>
      <c r="BL1046">
        <v>7.3</v>
      </c>
      <c r="BM1046">
        <v>0.9</v>
      </c>
      <c r="BN1046">
        <v>7.5</v>
      </c>
      <c r="BO1046">
        <v>2.9</v>
      </c>
      <c r="BP1046">
        <f t="shared" si="32"/>
        <v>6.2910499873317409</v>
      </c>
      <c r="BQ1046">
        <f t="shared" si="33"/>
        <v>19.163379216652029</v>
      </c>
    </row>
    <row r="1047" spans="1:69" hidden="1" x14ac:dyDescent="0.2">
      <c r="A1047" t="s">
        <v>4405</v>
      </c>
      <c r="B1047" t="s">
        <v>68</v>
      </c>
      <c r="C1047" t="s">
        <v>3294</v>
      </c>
      <c r="D1047" t="s">
        <v>70</v>
      </c>
      <c r="E1047" t="s">
        <v>130</v>
      </c>
      <c r="F1047">
        <v>4</v>
      </c>
      <c r="G1047">
        <v>45</v>
      </c>
      <c r="H1047">
        <v>1</v>
      </c>
      <c r="I1047">
        <v>1</v>
      </c>
      <c r="J1047">
        <v>0</v>
      </c>
      <c r="K1047" t="s">
        <v>110</v>
      </c>
      <c r="L1047" t="s">
        <v>124</v>
      </c>
      <c r="M1047" s="4">
        <v>289000000</v>
      </c>
      <c r="N1047">
        <v>0</v>
      </c>
      <c r="O1047">
        <v>4.6375265560000001</v>
      </c>
      <c r="P1047">
        <v>-74.064162820000007</v>
      </c>
      <c r="Q1047" t="s">
        <v>4406</v>
      </c>
      <c r="R1047">
        <v>6422222.2220000001</v>
      </c>
      <c r="S1047">
        <v>0</v>
      </c>
      <c r="T1047" t="s">
        <v>126</v>
      </c>
      <c r="U1047" t="s">
        <v>127</v>
      </c>
      <c r="V1047" t="s">
        <v>77</v>
      </c>
      <c r="W1047" t="s">
        <v>128</v>
      </c>
      <c r="X1047" t="s">
        <v>129</v>
      </c>
      <c r="Y1047">
        <v>1.37631674561115</v>
      </c>
      <c r="Z1047">
        <v>1376.3167456111501</v>
      </c>
      <c r="AA1047">
        <v>4.6254861111111101</v>
      </c>
      <c r="AB1047">
        <v>-74.066980555555503</v>
      </c>
      <c r="AC1047">
        <v>2621</v>
      </c>
      <c r="AD1047">
        <v>15</v>
      </c>
      <c r="AE1047" t="s">
        <v>80</v>
      </c>
      <c r="AF1047" t="s">
        <v>81</v>
      </c>
      <c r="AG1047" t="s">
        <v>82</v>
      </c>
      <c r="AH1047" t="s">
        <v>83</v>
      </c>
      <c r="AI1047" t="s">
        <v>130</v>
      </c>
      <c r="AJ1047">
        <v>0.29111751790700502</v>
      </c>
      <c r="AK1047">
        <v>0.62680805149575203</v>
      </c>
      <c r="AL1047">
        <v>5.2598830033336999E-2</v>
      </c>
      <c r="AM1047">
        <v>4.1674529926554002E-2</v>
      </c>
      <c r="AN1047">
        <v>0.78335145623130698</v>
      </c>
      <c r="AO1047">
        <v>0.124506451826239</v>
      </c>
      <c r="AP1047">
        <v>0.124506451826239</v>
      </c>
      <c r="AQ1047">
        <v>2</v>
      </c>
      <c r="AR1047">
        <v>4</v>
      </c>
      <c r="AS1047">
        <v>0</v>
      </c>
      <c r="AT1047">
        <v>23</v>
      </c>
      <c r="AU1047">
        <v>10</v>
      </c>
      <c r="AV1047">
        <v>145</v>
      </c>
      <c r="AW1047">
        <v>1</v>
      </c>
      <c r="AX1047">
        <v>0</v>
      </c>
      <c r="AZ1047">
        <v>6.8</v>
      </c>
      <c r="BA1047">
        <v>19.899999999999999</v>
      </c>
      <c r="BB1047">
        <v>564</v>
      </c>
      <c r="BC1047">
        <v>68</v>
      </c>
      <c r="BD1047">
        <v>1.5</v>
      </c>
      <c r="BE1047">
        <v>135</v>
      </c>
      <c r="BF1047">
        <v>0.8</v>
      </c>
      <c r="BG1047">
        <v>162</v>
      </c>
      <c r="BH1047">
        <v>9.1</v>
      </c>
      <c r="BI1047">
        <v>9.1999999999999993</v>
      </c>
      <c r="BJ1047">
        <v>18.3</v>
      </c>
      <c r="BK1047">
        <v>0.34</v>
      </c>
      <c r="BL1047">
        <v>7.3</v>
      </c>
      <c r="BM1047">
        <v>0.9</v>
      </c>
      <c r="BN1047">
        <v>7.5</v>
      </c>
      <c r="BO1047">
        <v>2.9</v>
      </c>
      <c r="BP1047">
        <f t="shared" si="32"/>
        <v>6.35216013167922</v>
      </c>
      <c r="BQ1047">
        <f t="shared" si="33"/>
        <v>19.253408882008159</v>
      </c>
    </row>
    <row r="1048" spans="1:69" hidden="1" x14ac:dyDescent="0.2">
      <c r="A1048" t="s">
        <v>3534</v>
      </c>
      <c r="B1048" t="s">
        <v>68</v>
      </c>
      <c r="C1048" t="s">
        <v>3294</v>
      </c>
      <c r="D1048" t="s">
        <v>70</v>
      </c>
      <c r="E1048" t="s">
        <v>310</v>
      </c>
      <c r="F1048">
        <v>6</v>
      </c>
      <c r="G1048">
        <v>44</v>
      </c>
      <c r="H1048">
        <v>1</v>
      </c>
      <c r="I1048">
        <v>1</v>
      </c>
      <c r="J1048">
        <v>1</v>
      </c>
      <c r="K1048" t="s">
        <v>110</v>
      </c>
      <c r="L1048" t="s">
        <v>124</v>
      </c>
      <c r="M1048" s="4">
        <v>400000000</v>
      </c>
      <c r="N1048">
        <v>0</v>
      </c>
      <c r="O1048">
        <v>4.6531700000000003</v>
      </c>
      <c r="P1048">
        <v>-74.049000000000007</v>
      </c>
      <c r="Q1048" t="s">
        <v>3535</v>
      </c>
      <c r="R1048">
        <v>9090909.091</v>
      </c>
      <c r="S1048">
        <v>0</v>
      </c>
      <c r="T1048" t="s">
        <v>126</v>
      </c>
      <c r="U1048" t="s">
        <v>127</v>
      </c>
      <c r="V1048" t="s">
        <v>77</v>
      </c>
      <c r="W1048" t="s">
        <v>128</v>
      </c>
      <c r="X1048" t="s">
        <v>129</v>
      </c>
      <c r="Y1048">
        <v>3.6711524565502298</v>
      </c>
      <c r="Z1048">
        <v>3671.15245655023</v>
      </c>
      <c r="AA1048">
        <v>4.6254861111111101</v>
      </c>
      <c r="AB1048">
        <v>-74.066980555555503</v>
      </c>
      <c r="AC1048">
        <v>2621</v>
      </c>
      <c r="AD1048">
        <v>15</v>
      </c>
      <c r="AE1048" t="s">
        <v>80</v>
      </c>
      <c r="AF1048" t="s">
        <v>81</v>
      </c>
      <c r="AG1048" t="s">
        <v>82</v>
      </c>
      <c r="AH1048" t="s">
        <v>83</v>
      </c>
      <c r="AI1048" t="s">
        <v>130</v>
      </c>
      <c r="AJ1048">
        <v>1.55348067196228</v>
      </c>
      <c r="AK1048">
        <v>4.23301622441076E-2</v>
      </c>
      <c r="AL1048">
        <v>0.97473580924507297</v>
      </c>
      <c r="AM1048">
        <v>0.57707382652987205</v>
      </c>
      <c r="AN1048">
        <v>1.6478759178923199</v>
      </c>
      <c r="AO1048">
        <v>0.15755340123493</v>
      </c>
      <c r="AP1048">
        <v>0.15755340123493</v>
      </c>
      <c r="AQ1048">
        <v>0</v>
      </c>
      <c r="AR1048">
        <v>0</v>
      </c>
      <c r="AS1048">
        <v>23</v>
      </c>
      <c r="AT1048">
        <v>43</v>
      </c>
      <c r="AU1048">
        <v>1</v>
      </c>
      <c r="AV1048">
        <v>10</v>
      </c>
      <c r="AW1048">
        <v>0</v>
      </c>
      <c r="AX1048">
        <v>0</v>
      </c>
      <c r="AZ1048">
        <v>6.8</v>
      </c>
      <c r="BA1048">
        <v>19.899999999999999</v>
      </c>
      <c r="BB1048">
        <v>564</v>
      </c>
      <c r="BC1048">
        <v>68</v>
      </c>
      <c r="BD1048">
        <v>1.5</v>
      </c>
      <c r="BE1048">
        <v>135</v>
      </c>
      <c r="BF1048">
        <v>0.8</v>
      </c>
      <c r="BG1048">
        <v>162</v>
      </c>
      <c r="BH1048">
        <v>9.1</v>
      </c>
      <c r="BI1048">
        <v>9.1999999999999993</v>
      </c>
      <c r="BJ1048">
        <v>18.3</v>
      </c>
      <c r="BK1048">
        <v>0.34</v>
      </c>
      <c r="BL1048">
        <v>7.3</v>
      </c>
      <c r="BM1048">
        <v>0.9</v>
      </c>
      <c r="BN1048">
        <v>7.5</v>
      </c>
      <c r="BO1048">
        <v>2.9</v>
      </c>
      <c r="BP1048">
        <f t="shared" si="32"/>
        <v>5.6700649096422762</v>
      </c>
      <c r="BQ1048">
        <f t="shared" si="33"/>
        <v>18.221679614165854</v>
      </c>
    </row>
    <row r="1049" spans="1:69" hidden="1" x14ac:dyDescent="0.2">
      <c r="A1049" t="s">
        <v>3886</v>
      </c>
      <c r="B1049" t="s">
        <v>68</v>
      </c>
      <c r="C1049" t="s">
        <v>3294</v>
      </c>
      <c r="D1049" t="s">
        <v>70</v>
      </c>
      <c r="E1049" t="s">
        <v>130</v>
      </c>
      <c r="F1049">
        <v>4</v>
      </c>
      <c r="G1049">
        <v>44</v>
      </c>
      <c r="H1049">
        <v>1</v>
      </c>
      <c r="I1049">
        <v>1</v>
      </c>
      <c r="J1049">
        <v>1</v>
      </c>
      <c r="K1049" t="s">
        <v>110</v>
      </c>
      <c r="L1049" t="s">
        <v>133</v>
      </c>
      <c r="M1049" s="4">
        <v>333900000</v>
      </c>
      <c r="N1049">
        <v>0</v>
      </c>
      <c r="O1049">
        <v>4.6466053</v>
      </c>
      <c r="P1049">
        <v>-74.067003099999994</v>
      </c>
      <c r="Q1049" t="s">
        <v>3887</v>
      </c>
      <c r="R1049">
        <v>7588636.3640000001</v>
      </c>
      <c r="S1049">
        <v>0</v>
      </c>
      <c r="T1049" t="s">
        <v>75</v>
      </c>
      <c r="U1049" t="s">
        <v>76</v>
      </c>
      <c r="V1049" t="s">
        <v>77</v>
      </c>
      <c r="W1049" t="s">
        <v>78</v>
      </c>
      <c r="X1049" t="s">
        <v>79</v>
      </c>
      <c r="Y1049">
        <v>2.2991216732710802</v>
      </c>
      <c r="Z1049">
        <v>2299.12167327108</v>
      </c>
      <c r="AA1049">
        <v>4.6584666666666701</v>
      </c>
      <c r="AB1049">
        <v>-74.083966666666697</v>
      </c>
      <c r="AC1049">
        <v>2552</v>
      </c>
      <c r="AD1049">
        <v>0</v>
      </c>
      <c r="AE1049" t="s">
        <v>80</v>
      </c>
      <c r="AF1049" t="s">
        <v>81</v>
      </c>
      <c r="AG1049" t="s">
        <v>82</v>
      </c>
      <c r="AH1049" t="s">
        <v>83</v>
      </c>
      <c r="AI1049" t="s">
        <v>84</v>
      </c>
      <c r="AJ1049">
        <v>0.30891856334752998</v>
      </c>
      <c r="AK1049">
        <v>1.2237247894007901</v>
      </c>
      <c r="AL1049">
        <v>0.21312441226628301</v>
      </c>
      <c r="AM1049">
        <v>4.6491493254825898E-2</v>
      </c>
      <c r="AN1049">
        <v>1.10296402857692</v>
      </c>
      <c r="AO1049">
        <v>0.13785756462702101</v>
      </c>
      <c r="AP1049">
        <v>0.13785756462702101</v>
      </c>
      <c r="AQ1049">
        <v>2</v>
      </c>
      <c r="AR1049">
        <v>2</v>
      </c>
      <c r="AS1049">
        <v>0</v>
      </c>
      <c r="AT1049">
        <v>0</v>
      </c>
      <c r="AU1049">
        <v>14</v>
      </c>
      <c r="AV1049">
        <v>119</v>
      </c>
      <c r="AW1049">
        <v>0</v>
      </c>
      <c r="AX1049">
        <v>0</v>
      </c>
      <c r="AZ1049">
        <v>6.8</v>
      </c>
      <c r="BA1049">
        <v>19.899999999999999</v>
      </c>
      <c r="BB1049">
        <v>564</v>
      </c>
      <c r="BC1049">
        <v>68</v>
      </c>
      <c r="BD1049">
        <v>1.5</v>
      </c>
      <c r="BE1049">
        <v>135</v>
      </c>
      <c r="BF1049">
        <v>0.8</v>
      </c>
      <c r="BG1049">
        <v>162</v>
      </c>
      <c r="BH1049">
        <v>9.1</v>
      </c>
      <c r="BI1049">
        <v>9.1999999999999993</v>
      </c>
      <c r="BJ1049">
        <v>18.3</v>
      </c>
      <c r="BK1049">
        <v>0.34</v>
      </c>
      <c r="BL1049">
        <v>7.3</v>
      </c>
      <c r="BM1049">
        <v>0.9</v>
      </c>
      <c r="BN1049">
        <v>7.5</v>
      </c>
      <c r="BO1049">
        <v>2.9</v>
      </c>
      <c r="BP1049">
        <f t="shared" si="32"/>
        <v>6.0685281080879498</v>
      </c>
      <c r="BQ1049">
        <f t="shared" si="33"/>
        <v>18.831684774807577</v>
      </c>
    </row>
    <row r="1050" spans="1:69" hidden="1" x14ac:dyDescent="0.2">
      <c r="A1050" t="s">
        <v>362</v>
      </c>
      <c r="B1050" t="s">
        <v>68</v>
      </c>
      <c r="C1050" t="s">
        <v>69</v>
      </c>
      <c r="D1050" t="s">
        <v>70</v>
      </c>
      <c r="E1050" t="s">
        <v>363</v>
      </c>
      <c r="F1050">
        <v>2</v>
      </c>
      <c r="G1050">
        <v>44</v>
      </c>
      <c r="H1050">
        <v>3</v>
      </c>
      <c r="I1050">
        <v>1</v>
      </c>
      <c r="J1050">
        <v>0</v>
      </c>
      <c r="K1050" t="s">
        <v>110</v>
      </c>
      <c r="L1050" t="s">
        <v>133</v>
      </c>
      <c r="M1050" s="4">
        <v>168000000</v>
      </c>
      <c r="N1050">
        <v>0</v>
      </c>
      <c r="O1050">
        <v>4.6207323069999999</v>
      </c>
      <c r="P1050">
        <v>-74.212615970000002</v>
      </c>
      <c r="Q1050" t="s">
        <v>364</v>
      </c>
      <c r="R1050">
        <v>3818181.818</v>
      </c>
      <c r="S1050">
        <v>0</v>
      </c>
      <c r="T1050" t="s">
        <v>365</v>
      </c>
      <c r="U1050" t="s">
        <v>366</v>
      </c>
      <c r="V1050" t="s">
        <v>77</v>
      </c>
      <c r="W1050" t="s">
        <v>365</v>
      </c>
      <c r="X1050" t="s">
        <v>367</v>
      </c>
      <c r="Y1050">
        <v>1.9327873033496601</v>
      </c>
      <c r="Z1050">
        <v>1932.7873033496601</v>
      </c>
      <c r="AA1050">
        <v>4.6056111111111102</v>
      </c>
      <c r="AB1050">
        <v>-74.204055555555598</v>
      </c>
      <c r="AC1050">
        <v>2546</v>
      </c>
      <c r="AD1050">
        <v>0</v>
      </c>
      <c r="AE1050" t="s">
        <v>80</v>
      </c>
      <c r="AF1050" t="s">
        <v>107</v>
      </c>
      <c r="AG1050" t="s">
        <v>82</v>
      </c>
      <c r="AH1050" t="s">
        <v>83</v>
      </c>
      <c r="AI1050" t="s">
        <v>368</v>
      </c>
      <c r="AJ1050">
        <v>3.7994985959129299</v>
      </c>
      <c r="AK1050">
        <v>0.76221876557587798</v>
      </c>
      <c r="AL1050">
        <v>8.7495304921503596</v>
      </c>
      <c r="AM1050">
        <v>0.76845623182921596</v>
      </c>
      <c r="AN1050">
        <v>3.6572314213747599</v>
      </c>
      <c r="AO1050">
        <v>0.155581923553687</v>
      </c>
      <c r="AP1050">
        <v>0.155581923553687</v>
      </c>
      <c r="AQ1050">
        <v>0</v>
      </c>
      <c r="AR1050">
        <v>0</v>
      </c>
      <c r="AS1050">
        <v>0</v>
      </c>
      <c r="AT1050">
        <v>2</v>
      </c>
      <c r="AU1050">
        <v>0</v>
      </c>
      <c r="AV1050">
        <v>1</v>
      </c>
      <c r="AW1050">
        <v>0</v>
      </c>
      <c r="AX1050">
        <v>0</v>
      </c>
      <c r="AZ1050">
        <v>6.8</v>
      </c>
      <c r="BA1050">
        <v>19.899999999999999</v>
      </c>
      <c r="BB1050">
        <v>564</v>
      </c>
      <c r="BC1050">
        <v>68</v>
      </c>
      <c r="BD1050">
        <v>1.5</v>
      </c>
      <c r="BE1050">
        <v>135</v>
      </c>
      <c r="BF1050">
        <v>0.8</v>
      </c>
      <c r="BG1050">
        <v>162</v>
      </c>
      <c r="BH1050">
        <v>9.1</v>
      </c>
      <c r="BI1050">
        <v>9.1999999999999993</v>
      </c>
      <c r="BJ1050">
        <v>18.3</v>
      </c>
      <c r="BK1050">
        <v>0.34</v>
      </c>
      <c r="BL1050">
        <v>7.3</v>
      </c>
      <c r="BM1050">
        <v>0.9</v>
      </c>
      <c r="BN1050">
        <v>7.5</v>
      </c>
      <c r="BO1050">
        <v>2.9</v>
      </c>
      <c r="BP1050">
        <f t="shared" si="32"/>
        <v>6.179575876189463</v>
      </c>
      <c r="BQ1050">
        <f t="shared" si="33"/>
        <v>18.997983395414508</v>
      </c>
    </row>
    <row r="1051" spans="1:69" hidden="1" x14ac:dyDescent="0.2">
      <c r="A1051" t="s">
        <v>1404</v>
      </c>
      <c r="B1051" t="s">
        <v>68</v>
      </c>
      <c r="C1051" t="s">
        <v>69</v>
      </c>
      <c r="D1051" t="s">
        <v>70</v>
      </c>
      <c r="E1051" t="s">
        <v>1405</v>
      </c>
      <c r="F1051">
        <v>4</v>
      </c>
      <c r="G1051">
        <v>43.42</v>
      </c>
      <c r="H1051">
        <v>2</v>
      </c>
      <c r="I1051">
        <v>1</v>
      </c>
      <c r="J1051">
        <v>1</v>
      </c>
      <c r="K1051" t="s">
        <v>110</v>
      </c>
      <c r="L1051" t="s">
        <v>111</v>
      </c>
      <c r="M1051" s="4">
        <v>347360000</v>
      </c>
      <c r="N1051">
        <v>0</v>
      </c>
      <c r="O1051">
        <v>4.6740441319999997</v>
      </c>
      <c r="P1051">
        <v>-74.084945680000004</v>
      </c>
      <c r="Q1051" t="s">
        <v>1406</v>
      </c>
      <c r="R1051">
        <v>8000000</v>
      </c>
      <c r="S1051">
        <v>0</v>
      </c>
      <c r="T1051" t="s">
        <v>75</v>
      </c>
      <c r="U1051" t="s">
        <v>76</v>
      </c>
      <c r="V1051" t="s">
        <v>77</v>
      </c>
      <c r="W1051" t="s">
        <v>78</v>
      </c>
      <c r="X1051" t="s">
        <v>79</v>
      </c>
      <c r="Y1051">
        <v>1.73747420615689</v>
      </c>
      <c r="Z1051">
        <v>1737.47420615689</v>
      </c>
      <c r="AA1051">
        <v>4.6584666666666701</v>
      </c>
      <c r="AB1051">
        <v>-74.083966666666697</v>
      </c>
      <c r="AC1051">
        <v>2552</v>
      </c>
      <c r="AD1051">
        <v>0</v>
      </c>
      <c r="AE1051" t="s">
        <v>80</v>
      </c>
      <c r="AF1051" t="s">
        <v>81</v>
      </c>
      <c r="AG1051" t="s">
        <v>82</v>
      </c>
      <c r="AH1051" t="s">
        <v>83</v>
      </c>
      <c r="AI1051" t="s">
        <v>342</v>
      </c>
      <c r="AJ1051">
        <v>1.1965062697631501</v>
      </c>
      <c r="AK1051">
        <v>4.4994182740196198</v>
      </c>
      <c r="AL1051">
        <v>1.7844111272607099</v>
      </c>
      <c r="AM1051">
        <v>0.168503057433147</v>
      </c>
      <c r="AN1051">
        <v>0.34291230157204</v>
      </c>
      <c r="AO1051">
        <v>6.8547091360337806E-2</v>
      </c>
      <c r="AP1051">
        <v>6.8547091360337806E-2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15</v>
      </c>
      <c r="AW1051">
        <v>1</v>
      </c>
      <c r="AX1051">
        <v>0</v>
      </c>
      <c r="AZ1051">
        <v>6.8</v>
      </c>
      <c r="BA1051">
        <v>19.899999999999999</v>
      </c>
      <c r="BB1051">
        <v>564</v>
      </c>
      <c r="BC1051">
        <v>68</v>
      </c>
      <c r="BD1051">
        <v>1.5</v>
      </c>
      <c r="BE1051">
        <v>135</v>
      </c>
      <c r="BF1051">
        <v>0.8</v>
      </c>
      <c r="BG1051">
        <v>162</v>
      </c>
      <c r="BH1051">
        <v>9.1</v>
      </c>
      <c r="BI1051">
        <v>9.1999999999999993</v>
      </c>
      <c r="BJ1051">
        <v>18.3</v>
      </c>
      <c r="BK1051">
        <v>0.34</v>
      </c>
      <c r="BL1051">
        <v>7.3</v>
      </c>
      <c r="BM1051">
        <v>0.9</v>
      </c>
      <c r="BN1051">
        <v>7.5</v>
      </c>
      <c r="BO1051">
        <v>2.9</v>
      </c>
      <c r="BP1051">
        <f t="shared" si="32"/>
        <v>6.239609741362961</v>
      </c>
      <c r="BQ1051">
        <f t="shared" si="33"/>
        <v>19.087245760734703</v>
      </c>
    </row>
    <row r="1052" spans="1:69" hidden="1" x14ac:dyDescent="0.2">
      <c r="A1052" t="s">
        <v>508</v>
      </c>
      <c r="B1052" t="s">
        <v>68</v>
      </c>
      <c r="C1052" t="s">
        <v>69</v>
      </c>
      <c r="D1052" t="s">
        <v>70</v>
      </c>
      <c r="E1052" t="s">
        <v>509</v>
      </c>
      <c r="F1052">
        <v>4</v>
      </c>
      <c r="G1052">
        <v>43</v>
      </c>
      <c r="H1052">
        <v>1</v>
      </c>
      <c r="I1052">
        <v>1</v>
      </c>
      <c r="J1052">
        <v>0</v>
      </c>
      <c r="K1052" t="s">
        <v>110</v>
      </c>
      <c r="L1052" t="s">
        <v>111</v>
      </c>
      <c r="M1052" s="4">
        <v>550000000</v>
      </c>
      <c r="N1052">
        <v>0</v>
      </c>
      <c r="O1052">
        <v>4.6419435</v>
      </c>
      <c r="P1052">
        <v>-74.061899999999994</v>
      </c>
      <c r="Q1052" t="s">
        <v>510</v>
      </c>
      <c r="R1052">
        <v>12790697.67</v>
      </c>
      <c r="S1052">
        <v>0</v>
      </c>
      <c r="T1052" t="s">
        <v>126</v>
      </c>
      <c r="U1052" t="s">
        <v>127</v>
      </c>
      <c r="V1052" t="s">
        <v>77</v>
      </c>
      <c r="W1052" t="s">
        <v>128</v>
      </c>
      <c r="X1052" t="s">
        <v>129</v>
      </c>
      <c r="Y1052">
        <v>1.9167950409676</v>
      </c>
      <c r="Z1052">
        <v>1916.7950409676</v>
      </c>
      <c r="AA1052">
        <v>4.6254861111111101</v>
      </c>
      <c r="AB1052">
        <v>-74.066980555555503</v>
      </c>
      <c r="AC1052">
        <v>2621</v>
      </c>
      <c r="AD1052">
        <v>15</v>
      </c>
      <c r="AE1052" t="s">
        <v>80</v>
      </c>
      <c r="AF1052" t="s">
        <v>81</v>
      </c>
      <c r="AG1052" t="s">
        <v>82</v>
      </c>
      <c r="AH1052" t="s">
        <v>83</v>
      </c>
      <c r="AI1052" t="s">
        <v>130</v>
      </c>
      <c r="AJ1052">
        <v>0.45044764976760798</v>
      </c>
      <c r="AK1052">
        <v>0.49471087228528499</v>
      </c>
      <c r="AL1052">
        <v>0.36951497651516402</v>
      </c>
      <c r="AM1052">
        <v>3.2247631673655297E-2</v>
      </c>
      <c r="AN1052">
        <v>0.390892132607842</v>
      </c>
      <c r="AO1052">
        <v>0.17511533834905901</v>
      </c>
      <c r="AP1052">
        <v>0.17511533834905901</v>
      </c>
      <c r="AQ1052">
        <v>1</v>
      </c>
      <c r="AR1052">
        <v>4</v>
      </c>
      <c r="AS1052">
        <v>1</v>
      </c>
      <c r="AT1052">
        <v>26</v>
      </c>
      <c r="AU1052">
        <v>6</v>
      </c>
      <c r="AV1052">
        <v>127</v>
      </c>
      <c r="AW1052">
        <v>1</v>
      </c>
      <c r="AX1052">
        <v>0</v>
      </c>
      <c r="AZ1052">
        <v>6.8</v>
      </c>
      <c r="BA1052">
        <v>19.899999999999999</v>
      </c>
      <c r="BB1052">
        <v>564</v>
      </c>
      <c r="BC1052">
        <v>68</v>
      </c>
      <c r="BD1052">
        <v>1.5</v>
      </c>
      <c r="BE1052">
        <v>135</v>
      </c>
      <c r="BF1052">
        <v>0.8</v>
      </c>
      <c r="BG1052">
        <v>162</v>
      </c>
      <c r="BH1052">
        <v>9.1</v>
      </c>
      <c r="BI1052">
        <v>9.1999999999999993</v>
      </c>
      <c r="BJ1052">
        <v>18.3</v>
      </c>
      <c r="BK1052">
        <v>0.34</v>
      </c>
      <c r="BL1052">
        <v>7.3</v>
      </c>
      <c r="BM1052">
        <v>0.9</v>
      </c>
      <c r="BN1052">
        <v>7.5</v>
      </c>
      <c r="BO1052">
        <v>2.9</v>
      </c>
      <c r="BP1052">
        <f t="shared" si="32"/>
        <v>6.1844696701808148</v>
      </c>
      <c r="BQ1052">
        <f t="shared" si="33"/>
        <v>19.005276492567006</v>
      </c>
    </row>
    <row r="1053" spans="1:69" hidden="1" x14ac:dyDescent="0.2">
      <c r="A1053" t="s">
        <v>4273</v>
      </c>
      <c r="B1053" t="s">
        <v>68</v>
      </c>
      <c r="C1053" t="s">
        <v>3294</v>
      </c>
      <c r="D1053" t="s">
        <v>70</v>
      </c>
      <c r="E1053" t="s">
        <v>123</v>
      </c>
      <c r="F1053">
        <v>3</v>
      </c>
      <c r="G1053">
        <v>43</v>
      </c>
      <c r="H1053">
        <v>1</v>
      </c>
      <c r="I1053">
        <v>1</v>
      </c>
      <c r="J1053">
        <v>1</v>
      </c>
      <c r="K1053" t="s">
        <v>110</v>
      </c>
      <c r="L1053" t="s">
        <v>111</v>
      </c>
      <c r="M1053" s="4">
        <v>305000000</v>
      </c>
      <c r="N1053">
        <v>0</v>
      </c>
      <c r="O1053">
        <v>4.6465699999999996</v>
      </c>
      <c r="P1053">
        <v>-74.063410000000005</v>
      </c>
      <c r="Q1053" t="s">
        <v>4274</v>
      </c>
      <c r="R1053">
        <v>7093023.2560000001</v>
      </c>
      <c r="S1053">
        <v>0</v>
      </c>
      <c r="T1053" t="s">
        <v>126</v>
      </c>
      <c r="U1053" t="s">
        <v>127</v>
      </c>
      <c r="V1053" t="s">
        <v>77</v>
      </c>
      <c r="W1053" t="s">
        <v>128</v>
      </c>
      <c r="X1053" t="s">
        <v>129</v>
      </c>
      <c r="Y1053">
        <v>2.3802490431498802</v>
      </c>
      <c r="Z1053">
        <v>2380.24904314988</v>
      </c>
      <c r="AA1053">
        <v>4.6254861111111101</v>
      </c>
      <c r="AB1053">
        <v>-74.066980555555503</v>
      </c>
      <c r="AC1053">
        <v>2621</v>
      </c>
      <c r="AD1053">
        <v>15</v>
      </c>
      <c r="AE1053" t="s">
        <v>80</v>
      </c>
      <c r="AF1053" t="s">
        <v>81</v>
      </c>
      <c r="AG1053" t="s">
        <v>82</v>
      </c>
      <c r="AH1053" t="s">
        <v>83</v>
      </c>
      <c r="AI1053" t="s">
        <v>130</v>
      </c>
      <c r="AJ1053">
        <v>0.25943480186514301</v>
      </c>
      <c r="AK1053">
        <v>0.89996145807379002</v>
      </c>
      <c r="AL1053">
        <v>0.103428573226717</v>
      </c>
      <c r="AM1053">
        <v>0.102542704155223</v>
      </c>
      <c r="AN1053">
        <v>0.78099456733688599</v>
      </c>
      <c r="AO1053">
        <v>0.41975628281150801</v>
      </c>
      <c r="AP1053">
        <v>0.41975628281150801</v>
      </c>
      <c r="AQ1053">
        <v>2</v>
      </c>
      <c r="AR1053">
        <v>3</v>
      </c>
      <c r="AS1053">
        <v>0</v>
      </c>
      <c r="AT1053">
        <v>7</v>
      </c>
      <c r="AU1053">
        <v>14</v>
      </c>
      <c r="AV1053">
        <v>92</v>
      </c>
      <c r="AW1053">
        <v>1</v>
      </c>
      <c r="AX1053">
        <v>0</v>
      </c>
      <c r="AZ1053">
        <v>6.8</v>
      </c>
      <c r="BA1053">
        <v>19.899999999999999</v>
      </c>
      <c r="BB1053">
        <v>564</v>
      </c>
      <c r="BC1053">
        <v>68</v>
      </c>
      <c r="BD1053">
        <v>1.5</v>
      </c>
      <c r="BE1053">
        <v>135</v>
      </c>
      <c r="BF1053">
        <v>0.8</v>
      </c>
      <c r="BG1053">
        <v>162</v>
      </c>
      <c r="BH1053">
        <v>9.1</v>
      </c>
      <c r="BI1053">
        <v>9.1999999999999993</v>
      </c>
      <c r="BJ1053">
        <v>18.3</v>
      </c>
      <c r="BK1053">
        <v>0.34</v>
      </c>
      <c r="BL1053">
        <v>7.3</v>
      </c>
      <c r="BM1053">
        <v>0.9</v>
      </c>
      <c r="BN1053">
        <v>7.5</v>
      </c>
      <c r="BO1053">
        <v>2.9</v>
      </c>
      <c r="BP1053">
        <f t="shared" si="32"/>
        <v>6.0442069509228551</v>
      </c>
      <c r="BQ1053">
        <f t="shared" si="33"/>
        <v>18.795054086049142</v>
      </c>
    </row>
    <row r="1054" spans="1:69" hidden="1" x14ac:dyDescent="0.2">
      <c r="A1054" t="s">
        <v>1250</v>
      </c>
      <c r="B1054" t="s">
        <v>68</v>
      </c>
      <c r="C1054" t="s">
        <v>69</v>
      </c>
      <c r="D1054" t="s">
        <v>70</v>
      </c>
      <c r="E1054" t="s">
        <v>794</v>
      </c>
      <c r="F1054">
        <v>2</v>
      </c>
      <c r="G1054">
        <v>42.56</v>
      </c>
      <c r="H1054">
        <v>3</v>
      </c>
      <c r="I1054">
        <v>1</v>
      </c>
      <c r="J1054">
        <v>0</v>
      </c>
      <c r="K1054" t="s">
        <v>72</v>
      </c>
      <c r="L1054" t="s">
        <v>73</v>
      </c>
      <c r="M1054" s="4">
        <v>207580000</v>
      </c>
      <c r="N1054">
        <v>0</v>
      </c>
      <c r="O1054">
        <v>4.6293009999999999</v>
      </c>
      <c r="P1054">
        <v>-74.207530000000006</v>
      </c>
      <c r="Q1054" t="s">
        <v>1251</v>
      </c>
      <c r="R1054">
        <v>4877349.6239999998</v>
      </c>
      <c r="S1054">
        <v>0</v>
      </c>
      <c r="T1054" t="s">
        <v>365</v>
      </c>
      <c r="U1054" t="s">
        <v>366</v>
      </c>
      <c r="V1054" t="s">
        <v>77</v>
      </c>
      <c r="W1054" t="s">
        <v>365</v>
      </c>
      <c r="X1054" t="s">
        <v>367</v>
      </c>
      <c r="Y1054">
        <v>2.66517638249241</v>
      </c>
      <c r="Z1054">
        <v>2665.1763824924101</v>
      </c>
      <c r="AA1054">
        <v>4.6056111111111102</v>
      </c>
      <c r="AB1054">
        <v>-74.204055555555598</v>
      </c>
      <c r="AC1054">
        <v>2546</v>
      </c>
      <c r="AD1054">
        <v>0</v>
      </c>
      <c r="AE1054" t="s">
        <v>80</v>
      </c>
      <c r="AF1054" t="s">
        <v>107</v>
      </c>
      <c r="AG1054" t="s">
        <v>82</v>
      </c>
      <c r="AH1054" t="s">
        <v>83</v>
      </c>
      <c r="AI1054" t="s">
        <v>368</v>
      </c>
      <c r="AJ1054">
        <v>3.8226939468907002</v>
      </c>
      <c r="AK1054">
        <v>0.61824213273968698</v>
      </c>
      <c r="AL1054">
        <v>8.6269294568452999</v>
      </c>
      <c r="AM1054">
        <v>1.37747217494598</v>
      </c>
      <c r="AN1054">
        <v>3.9580191433274998</v>
      </c>
      <c r="AO1054">
        <v>0.19504072431396</v>
      </c>
      <c r="AP1054">
        <v>0.19504072431396</v>
      </c>
      <c r="AQ1054">
        <v>0</v>
      </c>
      <c r="AR1054">
        <v>0</v>
      </c>
      <c r="AS1054">
        <v>0</v>
      </c>
      <c r="AT1054">
        <v>5</v>
      </c>
      <c r="AU1054">
        <v>0</v>
      </c>
      <c r="AV1054">
        <v>0</v>
      </c>
      <c r="AW1054">
        <v>0</v>
      </c>
      <c r="AX1054">
        <v>0</v>
      </c>
      <c r="AZ1054">
        <v>6.8</v>
      </c>
      <c r="BA1054">
        <v>19.899999999999999</v>
      </c>
      <c r="BB1054">
        <v>564</v>
      </c>
      <c r="BC1054">
        <v>68</v>
      </c>
      <c r="BD1054">
        <v>1.5</v>
      </c>
      <c r="BE1054">
        <v>135</v>
      </c>
      <c r="BF1054">
        <v>0.8</v>
      </c>
      <c r="BG1054">
        <v>162</v>
      </c>
      <c r="BH1054">
        <v>9.1</v>
      </c>
      <c r="BI1054">
        <v>9.1999999999999993</v>
      </c>
      <c r="BJ1054">
        <v>18.3</v>
      </c>
      <c r="BK1054">
        <v>0.34</v>
      </c>
      <c r="BL1054">
        <v>7.3</v>
      </c>
      <c r="BM1054">
        <v>0.9</v>
      </c>
      <c r="BN1054">
        <v>7.5</v>
      </c>
      <c r="BO1054">
        <v>2.9</v>
      </c>
      <c r="BP1054">
        <f t="shared" si="32"/>
        <v>5.9595583813838466</v>
      </c>
      <c r="BQ1054">
        <f t="shared" si="33"/>
        <v>18.666967136778581</v>
      </c>
    </row>
    <row r="1055" spans="1:69" hidden="1" x14ac:dyDescent="0.2">
      <c r="A1055" t="s">
        <v>4268</v>
      </c>
      <c r="B1055" t="s">
        <v>68</v>
      </c>
      <c r="C1055" t="s">
        <v>3294</v>
      </c>
      <c r="D1055" t="s">
        <v>70</v>
      </c>
      <c r="E1055" t="s">
        <v>3573</v>
      </c>
      <c r="F1055">
        <v>5</v>
      </c>
      <c r="G1055">
        <v>42</v>
      </c>
      <c r="H1055">
        <v>1</v>
      </c>
      <c r="I1055">
        <v>1</v>
      </c>
      <c r="J1055">
        <v>1</v>
      </c>
      <c r="K1055" t="s">
        <v>110</v>
      </c>
      <c r="L1055" t="s">
        <v>124</v>
      </c>
      <c r="M1055" s="4">
        <v>750000000</v>
      </c>
      <c r="N1055">
        <v>0</v>
      </c>
      <c r="O1055">
        <v>4.6047710000000004</v>
      </c>
      <c r="P1055">
        <v>-74.070340000000002</v>
      </c>
      <c r="Q1055" t="s">
        <v>4269</v>
      </c>
      <c r="R1055">
        <v>17857142.859999999</v>
      </c>
      <c r="S1055">
        <v>0</v>
      </c>
      <c r="T1055" t="s">
        <v>126</v>
      </c>
      <c r="U1055" t="s">
        <v>127</v>
      </c>
      <c r="V1055" t="s">
        <v>77</v>
      </c>
      <c r="W1055" t="s">
        <v>128</v>
      </c>
      <c r="X1055" t="s">
        <v>129</v>
      </c>
      <c r="Y1055">
        <v>2.3359291836004901</v>
      </c>
      <c r="Z1055">
        <v>2335.92918360049</v>
      </c>
      <c r="AA1055">
        <v>4.6254861111111101</v>
      </c>
      <c r="AB1055">
        <v>-74.066980555555503</v>
      </c>
      <c r="AC1055">
        <v>2621</v>
      </c>
      <c r="AD1055">
        <v>15</v>
      </c>
      <c r="AE1055" t="s">
        <v>80</v>
      </c>
      <c r="AF1055" t="s">
        <v>81</v>
      </c>
      <c r="AG1055" t="s">
        <v>82</v>
      </c>
      <c r="AH1055" t="s">
        <v>83</v>
      </c>
      <c r="AI1055" t="s">
        <v>138</v>
      </c>
      <c r="AJ1055">
        <v>0.32381267865105501</v>
      </c>
      <c r="AK1055">
        <v>0.65590329569938399</v>
      </c>
      <c r="AL1055">
        <v>0.15538928797864099</v>
      </c>
      <c r="AM1055">
        <v>3.90630491153032E-2</v>
      </c>
      <c r="AN1055">
        <v>1.2425603673236501</v>
      </c>
      <c r="AO1055">
        <v>3.2282449441314698E-2</v>
      </c>
      <c r="AP1055">
        <v>3.2282449441314698E-2</v>
      </c>
      <c r="AQ1055">
        <v>4</v>
      </c>
      <c r="AR1055">
        <v>9</v>
      </c>
      <c r="AS1055">
        <v>0</v>
      </c>
      <c r="AT1055">
        <v>30</v>
      </c>
      <c r="AU1055">
        <v>12</v>
      </c>
      <c r="AV1055">
        <v>50</v>
      </c>
      <c r="AW1055">
        <v>0</v>
      </c>
      <c r="AX1055">
        <v>9</v>
      </c>
      <c r="AZ1055">
        <v>6.8</v>
      </c>
      <c r="BA1055">
        <v>19.899999999999999</v>
      </c>
      <c r="BB1055">
        <v>564</v>
      </c>
      <c r="BC1055">
        <v>68</v>
      </c>
      <c r="BD1055">
        <v>1.5</v>
      </c>
      <c r="BE1055">
        <v>135</v>
      </c>
      <c r="BF1055">
        <v>0.8</v>
      </c>
      <c r="BG1055">
        <v>162</v>
      </c>
      <c r="BH1055">
        <v>9.1</v>
      </c>
      <c r="BI1055">
        <v>9.1999999999999993</v>
      </c>
      <c r="BJ1055">
        <v>18.3</v>
      </c>
      <c r="BK1055">
        <v>0.34</v>
      </c>
      <c r="BL1055">
        <v>7.3</v>
      </c>
      <c r="BM1055">
        <v>0.9</v>
      </c>
      <c r="BN1055">
        <v>7.5</v>
      </c>
      <c r="BO1055">
        <v>2.9</v>
      </c>
      <c r="BP1055">
        <f t="shared" si="32"/>
        <v>6.0574814876134502</v>
      </c>
      <c r="BQ1055">
        <f t="shared" si="33"/>
        <v>18.815056582032582</v>
      </c>
    </row>
    <row r="1056" spans="1:69" hidden="1" x14ac:dyDescent="0.2">
      <c r="A1056" t="s">
        <v>3382</v>
      </c>
      <c r="B1056" t="s">
        <v>68</v>
      </c>
      <c r="C1056" t="s">
        <v>3294</v>
      </c>
      <c r="D1056" t="s">
        <v>70</v>
      </c>
      <c r="E1056" t="s">
        <v>130</v>
      </c>
      <c r="F1056">
        <v>4</v>
      </c>
      <c r="G1056">
        <v>42</v>
      </c>
      <c r="H1056">
        <v>1</v>
      </c>
      <c r="I1056">
        <v>1</v>
      </c>
      <c r="J1056">
        <v>0</v>
      </c>
      <c r="K1056" t="s">
        <v>110</v>
      </c>
      <c r="L1056" t="s">
        <v>111</v>
      </c>
      <c r="M1056" s="4">
        <v>490000000</v>
      </c>
      <c r="N1056">
        <v>0</v>
      </c>
      <c r="O1056">
        <v>4.6404787000000001</v>
      </c>
      <c r="P1056">
        <v>-74.062260699999996</v>
      </c>
      <c r="Q1056" t="s">
        <v>3383</v>
      </c>
      <c r="R1056">
        <v>11666666.67</v>
      </c>
      <c r="S1056">
        <v>0</v>
      </c>
      <c r="T1056" t="s">
        <v>126</v>
      </c>
      <c r="U1056" t="s">
        <v>127</v>
      </c>
      <c r="V1056" t="s">
        <v>77</v>
      </c>
      <c r="W1056" t="s">
        <v>128</v>
      </c>
      <c r="X1056" t="s">
        <v>129</v>
      </c>
      <c r="Y1056">
        <v>1.7492022948836701</v>
      </c>
      <c r="Z1056">
        <v>1749.20229488367</v>
      </c>
      <c r="AA1056">
        <v>4.6254861111111101</v>
      </c>
      <c r="AB1056">
        <v>-74.066980555555503</v>
      </c>
      <c r="AC1056">
        <v>2621</v>
      </c>
      <c r="AD1056">
        <v>15</v>
      </c>
      <c r="AE1056" t="s">
        <v>80</v>
      </c>
      <c r="AF1056" t="s">
        <v>81</v>
      </c>
      <c r="AG1056" t="s">
        <v>82</v>
      </c>
      <c r="AH1056" t="s">
        <v>83</v>
      </c>
      <c r="AI1056" t="s">
        <v>130</v>
      </c>
      <c r="AJ1056">
        <v>0.48270691169881402</v>
      </c>
      <c r="AK1056">
        <v>0.508878262512238</v>
      </c>
      <c r="AL1056">
        <v>0.35216089836259301</v>
      </c>
      <c r="AM1056">
        <v>3.2047930546035101E-2</v>
      </c>
      <c r="AN1056">
        <v>0.44709893872328799</v>
      </c>
      <c r="AO1056">
        <v>0.119315765712392</v>
      </c>
      <c r="AP1056">
        <v>0.119315765712392</v>
      </c>
      <c r="AQ1056">
        <v>1</v>
      </c>
      <c r="AR1056">
        <v>4</v>
      </c>
      <c r="AS1056">
        <v>0</v>
      </c>
      <c r="AT1056">
        <v>25</v>
      </c>
      <c r="AU1056">
        <v>9</v>
      </c>
      <c r="AV1056">
        <v>127</v>
      </c>
      <c r="AW1056">
        <v>1</v>
      </c>
      <c r="AX1056">
        <v>0</v>
      </c>
      <c r="AZ1056">
        <v>6.8</v>
      </c>
      <c r="BA1056">
        <v>19.899999999999999</v>
      </c>
      <c r="BB1056">
        <v>564</v>
      </c>
      <c r="BC1056">
        <v>68</v>
      </c>
      <c r="BD1056">
        <v>1.5</v>
      </c>
      <c r="BE1056">
        <v>135</v>
      </c>
      <c r="BF1056">
        <v>0.8</v>
      </c>
      <c r="BG1056">
        <v>162</v>
      </c>
      <c r="BH1056">
        <v>9.1</v>
      </c>
      <c r="BI1056">
        <v>9.1999999999999993</v>
      </c>
      <c r="BJ1056">
        <v>18.3</v>
      </c>
      <c r="BK1056">
        <v>0.34</v>
      </c>
      <c r="BL1056">
        <v>7.3</v>
      </c>
      <c r="BM1056">
        <v>0.9</v>
      </c>
      <c r="BN1056">
        <v>7.5</v>
      </c>
      <c r="BO1056">
        <v>2.9</v>
      </c>
      <c r="BP1056">
        <f t="shared" si="32"/>
        <v>6.235988447133427</v>
      </c>
      <c r="BQ1056">
        <f t="shared" si="33"/>
        <v>19.081873950898959</v>
      </c>
    </row>
    <row r="1057" spans="1:69" hidden="1" x14ac:dyDescent="0.2">
      <c r="A1057" t="s">
        <v>1366</v>
      </c>
      <c r="B1057" t="s">
        <v>68</v>
      </c>
      <c r="C1057" t="s">
        <v>69</v>
      </c>
      <c r="D1057" t="s">
        <v>70</v>
      </c>
      <c r="E1057" t="s">
        <v>123</v>
      </c>
      <c r="F1057">
        <v>3</v>
      </c>
      <c r="G1057">
        <v>42</v>
      </c>
      <c r="H1057">
        <v>1</v>
      </c>
      <c r="I1057">
        <v>2</v>
      </c>
      <c r="J1057">
        <v>1</v>
      </c>
      <c r="K1057" t="s">
        <v>110</v>
      </c>
      <c r="L1057" t="s">
        <v>111</v>
      </c>
      <c r="M1057" s="4">
        <v>350000000</v>
      </c>
      <c r="N1057">
        <v>0</v>
      </c>
      <c r="O1057">
        <v>4.6450386049999999</v>
      </c>
      <c r="P1057">
        <v>-74.065292360000001</v>
      </c>
      <c r="Q1057" t="s">
        <v>1367</v>
      </c>
      <c r="R1057">
        <v>8333333.3329999996</v>
      </c>
      <c r="S1057">
        <v>0</v>
      </c>
      <c r="T1057" t="s">
        <v>126</v>
      </c>
      <c r="U1057" t="s">
        <v>127</v>
      </c>
      <c r="V1057" t="s">
        <v>77</v>
      </c>
      <c r="W1057" t="s">
        <v>128</v>
      </c>
      <c r="X1057" t="s">
        <v>129</v>
      </c>
      <c r="Y1057">
        <v>2.1846188689332999</v>
      </c>
      <c r="Z1057">
        <v>2184.6188689332998</v>
      </c>
      <c r="AA1057">
        <v>4.6254861111111101</v>
      </c>
      <c r="AB1057">
        <v>-74.066980555555503</v>
      </c>
      <c r="AC1057">
        <v>2621</v>
      </c>
      <c r="AD1057">
        <v>15</v>
      </c>
      <c r="AE1057" t="s">
        <v>80</v>
      </c>
      <c r="AF1057" t="s">
        <v>81</v>
      </c>
      <c r="AG1057" t="s">
        <v>82</v>
      </c>
      <c r="AH1057" t="s">
        <v>83</v>
      </c>
      <c r="AI1057" t="s">
        <v>130</v>
      </c>
      <c r="AJ1057">
        <v>0.23496025404689799</v>
      </c>
      <c r="AK1057">
        <v>0.97328976667952904</v>
      </c>
      <c r="AL1057">
        <v>0.13723478699805999</v>
      </c>
      <c r="AM1057">
        <v>9.2802295683302602E-2</v>
      </c>
      <c r="AN1057">
        <v>0.853871268006132</v>
      </c>
      <c r="AO1057">
        <v>0.35604118362902198</v>
      </c>
      <c r="AP1057">
        <v>0.35604118362902198</v>
      </c>
      <c r="AQ1057">
        <v>2</v>
      </c>
      <c r="AR1057">
        <v>4</v>
      </c>
      <c r="AS1057">
        <v>0</v>
      </c>
      <c r="AT1057">
        <v>1</v>
      </c>
      <c r="AU1057">
        <v>13</v>
      </c>
      <c r="AV1057">
        <v>151</v>
      </c>
      <c r="AW1057">
        <v>1</v>
      </c>
      <c r="AX1057">
        <v>0</v>
      </c>
      <c r="AZ1057">
        <v>6.8</v>
      </c>
      <c r="BA1057">
        <v>19.899999999999999</v>
      </c>
      <c r="BB1057">
        <v>564</v>
      </c>
      <c r="BC1057">
        <v>68</v>
      </c>
      <c r="BD1057">
        <v>1.5</v>
      </c>
      <c r="BE1057">
        <v>135</v>
      </c>
      <c r="BF1057">
        <v>0.8</v>
      </c>
      <c r="BG1057">
        <v>162</v>
      </c>
      <c r="BH1057">
        <v>9.1</v>
      </c>
      <c r="BI1057">
        <v>9.1999999999999993</v>
      </c>
      <c r="BJ1057">
        <v>18.3</v>
      </c>
      <c r="BK1057">
        <v>0.34</v>
      </c>
      <c r="BL1057">
        <v>7.3</v>
      </c>
      <c r="BM1057">
        <v>0.9</v>
      </c>
      <c r="BN1057">
        <v>7.5</v>
      </c>
      <c r="BO1057">
        <v>2.9</v>
      </c>
      <c r="BP1057">
        <f t="shared" si="32"/>
        <v>6.1030215107175092</v>
      </c>
      <c r="BQ1057">
        <f t="shared" si="33"/>
        <v>18.883506684453533</v>
      </c>
    </row>
    <row r="1058" spans="1:69" hidden="1" x14ac:dyDescent="0.2">
      <c r="A1058" t="s">
        <v>4422</v>
      </c>
      <c r="B1058" t="s">
        <v>68</v>
      </c>
      <c r="C1058" t="s">
        <v>3294</v>
      </c>
      <c r="D1058" t="s">
        <v>70</v>
      </c>
      <c r="E1058" t="s">
        <v>948</v>
      </c>
      <c r="F1058">
        <v>4</v>
      </c>
      <c r="G1058">
        <v>42</v>
      </c>
      <c r="H1058">
        <v>1</v>
      </c>
      <c r="I1058">
        <v>1</v>
      </c>
      <c r="J1058">
        <v>1</v>
      </c>
      <c r="K1058" t="s">
        <v>110</v>
      </c>
      <c r="L1058" t="s">
        <v>124</v>
      </c>
      <c r="M1058" s="4">
        <v>335000000</v>
      </c>
      <c r="N1058">
        <v>0</v>
      </c>
      <c r="O1058">
        <v>4.6351318360000002</v>
      </c>
      <c r="P1058">
        <v>-74.064025880000003</v>
      </c>
      <c r="Q1058" t="s">
        <v>4423</v>
      </c>
      <c r="R1058">
        <v>7976190.4759999998</v>
      </c>
      <c r="S1058">
        <v>0</v>
      </c>
      <c r="T1058" t="s">
        <v>126</v>
      </c>
      <c r="U1058" t="s">
        <v>127</v>
      </c>
      <c r="V1058" t="s">
        <v>77</v>
      </c>
      <c r="W1058" t="s">
        <v>128</v>
      </c>
      <c r="X1058" t="s">
        <v>129</v>
      </c>
      <c r="Y1058">
        <v>1.12269017626018</v>
      </c>
      <c r="Z1058">
        <v>1122.6901762601799</v>
      </c>
      <c r="AA1058">
        <v>4.6254861111111101</v>
      </c>
      <c r="AB1058">
        <v>-74.066980555555503</v>
      </c>
      <c r="AC1058">
        <v>2621</v>
      </c>
      <c r="AD1058">
        <v>15</v>
      </c>
      <c r="AE1058" t="s">
        <v>80</v>
      </c>
      <c r="AF1058" t="s">
        <v>81</v>
      </c>
      <c r="AG1058" t="s">
        <v>82</v>
      </c>
      <c r="AH1058" t="s">
        <v>83</v>
      </c>
      <c r="AI1058" t="s">
        <v>130</v>
      </c>
      <c r="AJ1058">
        <v>0.40713465991992498</v>
      </c>
      <c r="AK1058">
        <v>0.48085312584196199</v>
      </c>
      <c r="AL1058">
        <v>0.296964566805967</v>
      </c>
      <c r="AM1058">
        <v>2.6880519556596399E-2</v>
      </c>
      <c r="AN1058">
        <v>0.89187529022192102</v>
      </c>
      <c r="AO1058">
        <v>9.7763461365571097E-2</v>
      </c>
      <c r="AP1058">
        <v>9.7763461365571097E-2</v>
      </c>
      <c r="AQ1058">
        <v>2</v>
      </c>
      <c r="AR1058">
        <v>4</v>
      </c>
      <c r="AS1058">
        <v>2</v>
      </c>
      <c r="AT1058">
        <v>35</v>
      </c>
      <c r="AU1058">
        <v>11</v>
      </c>
      <c r="AV1058">
        <v>134</v>
      </c>
      <c r="AW1058">
        <v>2</v>
      </c>
      <c r="AX1058">
        <v>0</v>
      </c>
      <c r="AZ1058">
        <v>6.8</v>
      </c>
      <c r="BA1058">
        <v>19.899999999999999</v>
      </c>
      <c r="BB1058">
        <v>564</v>
      </c>
      <c r="BC1058">
        <v>68</v>
      </c>
      <c r="BD1058">
        <v>1.5</v>
      </c>
      <c r="BE1058">
        <v>135</v>
      </c>
      <c r="BF1058">
        <v>0.8</v>
      </c>
      <c r="BG1058">
        <v>162</v>
      </c>
      <c r="BH1058">
        <v>9.1</v>
      </c>
      <c r="BI1058">
        <v>9.1999999999999993</v>
      </c>
      <c r="BJ1058">
        <v>18.3</v>
      </c>
      <c r="BK1058">
        <v>0.34</v>
      </c>
      <c r="BL1058">
        <v>7.3</v>
      </c>
      <c r="BM1058">
        <v>0.9</v>
      </c>
      <c r="BN1058">
        <v>7.5</v>
      </c>
      <c r="BO1058">
        <v>2.9</v>
      </c>
      <c r="BP1058">
        <f t="shared" si="32"/>
        <v>6.4324111245845836</v>
      </c>
      <c r="BQ1058">
        <f t="shared" si="33"/>
        <v>19.370962520788407</v>
      </c>
    </row>
    <row r="1059" spans="1:69" hidden="1" x14ac:dyDescent="0.2">
      <c r="A1059" t="s">
        <v>4258</v>
      </c>
      <c r="B1059" t="s">
        <v>68</v>
      </c>
      <c r="C1059" t="s">
        <v>3294</v>
      </c>
      <c r="D1059" t="s">
        <v>70</v>
      </c>
      <c r="E1059" t="s">
        <v>948</v>
      </c>
      <c r="F1059">
        <v>4</v>
      </c>
      <c r="G1059">
        <v>42</v>
      </c>
      <c r="H1059">
        <v>1</v>
      </c>
      <c r="I1059">
        <v>1</v>
      </c>
      <c r="J1059">
        <v>1</v>
      </c>
      <c r="K1059" t="s">
        <v>110</v>
      </c>
      <c r="L1059" t="s">
        <v>124</v>
      </c>
      <c r="M1059" s="4">
        <v>335000000</v>
      </c>
      <c r="N1059">
        <v>0</v>
      </c>
      <c r="O1059">
        <v>4.6343293189999999</v>
      </c>
      <c r="P1059">
        <v>-74.063995360000007</v>
      </c>
      <c r="Q1059" t="s">
        <v>4259</v>
      </c>
      <c r="R1059">
        <v>7976190.4759999998</v>
      </c>
      <c r="S1059">
        <v>0</v>
      </c>
      <c r="T1059" t="s">
        <v>126</v>
      </c>
      <c r="U1059" t="s">
        <v>127</v>
      </c>
      <c r="V1059" t="s">
        <v>77</v>
      </c>
      <c r="W1059" t="s">
        <v>128</v>
      </c>
      <c r="X1059" t="s">
        <v>129</v>
      </c>
      <c r="Y1059">
        <v>1.0386511479487901</v>
      </c>
      <c r="Z1059">
        <v>1038.6511479487899</v>
      </c>
      <c r="AA1059">
        <v>4.6254861111111101</v>
      </c>
      <c r="AB1059">
        <v>-74.066980555555503</v>
      </c>
      <c r="AC1059">
        <v>2621</v>
      </c>
      <c r="AD1059">
        <v>15</v>
      </c>
      <c r="AE1059" t="s">
        <v>80</v>
      </c>
      <c r="AF1059" t="s">
        <v>81</v>
      </c>
      <c r="AG1059" t="s">
        <v>82</v>
      </c>
      <c r="AH1059" t="s">
        <v>83</v>
      </c>
      <c r="AI1059" t="s">
        <v>130</v>
      </c>
      <c r="AJ1059">
        <v>0.47253299951960498</v>
      </c>
      <c r="AK1059">
        <v>0.45333474099072602</v>
      </c>
      <c r="AL1059">
        <v>0.22579630534835099</v>
      </c>
      <c r="AM1059">
        <v>0.109626375984582</v>
      </c>
      <c r="AN1059">
        <v>0.80975309188560596</v>
      </c>
      <c r="AO1059">
        <v>7.3416315919901803E-2</v>
      </c>
      <c r="AP1059">
        <v>7.3416315919901803E-2</v>
      </c>
      <c r="AQ1059">
        <v>2</v>
      </c>
      <c r="AR1059">
        <v>5</v>
      </c>
      <c r="AS1059">
        <v>2</v>
      </c>
      <c r="AT1059">
        <v>35</v>
      </c>
      <c r="AU1059">
        <v>11</v>
      </c>
      <c r="AV1059">
        <v>132</v>
      </c>
      <c r="AW1059">
        <v>1</v>
      </c>
      <c r="AX1059">
        <v>0</v>
      </c>
      <c r="AZ1059">
        <v>6.8</v>
      </c>
      <c r="BA1059">
        <v>19.899999999999999</v>
      </c>
      <c r="BB1059">
        <v>564</v>
      </c>
      <c r="BC1059">
        <v>68</v>
      </c>
      <c r="BD1059">
        <v>1.5</v>
      </c>
      <c r="BE1059">
        <v>135</v>
      </c>
      <c r="BF1059">
        <v>0.8</v>
      </c>
      <c r="BG1059">
        <v>162</v>
      </c>
      <c r="BH1059">
        <v>9.1</v>
      </c>
      <c r="BI1059">
        <v>9.1999999999999993</v>
      </c>
      <c r="BJ1059">
        <v>18.3</v>
      </c>
      <c r="BK1059">
        <v>0.34</v>
      </c>
      <c r="BL1059">
        <v>7.3</v>
      </c>
      <c r="BM1059">
        <v>0.9</v>
      </c>
      <c r="BN1059">
        <v>7.5</v>
      </c>
      <c r="BO1059">
        <v>2.9</v>
      </c>
      <c r="BP1059">
        <f t="shared" si="32"/>
        <v>6.4592252506256465</v>
      </c>
      <c r="BQ1059">
        <f t="shared" si="33"/>
        <v>19.410071952979234</v>
      </c>
    </row>
    <row r="1060" spans="1:69" hidden="1" x14ac:dyDescent="0.2">
      <c r="A1060" t="s">
        <v>3613</v>
      </c>
      <c r="B1060" t="s">
        <v>68</v>
      </c>
      <c r="C1060" t="s">
        <v>3294</v>
      </c>
      <c r="D1060" t="s">
        <v>70</v>
      </c>
      <c r="E1060" t="s">
        <v>3022</v>
      </c>
      <c r="F1060">
        <v>3</v>
      </c>
      <c r="G1060">
        <v>42</v>
      </c>
      <c r="H1060">
        <v>1</v>
      </c>
      <c r="I1060">
        <v>1</v>
      </c>
      <c r="J1060">
        <v>0</v>
      </c>
      <c r="K1060" t="s">
        <v>110</v>
      </c>
      <c r="L1060" t="s">
        <v>111</v>
      </c>
      <c r="M1060" s="4">
        <v>240000000</v>
      </c>
      <c r="N1060">
        <v>0</v>
      </c>
      <c r="O1060">
        <v>4.6068800000000003</v>
      </c>
      <c r="P1060">
        <v>-74.071839999999995</v>
      </c>
      <c r="Q1060" t="s">
        <v>3614</v>
      </c>
      <c r="R1060">
        <v>5714285.7139999997</v>
      </c>
      <c r="S1060">
        <v>0</v>
      </c>
      <c r="T1060" t="s">
        <v>126</v>
      </c>
      <c r="U1060" t="s">
        <v>127</v>
      </c>
      <c r="V1060" t="s">
        <v>77</v>
      </c>
      <c r="W1060" t="s">
        <v>128</v>
      </c>
      <c r="X1060" t="s">
        <v>129</v>
      </c>
      <c r="Y1060">
        <v>2.1402561574389298</v>
      </c>
      <c r="Z1060">
        <v>2140.2561574389301</v>
      </c>
      <c r="AA1060">
        <v>4.6254861111111101</v>
      </c>
      <c r="AB1060">
        <v>-74.066980555555503</v>
      </c>
      <c r="AC1060">
        <v>2621</v>
      </c>
      <c r="AD1060">
        <v>15</v>
      </c>
      <c r="AE1060" t="s">
        <v>80</v>
      </c>
      <c r="AF1060" t="s">
        <v>81</v>
      </c>
      <c r="AG1060" t="s">
        <v>82</v>
      </c>
      <c r="AH1060" t="s">
        <v>83</v>
      </c>
      <c r="AI1060" t="s">
        <v>138</v>
      </c>
      <c r="AJ1060">
        <v>0.29008746862006501</v>
      </c>
      <c r="AK1060">
        <v>0.77934653195057702</v>
      </c>
      <c r="AL1060">
        <v>0.133869760857704</v>
      </c>
      <c r="AM1060">
        <v>0.14893351680112499</v>
      </c>
      <c r="AN1060">
        <v>1.1095532551276599</v>
      </c>
      <c r="AO1060">
        <v>0.10054457565418499</v>
      </c>
      <c r="AP1060">
        <v>0.10054457565418499</v>
      </c>
      <c r="AQ1060">
        <v>2</v>
      </c>
      <c r="AR1060">
        <v>10</v>
      </c>
      <c r="AS1060">
        <v>0</v>
      </c>
      <c r="AT1060">
        <v>22</v>
      </c>
      <c r="AU1060">
        <v>14</v>
      </c>
      <c r="AV1060">
        <v>58</v>
      </c>
      <c r="AW1060">
        <v>0</v>
      </c>
      <c r="AX1060">
        <v>8</v>
      </c>
      <c r="AZ1060">
        <v>6.8</v>
      </c>
      <c r="BA1060">
        <v>19.899999999999999</v>
      </c>
      <c r="BB1060">
        <v>564</v>
      </c>
      <c r="BC1060">
        <v>68</v>
      </c>
      <c r="BD1060">
        <v>1.5</v>
      </c>
      <c r="BE1060">
        <v>135</v>
      </c>
      <c r="BF1060">
        <v>0.8</v>
      </c>
      <c r="BG1060">
        <v>162</v>
      </c>
      <c r="BH1060">
        <v>9.1</v>
      </c>
      <c r="BI1060">
        <v>9.1999999999999993</v>
      </c>
      <c r="BJ1060">
        <v>18.3</v>
      </c>
      <c r="BK1060">
        <v>0.34</v>
      </c>
      <c r="BL1060">
        <v>7.3</v>
      </c>
      <c r="BM1060">
        <v>0.9</v>
      </c>
      <c r="BN1060">
        <v>7.5</v>
      </c>
      <c r="BO1060">
        <v>2.9</v>
      </c>
      <c r="BP1060">
        <f t="shared" si="32"/>
        <v>6.1164381923702731</v>
      </c>
      <c r="BQ1060">
        <f t="shared" si="33"/>
        <v>18.903622756812478</v>
      </c>
    </row>
    <row r="1061" spans="1:69" hidden="1" x14ac:dyDescent="0.2">
      <c r="A1061" t="s">
        <v>1931</v>
      </c>
      <c r="B1061" t="s">
        <v>68</v>
      </c>
      <c r="C1061" t="s">
        <v>69</v>
      </c>
      <c r="D1061" t="s">
        <v>70</v>
      </c>
      <c r="E1061" t="s">
        <v>73</v>
      </c>
      <c r="F1061">
        <v>2</v>
      </c>
      <c r="G1061">
        <v>42</v>
      </c>
      <c r="H1061">
        <v>3</v>
      </c>
      <c r="I1061">
        <v>1</v>
      </c>
      <c r="J1061">
        <v>0</v>
      </c>
      <c r="K1061" t="s">
        <v>110</v>
      </c>
      <c r="L1061" t="s">
        <v>162</v>
      </c>
      <c r="M1061" s="4">
        <v>200000000</v>
      </c>
      <c r="N1061">
        <v>0</v>
      </c>
      <c r="O1061">
        <v>4.6260337829999996</v>
      </c>
      <c r="P1061">
        <v>-74.193466189999995</v>
      </c>
      <c r="Q1061" t="s">
        <v>1932</v>
      </c>
      <c r="R1061">
        <v>4761904.7620000001</v>
      </c>
      <c r="S1061">
        <v>0</v>
      </c>
      <c r="T1061" t="s">
        <v>365</v>
      </c>
      <c r="U1061" t="s">
        <v>366</v>
      </c>
      <c r="V1061" t="s">
        <v>77</v>
      </c>
      <c r="W1061" t="s">
        <v>365</v>
      </c>
      <c r="X1061" t="s">
        <v>367</v>
      </c>
      <c r="Y1061">
        <v>2.55912346652587</v>
      </c>
      <c r="Z1061">
        <v>2559.1234665258698</v>
      </c>
      <c r="AA1061">
        <v>4.6056111111111102</v>
      </c>
      <c r="AB1061">
        <v>-74.204055555555598</v>
      </c>
      <c r="AC1061">
        <v>2546</v>
      </c>
      <c r="AD1061">
        <v>0</v>
      </c>
      <c r="AE1061" t="s">
        <v>80</v>
      </c>
      <c r="AF1061" t="s">
        <v>107</v>
      </c>
      <c r="AG1061" t="s">
        <v>82</v>
      </c>
      <c r="AH1061" t="s">
        <v>83</v>
      </c>
      <c r="AI1061" t="s">
        <v>368</v>
      </c>
      <c r="AJ1061">
        <v>2.2931319619074699</v>
      </c>
      <c r="AK1061">
        <v>2.04519684017029</v>
      </c>
      <c r="AL1061">
        <v>7.0925867965592104</v>
      </c>
      <c r="AM1061">
        <v>0.220169561630363</v>
      </c>
      <c r="AN1061">
        <v>2.9542191196155398</v>
      </c>
      <c r="AO1061">
        <v>8.2582543850790294E-2</v>
      </c>
      <c r="AP1061">
        <v>8.2582543850790294E-2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9</v>
      </c>
      <c r="AW1061">
        <v>0</v>
      </c>
      <c r="AX1061">
        <v>0</v>
      </c>
      <c r="AZ1061">
        <v>6.8</v>
      </c>
      <c r="BA1061">
        <v>19.899999999999999</v>
      </c>
      <c r="BB1061">
        <v>564</v>
      </c>
      <c r="BC1061">
        <v>68</v>
      </c>
      <c r="BD1061">
        <v>1.5</v>
      </c>
      <c r="BE1061">
        <v>135</v>
      </c>
      <c r="BF1061">
        <v>0.8</v>
      </c>
      <c r="BG1061">
        <v>162</v>
      </c>
      <c r="BH1061">
        <v>9.1</v>
      </c>
      <c r="BI1061">
        <v>9.1999999999999993</v>
      </c>
      <c r="BJ1061">
        <v>18.3</v>
      </c>
      <c r="BK1061">
        <v>0.34</v>
      </c>
      <c r="BL1061">
        <v>7.3</v>
      </c>
      <c r="BM1061">
        <v>0.9</v>
      </c>
      <c r="BN1061">
        <v>7.5</v>
      </c>
      <c r="BO1061">
        <v>2.9</v>
      </c>
      <c r="BP1061">
        <f t="shared" si="32"/>
        <v>5.9909260564623956</v>
      </c>
      <c r="BQ1061">
        <f t="shared" si="33"/>
        <v>18.714540125275899</v>
      </c>
    </row>
    <row r="1062" spans="1:69" hidden="1" x14ac:dyDescent="0.2">
      <c r="A1062" t="s">
        <v>1919</v>
      </c>
      <c r="B1062" t="s">
        <v>68</v>
      </c>
      <c r="C1062" t="s">
        <v>69</v>
      </c>
      <c r="D1062" t="s">
        <v>70</v>
      </c>
      <c r="E1062" t="s">
        <v>1920</v>
      </c>
      <c r="F1062">
        <v>4</v>
      </c>
      <c r="G1062">
        <v>41.4</v>
      </c>
      <c r="H1062">
        <v>1</v>
      </c>
      <c r="I1062">
        <v>2</v>
      </c>
      <c r="J1062">
        <v>1</v>
      </c>
      <c r="K1062" t="s">
        <v>110</v>
      </c>
      <c r="L1062" t="s">
        <v>124</v>
      </c>
      <c r="M1062" s="4">
        <v>330000000</v>
      </c>
      <c r="N1062">
        <v>0</v>
      </c>
      <c r="O1062">
        <v>4.6505099999999997</v>
      </c>
      <c r="P1062">
        <v>-74.075689999999994</v>
      </c>
      <c r="Q1062" t="s">
        <v>1921</v>
      </c>
      <c r="R1062">
        <v>7971014.4929999998</v>
      </c>
      <c r="S1062">
        <v>0</v>
      </c>
      <c r="T1062" t="s">
        <v>75</v>
      </c>
      <c r="U1062" t="s">
        <v>76</v>
      </c>
      <c r="V1062" t="s">
        <v>77</v>
      </c>
      <c r="W1062" t="s">
        <v>78</v>
      </c>
      <c r="X1062" t="s">
        <v>79</v>
      </c>
      <c r="Y1062">
        <v>1.2758625702108299</v>
      </c>
      <c r="Z1062">
        <v>1275.86257021083</v>
      </c>
      <c r="AA1062">
        <v>4.6584666666666701</v>
      </c>
      <c r="AB1062">
        <v>-74.083966666666697</v>
      </c>
      <c r="AC1062">
        <v>2552</v>
      </c>
      <c r="AD1062">
        <v>0</v>
      </c>
      <c r="AE1062" t="s">
        <v>80</v>
      </c>
      <c r="AF1062" t="s">
        <v>81</v>
      </c>
      <c r="AG1062" t="s">
        <v>82</v>
      </c>
      <c r="AH1062" t="s">
        <v>83</v>
      </c>
      <c r="AI1062" t="s">
        <v>84</v>
      </c>
      <c r="AJ1062">
        <v>0.30085962747752598</v>
      </c>
      <c r="AK1062">
        <v>2.2751623013096798</v>
      </c>
      <c r="AL1062">
        <v>0.44778075480871099</v>
      </c>
      <c r="AM1062">
        <v>0.233590218752527</v>
      </c>
      <c r="AN1062">
        <v>2.1556185757656801</v>
      </c>
      <c r="AO1062">
        <v>0.141845845097303</v>
      </c>
      <c r="AP1062">
        <v>0.141845845097303</v>
      </c>
      <c r="AQ1062">
        <v>1</v>
      </c>
      <c r="AR1062">
        <v>3</v>
      </c>
      <c r="AS1062">
        <v>0</v>
      </c>
      <c r="AT1062">
        <v>0</v>
      </c>
      <c r="AU1062">
        <v>4</v>
      </c>
      <c r="AV1062">
        <v>49</v>
      </c>
      <c r="AW1062">
        <v>0</v>
      </c>
      <c r="AX1062">
        <v>0</v>
      </c>
      <c r="AZ1062">
        <v>6.8</v>
      </c>
      <c r="BA1062">
        <v>19.899999999999999</v>
      </c>
      <c r="BB1062">
        <v>564</v>
      </c>
      <c r="BC1062">
        <v>68</v>
      </c>
      <c r="BD1062">
        <v>1.5</v>
      </c>
      <c r="BE1062">
        <v>135</v>
      </c>
      <c r="BF1062">
        <v>0.8</v>
      </c>
      <c r="BG1062">
        <v>162</v>
      </c>
      <c r="BH1062">
        <v>9.1</v>
      </c>
      <c r="BI1062">
        <v>9.1999999999999993</v>
      </c>
      <c r="BJ1062">
        <v>18.3</v>
      </c>
      <c r="BK1062">
        <v>0.34</v>
      </c>
      <c r="BL1062">
        <v>7.3</v>
      </c>
      <c r="BM1062">
        <v>0.9</v>
      </c>
      <c r="BN1062">
        <v>7.5</v>
      </c>
      <c r="BO1062">
        <v>2.9</v>
      </c>
      <c r="BP1062">
        <f t="shared" si="32"/>
        <v>6.3838247923057203</v>
      </c>
      <c r="BQ1062">
        <f t="shared" si="33"/>
        <v>19.299882929151824</v>
      </c>
    </row>
    <row r="1063" spans="1:69" hidden="1" x14ac:dyDescent="0.2">
      <c r="A1063" t="s">
        <v>791</v>
      </c>
      <c r="B1063" t="s">
        <v>68</v>
      </c>
      <c r="C1063" t="s">
        <v>69</v>
      </c>
      <c r="D1063" t="s">
        <v>70</v>
      </c>
      <c r="E1063" t="s">
        <v>639</v>
      </c>
      <c r="F1063">
        <v>4</v>
      </c>
      <c r="G1063">
        <v>41.17</v>
      </c>
      <c r="H1063">
        <v>1</v>
      </c>
      <c r="I1063">
        <v>1</v>
      </c>
      <c r="J1063">
        <v>1</v>
      </c>
      <c r="K1063" t="s">
        <v>72</v>
      </c>
      <c r="L1063" t="s">
        <v>73</v>
      </c>
      <c r="M1063" s="4">
        <v>433337000</v>
      </c>
      <c r="N1063">
        <v>0</v>
      </c>
      <c r="O1063">
        <v>4.6610316999999997</v>
      </c>
      <c r="P1063">
        <v>-74.079445000000007</v>
      </c>
      <c r="Q1063" t="s">
        <v>792</v>
      </c>
      <c r="R1063">
        <v>10525552.59</v>
      </c>
      <c r="S1063">
        <v>0</v>
      </c>
      <c r="T1063" t="s">
        <v>75</v>
      </c>
      <c r="U1063" t="s">
        <v>76</v>
      </c>
      <c r="V1063" t="s">
        <v>77</v>
      </c>
      <c r="W1063" t="s">
        <v>78</v>
      </c>
      <c r="X1063" t="s">
        <v>79</v>
      </c>
      <c r="Y1063">
        <v>0.57725282118917798</v>
      </c>
      <c r="Z1063">
        <v>577.25282118917801</v>
      </c>
      <c r="AA1063">
        <v>4.6584666666666701</v>
      </c>
      <c r="AB1063">
        <v>-74.083966666666697</v>
      </c>
      <c r="AC1063">
        <v>2552</v>
      </c>
      <c r="AD1063">
        <v>0</v>
      </c>
      <c r="AE1063" t="s">
        <v>80</v>
      </c>
      <c r="AF1063" t="s">
        <v>81</v>
      </c>
      <c r="AG1063" t="s">
        <v>82</v>
      </c>
      <c r="AH1063" t="s">
        <v>83</v>
      </c>
      <c r="AI1063" t="s">
        <v>342</v>
      </c>
      <c r="AJ1063">
        <v>0.45664851021150199</v>
      </c>
      <c r="AK1063">
        <v>3.2906681362303898</v>
      </c>
      <c r="AL1063">
        <v>1.2641850056572299</v>
      </c>
      <c r="AM1063">
        <v>0.10222706298203101</v>
      </c>
      <c r="AN1063">
        <v>1.4375849002076899</v>
      </c>
      <c r="AO1063">
        <v>0.20029136224211999</v>
      </c>
      <c r="AP1063">
        <v>0.20029136224211999</v>
      </c>
      <c r="AQ1063">
        <v>1</v>
      </c>
      <c r="AR1063">
        <v>2</v>
      </c>
      <c r="AS1063">
        <v>0</v>
      </c>
      <c r="AT1063">
        <v>0</v>
      </c>
      <c r="AU1063">
        <v>0</v>
      </c>
      <c r="AV1063">
        <v>22</v>
      </c>
      <c r="AW1063">
        <v>0</v>
      </c>
      <c r="AX1063">
        <v>0</v>
      </c>
      <c r="AZ1063">
        <v>6.8</v>
      </c>
      <c r="BA1063">
        <v>19.899999999999999</v>
      </c>
      <c r="BB1063">
        <v>564</v>
      </c>
      <c r="BC1063">
        <v>68</v>
      </c>
      <c r="BD1063">
        <v>1.5</v>
      </c>
      <c r="BE1063">
        <v>135</v>
      </c>
      <c r="BF1063">
        <v>0.8</v>
      </c>
      <c r="BG1063">
        <v>162</v>
      </c>
      <c r="BH1063">
        <v>9.1</v>
      </c>
      <c r="BI1063">
        <v>9.1999999999999993</v>
      </c>
      <c r="BJ1063">
        <v>18.3</v>
      </c>
      <c r="BK1063">
        <v>0.34</v>
      </c>
      <c r="BL1063">
        <v>7.3</v>
      </c>
      <c r="BM1063">
        <v>0.9</v>
      </c>
      <c r="BN1063">
        <v>7.5</v>
      </c>
      <c r="BO1063">
        <v>2.9</v>
      </c>
      <c r="BP1063">
        <f t="shared" si="32"/>
        <v>6.6084464602478965</v>
      </c>
      <c r="BQ1063">
        <f t="shared" si="33"/>
        <v>19.626205018930062</v>
      </c>
    </row>
    <row r="1064" spans="1:69" hidden="1" x14ac:dyDescent="0.2">
      <c r="A1064" t="s">
        <v>3401</v>
      </c>
      <c r="B1064" t="s">
        <v>68</v>
      </c>
      <c r="C1064" t="s">
        <v>3294</v>
      </c>
      <c r="D1064" t="s">
        <v>70</v>
      </c>
      <c r="E1064" t="s">
        <v>3402</v>
      </c>
      <c r="F1064">
        <v>3</v>
      </c>
      <c r="G1064">
        <v>41</v>
      </c>
      <c r="H1064">
        <v>1</v>
      </c>
      <c r="I1064">
        <v>1</v>
      </c>
      <c r="J1064">
        <v>0</v>
      </c>
      <c r="K1064" t="s">
        <v>110</v>
      </c>
      <c r="L1064" t="s">
        <v>111</v>
      </c>
      <c r="M1064" s="4">
        <v>429000000</v>
      </c>
      <c r="N1064">
        <v>0</v>
      </c>
      <c r="O1064">
        <v>4.6105055000000004</v>
      </c>
      <c r="P1064">
        <v>-74.070220300000003</v>
      </c>
      <c r="Q1064" t="s">
        <v>3403</v>
      </c>
      <c r="R1064">
        <v>10463414.630000001</v>
      </c>
      <c r="S1064">
        <v>0</v>
      </c>
      <c r="T1064" t="s">
        <v>126</v>
      </c>
      <c r="U1064" t="s">
        <v>127</v>
      </c>
      <c r="V1064" t="s">
        <v>77</v>
      </c>
      <c r="W1064" t="s">
        <v>128</v>
      </c>
      <c r="X1064" t="s">
        <v>129</v>
      </c>
      <c r="Y1064">
        <v>1.7059384781687901</v>
      </c>
      <c r="Z1064">
        <v>1705.93847816879</v>
      </c>
      <c r="AA1064">
        <v>4.6254861111111101</v>
      </c>
      <c r="AB1064">
        <v>-74.066980555555503</v>
      </c>
      <c r="AC1064">
        <v>2621</v>
      </c>
      <c r="AD1064">
        <v>15</v>
      </c>
      <c r="AE1064" t="s">
        <v>80</v>
      </c>
      <c r="AF1064" t="s">
        <v>81</v>
      </c>
      <c r="AG1064" t="s">
        <v>82</v>
      </c>
      <c r="AH1064" t="s">
        <v>83</v>
      </c>
      <c r="AI1064" t="s">
        <v>138</v>
      </c>
      <c r="AJ1064">
        <v>0.14843302339515699</v>
      </c>
      <c r="AK1064">
        <v>0.62843195013284703</v>
      </c>
      <c r="AL1064">
        <v>0.27804032141680801</v>
      </c>
      <c r="AM1064">
        <v>0.29532081014431</v>
      </c>
      <c r="AN1064">
        <v>0.67942896629234595</v>
      </c>
      <c r="AO1064">
        <v>5.7573231529302903E-2</v>
      </c>
      <c r="AP1064">
        <v>5.7573231529302903E-2</v>
      </c>
      <c r="AQ1064">
        <v>1</v>
      </c>
      <c r="AR1064">
        <v>8</v>
      </c>
      <c r="AS1064">
        <v>0</v>
      </c>
      <c r="AT1064">
        <v>23</v>
      </c>
      <c r="AU1064">
        <v>9</v>
      </c>
      <c r="AV1064">
        <v>63</v>
      </c>
      <c r="AW1064">
        <v>1</v>
      </c>
      <c r="AX1064">
        <v>6</v>
      </c>
      <c r="AZ1064">
        <v>6.8</v>
      </c>
      <c r="BA1064">
        <v>19.899999999999999</v>
      </c>
      <c r="BB1064">
        <v>564</v>
      </c>
      <c r="BC1064">
        <v>68</v>
      </c>
      <c r="BD1064">
        <v>1.5</v>
      </c>
      <c r="BE1064">
        <v>135</v>
      </c>
      <c r="BF1064">
        <v>0.8</v>
      </c>
      <c r="BG1064">
        <v>162</v>
      </c>
      <c r="BH1064">
        <v>9.1</v>
      </c>
      <c r="BI1064">
        <v>9.1999999999999993</v>
      </c>
      <c r="BJ1064">
        <v>18.3</v>
      </c>
      <c r="BK1064">
        <v>0.34</v>
      </c>
      <c r="BL1064">
        <v>7.3</v>
      </c>
      <c r="BM1064">
        <v>0.9</v>
      </c>
      <c r="BN1064">
        <v>7.5</v>
      </c>
      <c r="BO1064">
        <v>2.9</v>
      </c>
      <c r="BP1064">
        <f t="shared" si="32"/>
        <v>6.2493574940548484</v>
      </c>
      <c r="BQ1064">
        <f t="shared" si="33"/>
        <v>19.101697553586995</v>
      </c>
    </row>
    <row r="1065" spans="1:69" hidden="1" x14ac:dyDescent="0.2">
      <c r="A1065" t="s">
        <v>4093</v>
      </c>
      <c r="B1065" t="s">
        <v>68</v>
      </c>
      <c r="C1065" t="s">
        <v>3294</v>
      </c>
      <c r="D1065" t="s">
        <v>70</v>
      </c>
      <c r="E1065" t="s">
        <v>3267</v>
      </c>
      <c r="F1065">
        <v>3</v>
      </c>
      <c r="G1065">
        <v>40.86</v>
      </c>
      <c r="H1065">
        <v>1</v>
      </c>
      <c r="I1065">
        <v>1</v>
      </c>
      <c r="J1065">
        <v>1</v>
      </c>
      <c r="K1065" t="s">
        <v>110</v>
      </c>
      <c r="L1065" t="s">
        <v>133</v>
      </c>
      <c r="M1065" s="4">
        <v>398000000</v>
      </c>
      <c r="N1065">
        <v>0</v>
      </c>
      <c r="O1065">
        <v>4.6640800000000002</v>
      </c>
      <c r="P1065">
        <v>-74.064949999999996</v>
      </c>
      <c r="Q1065" t="s">
        <v>4094</v>
      </c>
      <c r="R1065">
        <v>9740577.5820000004</v>
      </c>
      <c r="S1065">
        <v>0</v>
      </c>
      <c r="T1065" t="s">
        <v>75</v>
      </c>
      <c r="U1065" t="s">
        <v>76</v>
      </c>
      <c r="V1065" t="s">
        <v>77</v>
      </c>
      <c r="W1065" t="s">
        <v>78</v>
      </c>
      <c r="X1065" t="s">
        <v>79</v>
      </c>
      <c r="Y1065">
        <v>2.20051041560711</v>
      </c>
      <c r="Z1065">
        <v>2200.5104156071102</v>
      </c>
      <c r="AA1065">
        <v>4.6584666666666701</v>
      </c>
      <c r="AB1065">
        <v>-74.083966666666697</v>
      </c>
      <c r="AC1065">
        <v>2552</v>
      </c>
      <c r="AD1065">
        <v>0</v>
      </c>
      <c r="AE1065" t="s">
        <v>80</v>
      </c>
      <c r="AF1065" t="s">
        <v>81</v>
      </c>
      <c r="AG1065" t="s">
        <v>82</v>
      </c>
      <c r="AH1065" t="s">
        <v>83</v>
      </c>
      <c r="AI1065" t="s">
        <v>342</v>
      </c>
      <c r="AJ1065">
        <v>0.42517891079458803</v>
      </c>
      <c r="AK1065">
        <v>2.0509856690664701</v>
      </c>
      <c r="AL1065">
        <v>0.28851635739166098</v>
      </c>
      <c r="AM1065">
        <v>0.134243914463716</v>
      </c>
      <c r="AN1065">
        <v>2.1617625928390298</v>
      </c>
      <c r="AO1065">
        <v>0.23286731491364299</v>
      </c>
      <c r="AP1065">
        <v>0.23286731491364299</v>
      </c>
      <c r="AQ1065">
        <v>1</v>
      </c>
      <c r="AR1065">
        <v>5</v>
      </c>
      <c r="AS1065">
        <v>0</v>
      </c>
      <c r="AT1065">
        <v>0</v>
      </c>
      <c r="AU1065">
        <v>18</v>
      </c>
      <c r="AV1065">
        <v>141</v>
      </c>
      <c r="AW1065">
        <v>0</v>
      </c>
      <c r="AX1065">
        <v>0</v>
      </c>
      <c r="AZ1065">
        <v>6.8</v>
      </c>
      <c r="BA1065">
        <v>19.899999999999999</v>
      </c>
      <c r="BB1065">
        <v>564</v>
      </c>
      <c r="BC1065">
        <v>68</v>
      </c>
      <c r="BD1065">
        <v>1.5</v>
      </c>
      <c r="BE1065">
        <v>135</v>
      </c>
      <c r="BF1065">
        <v>0.8</v>
      </c>
      <c r="BG1065">
        <v>162</v>
      </c>
      <c r="BH1065">
        <v>9.1</v>
      </c>
      <c r="BI1065">
        <v>9.1999999999999993</v>
      </c>
      <c r="BJ1065">
        <v>18.3</v>
      </c>
      <c r="BK1065">
        <v>0.34</v>
      </c>
      <c r="BL1065">
        <v>7.3</v>
      </c>
      <c r="BM1065">
        <v>0.9</v>
      </c>
      <c r="BN1065">
        <v>7.5</v>
      </c>
      <c r="BO1065">
        <v>2.9</v>
      </c>
      <c r="BP1065">
        <f t="shared" si="32"/>
        <v>6.098222569130578</v>
      </c>
      <c r="BQ1065">
        <f t="shared" si="33"/>
        <v>18.876305942643725</v>
      </c>
    </row>
    <row r="1066" spans="1:69" hidden="1" x14ac:dyDescent="0.2">
      <c r="A1066" t="s">
        <v>4260</v>
      </c>
      <c r="B1066" t="s">
        <v>68</v>
      </c>
      <c r="C1066" t="s">
        <v>3294</v>
      </c>
      <c r="D1066" t="s">
        <v>70</v>
      </c>
      <c r="E1066" t="s">
        <v>948</v>
      </c>
      <c r="F1066">
        <v>4</v>
      </c>
      <c r="G1066">
        <v>40.24</v>
      </c>
      <c r="H1066">
        <v>1</v>
      </c>
      <c r="I1066">
        <v>1</v>
      </c>
      <c r="J1066">
        <v>0</v>
      </c>
      <c r="K1066" t="s">
        <v>110</v>
      </c>
      <c r="L1066" t="s">
        <v>162</v>
      </c>
      <c r="M1066" s="4">
        <v>254000000</v>
      </c>
      <c r="N1066">
        <v>0</v>
      </c>
      <c r="O1066">
        <v>4.6350499999999997</v>
      </c>
      <c r="P1066">
        <v>-74.064949999999996</v>
      </c>
      <c r="Q1066" t="s">
        <v>4261</v>
      </c>
      <c r="R1066">
        <v>6312127.2369999997</v>
      </c>
      <c r="S1066">
        <v>0</v>
      </c>
      <c r="T1066" t="s">
        <v>126</v>
      </c>
      <c r="U1066" t="s">
        <v>127</v>
      </c>
      <c r="V1066" t="s">
        <v>77</v>
      </c>
      <c r="W1066" t="s">
        <v>128</v>
      </c>
      <c r="X1066" t="s">
        <v>129</v>
      </c>
      <c r="Y1066">
        <v>1.0882256447657499</v>
      </c>
      <c r="Z1066">
        <v>1088.2256447657501</v>
      </c>
      <c r="AA1066">
        <v>4.6254861111111101</v>
      </c>
      <c r="AB1066">
        <v>-74.066980555555503</v>
      </c>
      <c r="AC1066">
        <v>2621</v>
      </c>
      <c r="AD1066">
        <v>15</v>
      </c>
      <c r="AE1066" t="s">
        <v>80</v>
      </c>
      <c r="AF1066" t="s">
        <v>81</v>
      </c>
      <c r="AG1066" t="s">
        <v>82</v>
      </c>
      <c r="AH1066" t="s">
        <v>83</v>
      </c>
      <c r="AI1066" t="s">
        <v>130</v>
      </c>
      <c r="AJ1066">
        <v>0.344124353094858</v>
      </c>
      <c r="AK1066">
        <v>0.57506704318573099</v>
      </c>
      <c r="AL1066">
        <v>0.25404568378831699</v>
      </c>
      <c r="AM1066">
        <v>6.1337853584023397E-2</v>
      </c>
      <c r="AN1066">
        <v>0.85514778977001005</v>
      </c>
      <c r="AO1066">
        <v>0.11796524628818</v>
      </c>
      <c r="AP1066">
        <v>0.11796524628818</v>
      </c>
      <c r="AQ1066">
        <v>2</v>
      </c>
      <c r="AR1066">
        <v>5</v>
      </c>
      <c r="AS1066">
        <v>0</v>
      </c>
      <c r="AT1066">
        <v>22</v>
      </c>
      <c r="AU1066">
        <v>11</v>
      </c>
      <c r="AV1066">
        <v>150</v>
      </c>
      <c r="AW1066">
        <v>1</v>
      </c>
      <c r="AX1066">
        <v>0</v>
      </c>
      <c r="AZ1066">
        <v>6.8</v>
      </c>
      <c r="BA1066">
        <v>19.899999999999999</v>
      </c>
      <c r="BB1066">
        <v>564</v>
      </c>
      <c r="BC1066">
        <v>68</v>
      </c>
      <c r="BD1066">
        <v>1.5</v>
      </c>
      <c r="BE1066">
        <v>135</v>
      </c>
      <c r="BF1066">
        <v>0.8</v>
      </c>
      <c r="BG1066">
        <v>162</v>
      </c>
      <c r="BH1066">
        <v>9.1</v>
      </c>
      <c r="BI1066">
        <v>9.1999999999999993</v>
      </c>
      <c r="BJ1066">
        <v>18.3</v>
      </c>
      <c r="BK1066">
        <v>0.34</v>
      </c>
      <c r="BL1066">
        <v>7.3</v>
      </c>
      <c r="BM1066">
        <v>0.9</v>
      </c>
      <c r="BN1066">
        <v>7.5</v>
      </c>
      <c r="BO1066">
        <v>2.9</v>
      </c>
      <c r="BP1066">
        <f t="shared" si="32"/>
        <v>6.4433941471793643</v>
      </c>
      <c r="BQ1066">
        <f t="shared" si="33"/>
        <v>19.386991816729605</v>
      </c>
    </row>
    <row r="1067" spans="1:69" hidden="1" x14ac:dyDescent="0.2">
      <c r="A1067" t="s">
        <v>4424</v>
      </c>
      <c r="B1067" t="s">
        <v>68</v>
      </c>
      <c r="C1067" t="s">
        <v>3294</v>
      </c>
      <c r="D1067" t="s">
        <v>70</v>
      </c>
      <c r="E1067" t="s">
        <v>2521</v>
      </c>
      <c r="F1067">
        <v>4</v>
      </c>
      <c r="G1067">
        <v>40</v>
      </c>
      <c r="H1067">
        <v>1</v>
      </c>
      <c r="I1067">
        <v>1</v>
      </c>
      <c r="J1067">
        <v>0</v>
      </c>
      <c r="K1067" t="s">
        <v>110</v>
      </c>
      <c r="L1067" t="s">
        <v>111</v>
      </c>
      <c r="M1067" s="4">
        <v>430000000</v>
      </c>
      <c r="N1067">
        <v>0</v>
      </c>
      <c r="O1067">
        <v>4.6768188479999999</v>
      </c>
      <c r="P1067">
        <v>-74.059471130000006</v>
      </c>
      <c r="Q1067" t="s">
        <v>4425</v>
      </c>
      <c r="R1067">
        <v>10750000</v>
      </c>
      <c r="S1067">
        <v>0</v>
      </c>
      <c r="T1067" t="s">
        <v>75</v>
      </c>
      <c r="U1067" t="s">
        <v>76</v>
      </c>
      <c r="V1067" t="s">
        <v>77</v>
      </c>
      <c r="W1067" t="s">
        <v>78</v>
      </c>
      <c r="X1067" t="s">
        <v>79</v>
      </c>
      <c r="Y1067">
        <v>3.40000499535885</v>
      </c>
      <c r="Z1067">
        <v>3400.00499535885</v>
      </c>
      <c r="AA1067">
        <v>4.6584666666666701</v>
      </c>
      <c r="AB1067">
        <v>-74.083966666666697</v>
      </c>
      <c r="AC1067">
        <v>2552</v>
      </c>
      <c r="AD1067">
        <v>0</v>
      </c>
      <c r="AE1067" t="s">
        <v>80</v>
      </c>
      <c r="AF1067" t="s">
        <v>81</v>
      </c>
      <c r="AG1067" t="s">
        <v>82</v>
      </c>
      <c r="AH1067" t="s">
        <v>83</v>
      </c>
      <c r="AI1067" t="s">
        <v>342</v>
      </c>
      <c r="AJ1067">
        <v>0.10367805759798999</v>
      </c>
      <c r="AK1067">
        <v>2.0311225628915399</v>
      </c>
      <c r="AL1067">
        <v>0.34943716268133901</v>
      </c>
      <c r="AM1067">
        <v>4.6327946962965501E-2</v>
      </c>
      <c r="AN1067">
        <v>2.5048625739033699</v>
      </c>
      <c r="AO1067">
        <v>0.39563988233499298</v>
      </c>
      <c r="AP1067">
        <v>0.39563988233499298</v>
      </c>
      <c r="AQ1067">
        <v>2</v>
      </c>
      <c r="AR1067">
        <v>9</v>
      </c>
      <c r="AS1067">
        <v>0</v>
      </c>
      <c r="AT1067">
        <v>0</v>
      </c>
      <c r="AU1067">
        <v>2</v>
      </c>
      <c r="AV1067">
        <v>320</v>
      </c>
      <c r="AW1067">
        <v>0</v>
      </c>
      <c r="AX1067">
        <v>0</v>
      </c>
      <c r="AZ1067">
        <v>6.8</v>
      </c>
      <c r="BA1067">
        <v>19.899999999999999</v>
      </c>
      <c r="BB1067">
        <v>564</v>
      </c>
      <c r="BC1067">
        <v>68</v>
      </c>
      <c r="BD1067">
        <v>1.5</v>
      </c>
      <c r="BE1067">
        <v>135</v>
      </c>
      <c r="BF1067">
        <v>0.8</v>
      </c>
      <c r="BG1067">
        <v>162</v>
      </c>
      <c r="BH1067">
        <v>9.1</v>
      </c>
      <c r="BI1067">
        <v>9.1999999999999993</v>
      </c>
      <c r="BJ1067">
        <v>18.3</v>
      </c>
      <c r="BK1067">
        <v>0.34</v>
      </c>
      <c r="BL1067">
        <v>7.3</v>
      </c>
      <c r="BM1067">
        <v>0.9</v>
      </c>
      <c r="BN1067">
        <v>7.5</v>
      </c>
      <c r="BO1067">
        <v>2.9</v>
      </c>
      <c r="BP1067">
        <f t="shared" si="32"/>
        <v>5.7466803917019824</v>
      </c>
      <c r="BQ1067">
        <f t="shared" si="33"/>
        <v>18.340644570874534</v>
      </c>
    </row>
    <row r="1068" spans="1:69" hidden="1" x14ac:dyDescent="0.2">
      <c r="A1068" t="s">
        <v>4151</v>
      </c>
      <c r="B1068" t="s">
        <v>68</v>
      </c>
      <c r="C1068" t="s">
        <v>3294</v>
      </c>
      <c r="D1068" t="s">
        <v>70</v>
      </c>
      <c r="E1068" t="s">
        <v>1626</v>
      </c>
      <c r="F1068">
        <v>3</v>
      </c>
      <c r="G1068">
        <v>40</v>
      </c>
      <c r="H1068">
        <v>1</v>
      </c>
      <c r="I1068">
        <v>1</v>
      </c>
      <c r="J1068">
        <v>0</v>
      </c>
      <c r="K1068" t="s">
        <v>110</v>
      </c>
      <c r="L1068" t="s">
        <v>111</v>
      </c>
      <c r="M1068" s="4">
        <v>380000000</v>
      </c>
      <c r="N1068">
        <v>0</v>
      </c>
      <c r="O1068">
        <v>4.6534069999999996</v>
      </c>
      <c r="P1068">
        <v>-74.065119999999993</v>
      </c>
      <c r="Q1068" t="s">
        <v>4152</v>
      </c>
      <c r="R1068">
        <v>9500000</v>
      </c>
      <c r="S1068">
        <v>0</v>
      </c>
      <c r="T1068" t="s">
        <v>75</v>
      </c>
      <c r="U1068" t="s">
        <v>76</v>
      </c>
      <c r="V1068" t="s">
        <v>77</v>
      </c>
      <c r="W1068" t="s">
        <v>78</v>
      </c>
      <c r="X1068" t="s">
        <v>79</v>
      </c>
      <c r="Y1068">
        <v>2.1656053667068398</v>
      </c>
      <c r="Z1068">
        <v>2165.60536670684</v>
      </c>
      <c r="AA1068">
        <v>4.6584666666666701</v>
      </c>
      <c r="AB1068">
        <v>-74.083966666666697</v>
      </c>
      <c r="AC1068">
        <v>2552</v>
      </c>
      <c r="AD1068">
        <v>0</v>
      </c>
      <c r="AE1068" t="s">
        <v>80</v>
      </c>
      <c r="AF1068" t="s">
        <v>81</v>
      </c>
      <c r="AG1068" t="s">
        <v>82</v>
      </c>
      <c r="AH1068" t="s">
        <v>83</v>
      </c>
      <c r="AI1068" t="s">
        <v>342</v>
      </c>
      <c r="AJ1068">
        <v>0.28656320747302699</v>
      </c>
      <c r="AK1068">
        <v>1.6049300017594901</v>
      </c>
      <c r="AL1068">
        <v>0.15338437605572999</v>
      </c>
      <c r="AM1068">
        <v>6.2938871164205004E-2</v>
      </c>
      <c r="AN1068">
        <v>1.5019133276301699</v>
      </c>
      <c r="AO1068">
        <v>0.14322556854037899</v>
      </c>
      <c r="AP1068">
        <v>0.14322556854037899</v>
      </c>
      <c r="AQ1068">
        <v>1</v>
      </c>
      <c r="AR1068">
        <v>3</v>
      </c>
      <c r="AS1068">
        <v>0</v>
      </c>
      <c r="AT1068">
        <v>0</v>
      </c>
      <c r="AU1068">
        <v>24</v>
      </c>
      <c r="AV1068">
        <v>85</v>
      </c>
      <c r="AW1068">
        <v>0</v>
      </c>
      <c r="AX1068">
        <v>0</v>
      </c>
      <c r="AZ1068">
        <v>6.8</v>
      </c>
      <c r="BA1068">
        <v>19.899999999999999</v>
      </c>
      <c r="BB1068">
        <v>564</v>
      </c>
      <c r="BC1068">
        <v>68</v>
      </c>
      <c r="BD1068">
        <v>1.5</v>
      </c>
      <c r="BE1068">
        <v>135</v>
      </c>
      <c r="BF1068">
        <v>0.8</v>
      </c>
      <c r="BG1068">
        <v>162</v>
      </c>
      <c r="BH1068">
        <v>9.1</v>
      </c>
      <c r="BI1068">
        <v>9.1999999999999993</v>
      </c>
      <c r="BJ1068">
        <v>18.3</v>
      </c>
      <c r="BK1068">
        <v>0.34</v>
      </c>
      <c r="BL1068">
        <v>7.3</v>
      </c>
      <c r="BM1068">
        <v>0.9</v>
      </c>
      <c r="BN1068">
        <v>7.5</v>
      </c>
      <c r="BO1068">
        <v>2.9</v>
      </c>
      <c r="BP1068">
        <f t="shared" si="32"/>
        <v>6.1087681853350402</v>
      </c>
      <c r="BQ1068">
        <f t="shared" si="33"/>
        <v>18.892125649137739</v>
      </c>
    </row>
    <row r="1069" spans="1:69" hidden="1" x14ac:dyDescent="0.2">
      <c r="A1069" t="s">
        <v>4355</v>
      </c>
      <c r="B1069" t="s">
        <v>68</v>
      </c>
      <c r="C1069" t="s">
        <v>3294</v>
      </c>
      <c r="D1069" t="s">
        <v>70</v>
      </c>
      <c r="E1069" t="s">
        <v>136</v>
      </c>
      <c r="F1069">
        <v>4</v>
      </c>
      <c r="G1069">
        <v>40</v>
      </c>
      <c r="H1069">
        <v>1</v>
      </c>
      <c r="I1069">
        <v>1</v>
      </c>
      <c r="J1069">
        <v>0</v>
      </c>
      <c r="K1069" t="s">
        <v>110</v>
      </c>
      <c r="L1069" t="s">
        <v>133</v>
      </c>
      <c r="M1069" s="4">
        <v>370000000</v>
      </c>
      <c r="N1069">
        <v>0</v>
      </c>
      <c r="O1069">
        <v>4.6166214999999999</v>
      </c>
      <c r="P1069">
        <v>-74.070755000000005</v>
      </c>
      <c r="Q1069" t="s">
        <v>4356</v>
      </c>
      <c r="R1069">
        <v>9250000</v>
      </c>
      <c r="S1069">
        <v>0</v>
      </c>
      <c r="T1069" t="s">
        <v>126</v>
      </c>
      <c r="U1069" t="s">
        <v>127</v>
      </c>
      <c r="V1069" t="s">
        <v>77</v>
      </c>
      <c r="W1069" t="s">
        <v>128</v>
      </c>
      <c r="X1069" t="s">
        <v>129</v>
      </c>
      <c r="Y1069">
        <v>1.0719973963234299</v>
      </c>
      <c r="Z1069">
        <v>1071.9973963234299</v>
      </c>
      <c r="AA1069">
        <v>4.6254861111111101</v>
      </c>
      <c r="AB1069">
        <v>-74.066980555555503</v>
      </c>
      <c r="AC1069">
        <v>2621</v>
      </c>
      <c r="AD1069">
        <v>15</v>
      </c>
      <c r="AE1069" t="s">
        <v>80</v>
      </c>
      <c r="AF1069" t="s">
        <v>81</v>
      </c>
      <c r="AG1069" t="s">
        <v>82</v>
      </c>
      <c r="AH1069" t="s">
        <v>83</v>
      </c>
      <c r="AI1069" t="s">
        <v>138</v>
      </c>
      <c r="AJ1069">
        <v>0.15566678375343301</v>
      </c>
      <c r="AK1069">
        <v>0.79171783730697698</v>
      </c>
      <c r="AL1069">
        <v>0.21620866221139101</v>
      </c>
      <c r="AM1069">
        <v>3.8112851878542499E-2</v>
      </c>
      <c r="AN1069">
        <v>0.50889627349337896</v>
      </c>
      <c r="AO1069">
        <v>0.24693910484902501</v>
      </c>
      <c r="AP1069">
        <v>0.24693910484902501</v>
      </c>
      <c r="AQ1069">
        <v>2</v>
      </c>
      <c r="AR1069">
        <v>7</v>
      </c>
      <c r="AS1069">
        <v>0</v>
      </c>
      <c r="AT1069">
        <v>1</v>
      </c>
      <c r="AU1069">
        <v>12</v>
      </c>
      <c r="AV1069">
        <v>62</v>
      </c>
      <c r="AW1069">
        <v>1</v>
      </c>
      <c r="AX1069">
        <v>4</v>
      </c>
      <c r="AZ1069">
        <v>6.8</v>
      </c>
      <c r="BA1069">
        <v>19.899999999999999</v>
      </c>
      <c r="BB1069">
        <v>564</v>
      </c>
      <c r="BC1069">
        <v>68</v>
      </c>
      <c r="BD1069">
        <v>1.5</v>
      </c>
      <c r="BE1069">
        <v>135</v>
      </c>
      <c r="BF1069">
        <v>0.8</v>
      </c>
      <c r="BG1069">
        <v>162</v>
      </c>
      <c r="BH1069">
        <v>9.1</v>
      </c>
      <c r="BI1069">
        <v>9.1999999999999993</v>
      </c>
      <c r="BJ1069">
        <v>18.3</v>
      </c>
      <c r="BK1069">
        <v>0.34</v>
      </c>
      <c r="BL1069">
        <v>7.3</v>
      </c>
      <c r="BM1069">
        <v>0.9</v>
      </c>
      <c r="BN1069">
        <v>7.5</v>
      </c>
      <c r="BO1069">
        <v>2.9</v>
      </c>
      <c r="BP1069">
        <f t="shared" si="32"/>
        <v>6.4485721942101977</v>
      </c>
      <c r="BQ1069">
        <f t="shared" si="33"/>
        <v>19.394544093430834</v>
      </c>
    </row>
    <row r="1070" spans="1:69" hidden="1" x14ac:dyDescent="0.2">
      <c r="A1070" t="s">
        <v>4400</v>
      </c>
      <c r="B1070" t="s">
        <v>68</v>
      </c>
      <c r="C1070" t="s">
        <v>3294</v>
      </c>
      <c r="D1070" t="s">
        <v>70</v>
      </c>
      <c r="E1070" t="s">
        <v>73</v>
      </c>
      <c r="F1070">
        <v>4</v>
      </c>
      <c r="G1070">
        <v>40</v>
      </c>
      <c r="H1070">
        <v>1</v>
      </c>
      <c r="I1070">
        <v>2</v>
      </c>
      <c r="J1070">
        <v>1</v>
      </c>
      <c r="K1070" t="s">
        <v>110</v>
      </c>
      <c r="L1070" t="s">
        <v>111</v>
      </c>
      <c r="M1070" s="4">
        <v>354900000</v>
      </c>
      <c r="N1070">
        <v>0</v>
      </c>
      <c r="O1070">
        <v>4.6437854769999998</v>
      </c>
      <c r="P1070">
        <v>-74.072990419999996</v>
      </c>
      <c r="Q1070" t="s">
        <v>4401</v>
      </c>
      <c r="R1070">
        <v>8872500</v>
      </c>
      <c r="S1070">
        <v>0</v>
      </c>
      <c r="T1070" t="s">
        <v>75</v>
      </c>
      <c r="U1070" t="s">
        <v>76</v>
      </c>
      <c r="V1070" t="s">
        <v>77</v>
      </c>
      <c r="W1070" t="s">
        <v>78</v>
      </c>
      <c r="X1070" t="s">
        <v>79</v>
      </c>
      <c r="Y1070">
        <v>2.03815967763438</v>
      </c>
      <c r="Z1070">
        <v>2038.1596776343799</v>
      </c>
      <c r="AA1070">
        <v>4.6584666666666701</v>
      </c>
      <c r="AB1070">
        <v>-74.083966666666697</v>
      </c>
      <c r="AC1070">
        <v>2552</v>
      </c>
      <c r="AD1070">
        <v>0</v>
      </c>
      <c r="AE1070" t="s">
        <v>80</v>
      </c>
      <c r="AF1070" t="s">
        <v>81</v>
      </c>
      <c r="AG1070" t="s">
        <v>82</v>
      </c>
      <c r="AH1070" t="s">
        <v>83</v>
      </c>
      <c r="AI1070" t="s">
        <v>84</v>
      </c>
      <c r="AJ1070">
        <v>0.65878484924675496</v>
      </c>
      <c r="AK1070">
        <v>1.73871759791223</v>
      </c>
      <c r="AL1070">
        <v>0.14785292373776299</v>
      </c>
      <c r="AM1070">
        <v>5.7192771985503398E-2</v>
      </c>
      <c r="AN1070">
        <v>1.6366732923910701</v>
      </c>
      <c r="AO1070">
        <v>0.38866264883801599</v>
      </c>
      <c r="AP1070">
        <v>0.38866264883801599</v>
      </c>
      <c r="AQ1070">
        <v>0</v>
      </c>
      <c r="AR1070">
        <v>5</v>
      </c>
      <c r="AS1070">
        <v>0</v>
      </c>
      <c r="AT1070">
        <v>0</v>
      </c>
      <c r="AU1070">
        <v>7</v>
      </c>
      <c r="AV1070">
        <v>116</v>
      </c>
      <c r="AW1070">
        <v>0</v>
      </c>
      <c r="AX1070">
        <v>0</v>
      </c>
      <c r="AZ1070">
        <v>6.8</v>
      </c>
      <c r="BA1070">
        <v>19.899999999999999</v>
      </c>
      <c r="BB1070">
        <v>564</v>
      </c>
      <c r="BC1070">
        <v>68</v>
      </c>
      <c r="BD1070">
        <v>1.5</v>
      </c>
      <c r="BE1070">
        <v>135</v>
      </c>
      <c r="BF1070">
        <v>0.8</v>
      </c>
      <c r="BG1070">
        <v>162</v>
      </c>
      <c r="BH1070">
        <v>9.1</v>
      </c>
      <c r="BI1070">
        <v>9.1999999999999993</v>
      </c>
      <c r="BJ1070">
        <v>18.3</v>
      </c>
      <c r="BK1070">
        <v>0.34</v>
      </c>
      <c r="BL1070">
        <v>7.3</v>
      </c>
      <c r="BM1070">
        <v>0.9</v>
      </c>
      <c r="BN1070">
        <v>7.5</v>
      </c>
      <c r="BO1070">
        <v>2.9</v>
      </c>
      <c r="BP1070">
        <f t="shared" si="32"/>
        <v>6.1474275400347995</v>
      </c>
      <c r="BQ1070">
        <f t="shared" si="33"/>
        <v>18.949999392440006</v>
      </c>
    </row>
    <row r="1071" spans="1:69" hidden="1" x14ac:dyDescent="0.2">
      <c r="A1071" t="s">
        <v>936</v>
      </c>
      <c r="B1071" t="s">
        <v>68</v>
      </c>
      <c r="C1071" t="s">
        <v>69</v>
      </c>
      <c r="D1071" t="s">
        <v>70</v>
      </c>
      <c r="E1071" t="s">
        <v>639</v>
      </c>
      <c r="F1071">
        <v>4</v>
      </c>
      <c r="G1071">
        <v>39.799999999999997</v>
      </c>
      <c r="H1071">
        <v>1</v>
      </c>
      <c r="I1071">
        <v>1</v>
      </c>
      <c r="J1071">
        <v>1</v>
      </c>
      <c r="K1071" t="s">
        <v>72</v>
      </c>
      <c r="L1071" t="s">
        <v>73</v>
      </c>
      <c r="M1071" s="4">
        <v>412726000</v>
      </c>
      <c r="N1071">
        <v>0</v>
      </c>
      <c r="O1071">
        <v>4.6610316999999997</v>
      </c>
      <c r="P1071">
        <v>-74.079445000000007</v>
      </c>
      <c r="Q1071" t="s">
        <v>937</v>
      </c>
      <c r="R1071">
        <v>10370000</v>
      </c>
      <c r="S1071">
        <v>0</v>
      </c>
      <c r="T1071" t="s">
        <v>75</v>
      </c>
      <c r="U1071" t="s">
        <v>76</v>
      </c>
      <c r="V1071" t="s">
        <v>77</v>
      </c>
      <c r="W1071" t="s">
        <v>78</v>
      </c>
      <c r="X1071" t="s">
        <v>79</v>
      </c>
      <c r="Y1071">
        <v>0.57725282118917798</v>
      </c>
      <c r="Z1071">
        <v>577.25282118917801</v>
      </c>
      <c r="AA1071">
        <v>4.6584666666666701</v>
      </c>
      <c r="AB1071">
        <v>-74.083966666666697</v>
      </c>
      <c r="AC1071">
        <v>2552</v>
      </c>
      <c r="AD1071">
        <v>0</v>
      </c>
      <c r="AE1071" t="s">
        <v>80</v>
      </c>
      <c r="AF1071" t="s">
        <v>81</v>
      </c>
      <c r="AG1071" t="s">
        <v>82</v>
      </c>
      <c r="AH1071" t="s">
        <v>83</v>
      </c>
      <c r="AI1071" t="s">
        <v>342</v>
      </c>
      <c r="AJ1071">
        <v>0.45664851021150199</v>
      </c>
      <c r="AK1071">
        <v>3.2906681362303898</v>
      </c>
      <c r="AL1071">
        <v>1.2641850056572299</v>
      </c>
      <c r="AM1071">
        <v>0.10222706298203101</v>
      </c>
      <c r="AN1071">
        <v>1.4375849002076899</v>
      </c>
      <c r="AO1071">
        <v>0.20029136224211999</v>
      </c>
      <c r="AP1071">
        <v>0.20029136224211999</v>
      </c>
      <c r="AQ1071">
        <v>1</v>
      </c>
      <c r="AR1071">
        <v>2</v>
      </c>
      <c r="AS1071">
        <v>0</v>
      </c>
      <c r="AT1071">
        <v>0</v>
      </c>
      <c r="AU1071">
        <v>0</v>
      </c>
      <c r="AV1071">
        <v>22</v>
      </c>
      <c r="AW1071">
        <v>0</v>
      </c>
      <c r="AX1071">
        <v>0</v>
      </c>
      <c r="AZ1071">
        <v>6.8</v>
      </c>
      <c r="BA1071">
        <v>19.899999999999999</v>
      </c>
      <c r="BB1071">
        <v>564</v>
      </c>
      <c r="BC1071">
        <v>68</v>
      </c>
      <c r="BD1071">
        <v>1.5</v>
      </c>
      <c r="BE1071">
        <v>135</v>
      </c>
      <c r="BF1071">
        <v>0.8</v>
      </c>
      <c r="BG1071">
        <v>162</v>
      </c>
      <c r="BH1071">
        <v>9.1</v>
      </c>
      <c r="BI1071">
        <v>9.1999999999999993</v>
      </c>
      <c r="BJ1071">
        <v>18.3</v>
      </c>
      <c r="BK1071">
        <v>0.34</v>
      </c>
      <c r="BL1071">
        <v>7.3</v>
      </c>
      <c r="BM1071">
        <v>0.9</v>
      </c>
      <c r="BN1071">
        <v>7.5</v>
      </c>
      <c r="BO1071">
        <v>2.9</v>
      </c>
      <c r="BP1071">
        <f t="shared" si="32"/>
        <v>6.6084464602478965</v>
      </c>
      <c r="BQ1071">
        <f t="shared" si="33"/>
        <v>19.626205018930062</v>
      </c>
    </row>
    <row r="1072" spans="1:69" hidden="1" x14ac:dyDescent="0.2">
      <c r="A1072" t="s">
        <v>4447</v>
      </c>
      <c r="B1072" t="s">
        <v>68</v>
      </c>
      <c r="C1072" t="s">
        <v>3294</v>
      </c>
      <c r="D1072" t="s">
        <v>70</v>
      </c>
      <c r="E1072" t="s">
        <v>3486</v>
      </c>
      <c r="F1072">
        <v>4</v>
      </c>
      <c r="G1072">
        <v>39</v>
      </c>
      <c r="H1072">
        <v>1</v>
      </c>
      <c r="I1072">
        <v>1</v>
      </c>
      <c r="J1072">
        <v>1</v>
      </c>
      <c r="K1072" t="s">
        <v>110</v>
      </c>
      <c r="L1072" t="s">
        <v>133</v>
      </c>
      <c r="M1072" s="4">
        <v>370000000</v>
      </c>
      <c r="N1072">
        <v>0</v>
      </c>
      <c r="O1072">
        <v>4.6297907829999998</v>
      </c>
      <c r="P1072">
        <v>-74.086555480000001</v>
      </c>
      <c r="Q1072" t="s">
        <v>4448</v>
      </c>
      <c r="R1072">
        <v>9487179.4869999997</v>
      </c>
      <c r="S1072">
        <v>0</v>
      </c>
      <c r="T1072" t="s">
        <v>126</v>
      </c>
      <c r="U1072" t="s">
        <v>127</v>
      </c>
      <c r="V1072" t="s">
        <v>77</v>
      </c>
      <c r="W1072" t="s">
        <v>128</v>
      </c>
      <c r="X1072" t="s">
        <v>129</v>
      </c>
      <c r="Y1072">
        <v>2.2242004173982601</v>
      </c>
      <c r="Z1072">
        <v>2224.20041739826</v>
      </c>
      <c r="AA1072">
        <v>4.6254861111111101</v>
      </c>
      <c r="AB1072">
        <v>-74.066980555555503</v>
      </c>
      <c r="AC1072">
        <v>2621</v>
      </c>
      <c r="AD1072">
        <v>15</v>
      </c>
      <c r="AE1072" t="s">
        <v>80</v>
      </c>
      <c r="AF1072" t="s">
        <v>81</v>
      </c>
      <c r="AG1072" t="s">
        <v>82</v>
      </c>
      <c r="AH1072" t="s">
        <v>83</v>
      </c>
      <c r="AI1072" t="s">
        <v>84</v>
      </c>
      <c r="AJ1072">
        <v>0.35655386462662603</v>
      </c>
      <c r="AK1072">
        <v>2.8410565972228699</v>
      </c>
      <c r="AL1072">
        <v>0.683772321304979</v>
      </c>
      <c r="AM1072">
        <v>0.33545040689062</v>
      </c>
      <c r="AN1072">
        <v>2.2224696413016001</v>
      </c>
      <c r="AO1072">
        <v>0.14741304787135801</v>
      </c>
      <c r="AP1072">
        <v>0.14741304787135801</v>
      </c>
      <c r="AQ1072">
        <v>1</v>
      </c>
      <c r="AR1072">
        <v>5</v>
      </c>
      <c r="AS1072">
        <v>0</v>
      </c>
      <c r="AT1072">
        <v>0</v>
      </c>
      <c r="AU1072">
        <v>2</v>
      </c>
      <c r="AV1072">
        <v>28</v>
      </c>
      <c r="AW1072">
        <v>0</v>
      </c>
      <c r="AX1072">
        <v>0</v>
      </c>
      <c r="AZ1072">
        <v>6.8</v>
      </c>
      <c r="BA1072">
        <v>19.899999999999999</v>
      </c>
      <c r="BB1072">
        <v>564</v>
      </c>
      <c r="BC1072">
        <v>68</v>
      </c>
      <c r="BD1072">
        <v>1.5</v>
      </c>
      <c r="BE1072">
        <v>135</v>
      </c>
      <c r="BF1072">
        <v>0.8</v>
      </c>
      <c r="BG1072">
        <v>162</v>
      </c>
      <c r="BH1072">
        <v>9.1</v>
      </c>
      <c r="BI1072">
        <v>9.1999999999999993</v>
      </c>
      <c r="BJ1072">
        <v>18.3</v>
      </c>
      <c r="BK1072">
        <v>0.34</v>
      </c>
      <c r="BL1072">
        <v>7.3</v>
      </c>
      <c r="BM1072">
        <v>0.9</v>
      </c>
      <c r="BN1072">
        <v>7.5</v>
      </c>
      <c r="BO1072">
        <v>2.9</v>
      </c>
      <c r="BP1072">
        <f t="shared" si="32"/>
        <v>6.0910756486584132</v>
      </c>
      <c r="BQ1072">
        <f t="shared" si="33"/>
        <v>18.865576679729649</v>
      </c>
    </row>
    <row r="1073" spans="1:69" hidden="1" x14ac:dyDescent="0.2">
      <c r="A1073" t="s">
        <v>4592</v>
      </c>
      <c r="B1073" t="s">
        <v>68</v>
      </c>
      <c r="C1073" t="s">
        <v>3294</v>
      </c>
      <c r="D1073" t="s">
        <v>70</v>
      </c>
      <c r="E1073" t="s">
        <v>1098</v>
      </c>
      <c r="F1073">
        <v>3</v>
      </c>
      <c r="G1073">
        <v>38.28</v>
      </c>
      <c r="H1073">
        <v>1</v>
      </c>
      <c r="I1073">
        <v>2</v>
      </c>
      <c r="J1073">
        <v>0</v>
      </c>
      <c r="K1073" t="s">
        <v>110</v>
      </c>
      <c r="L1073" t="s">
        <v>111</v>
      </c>
      <c r="M1073" s="4">
        <v>429000000</v>
      </c>
      <c r="N1073">
        <v>0</v>
      </c>
      <c r="O1073">
        <v>4.6102981569999999</v>
      </c>
      <c r="P1073">
        <v>-74.070297240000002</v>
      </c>
      <c r="Q1073" t="s">
        <v>4593</v>
      </c>
      <c r="R1073">
        <v>11206896.550000001</v>
      </c>
      <c r="S1073">
        <v>0</v>
      </c>
      <c r="T1073" t="s">
        <v>126</v>
      </c>
      <c r="U1073" t="s">
        <v>127</v>
      </c>
      <c r="V1073" t="s">
        <v>77</v>
      </c>
      <c r="W1073" t="s">
        <v>128</v>
      </c>
      <c r="X1073" t="s">
        <v>129</v>
      </c>
      <c r="Y1073">
        <v>1.7303039948863199</v>
      </c>
      <c r="Z1073">
        <v>1730.30399488632</v>
      </c>
      <c r="AA1073">
        <v>4.6254861111111101</v>
      </c>
      <c r="AB1073">
        <v>-74.066980555555503</v>
      </c>
      <c r="AC1073">
        <v>2621</v>
      </c>
      <c r="AD1073">
        <v>15</v>
      </c>
      <c r="AE1073" t="s">
        <v>80</v>
      </c>
      <c r="AF1073" t="s">
        <v>81</v>
      </c>
      <c r="AG1073" t="s">
        <v>82</v>
      </c>
      <c r="AH1073" t="s">
        <v>83</v>
      </c>
      <c r="AI1073" t="s">
        <v>138</v>
      </c>
      <c r="AJ1073">
        <v>0.14900289134692199</v>
      </c>
      <c r="AK1073">
        <v>0.63102433007343794</v>
      </c>
      <c r="AL1073">
        <v>0.28083040726213199</v>
      </c>
      <c r="AM1073">
        <v>0.270972018246874</v>
      </c>
      <c r="AN1073">
        <v>0.70264826900877198</v>
      </c>
      <c r="AO1073">
        <v>6.16071544114761E-2</v>
      </c>
      <c r="AP1073">
        <v>6.16071544114761E-2</v>
      </c>
      <c r="AQ1073">
        <v>1</v>
      </c>
      <c r="AR1073">
        <v>8</v>
      </c>
      <c r="AS1073">
        <v>0</v>
      </c>
      <c r="AT1073">
        <v>24</v>
      </c>
      <c r="AU1073">
        <v>9</v>
      </c>
      <c r="AV1073">
        <v>63</v>
      </c>
      <c r="AW1073">
        <v>1</v>
      </c>
      <c r="AX1073">
        <v>6</v>
      </c>
      <c r="AZ1073">
        <v>6.8</v>
      </c>
      <c r="BA1073">
        <v>19.899999999999999</v>
      </c>
      <c r="BB1073">
        <v>564</v>
      </c>
      <c r="BC1073">
        <v>68</v>
      </c>
      <c r="BD1073">
        <v>1.5</v>
      </c>
      <c r="BE1073">
        <v>135</v>
      </c>
      <c r="BF1073">
        <v>0.8</v>
      </c>
      <c r="BG1073">
        <v>162</v>
      </c>
      <c r="BH1073">
        <v>9.1</v>
      </c>
      <c r="BI1073">
        <v>9.1999999999999993</v>
      </c>
      <c r="BJ1073">
        <v>18.3</v>
      </c>
      <c r="BK1073">
        <v>0.34</v>
      </c>
      <c r="BL1073">
        <v>7.3</v>
      </c>
      <c r="BM1073">
        <v>0.9</v>
      </c>
      <c r="BN1073">
        <v>7.5</v>
      </c>
      <c r="BO1073">
        <v>2.9</v>
      </c>
      <c r="BP1073">
        <f t="shared" si="32"/>
        <v>6.2418247307623007</v>
      </c>
      <c r="BQ1073">
        <f t="shared" si="33"/>
        <v>19.09053067340108</v>
      </c>
    </row>
    <row r="1074" spans="1:69" hidden="1" x14ac:dyDescent="0.2">
      <c r="A1074" t="s">
        <v>3990</v>
      </c>
      <c r="B1074" t="s">
        <v>68</v>
      </c>
      <c r="C1074" t="s">
        <v>3294</v>
      </c>
      <c r="D1074" t="s">
        <v>70</v>
      </c>
      <c r="E1074" t="s">
        <v>168</v>
      </c>
      <c r="F1074">
        <v>4</v>
      </c>
      <c r="G1074">
        <v>38</v>
      </c>
      <c r="H1074">
        <v>1</v>
      </c>
      <c r="I1074">
        <v>2</v>
      </c>
      <c r="J1074">
        <v>1</v>
      </c>
      <c r="K1074" t="s">
        <v>110</v>
      </c>
      <c r="L1074" t="s">
        <v>111</v>
      </c>
      <c r="M1074" s="4">
        <v>480000000</v>
      </c>
      <c r="N1074">
        <v>0</v>
      </c>
      <c r="O1074">
        <v>4.6296036999999997</v>
      </c>
      <c r="P1074">
        <v>-74.085366899999997</v>
      </c>
      <c r="Q1074" t="s">
        <v>3991</v>
      </c>
      <c r="R1074">
        <v>12631578.949999999</v>
      </c>
      <c r="S1074">
        <v>0</v>
      </c>
      <c r="T1074" t="s">
        <v>126</v>
      </c>
      <c r="U1074" t="s">
        <v>127</v>
      </c>
      <c r="V1074" t="s">
        <v>77</v>
      </c>
      <c r="W1074" t="s">
        <v>128</v>
      </c>
      <c r="X1074" t="s">
        <v>129</v>
      </c>
      <c r="Y1074">
        <v>2.09094572601972</v>
      </c>
      <c r="Z1074">
        <v>2090.94572601972</v>
      </c>
      <c r="AA1074">
        <v>4.6254861111111101</v>
      </c>
      <c r="AB1074">
        <v>-74.066980555555503</v>
      </c>
      <c r="AC1074">
        <v>2621</v>
      </c>
      <c r="AD1074">
        <v>15</v>
      </c>
      <c r="AE1074" t="s">
        <v>80</v>
      </c>
      <c r="AF1074" t="s">
        <v>81</v>
      </c>
      <c r="AG1074" t="s">
        <v>82</v>
      </c>
      <c r="AH1074" t="s">
        <v>83</v>
      </c>
      <c r="AI1074" t="s">
        <v>84</v>
      </c>
      <c r="AJ1074">
        <v>0.24772595230937999</v>
      </c>
      <c r="AK1074">
        <v>2.7087078232637301</v>
      </c>
      <c r="AL1074">
        <v>0.57718402679240199</v>
      </c>
      <c r="AM1074">
        <v>0.30658984240912501</v>
      </c>
      <c r="AN1074">
        <v>2.0891786263124299</v>
      </c>
      <c r="AO1074">
        <v>9.2688519412828393E-2</v>
      </c>
      <c r="AP1074">
        <v>9.2688519412828393E-2</v>
      </c>
      <c r="AQ1074">
        <v>1</v>
      </c>
      <c r="AR1074">
        <v>5</v>
      </c>
      <c r="AS1074">
        <v>0</v>
      </c>
      <c r="AT1074">
        <v>0</v>
      </c>
      <c r="AU1074">
        <v>2</v>
      </c>
      <c r="AV1074">
        <v>27</v>
      </c>
      <c r="AW1074">
        <v>0</v>
      </c>
      <c r="AX1074">
        <v>0</v>
      </c>
      <c r="AZ1074">
        <v>6.8</v>
      </c>
      <c r="BA1074">
        <v>19.899999999999999</v>
      </c>
      <c r="BB1074">
        <v>564</v>
      </c>
      <c r="BC1074">
        <v>68</v>
      </c>
      <c r="BD1074">
        <v>1.5</v>
      </c>
      <c r="BE1074">
        <v>135</v>
      </c>
      <c r="BF1074">
        <v>0.8</v>
      </c>
      <c r="BG1074">
        <v>162</v>
      </c>
      <c r="BH1074">
        <v>9.1</v>
      </c>
      <c r="BI1074">
        <v>9.1999999999999993</v>
      </c>
      <c r="BJ1074">
        <v>18.3</v>
      </c>
      <c r="BK1074">
        <v>0.34</v>
      </c>
      <c r="BL1074">
        <v>7.3</v>
      </c>
      <c r="BM1074">
        <v>0.9</v>
      </c>
      <c r="BN1074">
        <v>7.5</v>
      </c>
      <c r="BO1074">
        <v>2.9</v>
      </c>
      <c r="BP1074">
        <f t="shared" si="32"/>
        <v>6.131385835746614</v>
      </c>
      <c r="BQ1074">
        <f t="shared" si="33"/>
        <v>18.926007498859928</v>
      </c>
    </row>
    <row r="1075" spans="1:69" hidden="1" x14ac:dyDescent="0.2">
      <c r="A1075" t="s">
        <v>4264</v>
      </c>
      <c r="B1075" t="s">
        <v>68</v>
      </c>
      <c r="C1075" t="s">
        <v>3294</v>
      </c>
      <c r="D1075" t="s">
        <v>70</v>
      </c>
      <c r="E1075" t="s">
        <v>3559</v>
      </c>
      <c r="F1075">
        <v>3</v>
      </c>
      <c r="G1075">
        <v>38</v>
      </c>
      <c r="H1075">
        <v>1</v>
      </c>
      <c r="I1075">
        <v>1</v>
      </c>
      <c r="J1075">
        <v>0</v>
      </c>
      <c r="K1075" t="s">
        <v>110</v>
      </c>
      <c r="L1075" t="s">
        <v>111</v>
      </c>
      <c r="M1075" s="4">
        <v>460000000</v>
      </c>
      <c r="N1075">
        <v>0</v>
      </c>
      <c r="O1075">
        <v>4.6133962999999998</v>
      </c>
      <c r="P1075">
        <v>-74.0695956</v>
      </c>
      <c r="Q1075" t="s">
        <v>4265</v>
      </c>
      <c r="R1075">
        <v>12105263.16</v>
      </c>
      <c r="S1075">
        <v>0</v>
      </c>
      <c r="T1075" t="s">
        <v>126</v>
      </c>
      <c r="U1075" t="s">
        <v>127</v>
      </c>
      <c r="V1075" t="s">
        <v>77</v>
      </c>
      <c r="W1075" t="s">
        <v>128</v>
      </c>
      <c r="X1075" t="s">
        <v>129</v>
      </c>
      <c r="Y1075">
        <v>1.3767554048533599</v>
      </c>
      <c r="Z1075">
        <v>1376.75540485336</v>
      </c>
      <c r="AA1075">
        <v>4.6254861111111101</v>
      </c>
      <c r="AB1075">
        <v>-74.066980555555503</v>
      </c>
      <c r="AC1075">
        <v>2621</v>
      </c>
      <c r="AD1075">
        <v>15</v>
      </c>
      <c r="AE1075" t="s">
        <v>80</v>
      </c>
      <c r="AF1075" t="s">
        <v>81</v>
      </c>
      <c r="AG1075" t="s">
        <v>82</v>
      </c>
      <c r="AH1075" t="s">
        <v>83</v>
      </c>
      <c r="AI1075" t="s">
        <v>138</v>
      </c>
      <c r="AJ1075">
        <v>0.20859495229956401</v>
      </c>
      <c r="AK1075">
        <v>0.63537759075358202</v>
      </c>
      <c r="AL1075">
        <v>0.19026566687762</v>
      </c>
      <c r="AM1075">
        <v>9.3815307045673396E-2</v>
      </c>
      <c r="AN1075">
        <v>0.414600482625401</v>
      </c>
      <c r="AO1075">
        <v>1.06945947541207E-2</v>
      </c>
      <c r="AP1075">
        <v>1.06945947541207E-2</v>
      </c>
      <c r="AQ1075">
        <v>3</v>
      </c>
      <c r="AR1075">
        <v>7</v>
      </c>
      <c r="AS1075">
        <v>0</v>
      </c>
      <c r="AT1075">
        <v>18</v>
      </c>
      <c r="AU1075">
        <v>9</v>
      </c>
      <c r="AV1075">
        <v>66</v>
      </c>
      <c r="AW1075">
        <v>1</v>
      </c>
      <c r="AX1075">
        <v>4</v>
      </c>
      <c r="AZ1075">
        <v>6.8</v>
      </c>
      <c r="BA1075">
        <v>19.899999999999999</v>
      </c>
      <c r="BB1075">
        <v>564</v>
      </c>
      <c r="BC1075">
        <v>68</v>
      </c>
      <c r="BD1075">
        <v>1.5</v>
      </c>
      <c r="BE1075">
        <v>135</v>
      </c>
      <c r="BF1075">
        <v>0.8</v>
      </c>
      <c r="BG1075">
        <v>162</v>
      </c>
      <c r="BH1075">
        <v>9.1</v>
      </c>
      <c r="BI1075">
        <v>9.1999999999999993</v>
      </c>
      <c r="BJ1075">
        <v>18.3</v>
      </c>
      <c r="BK1075">
        <v>0.34</v>
      </c>
      <c r="BL1075">
        <v>7.3</v>
      </c>
      <c r="BM1075">
        <v>0.9</v>
      </c>
      <c r="BN1075">
        <v>7.5</v>
      </c>
      <c r="BO1075">
        <v>2.9</v>
      </c>
      <c r="BP1075">
        <f t="shared" si="32"/>
        <v>6.3520222047060599</v>
      </c>
      <c r="BQ1075">
        <f t="shared" si="33"/>
        <v>19.253206186617128</v>
      </c>
    </row>
    <row r="1076" spans="1:69" hidden="1" x14ac:dyDescent="0.2">
      <c r="A1076" t="s">
        <v>4521</v>
      </c>
      <c r="B1076" t="s">
        <v>68</v>
      </c>
      <c r="C1076" t="s">
        <v>3294</v>
      </c>
      <c r="D1076" t="s">
        <v>70</v>
      </c>
      <c r="E1076" t="s">
        <v>3410</v>
      </c>
      <c r="F1076">
        <v>3</v>
      </c>
      <c r="G1076">
        <v>38</v>
      </c>
      <c r="H1076">
        <v>1</v>
      </c>
      <c r="I1076">
        <v>1</v>
      </c>
      <c r="J1076">
        <v>1</v>
      </c>
      <c r="K1076" t="s">
        <v>110</v>
      </c>
      <c r="L1076" t="s">
        <v>133</v>
      </c>
      <c r="M1076" s="4">
        <v>425000000</v>
      </c>
      <c r="N1076">
        <v>0</v>
      </c>
      <c r="O1076">
        <v>4.6057240000000004</v>
      </c>
      <c r="P1076">
        <v>-74.069774600000002</v>
      </c>
      <c r="Q1076" t="s">
        <v>4522</v>
      </c>
      <c r="R1076">
        <v>11184210.529999999</v>
      </c>
      <c r="S1076">
        <v>0</v>
      </c>
      <c r="T1076" t="s">
        <v>126</v>
      </c>
      <c r="U1076" t="s">
        <v>127</v>
      </c>
      <c r="V1076" t="s">
        <v>77</v>
      </c>
      <c r="W1076" t="s">
        <v>128</v>
      </c>
      <c r="X1076" t="s">
        <v>129</v>
      </c>
      <c r="Y1076">
        <v>2.2216458011568601</v>
      </c>
      <c r="Z1076">
        <v>2221.6458011568602</v>
      </c>
      <c r="AA1076">
        <v>4.6254861111111101</v>
      </c>
      <c r="AB1076">
        <v>-74.066980555555503</v>
      </c>
      <c r="AC1076">
        <v>2621</v>
      </c>
      <c r="AD1076">
        <v>15</v>
      </c>
      <c r="AE1076" t="s">
        <v>80</v>
      </c>
      <c r="AF1076" t="s">
        <v>81</v>
      </c>
      <c r="AG1076" t="s">
        <v>82</v>
      </c>
      <c r="AH1076" t="s">
        <v>83</v>
      </c>
      <c r="AI1076" t="s">
        <v>138</v>
      </c>
      <c r="AJ1076">
        <v>0.29753867462803602</v>
      </c>
      <c r="AK1076">
        <v>0.584230580017846</v>
      </c>
      <c r="AL1076">
        <v>8.6259365162140195E-2</v>
      </c>
      <c r="AM1076">
        <v>8.4572768070052595E-2</v>
      </c>
      <c r="AN1076">
        <v>1.1220487400144099</v>
      </c>
      <c r="AO1076">
        <v>1.17672720416822E-2</v>
      </c>
      <c r="AP1076">
        <v>1.17672720416822E-2</v>
      </c>
      <c r="AQ1076">
        <v>2</v>
      </c>
      <c r="AR1076">
        <v>8</v>
      </c>
      <c r="AS1076">
        <v>0</v>
      </c>
      <c r="AT1076">
        <v>28</v>
      </c>
      <c r="AU1076">
        <v>12</v>
      </c>
      <c r="AV1076">
        <v>53</v>
      </c>
      <c r="AW1076">
        <v>0</v>
      </c>
      <c r="AX1076">
        <v>9</v>
      </c>
      <c r="AZ1076">
        <v>6.8</v>
      </c>
      <c r="BA1076">
        <v>19.899999999999999</v>
      </c>
      <c r="BB1076">
        <v>564</v>
      </c>
      <c r="BC1076">
        <v>68</v>
      </c>
      <c r="BD1076">
        <v>1.5</v>
      </c>
      <c r="BE1076">
        <v>135</v>
      </c>
      <c r="BF1076">
        <v>0.8</v>
      </c>
      <c r="BG1076">
        <v>162</v>
      </c>
      <c r="BH1076">
        <v>9.1</v>
      </c>
      <c r="BI1076">
        <v>9.1999999999999993</v>
      </c>
      <c r="BJ1076">
        <v>18.3</v>
      </c>
      <c r="BK1076">
        <v>0.34</v>
      </c>
      <c r="BL1076">
        <v>7.3</v>
      </c>
      <c r="BM1076">
        <v>0.9</v>
      </c>
      <c r="BN1076">
        <v>7.5</v>
      </c>
      <c r="BO1076">
        <v>2.9</v>
      </c>
      <c r="BP1076">
        <f t="shared" si="32"/>
        <v>6.0918459352186973</v>
      </c>
      <c r="BQ1076">
        <f t="shared" si="33"/>
        <v>18.866733378594493</v>
      </c>
    </row>
    <row r="1077" spans="1:69" hidden="1" x14ac:dyDescent="0.2">
      <c r="A1077" t="s">
        <v>4472</v>
      </c>
      <c r="B1077" t="s">
        <v>68</v>
      </c>
      <c r="C1077" t="s">
        <v>3294</v>
      </c>
      <c r="D1077" t="s">
        <v>70</v>
      </c>
      <c r="E1077" t="s">
        <v>4044</v>
      </c>
      <c r="F1077">
        <v>5</v>
      </c>
      <c r="G1077">
        <v>38</v>
      </c>
      <c r="H1077">
        <v>1</v>
      </c>
      <c r="I1077">
        <v>1</v>
      </c>
      <c r="J1077">
        <v>0</v>
      </c>
      <c r="K1077" t="s">
        <v>110</v>
      </c>
      <c r="L1077" t="s">
        <v>111</v>
      </c>
      <c r="M1077" s="4">
        <v>359100000</v>
      </c>
      <c r="N1077">
        <v>0</v>
      </c>
      <c r="O1077">
        <v>4.6101999999999999</v>
      </c>
      <c r="P1077">
        <v>-74.070570000000004</v>
      </c>
      <c r="Q1077" t="s">
        <v>4473</v>
      </c>
      <c r="R1077">
        <v>9450000</v>
      </c>
      <c r="S1077">
        <v>0</v>
      </c>
      <c r="T1077" t="s">
        <v>126</v>
      </c>
      <c r="U1077" t="s">
        <v>127</v>
      </c>
      <c r="V1077" t="s">
        <v>77</v>
      </c>
      <c r="W1077" t="s">
        <v>128</v>
      </c>
      <c r="X1077" t="s">
        <v>129</v>
      </c>
      <c r="Y1077">
        <v>1.74763018314782</v>
      </c>
      <c r="Z1077">
        <v>1747.6301831478199</v>
      </c>
      <c r="AA1077">
        <v>4.6254861111111101</v>
      </c>
      <c r="AB1077">
        <v>-74.066980555555503</v>
      </c>
      <c r="AC1077">
        <v>2621</v>
      </c>
      <c r="AD1077">
        <v>15</v>
      </c>
      <c r="AE1077" t="s">
        <v>80</v>
      </c>
      <c r="AF1077" t="s">
        <v>81</v>
      </c>
      <c r="AG1077" t="s">
        <v>82</v>
      </c>
      <c r="AH1077" t="s">
        <v>83</v>
      </c>
      <c r="AI1077" t="s">
        <v>138</v>
      </c>
      <c r="AJ1077">
        <v>0.12886504512609101</v>
      </c>
      <c r="AK1077">
        <v>0.65821764849167297</v>
      </c>
      <c r="AL1077">
        <v>0.26096521403899497</v>
      </c>
      <c r="AM1077">
        <v>0.25406418001092301</v>
      </c>
      <c r="AN1077">
        <v>0.73012596382792005</v>
      </c>
      <c r="AO1077">
        <v>4.0797947347179002E-2</v>
      </c>
      <c r="AP1077">
        <v>4.0797947347179002E-2</v>
      </c>
      <c r="AQ1077">
        <v>1</v>
      </c>
      <c r="AR1077">
        <v>8</v>
      </c>
      <c r="AS1077">
        <v>0</v>
      </c>
      <c r="AT1077">
        <v>23</v>
      </c>
      <c r="AU1077">
        <v>10</v>
      </c>
      <c r="AV1077">
        <v>63</v>
      </c>
      <c r="AW1077">
        <v>1</v>
      </c>
      <c r="AX1077">
        <v>6</v>
      </c>
      <c r="AZ1077">
        <v>6.8</v>
      </c>
      <c r="BA1077">
        <v>19.899999999999999</v>
      </c>
      <c r="BB1077">
        <v>564</v>
      </c>
      <c r="BC1077">
        <v>68</v>
      </c>
      <c r="BD1077">
        <v>1.5</v>
      </c>
      <c r="BE1077">
        <v>135</v>
      </c>
      <c r="BF1077">
        <v>0.8</v>
      </c>
      <c r="BG1077">
        <v>162</v>
      </c>
      <c r="BH1077">
        <v>9.1</v>
      </c>
      <c r="BI1077">
        <v>9.1999999999999993</v>
      </c>
      <c r="BJ1077">
        <v>18.3</v>
      </c>
      <c r="BK1077">
        <v>0.34</v>
      </c>
      <c r="BL1077">
        <v>7.3</v>
      </c>
      <c r="BM1077">
        <v>0.9</v>
      </c>
      <c r="BN1077">
        <v>7.5</v>
      </c>
      <c r="BO1077">
        <v>2.9</v>
      </c>
      <c r="BP1077">
        <f t="shared" si="32"/>
        <v>6.236473747711921</v>
      </c>
      <c r="BQ1077">
        <f t="shared" si="33"/>
        <v>19.08259393659317</v>
      </c>
    </row>
    <row r="1078" spans="1:69" hidden="1" x14ac:dyDescent="0.2">
      <c r="A1078" t="s">
        <v>3712</v>
      </c>
      <c r="B1078" t="s">
        <v>68</v>
      </c>
      <c r="C1078" t="s">
        <v>3294</v>
      </c>
      <c r="D1078" t="s">
        <v>70</v>
      </c>
      <c r="E1078" t="s">
        <v>948</v>
      </c>
      <c r="F1078">
        <v>4</v>
      </c>
      <c r="G1078">
        <v>38</v>
      </c>
      <c r="H1078">
        <v>1</v>
      </c>
      <c r="I1078">
        <v>1</v>
      </c>
      <c r="J1078">
        <v>0</v>
      </c>
      <c r="K1078" t="s">
        <v>110</v>
      </c>
      <c r="L1078" t="s">
        <v>162</v>
      </c>
      <c r="M1078" s="4">
        <v>320000000</v>
      </c>
      <c r="N1078">
        <v>0</v>
      </c>
      <c r="O1078">
        <v>4.6325099999999999</v>
      </c>
      <c r="P1078">
        <v>-74.066699999999997</v>
      </c>
      <c r="Q1078" t="s">
        <v>3713</v>
      </c>
      <c r="R1078">
        <v>8421052.6319999993</v>
      </c>
      <c r="S1078">
        <v>0</v>
      </c>
      <c r="T1078" t="s">
        <v>126</v>
      </c>
      <c r="U1078" t="s">
        <v>127</v>
      </c>
      <c r="V1078" t="s">
        <v>77</v>
      </c>
      <c r="W1078" t="s">
        <v>128</v>
      </c>
      <c r="X1078" t="s">
        <v>129</v>
      </c>
      <c r="Y1078">
        <v>0.78251516346098504</v>
      </c>
      <c r="Z1078">
        <v>782.51516346098504</v>
      </c>
      <c r="AA1078">
        <v>4.6254861111111101</v>
      </c>
      <c r="AB1078">
        <v>-74.066980555555503</v>
      </c>
      <c r="AC1078">
        <v>2621</v>
      </c>
      <c r="AD1078">
        <v>15</v>
      </c>
      <c r="AE1078" t="s">
        <v>80</v>
      </c>
      <c r="AF1078" t="s">
        <v>81</v>
      </c>
      <c r="AG1078" t="s">
        <v>82</v>
      </c>
      <c r="AH1078" t="s">
        <v>83</v>
      </c>
      <c r="AI1078" t="s">
        <v>130</v>
      </c>
      <c r="AJ1078">
        <v>0.17534095406804501</v>
      </c>
      <c r="AK1078">
        <v>0.74864173603895701</v>
      </c>
      <c r="AL1078">
        <v>0.122209191209077</v>
      </c>
      <c r="AM1078">
        <v>5.9594341865919699E-2</v>
      </c>
      <c r="AN1078">
        <v>0.55360411852842495</v>
      </c>
      <c r="AO1078">
        <v>0.38063780035907302</v>
      </c>
      <c r="AP1078">
        <v>0.38063780035907302</v>
      </c>
      <c r="AQ1078">
        <v>1</v>
      </c>
      <c r="AR1078">
        <v>5</v>
      </c>
      <c r="AS1078">
        <v>0</v>
      </c>
      <c r="AT1078">
        <v>18</v>
      </c>
      <c r="AU1078">
        <v>16</v>
      </c>
      <c r="AV1078">
        <v>165</v>
      </c>
      <c r="AW1078">
        <v>1</v>
      </c>
      <c r="AX1078">
        <v>0</v>
      </c>
      <c r="AZ1078">
        <v>6.8</v>
      </c>
      <c r="BA1078">
        <v>19.899999999999999</v>
      </c>
      <c r="BB1078">
        <v>564</v>
      </c>
      <c r="BC1078">
        <v>68</v>
      </c>
      <c r="BD1078">
        <v>1.5</v>
      </c>
      <c r="BE1078">
        <v>135</v>
      </c>
      <c r="BF1078">
        <v>0.8</v>
      </c>
      <c r="BG1078">
        <v>162</v>
      </c>
      <c r="BH1078">
        <v>9.1</v>
      </c>
      <c r="BI1078">
        <v>9.1999999999999993</v>
      </c>
      <c r="BJ1078">
        <v>18.3</v>
      </c>
      <c r="BK1078">
        <v>0.34</v>
      </c>
      <c r="BL1078">
        <v>7.3</v>
      </c>
      <c r="BM1078">
        <v>0.9</v>
      </c>
      <c r="BN1078">
        <v>7.5</v>
      </c>
      <c r="BO1078">
        <v>2.9</v>
      </c>
      <c r="BP1078">
        <f t="shared" si="32"/>
        <v>6.5416413935775548</v>
      </c>
      <c r="BQ1078">
        <f t="shared" si="33"/>
        <v>19.52975827709999</v>
      </c>
    </row>
    <row r="1079" spans="1:69" hidden="1" x14ac:dyDescent="0.2">
      <c r="A1079" t="s">
        <v>4085</v>
      </c>
      <c r="B1079" t="s">
        <v>68</v>
      </c>
      <c r="C1079" t="s">
        <v>3294</v>
      </c>
      <c r="D1079" t="s">
        <v>70</v>
      </c>
      <c r="E1079" t="s">
        <v>1098</v>
      </c>
      <c r="F1079">
        <v>1</v>
      </c>
      <c r="G1079">
        <v>38</v>
      </c>
      <c r="H1079">
        <v>1</v>
      </c>
      <c r="I1079">
        <v>1</v>
      </c>
      <c r="J1079">
        <v>1</v>
      </c>
      <c r="K1079" t="s">
        <v>110</v>
      </c>
      <c r="L1079" t="s">
        <v>133</v>
      </c>
      <c r="M1079" s="4">
        <v>310000000</v>
      </c>
      <c r="N1079">
        <v>0</v>
      </c>
      <c r="O1079">
        <v>4.6048102379999998</v>
      </c>
      <c r="P1079">
        <v>-74.070510859999999</v>
      </c>
      <c r="Q1079" t="s">
        <v>4086</v>
      </c>
      <c r="R1079">
        <v>8157894.7369999997</v>
      </c>
      <c r="S1079">
        <v>0</v>
      </c>
      <c r="T1079" t="s">
        <v>126</v>
      </c>
      <c r="U1079" t="s">
        <v>127</v>
      </c>
      <c r="V1079" t="s">
        <v>77</v>
      </c>
      <c r="W1079" t="s">
        <v>128</v>
      </c>
      <c r="X1079" t="s">
        <v>129</v>
      </c>
      <c r="Y1079">
        <v>2.3347232151940598</v>
      </c>
      <c r="Z1079">
        <v>2334.7232151940598</v>
      </c>
      <c r="AA1079">
        <v>4.6254861111111101</v>
      </c>
      <c r="AB1079">
        <v>-74.066980555555503</v>
      </c>
      <c r="AC1079">
        <v>2621</v>
      </c>
      <c r="AD1079">
        <v>15</v>
      </c>
      <c r="AE1079" t="s">
        <v>80</v>
      </c>
      <c r="AF1079" t="s">
        <v>81</v>
      </c>
      <c r="AG1079" t="s">
        <v>82</v>
      </c>
      <c r="AH1079" t="s">
        <v>83</v>
      </c>
      <c r="AI1079" t="s">
        <v>138</v>
      </c>
      <c r="AJ1079">
        <v>0.339821859143074</v>
      </c>
      <c r="AK1079">
        <v>0.67391659958025696</v>
      </c>
      <c r="AL1079">
        <v>0.139706472297351</v>
      </c>
      <c r="AM1079">
        <v>4.56365769746504E-2</v>
      </c>
      <c r="AN1079">
        <v>1.24537825285211</v>
      </c>
      <c r="AO1079">
        <v>5.1557714837924901E-2</v>
      </c>
      <c r="AP1079">
        <v>5.1557714837924901E-2</v>
      </c>
      <c r="AQ1079">
        <v>4</v>
      </c>
      <c r="AR1079">
        <v>9</v>
      </c>
      <c r="AS1079">
        <v>0</v>
      </c>
      <c r="AT1079">
        <v>30</v>
      </c>
      <c r="AU1079">
        <v>12</v>
      </c>
      <c r="AV1079">
        <v>50</v>
      </c>
      <c r="AW1079">
        <v>0</v>
      </c>
      <c r="AX1079">
        <v>9</v>
      </c>
      <c r="AZ1079">
        <v>6.8</v>
      </c>
      <c r="BA1079">
        <v>19.899999999999999</v>
      </c>
      <c r="BB1079">
        <v>564</v>
      </c>
      <c r="BC1079">
        <v>68</v>
      </c>
      <c r="BD1079">
        <v>1.5</v>
      </c>
      <c r="BE1079">
        <v>135</v>
      </c>
      <c r="BF1079">
        <v>0.8</v>
      </c>
      <c r="BG1079">
        <v>162</v>
      </c>
      <c r="BH1079">
        <v>9.1</v>
      </c>
      <c r="BI1079">
        <v>9.1999999999999993</v>
      </c>
      <c r="BJ1079">
        <v>18.3</v>
      </c>
      <c r="BK1079">
        <v>0.34</v>
      </c>
      <c r="BL1079">
        <v>7.3</v>
      </c>
      <c r="BM1079">
        <v>0.9</v>
      </c>
      <c r="BN1079">
        <v>7.5</v>
      </c>
      <c r="BO1079">
        <v>2.9</v>
      </c>
      <c r="BP1079">
        <f t="shared" si="32"/>
        <v>6.0578431024059007</v>
      </c>
      <c r="BQ1079">
        <f t="shared" si="33"/>
        <v>18.815601158644725</v>
      </c>
    </row>
    <row r="1080" spans="1:69" hidden="1" x14ac:dyDescent="0.2">
      <c r="A1080" t="s">
        <v>3939</v>
      </c>
      <c r="B1080" t="s">
        <v>68</v>
      </c>
      <c r="C1080" t="s">
        <v>3294</v>
      </c>
      <c r="D1080" t="s">
        <v>70</v>
      </c>
      <c r="E1080" t="s">
        <v>1920</v>
      </c>
      <c r="F1080">
        <v>3</v>
      </c>
      <c r="G1080">
        <v>38</v>
      </c>
      <c r="H1080">
        <v>1</v>
      </c>
      <c r="I1080">
        <v>2</v>
      </c>
      <c r="J1080">
        <v>1</v>
      </c>
      <c r="K1080" t="s">
        <v>110</v>
      </c>
      <c r="L1080" t="s">
        <v>133</v>
      </c>
      <c r="M1080" s="4">
        <v>295000000</v>
      </c>
      <c r="N1080">
        <v>0</v>
      </c>
      <c r="O1080">
        <v>4.6392876000000003</v>
      </c>
      <c r="P1080">
        <v>-74.0738664</v>
      </c>
      <c r="Q1080" t="s">
        <v>3940</v>
      </c>
      <c r="R1080">
        <v>7763157.8949999996</v>
      </c>
      <c r="S1080">
        <v>0</v>
      </c>
      <c r="T1080" t="s">
        <v>126</v>
      </c>
      <c r="U1080" t="s">
        <v>127</v>
      </c>
      <c r="V1080" t="s">
        <v>77</v>
      </c>
      <c r="W1080" t="s">
        <v>128</v>
      </c>
      <c r="X1080" t="s">
        <v>129</v>
      </c>
      <c r="Y1080">
        <v>1.7158616122494601</v>
      </c>
      <c r="Z1080">
        <v>1715.86161224946</v>
      </c>
      <c r="AA1080">
        <v>4.6254861111111101</v>
      </c>
      <c r="AB1080">
        <v>-74.066980555555503</v>
      </c>
      <c r="AC1080">
        <v>2621</v>
      </c>
      <c r="AD1080">
        <v>15</v>
      </c>
      <c r="AE1080" t="s">
        <v>80</v>
      </c>
      <c r="AF1080" t="s">
        <v>81</v>
      </c>
      <c r="AG1080" t="s">
        <v>82</v>
      </c>
      <c r="AH1080" t="s">
        <v>83</v>
      </c>
      <c r="AI1080" t="s">
        <v>84</v>
      </c>
      <c r="AJ1080">
        <v>0.65105055142442503</v>
      </c>
      <c r="AK1080">
        <v>1.66458165545411</v>
      </c>
      <c r="AL1080">
        <v>0.16515435981068</v>
      </c>
      <c r="AM1080">
        <v>0.14915704403019001</v>
      </c>
      <c r="AN1080">
        <v>1.5291116645393401</v>
      </c>
      <c r="AO1080">
        <v>0.24516907503219401</v>
      </c>
      <c r="AP1080">
        <v>0.24516907503219401</v>
      </c>
      <c r="AQ1080">
        <v>0</v>
      </c>
      <c r="AR1080">
        <v>5</v>
      </c>
      <c r="AS1080">
        <v>0</v>
      </c>
      <c r="AT1080">
        <v>0</v>
      </c>
      <c r="AU1080">
        <v>7</v>
      </c>
      <c r="AV1080">
        <v>133</v>
      </c>
      <c r="AW1080">
        <v>0</v>
      </c>
      <c r="AX1080">
        <v>0</v>
      </c>
      <c r="AZ1080">
        <v>6.8</v>
      </c>
      <c r="BA1080">
        <v>19.899999999999999</v>
      </c>
      <c r="BB1080">
        <v>564</v>
      </c>
      <c r="BC1080">
        <v>68</v>
      </c>
      <c r="BD1080">
        <v>1.5</v>
      </c>
      <c r="BE1080">
        <v>135</v>
      </c>
      <c r="BF1080">
        <v>0.8</v>
      </c>
      <c r="BG1080">
        <v>162</v>
      </c>
      <c r="BH1080">
        <v>9.1</v>
      </c>
      <c r="BI1080">
        <v>9.1999999999999993</v>
      </c>
      <c r="BJ1080">
        <v>18.3</v>
      </c>
      <c r="BK1080">
        <v>0.34</v>
      </c>
      <c r="BL1080">
        <v>7.3</v>
      </c>
      <c r="BM1080">
        <v>0.9</v>
      </c>
      <c r="BN1080">
        <v>7.5</v>
      </c>
      <c r="BO1080">
        <v>2.9</v>
      </c>
      <c r="BP1080">
        <f t="shared" si="32"/>
        <v>6.2462885938205757</v>
      </c>
      <c r="BQ1080">
        <f t="shared" si="33"/>
        <v>19.097148926304328</v>
      </c>
    </row>
    <row r="1081" spans="1:69" hidden="1" x14ac:dyDescent="0.2">
      <c r="A1081" t="s">
        <v>122</v>
      </c>
      <c r="B1081" t="s">
        <v>68</v>
      </c>
      <c r="C1081" t="s">
        <v>69</v>
      </c>
      <c r="D1081" t="s">
        <v>70</v>
      </c>
      <c r="E1081" t="s">
        <v>123</v>
      </c>
      <c r="F1081">
        <v>3</v>
      </c>
      <c r="G1081">
        <v>38</v>
      </c>
      <c r="H1081">
        <v>1</v>
      </c>
      <c r="I1081">
        <v>1</v>
      </c>
      <c r="J1081">
        <v>1</v>
      </c>
      <c r="K1081" t="s">
        <v>110</v>
      </c>
      <c r="L1081" t="s">
        <v>124</v>
      </c>
      <c r="M1081" s="4">
        <v>290000000</v>
      </c>
      <c r="N1081">
        <v>0</v>
      </c>
      <c r="O1081">
        <v>4.6435795000000004</v>
      </c>
      <c r="P1081">
        <v>-74.062939999999998</v>
      </c>
      <c r="Q1081" t="s">
        <v>125</v>
      </c>
      <c r="R1081">
        <v>7631578.9469999997</v>
      </c>
      <c r="S1081">
        <v>0</v>
      </c>
      <c r="T1081" t="s">
        <v>126</v>
      </c>
      <c r="U1081" t="s">
        <v>127</v>
      </c>
      <c r="V1081" t="s">
        <v>77</v>
      </c>
      <c r="W1081" t="s">
        <v>128</v>
      </c>
      <c r="X1081" t="s">
        <v>129</v>
      </c>
      <c r="Y1081">
        <v>2.0634388852737602</v>
      </c>
      <c r="Z1081">
        <v>2063.4388852737602</v>
      </c>
      <c r="AA1081">
        <v>4.6254861111111101</v>
      </c>
      <c r="AB1081">
        <v>-74.066980555555503</v>
      </c>
      <c r="AC1081">
        <v>2621</v>
      </c>
      <c r="AD1081">
        <v>15</v>
      </c>
      <c r="AE1081" t="s">
        <v>80</v>
      </c>
      <c r="AF1081" t="s">
        <v>81</v>
      </c>
      <c r="AG1081" t="s">
        <v>82</v>
      </c>
      <c r="AH1081" t="s">
        <v>83</v>
      </c>
      <c r="AI1081" t="s">
        <v>130</v>
      </c>
      <c r="AJ1081">
        <v>0.32701456601360301</v>
      </c>
      <c r="AK1081">
        <v>0.66749948373429002</v>
      </c>
      <c r="AL1081">
        <v>0.34368656240882101</v>
      </c>
      <c r="AM1081">
        <v>0.15088593657268601</v>
      </c>
      <c r="AN1081">
        <v>0.54933095850806801</v>
      </c>
      <c r="AO1081">
        <v>0.34003231823013802</v>
      </c>
      <c r="AP1081">
        <v>0.34003231823013802</v>
      </c>
      <c r="AQ1081">
        <v>1</v>
      </c>
      <c r="AR1081">
        <v>4</v>
      </c>
      <c r="AS1081">
        <v>0</v>
      </c>
      <c r="AT1081">
        <v>14</v>
      </c>
      <c r="AU1081">
        <v>12</v>
      </c>
      <c r="AV1081">
        <v>142</v>
      </c>
      <c r="AW1081">
        <v>1</v>
      </c>
      <c r="AX1081">
        <v>0</v>
      </c>
      <c r="AZ1081">
        <v>6.8</v>
      </c>
      <c r="BA1081">
        <v>19.899999999999999</v>
      </c>
      <c r="BB1081">
        <v>564</v>
      </c>
      <c r="BC1081">
        <v>68</v>
      </c>
      <c r="BD1081">
        <v>1.5</v>
      </c>
      <c r="BE1081">
        <v>135</v>
      </c>
      <c r="BF1081">
        <v>0.8</v>
      </c>
      <c r="BG1081">
        <v>162</v>
      </c>
      <c r="BH1081">
        <v>9.1</v>
      </c>
      <c r="BI1081">
        <v>9.1999999999999993</v>
      </c>
      <c r="BJ1081">
        <v>18.3</v>
      </c>
      <c r="BK1081">
        <v>0.34</v>
      </c>
      <c r="BL1081">
        <v>7.3</v>
      </c>
      <c r="BM1081">
        <v>0.9</v>
      </c>
      <c r="BN1081">
        <v>7.5</v>
      </c>
      <c r="BO1081">
        <v>2.9</v>
      </c>
      <c r="BP1081">
        <f t="shared" si="32"/>
        <v>6.1397399470473113</v>
      </c>
      <c r="BQ1081">
        <f t="shared" si="33"/>
        <v>18.938505896084546</v>
      </c>
    </row>
    <row r="1082" spans="1:69" hidden="1" x14ac:dyDescent="0.2">
      <c r="A1082" t="s">
        <v>4513</v>
      </c>
      <c r="B1082" t="s">
        <v>68</v>
      </c>
      <c r="C1082" t="s">
        <v>3294</v>
      </c>
      <c r="D1082" t="s">
        <v>70</v>
      </c>
      <c r="E1082" t="s">
        <v>3022</v>
      </c>
      <c r="F1082">
        <v>3</v>
      </c>
      <c r="G1082">
        <v>38</v>
      </c>
      <c r="H1082">
        <v>1</v>
      </c>
      <c r="I1082">
        <v>1</v>
      </c>
      <c r="J1082">
        <v>0</v>
      </c>
      <c r="K1082" t="s">
        <v>110</v>
      </c>
      <c r="L1082" t="s">
        <v>111</v>
      </c>
      <c r="M1082" s="4">
        <v>245000000</v>
      </c>
      <c r="N1082">
        <v>0</v>
      </c>
      <c r="O1082">
        <v>4.6890258789999999</v>
      </c>
      <c r="P1082">
        <v>-74.090217589999995</v>
      </c>
      <c r="Q1082" t="s">
        <v>4514</v>
      </c>
      <c r="R1082">
        <v>6447368.4210000001</v>
      </c>
      <c r="S1082">
        <v>0</v>
      </c>
      <c r="T1082" t="s">
        <v>75</v>
      </c>
      <c r="U1082" t="s">
        <v>76</v>
      </c>
      <c r="V1082" t="s">
        <v>77</v>
      </c>
      <c r="W1082" t="s">
        <v>78</v>
      </c>
      <c r="X1082" t="s">
        <v>79</v>
      </c>
      <c r="Y1082">
        <v>3.4718121696725301</v>
      </c>
      <c r="Z1082">
        <v>3471.8121696725302</v>
      </c>
      <c r="AA1082">
        <v>4.6584666666666701</v>
      </c>
      <c r="AB1082">
        <v>-74.083966666666697</v>
      </c>
      <c r="AC1082">
        <v>2552</v>
      </c>
      <c r="AD1082">
        <v>0</v>
      </c>
      <c r="AE1082" t="s">
        <v>80</v>
      </c>
      <c r="AF1082" t="s">
        <v>81</v>
      </c>
      <c r="AG1082" t="s">
        <v>82</v>
      </c>
      <c r="AH1082" t="s">
        <v>83</v>
      </c>
      <c r="AI1082" t="s">
        <v>412</v>
      </c>
      <c r="AJ1082">
        <v>0.64117938652268502</v>
      </c>
      <c r="AK1082">
        <v>5.6299208137604602</v>
      </c>
      <c r="AL1082">
        <v>1.3505194844522099</v>
      </c>
      <c r="AM1082">
        <v>0.29579557566659898</v>
      </c>
      <c r="AN1082">
        <v>1.3856825763877501</v>
      </c>
      <c r="AO1082">
        <v>1.25731291211019E-2</v>
      </c>
      <c r="AP1082">
        <v>1.25731291211019E-2</v>
      </c>
      <c r="AQ1082">
        <v>0</v>
      </c>
      <c r="AR1082">
        <v>3</v>
      </c>
      <c r="AS1082">
        <v>0</v>
      </c>
      <c r="AT1082">
        <v>0</v>
      </c>
      <c r="AU1082">
        <v>0</v>
      </c>
      <c r="AV1082">
        <v>36</v>
      </c>
      <c r="AW1082">
        <v>0</v>
      </c>
      <c r="AX1082">
        <v>0</v>
      </c>
      <c r="AZ1082">
        <v>6.8</v>
      </c>
      <c r="BA1082">
        <v>19.899999999999999</v>
      </c>
      <c r="BB1082">
        <v>564</v>
      </c>
      <c r="BC1082">
        <v>68</v>
      </c>
      <c r="BD1082">
        <v>1.5</v>
      </c>
      <c r="BE1082">
        <v>135</v>
      </c>
      <c r="BF1082">
        <v>0.8</v>
      </c>
      <c r="BG1082">
        <v>162</v>
      </c>
      <c r="BH1082">
        <v>9.1</v>
      </c>
      <c r="BI1082">
        <v>9.1999999999999993</v>
      </c>
      <c r="BJ1082">
        <v>18.3</v>
      </c>
      <c r="BK1082">
        <v>0.34</v>
      </c>
      <c r="BL1082">
        <v>7.3</v>
      </c>
      <c r="BM1082">
        <v>0.9</v>
      </c>
      <c r="BN1082">
        <v>7.5</v>
      </c>
      <c r="BO1082">
        <v>2.9</v>
      </c>
      <c r="BP1082">
        <f t="shared" si="32"/>
        <v>5.7262903333530106</v>
      </c>
      <c r="BQ1082">
        <f t="shared" si="33"/>
        <v>18.309064034518272</v>
      </c>
    </row>
    <row r="1083" spans="1:69" hidden="1" x14ac:dyDescent="0.2">
      <c r="A1083" t="s">
        <v>4141</v>
      </c>
      <c r="B1083" t="s">
        <v>68</v>
      </c>
      <c r="C1083" t="s">
        <v>3294</v>
      </c>
      <c r="D1083" t="s">
        <v>70</v>
      </c>
      <c r="E1083" t="s">
        <v>3022</v>
      </c>
      <c r="F1083">
        <v>3</v>
      </c>
      <c r="G1083">
        <v>38</v>
      </c>
      <c r="H1083">
        <v>1</v>
      </c>
      <c r="I1083">
        <v>1</v>
      </c>
      <c r="J1083">
        <v>0</v>
      </c>
      <c r="K1083" t="s">
        <v>110</v>
      </c>
      <c r="L1083" t="s">
        <v>111</v>
      </c>
      <c r="M1083" s="4">
        <v>240000000</v>
      </c>
      <c r="N1083">
        <v>0</v>
      </c>
      <c r="O1083">
        <v>4.6068800000000003</v>
      </c>
      <c r="P1083">
        <v>-74.071839999999995</v>
      </c>
      <c r="Q1083" t="s">
        <v>4142</v>
      </c>
      <c r="R1083">
        <v>6315789.4740000004</v>
      </c>
      <c r="S1083">
        <v>0</v>
      </c>
      <c r="T1083" t="s">
        <v>126</v>
      </c>
      <c r="U1083" t="s">
        <v>127</v>
      </c>
      <c r="V1083" t="s">
        <v>77</v>
      </c>
      <c r="W1083" t="s">
        <v>128</v>
      </c>
      <c r="X1083" t="s">
        <v>129</v>
      </c>
      <c r="Y1083">
        <v>2.1402561574389298</v>
      </c>
      <c r="Z1083">
        <v>2140.2561574389301</v>
      </c>
      <c r="AA1083">
        <v>4.6254861111111101</v>
      </c>
      <c r="AB1083">
        <v>-74.066980555555503</v>
      </c>
      <c r="AC1083">
        <v>2621</v>
      </c>
      <c r="AD1083">
        <v>15</v>
      </c>
      <c r="AE1083" t="s">
        <v>80</v>
      </c>
      <c r="AF1083" t="s">
        <v>81</v>
      </c>
      <c r="AG1083" t="s">
        <v>82</v>
      </c>
      <c r="AH1083" t="s">
        <v>83</v>
      </c>
      <c r="AI1083" t="s">
        <v>138</v>
      </c>
      <c r="AJ1083">
        <v>0.29008746862006501</v>
      </c>
      <c r="AK1083">
        <v>0.77934653195057702</v>
      </c>
      <c r="AL1083">
        <v>0.133869760857704</v>
      </c>
      <c r="AM1083">
        <v>0.14893351680112499</v>
      </c>
      <c r="AN1083">
        <v>1.1095532551276599</v>
      </c>
      <c r="AO1083">
        <v>0.10054457565418499</v>
      </c>
      <c r="AP1083">
        <v>0.10054457565418499</v>
      </c>
      <c r="AQ1083">
        <v>2</v>
      </c>
      <c r="AR1083">
        <v>10</v>
      </c>
      <c r="AS1083">
        <v>0</v>
      </c>
      <c r="AT1083">
        <v>22</v>
      </c>
      <c r="AU1083">
        <v>14</v>
      </c>
      <c r="AV1083">
        <v>58</v>
      </c>
      <c r="AW1083">
        <v>0</v>
      </c>
      <c r="AX1083">
        <v>8</v>
      </c>
      <c r="AZ1083">
        <v>6.8</v>
      </c>
      <c r="BA1083">
        <v>19.899999999999999</v>
      </c>
      <c r="BB1083">
        <v>564</v>
      </c>
      <c r="BC1083">
        <v>68</v>
      </c>
      <c r="BD1083">
        <v>1.5</v>
      </c>
      <c r="BE1083">
        <v>135</v>
      </c>
      <c r="BF1083">
        <v>0.8</v>
      </c>
      <c r="BG1083">
        <v>162</v>
      </c>
      <c r="BH1083">
        <v>9.1</v>
      </c>
      <c r="BI1083">
        <v>9.1999999999999993</v>
      </c>
      <c r="BJ1083">
        <v>18.3</v>
      </c>
      <c r="BK1083">
        <v>0.34</v>
      </c>
      <c r="BL1083">
        <v>7.3</v>
      </c>
      <c r="BM1083">
        <v>0.9</v>
      </c>
      <c r="BN1083">
        <v>7.5</v>
      </c>
      <c r="BO1083">
        <v>2.9</v>
      </c>
      <c r="BP1083">
        <f t="shared" si="32"/>
        <v>6.1164381923702731</v>
      </c>
      <c r="BQ1083">
        <f t="shared" si="33"/>
        <v>18.903622756812478</v>
      </c>
    </row>
    <row r="1084" spans="1:69" hidden="1" x14ac:dyDescent="0.2">
      <c r="A1084" t="s">
        <v>3724</v>
      </c>
      <c r="B1084" t="s">
        <v>68</v>
      </c>
      <c r="C1084" t="s">
        <v>3294</v>
      </c>
      <c r="D1084" t="s">
        <v>70</v>
      </c>
      <c r="E1084" t="s">
        <v>1646</v>
      </c>
      <c r="F1084">
        <v>3</v>
      </c>
      <c r="G1084">
        <v>37.99</v>
      </c>
      <c r="H1084">
        <v>1</v>
      </c>
      <c r="I1084">
        <v>1</v>
      </c>
      <c r="J1084">
        <v>1</v>
      </c>
      <c r="K1084" t="s">
        <v>110</v>
      </c>
      <c r="L1084" t="s">
        <v>111</v>
      </c>
      <c r="M1084" s="4">
        <v>395000000</v>
      </c>
      <c r="N1084">
        <v>0</v>
      </c>
      <c r="O1084">
        <v>4.6103100000000001</v>
      </c>
      <c r="P1084">
        <v>-74.070229999999995</v>
      </c>
      <c r="Q1084" t="s">
        <v>3725</v>
      </c>
      <c r="R1084">
        <v>10397473.02</v>
      </c>
      <c r="S1084">
        <v>0</v>
      </c>
      <c r="T1084" t="s">
        <v>126</v>
      </c>
      <c r="U1084" t="s">
        <v>127</v>
      </c>
      <c r="V1084" t="s">
        <v>77</v>
      </c>
      <c r="W1084" t="s">
        <v>128</v>
      </c>
      <c r="X1084" t="s">
        <v>129</v>
      </c>
      <c r="Y1084">
        <v>1.72744320336118</v>
      </c>
      <c r="Z1084">
        <v>1727.4432033611799</v>
      </c>
      <c r="AA1084">
        <v>4.6254861111111101</v>
      </c>
      <c r="AB1084">
        <v>-74.066980555555503</v>
      </c>
      <c r="AC1084">
        <v>2621</v>
      </c>
      <c r="AD1084">
        <v>15</v>
      </c>
      <c r="AE1084" t="s">
        <v>80</v>
      </c>
      <c r="AF1084" t="s">
        <v>81</v>
      </c>
      <c r="AG1084" t="s">
        <v>82</v>
      </c>
      <c r="AH1084" t="s">
        <v>83</v>
      </c>
      <c r="AI1084" t="s">
        <v>138</v>
      </c>
      <c r="AJ1084">
        <v>0.15515953137897601</v>
      </c>
      <c r="AK1084">
        <v>0.62407257274768302</v>
      </c>
      <c r="AL1084">
        <v>0.28671928291069099</v>
      </c>
      <c r="AM1084">
        <v>0.27424663186648801</v>
      </c>
      <c r="AN1084">
        <v>0.69701183006137601</v>
      </c>
      <c r="AO1084">
        <v>6.7417050277719007E-2</v>
      </c>
      <c r="AP1084">
        <v>6.7417050277719007E-2</v>
      </c>
      <c r="AQ1084">
        <v>1</v>
      </c>
      <c r="AR1084">
        <v>8</v>
      </c>
      <c r="AS1084">
        <v>0</v>
      </c>
      <c r="AT1084">
        <v>24</v>
      </c>
      <c r="AU1084">
        <v>9</v>
      </c>
      <c r="AV1084">
        <v>63</v>
      </c>
      <c r="AW1084">
        <v>1</v>
      </c>
      <c r="AX1084">
        <v>6</v>
      </c>
      <c r="AZ1084">
        <v>6.8</v>
      </c>
      <c r="BA1084">
        <v>19.899999999999999</v>
      </c>
      <c r="BB1084">
        <v>564</v>
      </c>
      <c r="BC1084">
        <v>68</v>
      </c>
      <c r="BD1084">
        <v>1.5</v>
      </c>
      <c r="BE1084">
        <v>135</v>
      </c>
      <c r="BF1084">
        <v>0.8</v>
      </c>
      <c r="BG1084">
        <v>162</v>
      </c>
      <c r="BH1084">
        <v>9.1</v>
      </c>
      <c r="BI1084">
        <v>9.1999999999999993</v>
      </c>
      <c r="BJ1084">
        <v>18.3</v>
      </c>
      <c r="BK1084">
        <v>0.34</v>
      </c>
      <c r="BL1084">
        <v>7.3</v>
      </c>
      <c r="BM1084">
        <v>0.9</v>
      </c>
      <c r="BN1084">
        <v>7.5</v>
      </c>
      <c r="BO1084">
        <v>2.9</v>
      </c>
      <c r="BP1084">
        <f t="shared" si="32"/>
        <v>6.2427086930343227</v>
      </c>
      <c r="BQ1084">
        <f t="shared" si="33"/>
        <v>19.091841455079702</v>
      </c>
    </row>
    <row r="1085" spans="1:69" hidden="1" x14ac:dyDescent="0.2">
      <c r="A1085" t="s">
        <v>3757</v>
      </c>
      <c r="B1085" t="s">
        <v>68</v>
      </c>
      <c r="C1085" t="s">
        <v>3294</v>
      </c>
      <c r="D1085" t="s">
        <v>70</v>
      </c>
      <c r="E1085" t="s">
        <v>1098</v>
      </c>
      <c r="F1085">
        <v>3</v>
      </c>
      <c r="G1085">
        <v>37.82</v>
      </c>
      <c r="H1085">
        <v>1</v>
      </c>
      <c r="I1085">
        <v>1</v>
      </c>
      <c r="J1085">
        <v>0</v>
      </c>
      <c r="K1085" t="s">
        <v>110</v>
      </c>
      <c r="L1085" t="s">
        <v>111</v>
      </c>
      <c r="M1085" s="4">
        <v>450000000</v>
      </c>
      <c r="N1085">
        <v>0</v>
      </c>
      <c r="O1085">
        <v>4.6102980999999996</v>
      </c>
      <c r="P1085">
        <v>-74.070298399999999</v>
      </c>
      <c r="Q1085" t="s">
        <v>3758</v>
      </c>
      <c r="R1085">
        <v>11898466.42</v>
      </c>
      <c r="S1085">
        <v>0</v>
      </c>
      <c r="T1085" t="s">
        <v>126</v>
      </c>
      <c r="U1085" t="s">
        <v>127</v>
      </c>
      <c r="V1085" t="s">
        <v>77</v>
      </c>
      <c r="W1085" t="s">
        <v>128</v>
      </c>
      <c r="X1085" t="s">
        <v>129</v>
      </c>
      <c r="Y1085">
        <v>1.7303375746377301</v>
      </c>
      <c r="Z1085">
        <v>1730.3375746377301</v>
      </c>
      <c r="AA1085">
        <v>4.6254861111111101</v>
      </c>
      <c r="AB1085">
        <v>-74.066980555555503</v>
      </c>
      <c r="AC1085">
        <v>2621</v>
      </c>
      <c r="AD1085">
        <v>15</v>
      </c>
      <c r="AE1085" t="s">
        <v>80</v>
      </c>
      <c r="AF1085" t="s">
        <v>81</v>
      </c>
      <c r="AG1085" t="s">
        <v>82</v>
      </c>
      <c r="AH1085" t="s">
        <v>83</v>
      </c>
      <c r="AI1085" t="s">
        <v>138</v>
      </c>
      <c r="AJ1085">
        <v>0.14889056018687899</v>
      </c>
      <c r="AK1085">
        <v>0.63114810933434495</v>
      </c>
      <c r="AL1085">
        <v>0.28072151144425</v>
      </c>
      <c r="AM1085">
        <v>0.270932764878279</v>
      </c>
      <c r="AN1085">
        <v>0.70273306351493803</v>
      </c>
      <c r="AO1085">
        <v>6.1498804287053697E-2</v>
      </c>
      <c r="AP1085">
        <v>6.1498804287053697E-2</v>
      </c>
      <c r="AQ1085">
        <v>1</v>
      </c>
      <c r="AR1085">
        <v>8</v>
      </c>
      <c r="AS1085">
        <v>0</v>
      </c>
      <c r="AT1085">
        <v>24</v>
      </c>
      <c r="AU1085">
        <v>9</v>
      </c>
      <c r="AV1085">
        <v>63</v>
      </c>
      <c r="AW1085">
        <v>1</v>
      </c>
      <c r="AX1085">
        <v>6</v>
      </c>
      <c r="AZ1085">
        <v>6.8</v>
      </c>
      <c r="BA1085">
        <v>19.899999999999999</v>
      </c>
      <c r="BB1085">
        <v>564</v>
      </c>
      <c r="BC1085">
        <v>68</v>
      </c>
      <c r="BD1085">
        <v>1.5</v>
      </c>
      <c r="BE1085">
        <v>135</v>
      </c>
      <c r="BF1085">
        <v>0.8</v>
      </c>
      <c r="BG1085">
        <v>162</v>
      </c>
      <c r="BH1085">
        <v>9.1</v>
      </c>
      <c r="BI1085">
        <v>9.1999999999999993</v>
      </c>
      <c r="BJ1085">
        <v>18.3</v>
      </c>
      <c r="BK1085">
        <v>0.34</v>
      </c>
      <c r="BL1085">
        <v>7.3</v>
      </c>
      <c r="BM1085">
        <v>0.9</v>
      </c>
      <c r="BN1085">
        <v>7.5</v>
      </c>
      <c r="BO1085">
        <v>2.9</v>
      </c>
      <c r="BP1085">
        <f t="shared" si="32"/>
        <v>6.2418143556242436</v>
      </c>
      <c r="BQ1085">
        <f t="shared" si="33"/>
        <v>19.090515288080695</v>
      </c>
    </row>
    <row r="1086" spans="1:69" hidden="1" x14ac:dyDescent="0.2">
      <c r="A1086" t="s">
        <v>3729</v>
      </c>
      <c r="B1086" t="s">
        <v>68</v>
      </c>
      <c r="C1086" t="s">
        <v>3294</v>
      </c>
      <c r="D1086" t="s">
        <v>70</v>
      </c>
      <c r="E1086" t="s">
        <v>1098</v>
      </c>
      <c r="F1086">
        <v>4</v>
      </c>
      <c r="G1086">
        <v>37.25</v>
      </c>
      <c r="H1086">
        <v>1</v>
      </c>
      <c r="I1086">
        <v>1</v>
      </c>
      <c r="J1086">
        <v>1</v>
      </c>
      <c r="K1086" t="s">
        <v>110</v>
      </c>
      <c r="L1086" t="s">
        <v>133</v>
      </c>
      <c r="M1086" s="4">
        <v>380000000</v>
      </c>
      <c r="N1086">
        <v>0</v>
      </c>
      <c r="O1086">
        <v>4.6083889999999998</v>
      </c>
      <c r="P1086">
        <v>-74.069159999999997</v>
      </c>
      <c r="Q1086" t="s">
        <v>3730</v>
      </c>
      <c r="R1086">
        <v>10201342.279999999</v>
      </c>
      <c r="S1086">
        <v>0</v>
      </c>
      <c r="T1086" t="s">
        <v>126</v>
      </c>
      <c r="U1086" t="s">
        <v>127</v>
      </c>
      <c r="V1086" t="s">
        <v>77</v>
      </c>
      <c r="W1086" t="s">
        <v>128</v>
      </c>
      <c r="X1086" t="s">
        <v>129</v>
      </c>
      <c r="Y1086">
        <v>1.9185435796030901</v>
      </c>
      <c r="Z1086">
        <v>1918.5435796030899</v>
      </c>
      <c r="AA1086">
        <v>4.6254861111111101</v>
      </c>
      <c r="AB1086">
        <v>-74.066980555555503</v>
      </c>
      <c r="AC1086">
        <v>2621</v>
      </c>
      <c r="AD1086">
        <v>15</v>
      </c>
      <c r="AE1086" t="s">
        <v>80</v>
      </c>
      <c r="AF1086" t="s">
        <v>81</v>
      </c>
      <c r="AG1086" t="s">
        <v>82</v>
      </c>
      <c r="AH1086" t="s">
        <v>83</v>
      </c>
      <c r="AI1086" t="s">
        <v>138</v>
      </c>
      <c r="AJ1086">
        <v>0.37985071794253999</v>
      </c>
      <c r="AK1086">
        <v>0.47714733587672897</v>
      </c>
      <c r="AL1086">
        <v>0.22260628531002499</v>
      </c>
      <c r="AM1086">
        <v>0.16291863058549499</v>
      </c>
      <c r="AN1086">
        <v>0.82254534161603299</v>
      </c>
      <c r="AO1086">
        <v>6.9023465601551398E-2</v>
      </c>
      <c r="AP1086">
        <v>6.9023465601551398E-2</v>
      </c>
      <c r="AQ1086">
        <v>2</v>
      </c>
      <c r="AR1086">
        <v>9</v>
      </c>
      <c r="AS1086">
        <v>3</v>
      </c>
      <c r="AT1086">
        <v>29</v>
      </c>
      <c r="AU1086">
        <v>12</v>
      </c>
      <c r="AV1086">
        <v>56</v>
      </c>
      <c r="AW1086">
        <v>1</v>
      </c>
      <c r="AX1086">
        <v>8</v>
      </c>
      <c r="AZ1086">
        <v>6.8</v>
      </c>
      <c r="BA1086">
        <v>19.899999999999999</v>
      </c>
      <c r="BB1086">
        <v>564</v>
      </c>
      <c r="BC1086">
        <v>68</v>
      </c>
      <c r="BD1086">
        <v>1.5</v>
      </c>
      <c r="BE1086">
        <v>135</v>
      </c>
      <c r="BF1086">
        <v>0.8</v>
      </c>
      <c r="BG1086">
        <v>162</v>
      </c>
      <c r="BH1086">
        <v>9.1</v>
      </c>
      <c r="BI1086">
        <v>9.1999999999999993</v>
      </c>
      <c r="BJ1086">
        <v>18.3</v>
      </c>
      <c r="BK1086">
        <v>0.34</v>
      </c>
      <c r="BL1086">
        <v>7.3</v>
      </c>
      <c r="BM1086">
        <v>0.9</v>
      </c>
      <c r="BN1086">
        <v>7.5</v>
      </c>
      <c r="BO1086">
        <v>2.9</v>
      </c>
      <c r="BP1086">
        <f t="shared" si="32"/>
        <v>6.1839344110293641</v>
      </c>
      <c r="BQ1086">
        <f t="shared" si="33"/>
        <v>19.00447895425603</v>
      </c>
    </row>
    <row r="1087" spans="1:69" hidden="1" x14ac:dyDescent="0.2">
      <c r="A1087" t="s">
        <v>4105</v>
      </c>
      <c r="B1087" t="s">
        <v>68</v>
      </c>
      <c r="C1087" t="s">
        <v>3294</v>
      </c>
      <c r="D1087" t="s">
        <v>70</v>
      </c>
      <c r="E1087" t="s">
        <v>1530</v>
      </c>
      <c r="F1087">
        <v>4</v>
      </c>
      <c r="G1087">
        <v>37</v>
      </c>
      <c r="H1087">
        <v>1</v>
      </c>
      <c r="I1087">
        <v>2</v>
      </c>
      <c r="J1087">
        <v>1</v>
      </c>
      <c r="K1087" t="s">
        <v>110</v>
      </c>
      <c r="L1087" t="s">
        <v>111</v>
      </c>
      <c r="M1087" s="4">
        <v>360000000</v>
      </c>
      <c r="N1087">
        <v>0</v>
      </c>
      <c r="O1087">
        <v>4.6181862450000004</v>
      </c>
      <c r="P1087">
        <v>-74.065757989999994</v>
      </c>
      <c r="Q1087" t="s">
        <v>4106</v>
      </c>
      <c r="R1087">
        <v>9729729.7300000004</v>
      </c>
      <c r="S1087">
        <v>0</v>
      </c>
      <c r="T1087" t="s">
        <v>126</v>
      </c>
      <c r="U1087" t="s">
        <v>127</v>
      </c>
      <c r="V1087" t="s">
        <v>77</v>
      </c>
      <c r="W1087" t="s">
        <v>128</v>
      </c>
      <c r="X1087" t="s">
        <v>129</v>
      </c>
      <c r="Y1087">
        <v>0.82386205927169598</v>
      </c>
      <c r="Z1087">
        <v>823.86205927169601</v>
      </c>
      <c r="AA1087">
        <v>4.6254861111111101</v>
      </c>
      <c r="AB1087">
        <v>-74.066980555555503</v>
      </c>
      <c r="AC1087">
        <v>2621</v>
      </c>
      <c r="AD1087">
        <v>15</v>
      </c>
      <c r="AE1087" t="s">
        <v>80</v>
      </c>
      <c r="AF1087" t="s">
        <v>81</v>
      </c>
      <c r="AG1087" t="s">
        <v>82</v>
      </c>
      <c r="AH1087" t="s">
        <v>83</v>
      </c>
      <c r="AI1087" t="s">
        <v>138</v>
      </c>
      <c r="AJ1087">
        <v>0.50342404242213901</v>
      </c>
      <c r="AK1087">
        <v>0.37576779931119098</v>
      </c>
      <c r="AL1087">
        <v>0.30625586355918699</v>
      </c>
      <c r="AM1087">
        <v>0.20103956032187401</v>
      </c>
      <c r="AN1087">
        <v>0.327805952259135</v>
      </c>
      <c r="AO1087">
        <v>1.01802202425018E-2</v>
      </c>
      <c r="AP1087">
        <v>1.01802202425018E-2</v>
      </c>
      <c r="AQ1087">
        <v>0</v>
      </c>
      <c r="AR1087">
        <v>4</v>
      </c>
      <c r="AS1087">
        <v>1</v>
      </c>
      <c r="AT1087">
        <v>9</v>
      </c>
      <c r="AU1087">
        <v>11</v>
      </c>
      <c r="AV1087">
        <v>54</v>
      </c>
      <c r="AW1087">
        <v>1</v>
      </c>
      <c r="AX1087">
        <v>2</v>
      </c>
      <c r="AZ1087">
        <v>6.8</v>
      </c>
      <c r="BA1087">
        <v>19.899999999999999</v>
      </c>
      <c r="BB1087">
        <v>564</v>
      </c>
      <c r="BC1087">
        <v>68</v>
      </c>
      <c r="BD1087">
        <v>1.5</v>
      </c>
      <c r="BE1087">
        <v>135</v>
      </c>
      <c r="BF1087">
        <v>0.8</v>
      </c>
      <c r="BG1087">
        <v>162</v>
      </c>
      <c r="BH1087">
        <v>9.1</v>
      </c>
      <c r="BI1087">
        <v>9.1999999999999993</v>
      </c>
      <c r="BJ1087">
        <v>18.3</v>
      </c>
      <c r="BK1087">
        <v>0.34</v>
      </c>
      <c r="BL1087">
        <v>7.3</v>
      </c>
      <c r="BM1087">
        <v>0.9</v>
      </c>
      <c r="BN1087">
        <v>7.5</v>
      </c>
      <c r="BO1087">
        <v>2.9</v>
      </c>
      <c r="BP1087">
        <f t="shared" si="32"/>
        <v>6.5282664952828835</v>
      </c>
      <c r="BQ1087">
        <f t="shared" si="33"/>
        <v>19.510388012356717</v>
      </c>
    </row>
    <row r="1088" spans="1:69" hidden="1" x14ac:dyDescent="0.2">
      <c r="A1088" t="s">
        <v>4547</v>
      </c>
      <c r="B1088" t="s">
        <v>68</v>
      </c>
      <c r="C1088" t="s">
        <v>3294</v>
      </c>
      <c r="D1088" t="s">
        <v>70</v>
      </c>
      <c r="E1088" t="s">
        <v>123</v>
      </c>
      <c r="F1088">
        <v>3</v>
      </c>
      <c r="G1088">
        <v>37</v>
      </c>
      <c r="H1088">
        <v>1</v>
      </c>
      <c r="I1088">
        <v>1</v>
      </c>
      <c r="J1088">
        <v>1</v>
      </c>
      <c r="K1088" t="s">
        <v>110</v>
      </c>
      <c r="L1088" t="s">
        <v>124</v>
      </c>
      <c r="M1088" s="4">
        <v>330000000</v>
      </c>
      <c r="N1088">
        <v>0</v>
      </c>
      <c r="O1088">
        <v>4.6415800000000003</v>
      </c>
      <c r="P1088">
        <v>-74.062780000000004</v>
      </c>
      <c r="Q1088" t="s">
        <v>4548</v>
      </c>
      <c r="R1088">
        <v>8918918.9189999998</v>
      </c>
      <c r="S1088">
        <v>0</v>
      </c>
      <c r="T1088" t="s">
        <v>126</v>
      </c>
      <c r="U1088" t="s">
        <v>127</v>
      </c>
      <c r="V1088" t="s">
        <v>77</v>
      </c>
      <c r="W1088" t="s">
        <v>128</v>
      </c>
      <c r="X1088" t="s">
        <v>129</v>
      </c>
      <c r="Y1088">
        <v>1.851195876554</v>
      </c>
      <c r="Z1088">
        <v>1851.1958765540001</v>
      </c>
      <c r="AA1088">
        <v>4.6254861111111101</v>
      </c>
      <c r="AB1088">
        <v>-74.066980555555503</v>
      </c>
      <c r="AC1088">
        <v>2621</v>
      </c>
      <c r="AD1088">
        <v>15</v>
      </c>
      <c r="AE1088" t="s">
        <v>80</v>
      </c>
      <c r="AF1088" t="s">
        <v>81</v>
      </c>
      <c r="AG1088" t="s">
        <v>82</v>
      </c>
      <c r="AH1088" t="s">
        <v>83</v>
      </c>
      <c r="AI1088" t="s">
        <v>130</v>
      </c>
      <c r="AJ1088">
        <v>0.37181355826780998</v>
      </c>
      <c r="AK1088">
        <v>0.58057589205625304</v>
      </c>
      <c r="AL1088">
        <v>0.42845221417428297</v>
      </c>
      <c r="AM1088">
        <v>7.9902792317661203E-2</v>
      </c>
      <c r="AN1088">
        <v>0.48677306127779901</v>
      </c>
      <c r="AO1088">
        <v>0.233921311851125</v>
      </c>
      <c r="AP1088">
        <v>0.233921311851125</v>
      </c>
      <c r="AQ1088">
        <v>1</v>
      </c>
      <c r="AR1088">
        <v>4</v>
      </c>
      <c r="AS1088">
        <v>0</v>
      </c>
      <c r="AT1088">
        <v>22</v>
      </c>
      <c r="AU1088">
        <v>8</v>
      </c>
      <c r="AV1088">
        <v>131</v>
      </c>
      <c r="AW1088">
        <v>1</v>
      </c>
      <c r="AX1088">
        <v>0</v>
      </c>
      <c r="AZ1088">
        <v>6.8</v>
      </c>
      <c r="BA1088">
        <v>19.899999999999999</v>
      </c>
      <c r="BB1088">
        <v>564</v>
      </c>
      <c r="BC1088">
        <v>68</v>
      </c>
      <c r="BD1088">
        <v>1.5</v>
      </c>
      <c r="BE1088">
        <v>135</v>
      </c>
      <c r="BF1088">
        <v>0.8</v>
      </c>
      <c r="BG1088">
        <v>162</v>
      </c>
      <c r="BH1088">
        <v>9.1</v>
      </c>
      <c r="BI1088">
        <v>9.1999999999999993</v>
      </c>
      <c r="BJ1088">
        <v>18.3</v>
      </c>
      <c r="BK1088">
        <v>0.34</v>
      </c>
      <c r="BL1088">
        <v>7.3</v>
      </c>
      <c r="BM1088">
        <v>0.9</v>
      </c>
      <c r="BN1088">
        <v>7.5</v>
      </c>
      <c r="BO1088">
        <v>2.9</v>
      </c>
      <c r="BP1088">
        <f t="shared" si="32"/>
        <v>6.2045842642595925</v>
      </c>
      <c r="BQ1088">
        <f t="shared" si="33"/>
        <v>19.035221585034879</v>
      </c>
    </row>
    <row r="1089" spans="1:69" hidden="1" x14ac:dyDescent="0.2">
      <c r="A1089" t="s">
        <v>4033</v>
      </c>
      <c r="B1089" t="s">
        <v>68</v>
      </c>
      <c r="C1089" t="s">
        <v>3294</v>
      </c>
      <c r="D1089" t="s">
        <v>70</v>
      </c>
      <c r="E1089" t="s">
        <v>3652</v>
      </c>
      <c r="F1089">
        <v>4</v>
      </c>
      <c r="G1089">
        <v>37</v>
      </c>
      <c r="H1089">
        <v>1</v>
      </c>
      <c r="I1089">
        <v>1</v>
      </c>
      <c r="J1089">
        <v>0</v>
      </c>
      <c r="K1089" t="s">
        <v>110</v>
      </c>
      <c r="L1089" t="s">
        <v>133</v>
      </c>
      <c r="M1089" s="4">
        <v>320000000</v>
      </c>
      <c r="N1089">
        <v>0</v>
      </c>
      <c r="O1089">
        <v>4.6120699500000004</v>
      </c>
      <c r="P1089">
        <v>-74.066647540000005</v>
      </c>
      <c r="Q1089" t="s">
        <v>4034</v>
      </c>
      <c r="R1089">
        <v>8648648.6490000002</v>
      </c>
      <c r="S1089">
        <v>0</v>
      </c>
      <c r="T1089" t="s">
        <v>126</v>
      </c>
      <c r="U1089" t="s">
        <v>127</v>
      </c>
      <c r="V1089" t="s">
        <v>77</v>
      </c>
      <c r="W1089" t="s">
        <v>128</v>
      </c>
      <c r="X1089" t="s">
        <v>129</v>
      </c>
      <c r="Y1089">
        <v>1.4939372591161399</v>
      </c>
      <c r="Z1089">
        <v>1493.93725911614</v>
      </c>
      <c r="AA1089">
        <v>4.6254861111111101</v>
      </c>
      <c r="AB1089">
        <v>-74.066980555555503</v>
      </c>
      <c r="AC1089">
        <v>2621</v>
      </c>
      <c r="AD1089">
        <v>15</v>
      </c>
      <c r="AE1089" t="s">
        <v>80</v>
      </c>
      <c r="AF1089" t="s">
        <v>81</v>
      </c>
      <c r="AG1089" t="s">
        <v>82</v>
      </c>
      <c r="AH1089" t="s">
        <v>83</v>
      </c>
      <c r="AI1089" t="s">
        <v>138</v>
      </c>
      <c r="AJ1089">
        <v>0.45284508780494198</v>
      </c>
      <c r="AK1089">
        <v>0.39138634335823702</v>
      </c>
      <c r="AL1089">
        <v>0.40230668990590601</v>
      </c>
      <c r="AM1089">
        <v>0.34932020328626201</v>
      </c>
      <c r="AN1089">
        <v>0.35647041813566899</v>
      </c>
      <c r="AO1089">
        <v>8.2537261649329896E-2</v>
      </c>
      <c r="AP1089">
        <v>8.2537261649329896E-2</v>
      </c>
      <c r="AQ1089">
        <v>1</v>
      </c>
      <c r="AR1089">
        <v>4</v>
      </c>
      <c r="AS1089">
        <v>5</v>
      </c>
      <c r="AT1089">
        <v>25</v>
      </c>
      <c r="AU1089">
        <v>8</v>
      </c>
      <c r="AV1089">
        <v>44</v>
      </c>
      <c r="AW1089">
        <v>1</v>
      </c>
      <c r="AX1089">
        <v>4</v>
      </c>
      <c r="AZ1089">
        <v>6.8</v>
      </c>
      <c r="BA1089">
        <v>19.899999999999999</v>
      </c>
      <c r="BB1089">
        <v>564</v>
      </c>
      <c r="BC1089">
        <v>68</v>
      </c>
      <c r="BD1089">
        <v>1.5</v>
      </c>
      <c r="BE1089">
        <v>135</v>
      </c>
      <c r="BF1089">
        <v>0.8</v>
      </c>
      <c r="BG1089">
        <v>162</v>
      </c>
      <c r="BH1089">
        <v>9.1</v>
      </c>
      <c r="BI1089">
        <v>9.1999999999999993</v>
      </c>
      <c r="BJ1089">
        <v>18.3</v>
      </c>
      <c r="BK1089">
        <v>0.34</v>
      </c>
      <c r="BL1089">
        <v>7.3</v>
      </c>
      <c r="BM1089">
        <v>0.9</v>
      </c>
      <c r="BN1089">
        <v>7.5</v>
      </c>
      <c r="BO1089">
        <v>2.9</v>
      </c>
      <c r="BP1089">
        <f t="shared" si="32"/>
        <v>6.3152839417502076</v>
      </c>
      <c r="BQ1089">
        <f t="shared" si="33"/>
        <v>19.19913522225173</v>
      </c>
    </row>
    <row r="1090" spans="1:69" hidden="1" x14ac:dyDescent="0.2">
      <c r="A1090" t="s">
        <v>3892</v>
      </c>
      <c r="B1090" t="s">
        <v>68</v>
      </c>
      <c r="C1090" t="s">
        <v>3294</v>
      </c>
      <c r="D1090" t="s">
        <v>70</v>
      </c>
      <c r="E1090" t="s">
        <v>1530</v>
      </c>
      <c r="F1090">
        <v>3</v>
      </c>
      <c r="G1090">
        <v>36.67</v>
      </c>
      <c r="H1090">
        <v>1</v>
      </c>
      <c r="I1090">
        <v>1</v>
      </c>
      <c r="J1090">
        <v>0</v>
      </c>
      <c r="K1090" t="s">
        <v>110</v>
      </c>
      <c r="L1090" t="s">
        <v>133</v>
      </c>
      <c r="M1090" s="4">
        <v>340000000</v>
      </c>
      <c r="N1090">
        <v>0</v>
      </c>
      <c r="O1090">
        <v>4.6176311200000004</v>
      </c>
      <c r="P1090">
        <v>-74.066445700000003</v>
      </c>
      <c r="Q1090" t="s">
        <v>3893</v>
      </c>
      <c r="R1090">
        <v>9271884.3739999998</v>
      </c>
      <c r="S1090">
        <v>0</v>
      </c>
      <c r="T1090" t="s">
        <v>126</v>
      </c>
      <c r="U1090" t="s">
        <v>127</v>
      </c>
      <c r="V1090" t="s">
        <v>77</v>
      </c>
      <c r="W1090" t="s">
        <v>128</v>
      </c>
      <c r="X1090" t="s">
        <v>129</v>
      </c>
      <c r="Y1090">
        <v>0.87642520579534799</v>
      </c>
      <c r="Z1090">
        <v>876.42520579534801</v>
      </c>
      <c r="AA1090">
        <v>4.6254861111111101</v>
      </c>
      <c r="AB1090">
        <v>-74.066980555555503</v>
      </c>
      <c r="AC1090">
        <v>2621</v>
      </c>
      <c r="AD1090">
        <v>15</v>
      </c>
      <c r="AE1090" t="s">
        <v>80</v>
      </c>
      <c r="AF1090" t="s">
        <v>81</v>
      </c>
      <c r="AG1090" t="s">
        <v>82</v>
      </c>
      <c r="AH1090" t="s">
        <v>83</v>
      </c>
      <c r="AI1090" t="s">
        <v>138</v>
      </c>
      <c r="AJ1090">
        <v>0.40558466138814298</v>
      </c>
      <c r="AK1090">
        <v>0.40272891693065399</v>
      </c>
      <c r="AL1090">
        <v>0.365860091054243</v>
      </c>
      <c r="AM1090">
        <v>0.19589704719472301</v>
      </c>
      <c r="AN1090">
        <v>0.25965389019422103</v>
      </c>
      <c r="AO1090">
        <v>4.61199164587454E-2</v>
      </c>
      <c r="AP1090">
        <v>4.61199164587454E-2</v>
      </c>
      <c r="AQ1090">
        <v>1</v>
      </c>
      <c r="AR1090">
        <v>5</v>
      </c>
      <c r="AS1090">
        <v>1</v>
      </c>
      <c r="AT1090">
        <v>10</v>
      </c>
      <c r="AU1090">
        <v>12</v>
      </c>
      <c r="AV1090">
        <v>55</v>
      </c>
      <c r="AW1090">
        <v>1</v>
      </c>
      <c r="AX1090">
        <v>2</v>
      </c>
      <c r="AZ1090">
        <v>6.8</v>
      </c>
      <c r="BA1090">
        <v>19.899999999999999</v>
      </c>
      <c r="BB1090">
        <v>564</v>
      </c>
      <c r="BC1090">
        <v>68</v>
      </c>
      <c r="BD1090">
        <v>1.5</v>
      </c>
      <c r="BE1090">
        <v>135</v>
      </c>
      <c r="BF1090">
        <v>0.8</v>
      </c>
      <c r="BG1090">
        <v>162</v>
      </c>
      <c r="BH1090">
        <v>9.1</v>
      </c>
      <c r="BI1090">
        <v>9.1999999999999993</v>
      </c>
      <c r="BJ1090">
        <v>18.3</v>
      </c>
      <c r="BK1090">
        <v>0.34</v>
      </c>
      <c r="BL1090">
        <v>7.3</v>
      </c>
      <c r="BM1090">
        <v>0.9</v>
      </c>
      <c r="BN1090">
        <v>7.5</v>
      </c>
      <c r="BO1090">
        <v>2.9</v>
      </c>
      <c r="BP1090">
        <f t="shared" ref="BP1090:BP1153" si="34">+AZ1090*EXP(-0.0495*Y1090)</f>
        <v>6.5113028352180908</v>
      </c>
      <c r="BQ1090">
        <f t="shared" ref="BQ1090:BQ1153" si="35">+BA1090*EXP(-0.024*Y1090)</f>
        <v>19.485790873243236</v>
      </c>
    </row>
    <row r="1091" spans="1:69" hidden="1" x14ac:dyDescent="0.2">
      <c r="A1091" t="s">
        <v>1818</v>
      </c>
      <c r="B1091" t="s">
        <v>68</v>
      </c>
      <c r="C1091" t="s">
        <v>69</v>
      </c>
      <c r="D1091" t="s">
        <v>70</v>
      </c>
      <c r="E1091" t="s">
        <v>1530</v>
      </c>
      <c r="F1091">
        <v>3</v>
      </c>
      <c r="G1091">
        <v>36.340000000000003</v>
      </c>
      <c r="H1091">
        <v>1</v>
      </c>
      <c r="I1091">
        <v>2</v>
      </c>
      <c r="J1091">
        <v>1</v>
      </c>
      <c r="K1091" t="s">
        <v>110</v>
      </c>
      <c r="L1091" t="s">
        <v>111</v>
      </c>
      <c r="M1091" s="4">
        <v>385000000</v>
      </c>
      <c r="N1091">
        <v>0</v>
      </c>
      <c r="O1091">
        <v>4.6180934909999998</v>
      </c>
      <c r="P1091">
        <v>-74.06597137</v>
      </c>
      <c r="Q1091" t="s">
        <v>1819</v>
      </c>
      <c r="R1091">
        <v>10594386.35</v>
      </c>
      <c r="S1091">
        <v>0</v>
      </c>
      <c r="T1091" t="s">
        <v>126</v>
      </c>
      <c r="U1091" t="s">
        <v>127</v>
      </c>
      <c r="V1091" t="s">
        <v>77</v>
      </c>
      <c r="W1091" t="s">
        <v>128</v>
      </c>
      <c r="X1091" t="s">
        <v>129</v>
      </c>
      <c r="Y1091">
        <v>0.83052602842392598</v>
      </c>
      <c r="Z1091">
        <v>830.52602842392605</v>
      </c>
      <c r="AA1091">
        <v>4.6254861111111101</v>
      </c>
      <c r="AB1091">
        <v>-74.066980555555503</v>
      </c>
      <c r="AC1091">
        <v>2621</v>
      </c>
      <c r="AD1091">
        <v>15</v>
      </c>
      <c r="AE1091" t="s">
        <v>80</v>
      </c>
      <c r="AF1091" t="s">
        <v>81</v>
      </c>
      <c r="AG1091" t="s">
        <v>82</v>
      </c>
      <c r="AH1091" t="s">
        <v>83</v>
      </c>
      <c r="AI1091" t="s">
        <v>138</v>
      </c>
      <c r="AJ1091">
        <v>0.478790137873155</v>
      </c>
      <c r="AK1091">
        <v>0.38709996212615699</v>
      </c>
      <c r="AL1091">
        <v>0.31399129231740802</v>
      </c>
      <c r="AM1091">
        <v>0.21097782933290099</v>
      </c>
      <c r="AN1091">
        <v>0.31363020629612798</v>
      </c>
      <c r="AO1091">
        <v>1.0006957515140099E-2</v>
      </c>
      <c r="AP1091">
        <v>1.0006957515140099E-2</v>
      </c>
      <c r="AQ1091">
        <v>1</v>
      </c>
      <c r="AR1091">
        <v>4</v>
      </c>
      <c r="AS1091">
        <v>1</v>
      </c>
      <c r="AT1091">
        <v>9</v>
      </c>
      <c r="AU1091">
        <v>11</v>
      </c>
      <c r="AV1091">
        <v>55</v>
      </c>
      <c r="AW1091">
        <v>1</v>
      </c>
      <c r="AX1091">
        <v>2</v>
      </c>
      <c r="AZ1091">
        <v>6.8</v>
      </c>
      <c r="BA1091">
        <v>19.899999999999999</v>
      </c>
      <c r="BB1091">
        <v>564</v>
      </c>
      <c r="BC1091">
        <v>68</v>
      </c>
      <c r="BD1091">
        <v>1.5</v>
      </c>
      <c r="BE1091">
        <v>135</v>
      </c>
      <c r="BF1091">
        <v>0.8</v>
      </c>
      <c r="BG1091">
        <v>162</v>
      </c>
      <c r="BH1091">
        <v>9.1</v>
      </c>
      <c r="BI1091">
        <v>9.1999999999999993</v>
      </c>
      <c r="BJ1091">
        <v>18.3</v>
      </c>
      <c r="BK1091">
        <v>0.34</v>
      </c>
      <c r="BL1091">
        <v>7.3</v>
      </c>
      <c r="BM1091">
        <v>0.9</v>
      </c>
      <c r="BN1091">
        <v>7.5</v>
      </c>
      <c r="BO1091">
        <v>2.9</v>
      </c>
      <c r="BP1091">
        <f t="shared" si="34"/>
        <v>6.526113394176507</v>
      </c>
      <c r="BQ1091">
        <f t="shared" si="35"/>
        <v>19.507267862901628</v>
      </c>
    </row>
    <row r="1092" spans="1:69" hidden="1" x14ac:dyDescent="0.2">
      <c r="A1092" t="s">
        <v>3627</v>
      </c>
      <c r="B1092" t="s">
        <v>68</v>
      </c>
      <c r="C1092" t="s">
        <v>3294</v>
      </c>
      <c r="D1092" t="s">
        <v>70</v>
      </c>
      <c r="E1092" t="s">
        <v>3628</v>
      </c>
      <c r="F1092">
        <v>4</v>
      </c>
      <c r="G1092">
        <v>36</v>
      </c>
      <c r="H1092">
        <v>1</v>
      </c>
      <c r="I1092">
        <v>1</v>
      </c>
      <c r="J1092">
        <v>1</v>
      </c>
      <c r="K1092" t="s">
        <v>110</v>
      </c>
      <c r="L1092" t="s">
        <v>133</v>
      </c>
      <c r="M1092" s="4">
        <v>450000000</v>
      </c>
      <c r="N1092">
        <v>0</v>
      </c>
      <c r="O1092">
        <v>4.6630690000000001</v>
      </c>
      <c r="P1092">
        <v>-74.068380000000005</v>
      </c>
      <c r="Q1092" t="s">
        <v>3629</v>
      </c>
      <c r="R1092">
        <v>12500000</v>
      </c>
      <c r="S1092">
        <v>0</v>
      </c>
      <c r="T1092" t="s">
        <v>75</v>
      </c>
      <c r="U1092" t="s">
        <v>76</v>
      </c>
      <c r="V1092" t="s">
        <v>77</v>
      </c>
      <c r="W1092" t="s">
        <v>78</v>
      </c>
      <c r="X1092" t="s">
        <v>79</v>
      </c>
      <c r="Y1092">
        <v>1.80365608674084</v>
      </c>
      <c r="Z1092">
        <v>1803.65608674084</v>
      </c>
      <c r="AA1092">
        <v>4.6584666666666701</v>
      </c>
      <c r="AB1092">
        <v>-74.083966666666697</v>
      </c>
      <c r="AC1092">
        <v>2552</v>
      </c>
      <c r="AD1092">
        <v>0</v>
      </c>
      <c r="AE1092" t="s">
        <v>80</v>
      </c>
      <c r="AF1092" t="s">
        <v>81</v>
      </c>
      <c r="AG1092" t="s">
        <v>82</v>
      </c>
      <c r="AH1092" t="s">
        <v>83</v>
      </c>
      <c r="AI1092" t="s">
        <v>342</v>
      </c>
      <c r="AJ1092">
        <v>0.77684152967352105</v>
      </c>
      <c r="AK1092">
        <v>2.4019619972295398</v>
      </c>
      <c r="AL1092">
        <v>0.53829464998746601</v>
      </c>
      <c r="AM1092">
        <v>0.13174121751390899</v>
      </c>
      <c r="AN1092">
        <v>1.90899824302654</v>
      </c>
      <c r="AO1092">
        <v>0.29780753678629002</v>
      </c>
      <c r="AP1092">
        <v>0.29780753678629002</v>
      </c>
      <c r="AQ1092">
        <v>0</v>
      </c>
      <c r="AR1092">
        <v>5</v>
      </c>
      <c r="AS1092">
        <v>0</v>
      </c>
      <c r="AT1092">
        <v>0</v>
      </c>
      <c r="AU1092">
        <v>7</v>
      </c>
      <c r="AV1092">
        <v>49</v>
      </c>
      <c r="AW1092">
        <v>0</v>
      </c>
      <c r="AX1092">
        <v>0</v>
      </c>
      <c r="AZ1092">
        <v>6.8</v>
      </c>
      <c r="BA1092">
        <v>19.899999999999999</v>
      </c>
      <c r="BB1092">
        <v>564</v>
      </c>
      <c r="BC1092">
        <v>68</v>
      </c>
      <c r="BD1092">
        <v>1.5</v>
      </c>
      <c r="BE1092">
        <v>135</v>
      </c>
      <c r="BF1092">
        <v>0.8</v>
      </c>
      <c r="BG1092">
        <v>162</v>
      </c>
      <c r="BH1092">
        <v>9.1</v>
      </c>
      <c r="BI1092">
        <v>9.1999999999999993</v>
      </c>
      <c r="BJ1092">
        <v>18.3</v>
      </c>
      <c r="BK1092">
        <v>0.34</v>
      </c>
      <c r="BL1092">
        <v>7.3</v>
      </c>
      <c r="BM1092">
        <v>0.9</v>
      </c>
      <c r="BN1092">
        <v>7.5</v>
      </c>
      <c r="BO1092">
        <v>2.9</v>
      </c>
      <c r="BP1092">
        <f t="shared" si="34"/>
        <v>6.2192022064019445</v>
      </c>
      <c r="BQ1092">
        <f t="shared" si="35"/>
        <v>19.056952309963435</v>
      </c>
    </row>
    <row r="1093" spans="1:69" hidden="1" x14ac:dyDescent="0.2">
      <c r="A1093" t="s">
        <v>4019</v>
      </c>
      <c r="B1093" t="s">
        <v>68</v>
      </c>
      <c r="C1093" t="s">
        <v>3294</v>
      </c>
      <c r="D1093" t="s">
        <v>70</v>
      </c>
      <c r="E1093" t="s">
        <v>1920</v>
      </c>
      <c r="F1093">
        <v>4</v>
      </c>
      <c r="G1093">
        <v>36</v>
      </c>
      <c r="H1093">
        <v>1</v>
      </c>
      <c r="I1093">
        <v>1</v>
      </c>
      <c r="J1093">
        <v>0</v>
      </c>
      <c r="K1093" t="s">
        <v>110</v>
      </c>
      <c r="L1093" t="s">
        <v>111</v>
      </c>
      <c r="M1093" s="4">
        <v>340000000</v>
      </c>
      <c r="N1093">
        <v>0</v>
      </c>
      <c r="O1093">
        <v>4.6436142</v>
      </c>
      <c r="P1093">
        <v>-74.074807199999995</v>
      </c>
      <c r="Q1093" t="s">
        <v>4020</v>
      </c>
      <c r="R1093">
        <v>9444444.4440000001</v>
      </c>
      <c r="S1093">
        <v>0</v>
      </c>
      <c r="T1093" t="s">
        <v>75</v>
      </c>
      <c r="U1093" t="s">
        <v>76</v>
      </c>
      <c r="V1093" t="s">
        <v>77</v>
      </c>
      <c r="W1093" t="s">
        <v>78</v>
      </c>
      <c r="X1093" t="s">
        <v>79</v>
      </c>
      <c r="Y1093">
        <v>1.94073001155798</v>
      </c>
      <c r="Z1093">
        <v>1940.7300115579801</v>
      </c>
      <c r="AA1093">
        <v>4.6584666666666701</v>
      </c>
      <c r="AB1093">
        <v>-74.083966666666697</v>
      </c>
      <c r="AC1093">
        <v>2552</v>
      </c>
      <c r="AD1093">
        <v>0</v>
      </c>
      <c r="AE1093" t="s">
        <v>80</v>
      </c>
      <c r="AF1093" t="s">
        <v>81</v>
      </c>
      <c r="AG1093" t="s">
        <v>82</v>
      </c>
      <c r="AH1093" t="s">
        <v>83</v>
      </c>
      <c r="AI1093" t="s">
        <v>84</v>
      </c>
      <c r="AJ1093">
        <v>0.47554318765657599</v>
      </c>
      <c r="AK1093">
        <v>1.93254178496939</v>
      </c>
      <c r="AL1093">
        <v>0.34492754195519199</v>
      </c>
      <c r="AM1093">
        <v>4.8796593864912398E-2</v>
      </c>
      <c r="AN1093">
        <v>1.8338102486794601</v>
      </c>
      <c r="AO1093">
        <v>0.58302185452687505</v>
      </c>
      <c r="AP1093">
        <v>0.58302185452687505</v>
      </c>
      <c r="AQ1093">
        <v>1</v>
      </c>
      <c r="AR1093">
        <v>4</v>
      </c>
      <c r="AS1093">
        <v>0</v>
      </c>
      <c r="AT1093">
        <v>0</v>
      </c>
      <c r="AU1093">
        <v>7</v>
      </c>
      <c r="AV1093">
        <v>103</v>
      </c>
      <c r="AW1093">
        <v>0</v>
      </c>
      <c r="AX1093">
        <v>0</v>
      </c>
      <c r="AZ1093">
        <v>6.8</v>
      </c>
      <c r="BA1093">
        <v>19.899999999999999</v>
      </c>
      <c r="BB1093">
        <v>564</v>
      </c>
      <c r="BC1093">
        <v>68</v>
      </c>
      <c r="BD1093">
        <v>1.5</v>
      </c>
      <c r="BE1093">
        <v>135</v>
      </c>
      <c r="BF1093">
        <v>0.8</v>
      </c>
      <c r="BG1093">
        <v>162</v>
      </c>
      <c r="BH1093">
        <v>9.1</v>
      </c>
      <c r="BI1093">
        <v>9.1999999999999993</v>
      </c>
      <c r="BJ1093">
        <v>18.3</v>
      </c>
      <c r="BK1093">
        <v>0.34</v>
      </c>
      <c r="BL1093">
        <v>7.3</v>
      </c>
      <c r="BM1093">
        <v>0.9</v>
      </c>
      <c r="BN1093">
        <v>7.5</v>
      </c>
      <c r="BO1093">
        <v>2.9</v>
      </c>
      <c r="BP1093">
        <f t="shared" si="34"/>
        <v>6.1771467666222701</v>
      </c>
      <c r="BQ1093">
        <f t="shared" si="35"/>
        <v>18.994362250038137</v>
      </c>
    </row>
    <row r="1094" spans="1:69" hidden="1" x14ac:dyDescent="0.2">
      <c r="A1094" t="s">
        <v>4149</v>
      </c>
      <c r="B1094" t="s">
        <v>68</v>
      </c>
      <c r="C1094" t="s">
        <v>3294</v>
      </c>
      <c r="D1094" t="s">
        <v>70</v>
      </c>
      <c r="E1094" t="s">
        <v>3486</v>
      </c>
      <c r="F1094">
        <v>4</v>
      </c>
      <c r="G1094">
        <v>36</v>
      </c>
      <c r="H1094">
        <v>1</v>
      </c>
      <c r="I1094">
        <v>1</v>
      </c>
      <c r="J1094">
        <v>0</v>
      </c>
      <c r="K1094" t="s">
        <v>110</v>
      </c>
      <c r="L1094" t="s">
        <v>124</v>
      </c>
      <c r="M1094" s="4">
        <v>310000000</v>
      </c>
      <c r="N1094">
        <v>0</v>
      </c>
      <c r="O1094">
        <v>4.6340479999999999</v>
      </c>
      <c r="P1094">
        <v>-74.090940000000003</v>
      </c>
      <c r="Q1094" t="s">
        <v>4150</v>
      </c>
      <c r="R1094">
        <v>8611111.1109999996</v>
      </c>
      <c r="S1094">
        <v>0</v>
      </c>
      <c r="T1094" t="s">
        <v>126</v>
      </c>
      <c r="U1094" t="s">
        <v>127</v>
      </c>
      <c r="V1094" t="s">
        <v>77</v>
      </c>
      <c r="W1094" t="s">
        <v>128</v>
      </c>
      <c r="X1094" t="s">
        <v>129</v>
      </c>
      <c r="Y1094">
        <v>2.82414023974194</v>
      </c>
      <c r="Z1094">
        <v>2824.1402397419401</v>
      </c>
      <c r="AA1094">
        <v>4.6254861111111101</v>
      </c>
      <c r="AB1094">
        <v>-74.066980555555503</v>
      </c>
      <c r="AC1094">
        <v>2621</v>
      </c>
      <c r="AD1094">
        <v>15</v>
      </c>
      <c r="AE1094" t="s">
        <v>80</v>
      </c>
      <c r="AF1094" t="s">
        <v>81</v>
      </c>
      <c r="AG1094" t="s">
        <v>82</v>
      </c>
      <c r="AH1094" t="s">
        <v>83</v>
      </c>
      <c r="AI1094" t="s">
        <v>84</v>
      </c>
      <c r="AJ1094">
        <v>0.14034671503936799</v>
      </c>
      <c r="AK1094">
        <v>3.3729158218794799</v>
      </c>
      <c r="AL1094">
        <v>0.60670752375092896</v>
      </c>
      <c r="AM1094">
        <v>8.4256944737286996E-2</v>
      </c>
      <c r="AN1094">
        <v>2.2450632934616199</v>
      </c>
      <c r="AO1094">
        <v>2.41409666463905E-2</v>
      </c>
      <c r="AP1094">
        <v>2.41409666463905E-2</v>
      </c>
      <c r="AQ1094">
        <v>2</v>
      </c>
      <c r="AR1094">
        <v>3</v>
      </c>
      <c r="AS1094">
        <v>0</v>
      </c>
      <c r="AT1094">
        <v>0</v>
      </c>
      <c r="AU1094">
        <v>1</v>
      </c>
      <c r="AV1094">
        <v>14</v>
      </c>
      <c r="AW1094">
        <v>0</v>
      </c>
      <c r="AX1094">
        <v>0</v>
      </c>
      <c r="AZ1094">
        <v>6.8</v>
      </c>
      <c r="BA1094">
        <v>19.899999999999999</v>
      </c>
      <c r="BB1094">
        <v>564</v>
      </c>
      <c r="BC1094">
        <v>68</v>
      </c>
      <c r="BD1094">
        <v>1.5</v>
      </c>
      <c r="BE1094">
        <v>135</v>
      </c>
      <c r="BF1094">
        <v>0.8</v>
      </c>
      <c r="BG1094">
        <v>162</v>
      </c>
      <c r="BH1094">
        <v>9.1</v>
      </c>
      <c r="BI1094">
        <v>9.1999999999999993</v>
      </c>
      <c r="BJ1094">
        <v>18.3</v>
      </c>
      <c r="BK1094">
        <v>0.34</v>
      </c>
      <c r="BL1094">
        <v>7.3</v>
      </c>
      <c r="BM1094">
        <v>0.9</v>
      </c>
      <c r="BN1094">
        <v>7.5</v>
      </c>
      <c r="BO1094">
        <v>2.9</v>
      </c>
      <c r="BP1094">
        <f t="shared" si="34"/>
        <v>5.9128483540490322</v>
      </c>
      <c r="BQ1094">
        <f t="shared" si="35"/>
        <v>18.595885860860104</v>
      </c>
    </row>
    <row r="1095" spans="1:69" hidden="1" x14ac:dyDescent="0.2">
      <c r="A1095" t="s">
        <v>3561</v>
      </c>
      <c r="B1095" t="s">
        <v>68</v>
      </c>
      <c r="C1095" t="s">
        <v>3294</v>
      </c>
      <c r="D1095" t="s">
        <v>70</v>
      </c>
      <c r="E1095" t="s">
        <v>123</v>
      </c>
      <c r="F1095">
        <v>3</v>
      </c>
      <c r="G1095">
        <v>36</v>
      </c>
      <c r="H1095">
        <v>1</v>
      </c>
      <c r="I1095">
        <v>1</v>
      </c>
      <c r="J1095">
        <v>1</v>
      </c>
      <c r="K1095" t="s">
        <v>110</v>
      </c>
      <c r="L1095" t="s">
        <v>124</v>
      </c>
      <c r="M1095" s="4">
        <v>300000000</v>
      </c>
      <c r="N1095">
        <v>0</v>
      </c>
      <c r="O1095">
        <v>4.6415691380000004</v>
      </c>
      <c r="P1095">
        <v>-74.062774660000002</v>
      </c>
      <c r="Q1095" t="s">
        <v>3562</v>
      </c>
      <c r="R1095">
        <v>8333333.3329999996</v>
      </c>
      <c r="S1095">
        <v>0</v>
      </c>
      <c r="T1095" t="s">
        <v>126</v>
      </c>
      <c r="U1095" t="s">
        <v>127</v>
      </c>
      <c r="V1095" t="s">
        <v>77</v>
      </c>
      <c r="W1095" t="s">
        <v>128</v>
      </c>
      <c r="X1095" t="s">
        <v>129</v>
      </c>
      <c r="Y1095">
        <v>1.85017505820428</v>
      </c>
      <c r="Z1095">
        <v>1850.17505820428</v>
      </c>
      <c r="AA1095">
        <v>4.6254861111111101</v>
      </c>
      <c r="AB1095">
        <v>-74.066980555555503</v>
      </c>
      <c r="AC1095">
        <v>2621</v>
      </c>
      <c r="AD1095">
        <v>15</v>
      </c>
      <c r="AE1095" t="s">
        <v>80</v>
      </c>
      <c r="AF1095" t="s">
        <v>81</v>
      </c>
      <c r="AG1095" t="s">
        <v>82</v>
      </c>
      <c r="AH1095" t="s">
        <v>83</v>
      </c>
      <c r="AI1095" t="s">
        <v>130</v>
      </c>
      <c r="AJ1095">
        <v>0.372852899425622</v>
      </c>
      <c r="AK1095">
        <v>0.57974445769233596</v>
      </c>
      <c r="AL1095">
        <v>0.427568478280553</v>
      </c>
      <c r="AM1095">
        <v>8.0108328699491194E-2</v>
      </c>
      <c r="AN1095">
        <v>0.48619134722579099</v>
      </c>
      <c r="AO1095">
        <v>0.23268685708362399</v>
      </c>
      <c r="AP1095">
        <v>0.23268685708362399</v>
      </c>
      <c r="AQ1095">
        <v>1</v>
      </c>
      <c r="AR1095">
        <v>4</v>
      </c>
      <c r="AS1095">
        <v>0</v>
      </c>
      <c r="AT1095">
        <v>22</v>
      </c>
      <c r="AU1095">
        <v>8</v>
      </c>
      <c r="AV1095">
        <v>131</v>
      </c>
      <c r="AW1095">
        <v>1</v>
      </c>
      <c r="AX1095">
        <v>0</v>
      </c>
      <c r="AZ1095">
        <v>6.8</v>
      </c>
      <c r="BA1095">
        <v>19.899999999999999</v>
      </c>
      <c r="BB1095">
        <v>564</v>
      </c>
      <c r="BC1095">
        <v>68</v>
      </c>
      <c r="BD1095">
        <v>1.5</v>
      </c>
      <c r="BE1095">
        <v>135</v>
      </c>
      <c r="BF1095">
        <v>0.8</v>
      </c>
      <c r="BG1095">
        <v>162</v>
      </c>
      <c r="BH1095">
        <v>9.1</v>
      </c>
      <c r="BI1095">
        <v>9.1999999999999993</v>
      </c>
      <c r="BJ1095">
        <v>18.3</v>
      </c>
      <c r="BK1095">
        <v>0.34</v>
      </c>
      <c r="BL1095">
        <v>7.3</v>
      </c>
      <c r="BM1095">
        <v>0.9</v>
      </c>
      <c r="BN1095">
        <v>7.5</v>
      </c>
      <c r="BO1095">
        <v>2.9</v>
      </c>
      <c r="BP1095">
        <f t="shared" si="34"/>
        <v>6.2048977929776408</v>
      </c>
      <c r="BQ1095">
        <f t="shared" si="35"/>
        <v>19.035687946831345</v>
      </c>
    </row>
    <row r="1096" spans="1:69" hidden="1" x14ac:dyDescent="0.2">
      <c r="A1096" t="s">
        <v>4145</v>
      </c>
      <c r="B1096" t="s">
        <v>68</v>
      </c>
      <c r="C1096" t="s">
        <v>3294</v>
      </c>
      <c r="D1096" t="s">
        <v>70</v>
      </c>
      <c r="E1096" t="s">
        <v>684</v>
      </c>
      <c r="F1096">
        <v>5</v>
      </c>
      <c r="G1096">
        <v>35.99</v>
      </c>
      <c r="H1096">
        <v>1</v>
      </c>
      <c r="I1096">
        <v>1</v>
      </c>
      <c r="J1096">
        <v>0</v>
      </c>
      <c r="K1096" t="s">
        <v>110</v>
      </c>
      <c r="L1096" t="s">
        <v>111</v>
      </c>
      <c r="M1096" s="4">
        <v>315000000</v>
      </c>
      <c r="N1096">
        <v>0</v>
      </c>
      <c r="O1096">
        <v>4.6873810000000002</v>
      </c>
      <c r="P1096">
        <v>-74.060990000000004</v>
      </c>
      <c r="Q1096" t="s">
        <v>4146</v>
      </c>
      <c r="R1096">
        <v>8752431.2310000006</v>
      </c>
      <c r="S1096">
        <v>0</v>
      </c>
      <c r="T1096" t="s">
        <v>75</v>
      </c>
      <c r="U1096" t="s">
        <v>76</v>
      </c>
      <c r="V1096" t="s">
        <v>77</v>
      </c>
      <c r="W1096" t="s">
        <v>78</v>
      </c>
      <c r="X1096" t="s">
        <v>79</v>
      </c>
      <c r="Y1096">
        <v>4.1059572715189399</v>
      </c>
      <c r="Z1096">
        <v>4105.9572715189397</v>
      </c>
      <c r="AA1096">
        <v>4.6584666666666701</v>
      </c>
      <c r="AB1096">
        <v>-74.083966666666697</v>
      </c>
      <c r="AC1096">
        <v>2552</v>
      </c>
      <c r="AD1096">
        <v>0</v>
      </c>
      <c r="AE1096" t="s">
        <v>80</v>
      </c>
      <c r="AF1096" t="s">
        <v>81</v>
      </c>
      <c r="AG1096" t="s">
        <v>82</v>
      </c>
      <c r="AH1096" t="s">
        <v>83</v>
      </c>
      <c r="AI1096" t="s">
        <v>342</v>
      </c>
      <c r="AJ1096">
        <v>0.38555771811571399</v>
      </c>
      <c r="AK1096">
        <v>2.80583859368065</v>
      </c>
      <c r="AL1096">
        <v>0.91282656625998604</v>
      </c>
      <c r="AM1096">
        <v>4.0076641228315599E-2</v>
      </c>
      <c r="AN1096">
        <v>2.7576401025890802</v>
      </c>
      <c r="AO1096">
        <v>0.14031477194287001</v>
      </c>
      <c r="AP1096">
        <v>0.14031477194287001</v>
      </c>
      <c r="AQ1096">
        <v>2</v>
      </c>
      <c r="AR1096">
        <v>6</v>
      </c>
      <c r="AS1096">
        <v>0</v>
      </c>
      <c r="AT1096">
        <v>0</v>
      </c>
      <c r="AU1096">
        <v>2</v>
      </c>
      <c r="AV1096">
        <v>197</v>
      </c>
      <c r="AW1096">
        <v>0</v>
      </c>
      <c r="AX1096">
        <v>0</v>
      </c>
      <c r="AZ1096">
        <v>6.8</v>
      </c>
      <c r="BA1096">
        <v>19.899999999999999</v>
      </c>
      <c r="BB1096">
        <v>564</v>
      </c>
      <c r="BC1096">
        <v>68</v>
      </c>
      <c r="BD1096">
        <v>1.5</v>
      </c>
      <c r="BE1096">
        <v>135</v>
      </c>
      <c r="BF1096">
        <v>0.8</v>
      </c>
      <c r="BG1096">
        <v>162</v>
      </c>
      <c r="BH1096">
        <v>9.1</v>
      </c>
      <c r="BI1096">
        <v>9.1999999999999993</v>
      </c>
      <c r="BJ1096">
        <v>18.3</v>
      </c>
      <c r="BK1096">
        <v>0.34</v>
      </c>
      <c r="BL1096">
        <v>7.3</v>
      </c>
      <c r="BM1096">
        <v>0.9</v>
      </c>
      <c r="BN1096">
        <v>7.5</v>
      </c>
      <c r="BO1096">
        <v>2.9</v>
      </c>
      <c r="BP1096">
        <f t="shared" si="34"/>
        <v>5.5493329272256418</v>
      </c>
      <c r="BQ1096">
        <f t="shared" si="35"/>
        <v>18.03251932757388</v>
      </c>
    </row>
    <row r="1097" spans="1:69" hidden="1" x14ac:dyDescent="0.2">
      <c r="A1097" t="s">
        <v>3853</v>
      </c>
      <c r="B1097" t="s">
        <v>68</v>
      </c>
      <c r="C1097" t="s">
        <v>3294</v>
      </c>
      <c r="D1097" t="s">
        <v>70</v>
      </c>
      <c r="E1097" t="s">
        <v>1010</v>
      </c>
      <c r="F1097">
        <v>5</v>
      </c>
      <c r="G1097">
        <v>35.700000000000003</v>
      </c>
      <c r="H1097">
        <v>1</v>
      </c>
      <c r="I1097">
        <v>1</v>
      </c>
      <c r="J1097">
        <v>0</v>
      </c>
      <c r="K1097" t="s">
        <v>110</v>
      </c>
      <c r="L1097" t="s">
        <v>111</v>
      </c>
      <c r="M1097" s="4">
        <v>330000000</v>
      </c>
      <c r="N1097">
        <v>0</v>
      </c>
      <c r="O1097">
        <v>4.6887698169999998</v>
      </c>
      <c r="P1097">
        <v>-74.061714170000002</v>
      </c>
      <c r="Q1097" t="s">
        <v>3854</v>
      </c>
      <c r="R1097">
        <v>9243697.4790000003</v>
      </c>
      <c r="S1097">
        <v>0</v>
      </c>
      <c r="T1097" t="s">
        <v>75</v>
      </c>
      <c r="U1097" t="s">
        <v>76</v>
      </c>
      <c r="V1097" t="s">
        <v>77</v>
      </c>
      <c r="W1097" t="s">
        <v>78</v>
      </c>
      <c r="X1097" t="s">
        <v>79</v>
      </c>
      <c r="Y1097">
        <v>4.18029084974307</v>
      </c>
      <c r="Z1097">
        <v>4180.2908497430699</v>
      </c>
      <c r="AA1097">
        <v>4.6584666666666701</v>
      </c>
      <c r="AB1097">
        <v>-74.083966666666697</v>
      </c>
      <c r="AC1097">
        <v>2552</v>
      </c>
      <c r="AD1097">
        <v>0</v>
      </c>
      <c r="AE1097" t="s">
        <v>80</v>
      </c>
      <c r="AF1097" t="s">
        <v>81</v>
      </c>
      <c r="AG1097" t="s">
        <v>82</v>
      </c>
      <c r="AH1097" t="s">
        <v>83</v>
      </c>
      <c r="AI1097" t="s">
        <v>121</v>
      </c>
      <c r="AJ1097">
        <v>0.36218019451817202</v>
      </c>
      <c r="AK1097">
        <v>2.9554341929511501</v>
      </c>
      <c r="AL1097">
        <v>1.0420330131459501</v>
      </c>
      <c r="AM1097">
        <v>0.14240554945807399</v>
      </c>
      <c r="AN1097">
        <v>2.77906809708578</v>
      </c>
      <c r="AO1097">
        <v>2.9249813267697199E-3</v>
      </c>
      <c r="AP1097">
        <v>2.9249813267697199E-3</v>
      </c>
      <c r="AQ1097">
        <v>2</v>
      </c>
      <c r="AR1097">
        <v>6</v>
      </c>
      <c r="AS1097">
        <v>0</v>
      </c>
      <c r="AT1097">
        <v>0</v>
      </c>
      <c r="AU1097">
        <v>0</v>
      </c>
      <c r="AV1097">
        <v>182</v>
      </c>
      <c r="AW1097">
        <v>0</v>
      </c>
      <c r="AX1097">
        <v>0</v>
      </c>
      <c r="AZ1097">
        <v>6.8</v>
      </c>
      <c r="BA1097">
        <v>19.899999999999999</v>
      </c>
      <c r="BB1097">
        <v>564</v>
      </c>
      <c r="BC1097">
        <v>68</v>
      </c>
      <c r="BD1097">
        <v>1.5</v>
      </c>
      <c r="BE1097">
        <v>135</v>
      </c>
      <c r="BF1097">
        <v>0.8</v>
      </c>
      <c r="BG1097">
        <v>162</v>
      </c>
      <c r="BH1097">
        <v>9.1</v>
      </c>
      <c r="BI1097">
        <v>9.1999999999999993</v>
      </c>
      <c r="BJ1097">
        <v>18.3</v>
      </c>
      <c r="BK1097">
        <v>0.34</v>
      </c>
      <c r="BL1097">
        <v>7.3</v>
      </c>
      <c r="BM1097">
        <v>0.9</v>
      </c>
      <c r="BN1097">
        <v>7.5</v>
      </c>
      <c r="BO1097">
        <v>2.9</v>
      </c>
      <c r="BP1097">
        <f t="shared" si="34"/>
        <v>5.5289516090988275</v>
      </c>
      <c r="BQ1097">
        <f t="shared" si="35"/>
        <v>18.000377885894618</v>
      </c>
    </row>
    <row r="1098" spans="1:69" hidden="1" x14ac:dyDescent="0.2">
      <c r="A1098" t="s">
        <v>1097</v>
      </c>
      <c r="B1098" t="s">
        <v>68</v>
      </c>
      <c r="C1098" t="s">
        <v>69</v>
      </c>
      <c r="D1098" t="s">
        <v>70</v>
      </c>
      <c r="E1098" t="s">
        <v>1098</v>
      </c>
      <c r="F1098">
        <v>3</v>
      </c>
      <c r="G1098">
        <v>35.67</v>
      </c>
      <c r="H1098">
        <v>2</v>
      </c>
      <c r="I1098">
        <v>1</v>
      </c>
      <c r="J1098">
        <v>0</v>
      </c>
      <c r="K1098" t="s">
        <v>72</v>
      </c>
      <c r="L1098" t="s">
        <v>73</v>
      </c>
      <c r="M1098" s="4">
        <v>318061000</v>
      </c>
      <c r="N1098">
        <v>0</v>
      </c>
      <c r="O1098">
        <v>4.606344</v>
      </c>
      <c r="P1098">
        <v>-74.071979999999996</v>
      </c>
      <c r="Q1098" t="s">
        <v>1099</v>
      </c>
      <c r="R1098">
        <v>8916764.7880000006</v>
      </c>
      <c r="S1098">
        <v>0</v>
      </c>
      <c r="T1098" t="s">
        <v>126</v>
      </c>
      <c r="U1098" t="s">
        <v>127</v>
      </c>
      <c r="V1098" t="s">
        <v>77</v>
      </c>
      <c r="W1098" t="s">
        <v>128</v>
      </c>
      <c r="X1098" t="s">
        <v>129</v>
      </c>
      <c r="Y1098">
        <v>2.2019124422633198</v>
      </c>
      <c r="Z1098">
        <v>2201.9124422633199</v>
      </c>
      <c r="AA1098">
        <v>4.6254861111111101</v>
      </c>
      <c r="AB1098">
        <v>-74.066980555555503</v>
      </c>
      <c r="AC1098">
        <v>2621</v>
      </c>
      <c r="AD1098">
        <v>15</v>
      </c>
      <c r="AE1098" t="s">
        <v>80</v>
      </c>
      <c r="AF1098" t="s">
        <v>81</v>
      </c>
      <c r="AG1098" t="s">
        <v>82</v>
      </c>
      <c r="AH1098" t="s">
        <v>83</v>
      </c>
      <c r="AI1098" t="s">
        <v>138</v>
      </c>
      <c r="AJ1098">
        <v>0.26205392145262502</v>
      </c>
      <c r="AK1098">
        <v>0.80519454019274705</v>
      </c>
      <c r="AL1098">
        <v>9.6832708585188401E-2</v>
      </c>
      <c r="AM1098">
        <v>0.106453309816768</v>
      </c>
      <c r="AN1098">
        <v>1.16778758119472</v>
      </c>
      <c r="AO1098">
        <v>0.112458522666643</v>
      </c>
      <c r="AP1098">
        <v>0.112458522666643</v>
      </c>
      <c r="AQ1098">
        <v>1</v>
      </c>
      <c r="AR1098">
        <v>9</v>
      </c>
      <c r="AS1098">
        <v>0</v>
      </c>
      <c r="AT1098">
        <v>22</v>
      </c>
      <c r="AU1098">
        <v>13</v>
      </c>
      <c r="AV1098">
        <v>57</v>
      </c>
      <c r="AW1098">
        <v>0</v>
      </c>
      <c r="AX1098">
        <v>9</v>
      </c>
      <c r="AZ1098">
        <v>6.8</v>
      </c>
      <c r="BA1098">
        <v>19.899999999999999</v>
      </c>
      <c r="BB1098">
        <v>564</v>
      </c>
      <c r="BC1098">
        <v>68</v>
      </c>
      <c r="BD1098">
        <v>1.5</v>
      </c>
      <c r="BE1098">
        <v>135</v>
      </c>
      <c r="BF1098">
        <v>0.8</v>
      </c>
      <c r="BG1098">
        <v>162</v>
      </c>
      <c r="BH1098">
        <v>9.1</v>
      </c>
      <c r="BI1098">
        <v>9.1999999999999993</v>
      </c>
      <c r="BJ1098">
        <v>18.3</v>
      </c>
      <c r="BK1098">
        <v>0.34</v>
      </c>
      <c r="BL1098">
        <v>7.3</v>
      </c>
      <c r="BM1098">
        <v>0.9</v>
      </c>
      <c r="BN1098">
        <v>7.5</v>
      </c>
      <c r="BO1098">
        <v>2.9</v>
      </c>
      <c r="BP1098">
        <f t="shared" si="34"/>
        <v>6.0977993652214186</v>
      </c>
      <c r="BQ1098">
        <f t="shared" si="35"/>
        <v>18.875670791311318</v>
      </c>
    </row>
    <row r="1099" spans="1:69" hidden="1" x14ac:dyDescent="0.2">
      <c r="A1099" t="s">
        <v>4495</v>
      </c>
      <c r="B1099" t="s">
        <v>68</v>
      </c>
      <c r="C1099" t="s">
        <v>3294</v>
      </c>
      <c r="D1099" t="s">
        <v>70</v>
      </c>
      <c r="E1099" t="s">
        <v>514</v>
      </c>
      <c r="F1099">
        <v>3</v>
      </c>
      <c r="G1099">
        <v>35.619999999999997</v>
      </c>
      <c r="H1099">
        <v>1</v>
      </c>
      <c r="I1099">
        <v>1</v>
      </c>
      <c r="J1099">
        <v>1</v>
      </c>
      <c r="K1099" t="s">
        <v>110</v>
      </c>
      <c r="L1099" t="s">
        <v>124</v>
      </c>
      <c r="M1099" s="4">
        <v>300000000</v>
      </c>
      <c r="N1099">
        <v>0</v>
      </c>
      <c r="O1099">
        <v>4.6345839499999997</v>
      </c>
      <c r="P1099">
        <v>-74.061592099999999</v>
      </c>
      <c r="Q1099" t="s">
        <v>4496</v>
      </c>
      <c r="R1099">
        <v>8422234.6999999993</v>
      </c>
      <c r="S1099">
        <v>0</v>
      </c>
      <c r="T1099" t="s">
        <v>126</v>
      </c>
      <c r="U1099" t="s">
        <v>127</v>
      </c>
      <c r="V1099" t="s">
        <v>77</v>
      </c>
      <c r="W1099" t="s">
        <v>128</v>
      </c>
      <c r="X1099" t="s">
        <v>129</v>
      </c>
      <c r="Y1099">
        <v>1.1760783404341599</v>
      </c>
      <c r="Z1099">
        <v>1176.0783404341601</v>
      </c>
      <c r="AA1099">
        <v>4.6254861111111101</v>
      </c>
      <c r="AB1099">
        <v>-74.066980555555503</v>
      </c>
      <c r="AC1099">
        <v>2621</v>
      </c>
      <c r="AD1099">
        <v>15</v>
      </c>
      <c r="AE1099" t="s">
        <v>80</v>
      </c>
      <c r="AF1099" t="s">
        <v>81</v>
      </c>
      <c r="AG1099" t="s">
        <v>82</v>
      </c>
      <c r="AH1099" t="s">
        <v>83</v>
      </c>
      <c r="AI1099" t="s">
        <v>130</v>
      </c>
      <c r="AJ1099">
        <v>0.66336797837491701</v>
      </c>
      <c r="AK1099">
        <v>0.211038155909792</v>
      </c>
      <c r="AL1099">
        <v>0.28110074864553197</v>
      </c>
      <c r="AM1099">
        <v>0.145098086444783</v>
      </c>
      <c r="AN1099">
        <v>0.85405485880718401</v>
      </c>
      <c r="AO1099">
        <v>0.116144333882938</v>
      </c>
      <c r="AP1099">
        <v>0.116144333882938</v>
      </c>
      <c r="AQ1099">
        <v>0</v>
      </c>
      <c r="AR1099">
        <v>3</v>
      </c>
      <c r="AS1099">
        <v>7</v>
      </c>
      <c r="AT1099">
        <v>50</v>
      </c>
      <c r="AU1099">
        <v>9</v>
      </c>
      <c r="AV1099">
        <v>114</v>
      </c>
      <c r="AW1099">
        <v>2</v>
      </c>
      <c r="AX1099">
        <v>0</v>
      </c>
      <c r="AZ1099">
        <v>6.8</v>
      </c>
      <c r="BA1099">
        <v>19.899999999999999</v>
      </c>
      <c r="BB1099">
        <v>564</v>
      </c>
      <c r="BC1099">
        <v>68</v>
      </c>
      <c r="BD1099">
        <v>1.5</v>
      </c>
      <c r="BE1099">
        <v>135</v>
      </c>
      <c r="BF1099">
        <v>0.8</v>
      </c>
      <c r="BG1099">
        <v>162</v>
      </c>
      <c r="BH1099">
        <v>9.1</v>
      </c>
      <c r="BI1099">
        <v>9.1999999999999993</v>
      </c>
      <c r="BJ1099">
        <v>18.3</v>
      </c>
      <c r="BK1099">
        <v>0.34</v>
      </c>
      <c r="BL1099">
        <v>7.3</v>
      </c>
      <c r="BM1099">
        <v>0.9</v>
      </c>
      <c r="BN1099">
        <v>7.5</v>
      </c>
      <c r="BO1099">
        <v>2.9</v>
      </c>
      <c r="BP1099">
        <f t="shared" si="34"/>
        <v>6.4154345428439434</v>
      </c>
      <c r="BQ1099">
        <f t="shared" si="35"/>
        <v>19.346158092282394</v>
      </c>
    </row>
    <row r="1100" spans="1:69" hidden="1" x14ac:dyDescent="0.2">
      <c r="A1100" t="s">
        <v>3318</v>
      </c>
      <c r="B1100" t="s">
        <v>68</v>
      </c>
      <c r="C1100" t="s">
        <v>3294</v>
      </c>
      <c r="D1100" t="s">
        <v>70</v>
      </c>
      <c r="E1100" t="s">
        <v>1405</v>
      </c>
      <c r="F1100">
        <v>4</v>
      </c>
      <c r="G1100">
        <v>35.35</v>
      </c>
      <c r="H1100">
        <v>1</v>
      </c>
      <c r="I1100">
        <v>1</v>
      </c>
      <c r="J1100">
        <v>1</v>
      </c>
      <c r="K1100" t="s">
        <v>110</v>
      </c>
      <c r="L1100" t="s">
        <v>111</v>
      </c>
      <c r="M1100" s="4">
        <v>294960000</v>
      </c>
      <c r="N1100">
        <v>0</v>
      </c>
      <c r="O1100">
        <v>4.6740441319999997</v>
      </c>
      <c r="P1100">
        <v>-74.084945680000004</v>
      </c>
      <c r="Q1100" t="s">
        <v>3319</v>
      </c>
      <c r="R1100">
        <v>8343988.6849999996</v>
      </c>
      <c r="S1100">
        <v>0</v>
      </c>
      <c r="T1100" t="s">
        <v>75</v>
      </c>
      <c r="U1100" t="s">
        <v>76</v>
      </c>
      <c r="V1100" t="s">
        <v>77</v>
      </c>
      <c r="W1100" t="s">
        <v>78</v>
      </c>
      <c r="X1100" t="s">
        <v>79</v>
      </c>
      <c r="Y1100">
        <v>1.73747420615689</v>
      </c>
      <c r="Z1100">
        <v>1737.47420615689</v>
      </c>
      <c r="AA1100">
        <v>4.6584666666666701</v>
      </c>
      <c r="AB1100">
        <v>-74.083966666666697</v>
      </c>
      <c r="AC1100">
        <v>2552</v>
      </c>
      <c r="AD1100">
        <v>0</v>
      </c>
      <c r="AE1100" t="s">
        <v>80</v>
      </c>
      <c r="AF1100" t="s">
        <v>81</v>
      </c>
      <c r="AG1100" t="s">
        <v>82</v>
      </c>
      <c r="AH1100" t="s">
        <v>83</v>
      </c>
      <c r="AI1100" t="s">
        <v>342</v>
      </c>
      <c r="AJ1100">
        <v>1.1965062697631501</v>
      </c>
      <c r="AK1100">
        <v>4.4994182740196198</v>
      </c>
      <c r="AL1100">
        <v>1.7844111272607099</v>
      </c>
      <c r="AM1100">
        <v>0.168503057433147</v>
      </c>
      <c r="AN1100">
        <v>0.34291230157204</v>
      </c>
      <c r="AO1100">
        <v>6.8547091360337806E-2</v>
      </c>
      <c r="AP1100">
        <v>6.8547091360337806E-2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15</v>
      </c>
      <c r="AW1100">
        <v>1</v>
      </c>
      <c r="AX1100">
        <v>0</v>
      </c>
      <c r="AZ1100">
        <v>6.8</v>
      </c>
      <c r="BA1100">
        <v>19.899999999999999</v>
      </c>
      <c r="BB1100">
        <v>564</v>
      </c>
      <c r="BC1100">
        <v>68</v>
      </c>
      <c r="BD1100">
        <v>1.5</v>
      </c>
      <c r="BE1100">
        <v>135</v>
      </c>
      <c r="BF1100">
        <v>0.8</v>
      </c>
      <c r="BG1100">
        <v>162</v>
      </c>
      <c r="BH1100">
        <v>9.1</v>
      </c>
      <c r="BI1100">
        <v>9.1999999999999993</v>
      </c>
      <c r="BJ1100">
        <v>18.3</v>
      </c>
      <c r="BK1100">
        <v>0.34</v>
      </c>
      <c r="BL1100">
        <v>7.3</v>
      </c>
      <c r="BM1100">
        <v>0.9</v>
      </c>
      <c r="BN1100">
        <v>7.5</v>
      </c>
      <c r="BO1100">
        <v>2.9</v>
      </c>
      <c r="BP1100">
        <f t="shared" si="34"/>
        <v>6.239609741362961</v>
      </c>
      <c r="BQ1100">
        <f t="shared" si="35"/>
        <v>19.087245760734703</v>
      </c>
    </row>
    <row r="1101" spans="1:69" hidden="1" x14ac:dyDescent="0.2">
      <c r="A1101" t="s">
        <v>4013</v>
      </c>
      <c r="B1101" t="s">
        <v>68</v>
      </c>
      <c r="C1101" t="s">
        <v>3294</v>
      </c>
      <c r="D1101" t="s">
        <v>70</v>
      </c>
      <c r="E1101" t="s">
        <v>3559</v>
      </c>
      <c r="F1101">
        <v>4</v>
      </c>
      <c r="G1101">
        <v>35</v>
      </c>
      <c r="H1101">
        <v>1</v>
      </c>
      <c r="I1101">
        <v>1</v>
      </c>
      <c r="J1101">
        <v>0</v>
      </c>
      <c r="K1101" t="s">
        <v>110</v>
      </c>
      <c r="L1101" t="s">
        <v>111</v>
      </c>
      <c r="M1101" s="4">
        <v>325000000</v>
      </c>
      <c r="N1101">
        <v>0</v>
      </c>
      <c r="O1101">
        <v>4.6176854000000001</v>
      </c>
      <c r="P1101">
        <v>-74.066534500000003</v>
      </c>
      <c r="Q1101" t="s">
        <v>4014</v>
      </c>
      <c r="R1101">
        <v>9285714.2860000003</v>
      </c>
      <c r="S1101">
        <v>0</v>
      </c>
      <c r="T1101" t="s">
        <v>126</v>
      </c>
      <c r="U1101" t="s">
        <v>127</v>
      </c>
      <c r="V1101" t="s">
        <v>77</v>
      </c>
      <c r="W1101" t="s">
        <v>128</v>
      </c>
      <c r="X1101" t="s">
        <v>129</v>
      </c>
      <c r="Y1101">
        <v>0.86978049022589898</v>
      </c>
      <c r="Z1101">
        <v>869.78049022589903</v>
      </c>
      <c r="AA1101">
        <v>4.6254861111111101</v>
      </c>
      <c r="AB1101">
        <v>-74.066980555555503</v>
      </c>
      <c r="AC1101">
        <v>2621</v>
      </c>
      <c r="AD1101">
        <v>15</v>
      </c>
      <c r="AE1101" t="s">
        <v>80</v>
      </c>
      <c r="AF1101" t="s">
        <v>81</v>
      </c>
      <c r="AG1101" t="s">
        <v>82</v>
      </c>
      <c r="AH1101" t="s">
        <v>83</v>
      </c>
      <c r="AI1101" t="s">
        <v>138</v>
      </c>
      <c r="AJ1101">
        <v>0.40214383399542297</v>
      </c>
      <c r="AK1101">
        <v>0.41424412197733101</v>
      </c>
      <c r="AL1101">
        <v>0.360902260134491</v>
      </c>
      <c r="AM1101">
        <v>0.18467891059949801</v>
      </c>
      <c r="AN1101">
        <v>0.26616675802609602</v>
      </c>
      <c r="AO1101">
        <v>5.74852785967968E-2</v>
      </c>
      <c r="AP1101">
        <v>5.74852785967968E-2</v>
      </c>
      <c r="AQ1101">
        <v>1</v>
      </c>
      <c r="AR1101">
        <v>5</v>
      </c>
      <c r="AS1101">
        <v>1</v>
      </c>
      <c r="AT1101">
        <v>10</v>
      </c>
      <c r="AU1101">
        <v>12</v>
      </c>
      <c r="AV1101">
        <v>56</v>
      </c>
      <c r="AW1101">
        <v>1</v>
      </c>
      <c r="AX1101">
        <v>2</v>
      </c>
      <c r="AZ1101">
        <v>6.8</v>
      </c>
      <c r="BA1101">
        <v>19.899999999999999</v>
      </c>
      <c r="BB1101">
        <v>564</v>
      </c>
      <c r="BC1101">
        <v>68</v>
      </c>
      <c r="BD1101">
        <v>1.5</v>
      </c>
      <c r="BE1101">
        <v>135</v>
      </c>
      <c r="BF1101">
        <v>0.8</v>
      </c>
      <c r="BG1101">
        <v>162</v>
      </c>
      <c r="BH1101">
        <v>9.1</v>
      </c>
      <c r="BI1101">
        <v>9.1999999999999993</v>
      </c>
      <c r="BJ1101">
        <v>18.3</v>
      </c>
      <c r="BK1101">
        <v>0.34</v>
      </c>
      <c r="BL1101">
        <v>7.3</v>
      </c>
      <c r="BM1101">
        <v>0.9</v>
      </c>
      <c r="BN1101">
        <v>7.5</v>
      </c>
      <c r="BO1101">
        <v>2.9</v>
      </c>
      <c r="BP1101">
        <f t="shared" si="34"/>
        <v>6.5134448423548923</v>
      </c>
      <c r="BQ1101">
        <f t="shared" si="35"/>
        <v>19.488898581946696</v>
      </c>
    </row>
    <row r="1102" spans="1:69" hidden="1" x14ac:dyDescent="0.2">
      <c r="A1102" t="s">
        <v>4043</v>
      </c>
      <c r="B1102" t="s">
        <v>68</v>
      </c>
      <c r="C1102" t="s">
        <v>3294</v>
      </c>
      <c r="D1102" t="s">
        <v>70</v>
      </c>
      <c r="E1102" t="s">
        <v>4044</v>
      </c>
      <c r="F1102">
        <v>3</v>
      </c>
      <c r="G1102">
        <v>35</v>
      </c>
      <c r="H1102">
        <v>1</v>
      </c>
      <c r="I1102">
        <v>1</v>
      </c>
      <c r="J1102">
        <v>0</v>
      </c>
      <c r="K1102" t="s">
        <v>110</v>
      </c>
      <c r="L1102" t="s">
        <v>162</v>
      </c>
      <c r="M1102" s="4">
        <v>185000000</v>
      </c>
      <c r="N1102">
        <v>0</v>
      </c>
      <c r="O1102">
        <v>4.6142110000000001</v>
      </c>
      <c r="P1102">
        <v>-74.072400000000002</v>
      </c>
      <c r="Q1102" t="s">
        <v>4045</v>
      </c>
      <c r="R1102">
        <v>5285714.2860000003</v>
      </c>
      <c r="S1102">
        <v>0</v>
      </c>
      <c r="T1102" t="s">
        <v>126</v>
      </c>
      <c r="U1102" t="s">
        <v>127</v>
      </c>
      <c r="V1102" t="s">
        <v>77</v>
      </c>
      <c r="W1102" t="s">
        <v>128</v>
      </c>
      <c r="X1102" t="s">
        <v>129</v>
      </c>
      <c r="Y1102">
        <v>1.39175174742179</v>
      </c>
      <c r="Z1102">
        <v>1391.75174742179</v>
      </c>
      <c r="AA1102">
        <v>4.6254861111111101</v>
      </c>
      <c r="AB1102">
        <v>-74.066980555555503</v>
      </c>
      <c r="AC1102">
        <v>2621</v>
      </c>
      <c r="AD1102">
        <v>15</v>
      </c>
      <c r="AE1102" t="s">
        <v>80</v>
      </c>
      <c r="AF1102" t="s">
        <v>81</v>
      </c>
      <c r="AG1102" t="s">
        <v>82</v>
      </c>
      <c r="AH1102" t="s">
        <v>83</v>
      </c>
      <c r="AI1102" t="s">
        <v>138</v>
      </c>
      <c r="AJ1102">
        <v>0.27103750166353002</v>
      </c>
      <c r="AK1102">
        <v>0.93637551964950005</v>
      </c>
      <c r="AL1102">
        <v>0.18700754505161499</v>
      </c>
      <c r="AM1102">
        <v>0.21994946636573401</v>
      </c>
      <c r="AN1102">
        <v>0.67974479819548494</v>
      </c>
      <c r="AO1102">
        <v>0.26595740532094903</v>
      </c>
      <c r="AP1102">
        <v>0.26595740532094903</v>
      </c>
      <c r="AQ1102">
        <v>3</v>
      </c>
      <c r="AR1102">
        <v>8</v>
      </c>
      <c r="AS1102">
        <v>0</v>
      </c>
      <c r="AT1102">
        <v>1</v>
      </c>
      <c r="AU1102">
        <v>8</v>
      </c>
      <c r="AV1102">
        <v>71</v>
      </c>
      <c r="AW1102">
        <v>1</v>
      </c>
      <c r="AX1102">
        <v>4</v>
      </c>
      <c r="AZ1102">
        <v>6.8</v>
      </c>
      <c r="BA1102">
        <v>19.899999999999999</v>
      </c>
      <c r="BB1102">
        <v>564</v>
      </c>
      <c r="BC1102">
        <v>68</v>
      </c>
      <c r="BD1102">
        <v>1.5</v>
      </c>
      <c r="BE1102">
        <v>135</v>
      </c>
      <c r="BF1102">
        <v>0.8</v>
      </c>
      <c r="BG1102">
        <v>162</v>
      </c>
      <c r="BH1102">
        <v>9.1</v>
      </c>
      <c r="BI1102">
        <v>9.1999999999999993</v>
      </c>
      <c r="BJ1102">
        <v>18.3</v>
      </c>
      <c r="BK1102">
        <v>0.34</v>
      </c>
      <c r="BL1102">
        <v>7.3</v>
      </c>
      <c r="BM1102">
        <v>0.9</v>
      </c>
      <c r="BN1102">
        <v>7.5</v>
      </c>
      <c r="BO1102">
        <v>2.9</v>
      </c>
      <c r="BP1102">
        <f t="shared" si="34"/>
        <v>6.3473087278753937</v>
      </c>
      <c r="BQ1102">
        <f t="shared" si="35"/>
        <v>19.246277969254603</v>
      </c>
    </row>
    <row r="1103" spans="1:69" hidden="1" x14ac:dyDescent="0.2">
      <c r="A1103" t="s">
        <v>4541</v>
      </c>
      <c r="B1103" t="s">
        <v>68</v>
      </c>
      <c r="C1103" t="s">
        <v>3294</v>
      </c>
      <c r="D1103" t="s">
        <v>70</v>
      </c>
      <c r="E1103" t="s">
        <v>1530</v>
      </c>
      <c r="F1103">
        <v>4</v>
      </c>
      <c r="G1103">
        <v>34.979999999999997</v>
      </c>
      <c r="H1103">
        <v>1</v>
      </c>
      <c r="I1103">
        <v>1</v>
      </c>
      <c r="J1103">
        <v>1</v>
      </c>
      <c r="K1103" t="s">
        <v>110</v>
      </c>
      <c r="L1103" t="s">
        <v>115</v>
      </c>
      <c r="M1103" s="4">
        <v>435000000</v>
      </c>
      <c r="N1103">
        <v>0</v>
      </c>
      <c r="O1103">
        <v>4.6189600000000004</v>
      </c>
      <c r="P1103">
        <v>-74.066699999999997</v>
      </c>
      <c r="Q1103" t="s">
        <v>4542</v>
      </c>
      <c r="R1103">
        <v>12435677.529999999</v>
      </c>
      <c r="S1103">
        <v>0</v>
      </c>
      <c r="T1103" t="s">
        <v>126</v>
      </c>
      <c r="U1103" t="s">
        <v>127</v>
      </c>
      <c r="V1103" t="s">
        <v>77</v>
      </c>
      <c r="W1103" t="s">
        <v>128</v>
      </c>
      <c r="X1103" t="s">
        <v>129</v>
      </c>
      <c r="Y1103">
        <v>0.72715001249411604</v>
      </c>
      <c r="Z1103">
        <v>727.15001249411603</v>
      </c>
      <c r="AA1103">
        <v>4.6254861111111101</v>
      </c>
      <c r="AB1103">
        <v>-74.066980555555503</v>
      </c>
      <c r="AC1103">
        <v>2621</v>
      </c>
      <c r="AD1103">
        <v>15</v>
      </c>
      <c r="AE1103" t="s">
        <v>80</v>
      </c>
      <c r="AF1103" t="s">
        <v>81</v>
      </c>
      <c r="AG1103" t="s">
        <v>82</v>
      </c>
      <c r="AH1103" t="s">
        <v>83</v>
      </c>
      <c r="AI1103" t="s">
        <v>138</v>
      </c>
      <c r="AJ1103">
        <v>0.44230956646831998</v>
      </c>
      <c r="AK1103">
        <v>0.510630989792626</v>
      </c>
      <c r="AL1103">
        <v>0.22582815482886301</v>
      </c>
      <c r="AM1103">
        <v>0.112407778922738</v>
      </c>
      <c r="AN1103">
        <v>0.40805781552884601</v>
      </c>
      <c r="AO1103">
        <v>0.113687195371415</v>
      </c>
      <c r="AP1103">
        <v>0.113687195371415</v>
      </c>
      <c r="AQ1103">
        <v>2</v>
      </c>
      <c r="AR1103">
        <v>5</v>
      </c>
      <c r="AS1103">
        <v>0</v>
      </c>
      <c r="AT1103">
        <v>8</v>
      </c>
      <c r="AU1103">
        <v>12</v>
      </c>
      <c r="AV1103">
        <v>68</v>
      </c>
      <c r="AW1103">
        <v>2</v>
      </c>
      <c r="AX1103">
        <v>2</v>
      </c>
      <c r="AZ1103">
        <v>6.8</v>
      </c>
      <c r="BA1103">
        <v>19.899999999999999</v>
      </c>
      <c r="BB1103">
        <v>564</v>
      </c>
      <c r="BC1103">
        <v>68</v>
      </c>
      <c r="BD1103">
        <v>1.5</v>
      </c>
      <c r="BE1103">
        <v>135</v>
      </c>
      <c r="BF1103">
        <v>0.8</v>
      </c>
      <c r="BG1103">
        <v>162</v>
      </c>
      <c r="BH1103">
        <v>9.1</v>
      </c>
      <c r="BI1103">
        <v>9.1999999999999993</v>
      </c>
      <c r="BJ1103">
        <v>18.3</v>
      </c>
      <c r="BK1103">
        <v>0.34</v>
      </c>
      <c r="BL1103">
        <v>7.3</v>
      </c>
      <c r="BM1103">
        <v>0.9</v>
      </c>
      <c r="BN1103">
        <v>7.5</v>
      </c>
      <c r="BO1103">
        <v>2.9</v>
      </c>
      <c r="BP1103">
        <f t="shared" si="34"/>
        <v>6.5595938410399652</v>
      </c>
      <c r="BQ1103">
        <f t="shared" si="35"/>
        <v>19.555725958102794</v>
      </c>
    </row>
    <row r="1104" spans="1:69" hidden="1" x14ac:dyDescent="0.2">
      <c r="A1104" t="s">
        <v>4451</v>
      </c>
      <c r="B1104" t="s">
        <v>68</v>
      </c>
      <c r="C1104" t="s">
        <v>3294</v>
      </c>
      <c r="D1104" t="s">
        <v>70</v>
      </c>
      <c r="E1104" t="s">
        <v>130</v>
      </c>
      <c r="F1104">
        <v>4</v>
      </c>
      <c r="G1104">
        <v>34.03</v>
      </c>
      <c r="H1104">
        <v>1</v>
      </c>
      <c r="I1104">
        <v>1</v>
      </c>
      <c r="J1104">
        <v>1</v>
      </c>
      <c r="K1104" t="s">
        <v>110</v>
      </c>
      <c r="L1104" t="s">
        <v>124</v>
      </c>
      <c r="M1104" s="4">
        <v>330000000</v>
      </c>
      <c r="N1104">
        <v>0</v>
      </c>
      <c r="O1104">
        <v>4.6444200000000002</v>
      </c>
      <c r="P1104">
        <v>-74.061909999999997</v>
      </c>
      <c r="Q1104" t="s">
        <v>4452</v>
      </c>
      <c r="R1104">
        <v>9697325.8890000004</v>
      </c>
      <c r="S1104">
        <v>0</v>
      </c>
      <c r="T1104" t="s">
        <v>126</v>
      </c>
      <c r="U1104" t="s">
        <v>127</v>
      </c>
      <c r="V1104" t="s">
        <v>77</v>
      </c>
      <c r="W1104" t="s">
        <v>128</v>
      </c>
      <c r="X1104" t="s">
        <v>129</v>
      </c>
      <c r="Y1104">
        <v>2.1815064440684702</v>
      </c>
      <c r="Z1104">
        <v>2181.50644406847</v>
      </c>
      <c r="AA1104">
        <v>4.6254861111111101</v>
      </c>
      <c r="AB1104">
        <v>-74.066980555555503</v>
      </c>
      <c r="AC1104">
        <v>2621</v>
      </c>
      <c r="AD1104">
        <v>15</v>
      </c>
      <c r="AE1104" t="s">
        <v>80</v>
      </c>
      <c r="AF1104" t="s">
        <v>81</v>
      </c>
      <c r="AG1104" t="s">
        <v>82</v>
      </c>
      <c r="AH1104" t="s">
        <v>83</v>
      </c>
      <c r="AI1104" t="s">
        <v>130</v>
      </c>
      <c r="AJ1104">
        <v>0.46264827635914901</v>
      </c>
      <c r="AK1104">
        <v>0.61979294245545302</v>
      </c>
      <c r="AL1104">
        <v>0.20787927867731701</v>
      </c>
      <c r="AM1104">
        <v>0.14323482014498601</v>
      </c>
      <c r="AN1104">
        <v>0.49857123134061898</v>
      </c>
      <c r="AO1104">
        <v>0.26935668749924702</v>
      </c>
      <c r="AP1104">
        <v>0.26935668749924702</v>
      </c>
      <c r="AQ1104">
        <v>1</v>
      </c>
      <c r="AR1104">
        <v>4</v>
      </c>
      <c r="AS1104">
        <v>0</v>
      </c>
      <c r="AT1104">
        <v>17</v>
      </c>
      <c r="AU1104">
        <v>11</v>
      </c>
      <c r="AV1104">
        <v>120</v>
      </c>
      <c r="AW1104">
        <v>1</v>
      </c>
      <c r="AX1104">
        <v>0</v>
      </c>
      <c r="AZ1104">
        <v>6.8</v>
      </c>
      <c r="BA1104">
        <v>19.899999999999999</v>
      </c>
      <c r="BB1104">
        <v>564</v>
      </c>
      <c r="BC1104">
        <v>68</v>
      </c>
      <c r="BD1104">
        <v>1.5</v>
      </c>
      <c r="BE1104">
        <v>135</v>
      </c>
      <c r="BF1104">
        <v>0.8</v>
      </c>
      <c r="BG1104">
        <v>162</v>
      </c>
      <c r="BH1104">
        <v>9.1</v>
      </c>
      <c r="BI1104">
        <v>9.1999999999999993</v>
      </c>
      <c r="BJ1104">
        <v>18.3</v>
      </c>
      <c r="BK1104">
        <v>0.34</v>
      </c>
      <c r="BL1104">
        <v>7.3</v>
      </c>
      <c r="BM1104">
        <v>0.9</v>
      </c>
      <c r="BN1104">
        <v>7.5</v>
      </c>
      <c r="BO1104">
        <v>2.9</v>
      </c>
      <c r="BP1104">
        <f t="shared" si="34"/>
        <v>6.1039618453490689</v>
      </c>
      <c r="BQ1104">
        <f t="shared" si="35"/>
        <v>18.884917301035891</v>
      </c>
    </row>
    <row r="1105" spans="1:69" hidden="1" x14ac:dyDescent="0.2">
      <c r="A1105" t="s">
        <v>3660</v>
      </c>
      <c r="B1105" t="s">
        <v>68</v>
      </c>
      <c r="C1105" t="s">
        <v>3294</v>
      </c>
      <c r="D1105" t="s">
        <v>70</v>
      </c>
      <c r="E1105" t="s">
        <v>3661</v>
      </c>
      <c r="F1105">
        <v>4</v>
      </c>
      <c r="G1105">
        <v>34</v>
      </c>
      <c r="H1105">
        <v>1</v>
      </c>
      <c r="I1105">
        <v>2</v>
      </c>
      <c r="J1105">
        <v>1</v>
      </c>
      <c r="K1105" t="s">
        <v>110</v>
      </c>
      <c r="L1105" t="s">
        <v>111</v>
      </c>
      <c r="M1105" s="4">
        <v>335000000</v>
      </c>
      <c r="N1105">
        <v>0</v>
      </c>
      <c r="O1105">
        <v>4.6410946849999997</v>
      </c>
      <c r="P1105">
        <v>-74.076942439999996</v>
      </c>
      <c r="Q1105" t="s">
        <v>3662</v>
      </c>
      <c r="R1105">
        <v>9852941.1760000009</v>
      </c>
      <c r="S1105">
        <v>0</v>
      </c>
      <c r="T1105" t="s">
        <v>126</v>
      </c>
      <c r="U1105" t="s">
        <v>127</v>
      </c>
      <c r="V1105" t="s">
        <v>77</v>
      </c>
      <c r="W1105" t="s">
        <v>128</v>
      </c>
      <c r="X1105" t="s">
        <v>129</v>
      </c>
      <c r="Y1105">
        <v>2.0593178363596198</v>
      </c>
      <c r="Z1105">
        <v>2059.3178363596198</v>
      </c>
      <c r="AA1105">
        <v>4.6254861111111101</v>
      </c>
      <c r="AB1105">
        <v>-74.066980555555503</v>
      </c>
      <c r="AC1105">
        <v>2621</v>
      </c>
      <c r="AD1105">
        <v>15</v>
      </c>
      <c r="AE1105" t="s">
        <v>80</v>
      </c>
      <c r="AF1105" t="s">
        <v>81</v>
      </c>
      <c r="AG1105" t="s">
        <v>82</v>
      </c>
      <c r="AH1105" t="s">
        <v>83</v>
      </c>
      <c r="AI1105" t="s">
        <v>84</v>
      </c>
      <c r="AJ1105">
        <v>0.51255332727923797</v>
      </c>
      <c r="AK1105">
        <v>2.0566848461359299</v>
      </c>
      <c r="AL1105">
        <v>0.40874749590862802</v>
      </c>
      <c r="AM1105">
        <v>9.1220297486330204E-2</v>
      </c>
      <c r="AN1105">
        <v>1.88707729593026</v>
      </c>
      <c r="AO1105">
        <v>0.62529110810194299</v>
      </c>
      <c r="AP1105">
        <v>0.62529110810194299</v>
      </c>
      <c r="AQ1105">
        <v>0</v>
      </c>
      <c r="AR1105">
        <v>2</v>
      </c>
      <c r="AS1105">
        <v>0</v>
      </c>
      <c r="AT1105">
        <v>0</v>
      </c>
      <c r="AU1105">
        <v>5</v>
      </c>
      <c r="AV1105">
        <v>91</v>
      </c>
      <c r="AW1105">
        <v>0</v>
      </c>
      <c r="AX1105">
        <v>0</v>
      </c>
      <c r="AZ1105">
        <v>6.8</v>
      </c>
      <c r="BA1105">
        <v>19.899999999999999</v>
      </c>
      <c r="BB1105">
        <v>564</v>
      </c>
      <c r="BC1105">
        <v>68</v>
      </c>
      <c r="BD1105">
        <v>1.5</v>
      </c>
      <c r="BE1105">
        <v>135</v>
      </c>
      <c r="BF1105">
        <v>0.8</v>
      </c>
      <c r="BG1105">
        <v>162</v>
      </c>
      <c r="BH1105">
        <v>9.1</v>
      </c>
      <c r="BI1105">
        <v>9.1999999999999993</v>
      </c>
      <c r="BJ1105">
        <v>18.3</v>
      </c>
      <c r="BK1105">
        <v>0.34</v>
      </c>
      <c r="BL1105">
        <v>7.3</v>
      </c>
      <c r="BM1105">
        <v>0.9</v>
      </c>
      <c r="BN1105">
        <v>7.5</v>
      </c>
      <c r="BO1105">
        <v>2.9</v>
      </c>
      <c r="BP1105">
        <f t="shared" si="34"/>
        <v>6.1409925321493617</v>
      </c>
      <c r="BQ1105">
        <f t="shared" si="35"/>
        <v>18.940379104937847</v>
      </c>
    </row>
    <row r="1106" spans="1:69" hidden="1" x14ac:dyDescent="0.2">
      <c r="A1106" t="s">
        <v>1532</v>
      </c>
      <c r="B1106" t="s">
        <v>68</v>
      </c>
      <c r="C1106" t="s">
        <v>69</v>
      </c>
      <c r="D1106" t="s">
        <v>70</v>
      </c>
      <c r="E1106" t="s">
        <v>1530</v>
      </c>
      <c r="F1106">
        <v>3</v>
      </c>
      <c r="G1106">
        <v>33.79</v>
      </c>
      <c r="H1106">
        <v>1</v>
      </c>
      <c r="I1106">
        <v>1</v>
      </c>
      <c r="J1106">
        <v>0</v>
      </c>
      <c r="K1106" t="s">
        <v>72</v>
      </c>
      <c r="L1106" t="s">
        <v>73</v>
      </c>
      <c r="M1106" s="4">
        <v>360528963</v>
      </c>
      <c r="N1106">
        <v>0</v>
      </c>
      <c r="O1106">
        <v>4.6218880000000002</v>
      </c>
      <c r="P1106">
        <v>-74.069320000000005</v>
      </c>
      <c r="Q1106" t="s">
        <v>1533</v>
      </c>
      <c r="R1106">
        <v>10669694.08</v>
      </c>
      <c r="S1106">
        <v>0</v>
      </c>
      <c r="T1106" t="s">
        <v>126</v>
      </c>
      <c r="U1106" t="s">
        <v>127</v>
      </c>
      <c r="V1106" t="s">
        <v>77</v>
      </c>
      <c r="W1106" t="s">
        <v>128</v>
      </c>
      <c r="X1106" t="s">
        <v>129</v>
      </c>
      <c r="Y1106">
        <v>0.477297678444431</v>
      </c>
      <c r="Z1106">
        <v>477.29767844443103</v>
      </c>
      <c r="AA1106">
        <v>4.6254861111111101</v>
      </c>
      <c r="AB1106">
        <v>-74.066980555555503</v>
      </c>
      <c r="AC1106">
        <v>2621</v>
      </c>
      <c r="AD1106">
        <v>15</v>
      </c>
      <c r="AE1106" t="s">
        <v>80</v>
      </c>
      <c r="AF1106" t="s">
        <v>81</v>
      </c>
      <c r="AG1106" t="s">
        <v>82</v>
      </c>
      <c r="AH1106" t="s">
        <v>83</v>
      </c>
      <c r="AI1106" t="s">
        <v>138</v>
      </c>
      <c r="AJ1106">
        <v>5.6142650139799702E-2</v>
      </c>
      <c r="AK1106">
        <v>0.90372310585985105</v>
      </c>
      <c r="AL1106">
        <v>0.22218264720956099</v>
      </c>
      <c r="AM1106">
        <v>4.7684081077489601E-2</v>
      </c>
      <c r="AN1106">
        <v>0.68763354418564704</v>
      </c>
      <c r="AO1106">
        <v>0.19304280251591199</v>
      </c>
      <c r="AP1106">
        <v>0.19304280251591199</v>
      </c>
      <c r="AQ1106">
        <v>2</v>
      </c>
      <c r="AR1106">
        <v>6</v>
      </c>
      <c r="AS1106">
        <v>0</v>
      </c>
      <c r="AT1106">
        <v>3</v>
      </c>
      <c r="AU1106">
        <v>18</v>
      </c>
      <c r="AV1106">
        <v>98</v>
      </c>
      <c r="AW1106">
        <v>2</v>
      </c>
      <c r="AX1106">
        <v>1</v>
      </c>
      <c r="AZ1106">
        <v>6.8</v>
      </c>
      <c r="BA1106">
        <v>19.899999999999999</v>
      </c>
      <c r="BB1106">
        <v>564</v>
      </c>
      <c r="BC1106">
        <v>68</v>
      </c>
      <c r="BD1106">
        <v>1.5</v>
      </c>
      <c r="BE1106">
        <v>135</v>
      </c>
      <c r="BF1106">
        <v>0.8</v>
      </c>
      <c r="BG1106">
        <v>162</v>
      </c>
      <c r="BH1106">
        <v>9.1</v>
      </c>
      <c r="BI1106">
        <v>9.1999999999999993</v>
      </c>
      <c r="BJ1106">
        <v>18.3</v>
      </c>
      <c r="BK1106">
        <v>0.34</v>
      </c>
      <c r="BL1106">
        <v>7.3</v>
      </c>
      <c r="BM1106">
        <v>0.9</v>
      </c>
      <c r="BN1106">
        <v>7.5</v>
      </c>
      <c r="BO1106">
        <v>2.9</v>
      </c>
      <c r="BP1106">
        <f t="shared" si="34"/>
        <v>6.6412246192899369</v>
      </c>
      <c r="BQ1106">
        <f t="shared" si="35"/>
        <v>19.673343299868097</v>
      </c>
    </row>
    <row r="1107" spans="1:69" hidden="1" x14ac:dyDescent="0.2">
      <c r="A1107" t="s">
        <v>1529</v>
      </c>
      <c r="B1107" t="s">
        <v>68</v>
      </c>
      <c r="C1107" t="s">
        <v>69</v>
      </c>
      <c r="D1107" t="s">
        <v>70</v>
      </c>
      <c r="E1107" t="s">
        <v>1530</v>
      </c>
      <c r="F1107">
        <v>3</v>
      </c>
      <c r="G1107">
        <v>33.72</v>
      </c>
      <c r="H1107">
        <v>1</v>
      </c>
      <c r="I1107">
        <v>1</v>
      </c>
      <c r="J1107">
        <v>0</v>
      </c>
      <c r="K1107" t="s">
        <v>72</v>
      </c>
      <c r="L1107" t="s">
        <v>73</v>
      </c>
      <c r="M1107" s="4">
        <v>360199156</v>
      </c>
      <c r="N1107">
        <v>0</v>
      </c>
      <c r="O1107">
        <v>4.6218880000000002</v>
      </c>
      <c r="P1107">
        <v>-74.069320000000005</v>
      </c>
      <c r="Q1107" t="s">
        <v>1531</v>
      </c>
      <c r="R1107">
        <v>10682062.75</v>
      </c>
      <c r="S1107">
        <v>0</v>
      </c>
      <c r="T1107" t="s">
        <v>126</v>
      </c>
      <c r="U1107" t="s">
        <v>127</v>
      </c>
      <c r="V1107" t="s">
        <v>77</v>
      </c>
      <c r="W1107" t="s">
        <v>128</v>
      </c>
      <c r="X1107" t="s">
        <v>129</v>
      </c>
      <c r="Y1107">
        <v>0.477297678444431</v>
      </c>
      <c r="Z1107">
        <v>477.29767844443103</v>
      </c>
      <c r="AA1107">
        <v>4.6254861111111101</v>
      </c>
      <c r="AB1107">
        <v>-74.066980555555503</v>
      </c>
      <c r="AC1107">
        <v>2621</v>
      </c>
      <c r="AD1107">
        <v>15</v>
      </c>
      <c r="AE1107" t="s">
        <v>80</v>
      </c>
      <c r="AF1107" t="s">
        <v>81</v>
      </c>
      <c r="AG1107" t="s">
        <v>82</v>
      </c>
      <c r="AH1107" t="s">
        <v>83</v>
      </c>
      <c r="AI1107" t="s">
        <v>138</v>
      </c>
      <c r="AJ1107">
        <v>5.6142650139799702E-2</v>
      </c>
      <c r="AK1107">
        <v>0.90372310585985105</v>
      </c>
      <c r="AL1107">
        <v>0.22218264720956099</v>
      </c>
      <c r="AM1107">
        <v>4.7684081077489601E-2</v>
      </c>
      <c r="AN1107">
        <v>0.68763354418564704</v>
      </c>
      <c r="AO1107">
        <v>0.19304280251591199</v>
      </c>
      <c r="AP1107">
        <v>0.19304280251591199</v>
      </c>
      <c r="AQ1107">
        <v>2</v>
      </c>
      <c r="AR1107">
        <v>6</v>
      </c>
      <c r="AS1107">
        <v>0</v>
      </c>
      <c r="AT1107">
        <v>3</v>
      </c>
      <c r="AU1107">
        <v>18</v>
      </c>
      <c r="AV1107">
        <v>98</v>
      </c>
      <c r="AW1107">
        <v>2</v>
      </c>
      <c r="AX1107">
        <v>1</v>
      </c>
      <c r="AZ1107">
        <v>6.8</v>
      </c>
      <c r="BA1107">
        <v>19.899999999999999</v>
      </c>
      <c r="BB1107">
        <v>564</v>
      </c>
      <c r="BC1107">
        <v>68</v>
      </c>
      <c r="BD1107">
        <v>1.5</v>
      </c>
      <c r="BE1107">
        <v>135</v>
      </c>
      <c r="BF1107">
        <v>0.8</v>
      </c>
      <c r="BG1107">
        <v>162</v>
      </c>
      <c r="BH1107">
        <v>9.1</v>
      </c>
      <c r="BI1107">
        <v>9.1999999999999993</v>
      </c>
      <c r="BJ1107">
        <v>18.3</v>
      </c>
      <c r="BK1107">
        <v>0.34</v>
      </c>
      <c r="BL1107">
        <v>7.3</v>
      </c>
      <c r="BM1107">
        <v>0.9</v>
      </c>
      <c r="BN1107">
        <v>7.5</v>
      </c>
      <c r="BO1107">
        <v>2.9</v>
      </c>
      <c r="BP1107">
        <f t="shared" si="34"/>
        <v>6.6412246192899369</v>
      </c>
      <c r="BQ1107">
        <f t="shared" si="35"/>
        <v>19.673343299868097</v>
      </c>
    </row>
    <row r="1108" spans="1:69" hidden="1" x14ac:dyDescent="0.2">
      <c r="A1108" t="s">
        <v>3761</v>
      </c>
      <c r="B1108" t="s">
        <v>68</v>
      </c>
      <c r="C1108" t="s">
        <v>3294</v>
      </c>
      <c r="D1108" t="s">
        <v>70</v>
      </c>
      <c r="E1108" t="s">
        <v>136</v>
      </c>
      <c r="F1108">
        <v>4</v>
      </c>
      <c r="G1108">
        <v>33.68</v>
      </c>
      <c r="H1108">
        <v>1</v>
      </c>
      <c r="I1108">
        <v>1</v>
      </c>
      <c r="J1108">
        <v>0</v>
      </c>
      <c r="K1108" t="s">
        <v>110</v>
      </c>
      <c r="L1108" t="s">
        <v>111</v>
      </c>
      <c r="M1108" s="4">
        <v>350000000</v>
      </c>
      <c r="N1108">
        <v>0</v>
      </c>
      <c r="O1108">
        <v>4.6214767999999999</v>
      </c>
      <c r="P1108">
        <v>-74.068052600000001</v>
      </c>
      <c r="Q1108" t="s">
        <v>3762</v>
      </c>
      <c r="R1108">
        <v>10391923.99</v>
      </c>
      <c r="S1108">
        <v>0</v>
      </c>
      <c r="T1108" t="s">
        <v>126</v>
      </c>
      <c r="U1108" t="s">
        <v>127</v>
      </c>
      <c r="V1108" t="s">
        <v>77</v>
      </c>
      <c r="W1108" t="s">
        <v>128</v>
      </c>
      <c r="X1108" t="s">
        <v>129</v>
      </c>
      <c r="Y1108">
        <v>0.46189389697965899</v>
      </c>
      <c r="Z1108">
        <v>461.89389697965902</v>
      </c>
      <c r="AA1108">
        <v>4.6254861111111101</v>
      </c>
      <c r="AB1108">
        <v>-74.066980555555503</v>
      </c>
      <c r="AC1108">
        <v>2621</v>
      </c>
      <c r="AD1108">
        <v>15</v>
      </c>
      <c r="AE1108" t="s">
        <v>80</v>
      </c>
      <c r="AF1108" t="s">
        <v>81</v>
      </c>
      <c r="AG1108" t="s">
        <v>82</v>
      </c>
      <c r="AH1108" t="s">
        <v>83</v>
      </c>
      <c r="AI1108" t="s">
        <v>138</v>
      </c>
      <c r="AJ1108">
        <v>0.185129463807061</v>
      </c>
      <c r="AK1108">
        <v>0.76038377136523405</v>
      </c>
      <c r="AL1108">
        <v>0.219025389516252</v>
      </c>
      <c r="AM1108">
        <v>0.11153857506423701</v>
      </c>
      <c r="AN1108">
        <v>0.68382185124702299</v>
      </c>
      <c r="AO1108">
        <v>0.14045488553705901</v>
      </c>
      <c r="AP1108">
        <v>0.14045488553705901</v>
      </c>
      <c r="AQ1108">
        <v>2</v>
      </c>
      <c r="AR1108">
        <v>6</v>
      </c>
      <c r="AS1108">
        <v>0</v>
      </c>
      <c r="AT1108">
        <v>8</v>
      </c>
      <c r="AU1108">
        <v>17</v>
      </c>
      <c r="AV1108">
        <v>95</v>
      </c>
      <c r="AW1108">
        <v>2</v>
      </c>
      <c r="AX1108">
        <v>1</v>
      </c>
      <c r="AZ1108">
        <v>6.8</v>
      </c>
      <c r="BA1108">
        <v>19.899999999999999</v>
      </c>
      <c r="BB1108">
        <v>564</v>
      </c>
      <c r="BC1108">
        <v>68</v>
      </c>
      <c r="BD1108">
        <v>1.5</v>
      </c>
      <c r="BE1108">
        <v>135</v>
      </c>
      <c r="BF1108">
        <v>0.8</v>
      </c>
      <c r="BG1108">
        <v>162</v>
      </c>
      <c r="BH1108">
        <v>9.1</v>
      </c>
      <c r="BI1108">
        <v>9.1999999999999993</v>
      </c>
      <c r="BJ1108">
        <v>18.3</v>
      </c>
      <c r="BK1108">
        <v>0.34</v>
      </c>
      <c r="BL1108">
        <v>7.3</v>
      </c>
      <c r="BM1108">
        <v>0.9</v>
      </c>
      <c r="BN1108">
        <v>7.5</v>
      </c>
      <c r="BO1108">
        <v>2.9</v>
      </c>
      <c r="BP1108">
        <f t="shared" si="34"/>
        <v>6.6462903989889037</v>
      </c>
      <c r="BQ1108">
        <f t="shared" si="35"/>
        <v>19.68061769756498</v>
      </c>
    </row>
    <row r="1109" spans="1:69" hidden="1" x14ac:dyDescent="0.2">
      <c r="A1109" t="s">
        <v>3958</v>
      </c>
      <c r="B1109" t="s">
        <v>68</v>
      </c>
      <c r="C1109" t="s">
        <v>3294</v>
      </c>
      <c r="D1109" t="s">
        <v>70</v>
      </c>
      <c r="E1109" t="s">
        <v>136</v>
      </c>
      <c r="F1109">
        <v>3</v>
      </c>
      <c r="G1109">
        <v>33.68</v>
      </c>
      <c r="H1109">
        <v>1</v>
      </c>
      <c r="I1109">
        <v>1</v>
      </c>
      <c r="J1109">
        <v>0</v>
      </c>
      <c r="K1109" t="s">
        <v>110</v>
      </c>
      <c r="L1109" t="s">
        <v>111</v>
      </c>
      <c r="M1109" s="4">
        <v>350000000</v>
      </c>
      <c r="N1109">
        <v>0</v>
      </c>
      <c r="O1109">
        <v>4.621587753</v>
      </c>
      <c r="P1109">
        <v>-74.068092350000001</v>
      </c>
      <c r="Q1109" t="s">
        <v>3959</v>
      </c>
      <c r="R1109">
        <v>10391923.99</v>
      </c>
      <c r="S1109">
        <v>0</v>
      </c>
      <c r="T1109" t="s">
        <v>126</v>
      </c>
      <c r="U1109" t="s">
        <v>127</v>
      </c>
      <c r="V1109" t="s">
        <v>77</v>
      </c>
      <c r="W1109" t="s">
        <v>128</v>
      </c>
      <c r="X1109" t="s">
        <v>129</v>
      </c>
      <c r="Y1109">
        <v>0.45115650123085599</v>
      </c>
      <c r="Z1109">
        <v>451.15650123085601</v>
      </c>
      <c r="AA1109">
        <v>4.6254861111111101</v>
      </c>
      <c r="AB1109">
        <v>-74.066980555555503</v>
      </c>
      <c r="AC1109">
        <v>2621</v>
      </c>
      <c r="AD1109">
        <v>15</v>
      </c>
      <c r="AE1109" t="s">
        <v>80</v>
      </c>
      <c r="AF1109" t="s">
        <v>81</v>
      </c>
      <c r="AG1109" t="s">
        <v>82</v>
      </c>
      <c r="AH1109" t="s">
        <v>83</v>
      </c>
      <c r="AI1109" t="s">
        <v>138</v>
      </c>
      <c r="AJ1109">
        <v>0.180404950430332</v>
      </c>
      <c r="AK1109">
        <v>0.765451791954608</v>
      </c>
      <c r="AL1109">
        <v>0.226897966119187</v>
      </c>
      <c r="AM1109">
        <v>0.106950168073355</v>
      </c>
      <c r="AN1109">
        <v>0.67292899752805302</v>
      </c>
      <c r="AO1109">
        <v>0.147186253146771</v>
      </c>
      <c r="AP1109">
        <v>0.147186253146771</v>
      </c>
      <c r="AQ1109">
        <v>2</v>
      </c>
      <c r="AR1109">
        <v>6</v>
      </c>
      <c r="AS1109">
        <v>0</v>
      </c>
      <c r="AT1109">
        <v>8</v>
      </c>
      <c r="AU1109">
        <v>16</v>
      </c>
      <c r="AV1109">
        <v>96</v>
      </c>
      <c r="AW1109">
        <v>2</v>
      </c>
      <c r="AX1109">
        <v>1</v>
      </c>
      <c r="AZ1109">
        <v>6.8</v>
      </c>
      <c r="BA1109">
        <v>19.899999999999999</v>
      </c>
      <c r="BB1109">
        <v>564</v>
      </c>
      <c r="BC1109">
        <v>68</v>
      </c>
      <c r="BD1109">
        <v>1.5</v>
      </c>
      <c r="BE1109">
        <v>135</v>
      </c>
      <c r="BF1109">
        <v>0.8</v>
      </c>
      <c r="BG1109">
        <v>162</v>
      </c>
      <c r="BH1109">
        <v>9.1</v>
      </c>
      <c r="BI1109">
        <v>9.1999999999999993</v>
      </c>
      <c r="BJ1109">
        <v>18.3</v>
      </c>
      <c r="BK1109">
        <v>0.34</v>
      </c>
      <c r="BL1109">
        <v>7.3</v>
      </c>
      <c r="BM1109">
        <v>0.9</v>
      </c>
      <c r="BN1109">
        <v>7.5</v>
      </c>
      <c r="BO1109">
        <v>2.9</v>
      </c>
      <c r="BP1109">
        <f t="shared" si="34"/>
        <v>6.6498238485104908</v>
      </c>
      <c r="BQ1109">
        <f t="shared" si="35"/>
        <v>19.685689997035542</v>
      </c>
    </row>
    <row r="1110" spans="1:69" hidden="1" x14ac:dyDescent="0.2">
      <c r="A1110" t="s">
        <v>3332</v>
      </c>
      <c r="B1110" t="s">
        <v>68</v>
      </c>
      <c r="C1110" t="s">
        <v>3294</v>
      </c>
      <c r="D1110" t="s">
        <v>70</v>
      </c>
      <c r="E1110" t="s">
        <v>3333</v>
      </c>
      <c r="F1110">
        <v>4</v>
      </c>
      <c r="G1110">
        <v>33.380000000000003</v>
      </c>
      <c r="H1110">
        <v>1</v>
      </c>
      <c r="I1110">
        <v>1</v>
      </c>
      <c r="J1110">
        <v>0</v>
      </c>
      <c r="K1110" t="s">
        <v>110</v>
      </c>
      <c r="L1110" t="s">
        <v>133</v>
      </c>
      <c r="M1110" s="4">
        <v>370000000</v>
      </c>
      <c r="N1110">
        <v>0</v>
      </c>
      <c r="O1110">
        <v>4.6640100000000002</v>
      </c>
      <c r="P1110">
        <v>-74.111999999999995</v>
      </c>
      <c r="Q1110" t="s">
        <v>3334</v>
      </c>
      <c r="R1110">
        <v>11084481.73</v>
      </c>
      <c r="S1110">
        <v>0</v>
      </c>
      <c r="T1110" t="s">
        <v>75</v>
      </c>
      <c r="U1110" t="s">
        <v>76</v>
      </c>
      <c r="V1110" t="s">
        <v>77</v>
      </c>
      <c r="W1110" t="s">
        <v>78</v>
      </c>
      <c r="X1110" t="s">
        <v>79</v>
      </c>
      <c r="Y1110">
        <v>3.1709578180078899</v>
      </c>
      <c r="Z1110">
        <v>3170.9578180078902</v>
      </c>
      <c r="AA1110">
        <v>4.6584666666666701</v>
      </c>
      <c r="AB1110">
        <v>-74.083966666666697</v>
      </c>
      <c r="AC1110">
        <v>2552</v>
      </c>
      <c r="AD1110">
        <v>0</v>
      </c>
      <c r="AE1110" t="s">
        <v>80</v>
      </c>
      <c r="AF1110" t="s">
        <v>81</v>
      </c>
      <c r="AG1110" t="s">
        <v>82</v>
      </c>
      <c r="AH1110" t="s">
        <v>83</v>
      </c>
      <c r="AI1110" t="s">
        <v>92</v>
      </c>
      <c r="AJ1110">
        <v>0.42453358921085899</v>
      </c>
      <c r="AK1110">
        <v>5.0542695963202897</v>
      </c>
      <c r="AL1110">
        <v>0.89394256792182003</v>
      </c>
      <c r="AM1110">
        <v>0.35546385331772501</v>
      </c>
      <c r="AN1110">
        <v>1.45095590454392</v>
      </c>
      <c r="AO1110">
        <v>0.614222576802262</v>
      </c>
      <c r="AP1110">
        <v>0.614222576802262</v>
      </c>
      <c r="AQ1110">
        <v>1</v>
      </c>
      <c r="AR1110">
        <v>2</v>
      </c>
      <c r="AS1110">
        <v>0</v>
      </c>
      <c r="AT1110">
        <v>0</v>
      </c>
      <c r="AU1110">
        <v>1</v>
      </c>
      <c r="AV1110">
        <v>38</v>
      </c>
      <c r="AW1110">
        <v>0</v>
      </c>
      <c r="AX1110">
        <v>0</v>
      </c>
      <c r="AZ1110">
        <v>6.8</v>
      </c>
      <c r="BA1110">
        <v>19.899999999999999</v>
      </c>
      <c r="BB1110">
        <v>564</v>
      </c>
      <c r="BC1110">
        <v>68</v>
      </c>
      <c r="BD1110">
        <v>1.5</v>
      </c>
      <c r="BE1110">
        <v>135</v>
      </c>
      <c r="BF1110">
        <v>0.8</v>
      </c>
      <c r="BG1110">
        <v>162</v>
      </c>
      <c r="BH1110">
        <v>9.1</v>
      </c>
      <c r="BI1110">
        <v>9.1999999999999993</v>
      </c>
      <c r="BJ1110">
        <v>18.3</v>
      </c>
      <c r="BK1110">
        <v>0.34</v>
      </c>
      <c r="BL1110">
        <v>7.3</v>
      </c>
      <c r="BM1110">
        <v>0.9</v>
      </c>
      <c r="BN1110">
        <v>7.5</v>
      </c>
      <c r="BO1110">
        <v>2.9</v>
      </c>
      <c r="BP1110">
        <f t="shared" si="34"/>
        <v>5.8122060651060128</v>
      </c>
      <c r="BQ1110">
        <f t="shared" si="35"/>
        <v>18.441743141268049</v>
      </c>
    </row>
    <row r="1111" spans="1:69" hidden="1" x14ac:dyDescent="0.2">
      <c r="A1111" t="s">
        <v>4353</v>
      </c>
      <c r="B1111" t="s">
        <v>68</v>
      </c>
      <c r="C1111" t="s">
        <v>3294</v>
      </c>
      <c r="D1111" t="s">
        <v>70</v>
      </c>
      <c r="E1111" t="s">
        <v>806</v>
      </c>
      <c r="F1111">
        <v>5</v>
      </c>
      <c r="G1111">
        <v>33</v>
      </c>
      <c r="H1111">
        <v>1</v>
      </c>
      <c r="I1111">
        <v>1</v>
      </c>
      <c r="J1111">
        <v>0</v>
      </c>
      <c r="K1111" t="s">
        <v>110</v>
      </c>
      <c r="L1111" t="s">
        <v>111</v>
      </c>
      <c r="M1111" s="4">
        <v>450000000</v>
      </c>
      <c r="N1111">
        <v>0</v>
      </c>
      <c r="O1111">
        <v>4.6628309999999997</v>
      </c>
      <c r="P1111">
        <v>-74.112319999999997</v>
      </c>
      <c r="Q1111" t="s">
        <v>4354</v>
      </c>
      <c r="R1111">
        <v>13636363.640000001</v>
      </c>
      <c r="S1111">
        <v>0</v>
      </c>
      <c r="T1111" t="s">
        <v>75</v>
      </c>
      <c r="U1111" t="s">
        <v>76</v>
      </c>
      <c r="V1111" t="s">
        <v>77</v>
      </c>
      <c r="W1111" t="s">
        <v>78</v>
      </c>
      <c r="X1111" t="s">
        <v>79</v>
      </c>
      <c r="Y1111">
        <v>3.1831366489165802</v>
      </c>
      <c r="Z1111">
        <v>3183.1366489165798</v>
      </c>
      <c r="AA1111">
        <v>4.6584666666666701</v>
      </c>
      <c r="AB1111">
        <v>-74.083966666666697</v>
      </c>
      <c r="AC1111">
        <v>2552</v>
      </c>
      <c r="AD1111">
        <v>0</v>
      </c>
      <c r="AE1111" t="s">
        <v>80</v>
      </c>
      <c r="AF1111" t="s">
        <v>81</v>
      </c>
      <c r="AG1111" t="s">
        <v>82</v>
      </c>
      <c r="AH1111" t="s">
        <v>83</v>
      </c>
      <c r="AI1111" t="s">
        <v>92</v>
      </c>
      <c r="AJ1111">
        <v>0.40543897568824599</v>
      </c>
      <c r="AK1111">
        <v>5.0184949982578804</v>
      </c>
      <c r="AL1111">
        <v>0.82500746667062896</v>
      </c>
      <c r="AM1111">
        <v>0.30258654602586299</v>
      </c>
      <c r="AN1111">
        <v>1.3162846207494301</v>
      </c>
      <c r="AO1111">
        <v>0.55346451991790502</v>
      </c>
      <c r="AP1111">
        <v>0.55346451991790502</v>
      </c>
      <c r="AQ1111">
        <v>1</v>
      </c>
      <c r="AR1111">
        <v>3</v>
      </c>
      <c r="AS1111">
        <v>0</v>
      </c>
      <c r="AT1111">
        <v>0</v>
      </c>
      <c r="AU1111">
        <v>1</v>
      </c>
      <c r="AV1111">
        <v>45</v>
      </c>
      <c r="AW1111">
        <v>0</v>
      </c>
      <c r="AX1111">
        <v>0</v>
      </c>
      <c r="AZ1111">
        <v>6.8</v>
      </c>
      <c r="BA1111">
        <v>19.899999999999999</v>
      </c>
      <c r="BB1111">
        <v>564</v>
      </c>
      <c r="BC1111">
        <v>68</v>
      </c>
      <c r="BD1111">
        <v>1.5</v>
      </c>
      <c r="BE1111">
        <v>135</v>
      </c>
      <c r="BF1111">
        <v>0.8</v>
      </c>
      <c r="BG1111">
        <v>162</v>
      </c>
      <c r="BH1111">
        <v>9.1</v>
      </c>
      <c r="BI1111">
        <v>9.1999999999999993</v>
      </c>
      <c r="BJ1111">
        <v>18.3</v>
      </c>
      <c r="BK1111">
        <v>0.34</v>
      </c>
      <c r="BL1111">
        <v>7.3</v>
      </c>
      <c r="BM1111">
        <v>0.9</v>
      </c>
      <c r="BN1111">
        <v>7.5</v>
      </c>
      <c r="BO1111">
        <v>2.9</v>
      </c>
      <c r="BP1111">
        <f t="shared" si="34"/>
        <v>5.8087032202546069</v>
      </c>
      <c r="BQ1111">
        <f t="shared" si="35"/>
        <v>18.436353556059487</v>
      </c>
    </row>
    <row r="1112" spans="1:69" hidden="1" x14ac:dyDescent="0.2">
      <c r="A1112" t="s">
        <v>3911</v>
      </c>
      <c r="B1112" t="s">
        <v>68</v>
      </c>
      <c r="C1112" t="s">
        <v>3294</v>
      </c>
      <c r="D1112" t="s">
        <v>70</v>
      </c>
      <c r="E1112" t="s">
        <v>136</v>
      </c>
      <c r="F1112">
        <v>4</v>
      </c>
      <c r="G1112">
        <v>33</v>
      </c>
      <c r="H1112">
        <v>1</v>
      </c>
      <c r="I1112">
        <v>1</v>
      </c>
      <c r="J1112">
        <v>0</v>
      </c>
      <c r="K1112" t="s">
        <v>110</v>
      </c>
      <c r="L1112" t="s">
        <v>111</v>
      </c>
      <c r="M1112" s="4">
        <v>450000000</v>
      </c>
      <c r="N1112">
        <v>0</v>
      </c>
      <c r="O1112">
        <v>4.620581627</v>
      </c>
      <c r="P1112">
        <v>-74.069885249999999</v>
      </c>
      <c r="Q1112" t="s">
        <v>3912</v>
      </c>
      <c r="R1112">
        <v>13636363.640000001</v>
      </c>
      <c r="S1112">
        <v>0</v>
      </c>
      <c r="T1112" t="s">
        <v>126</v>
      </c>
      <c r="U1112" t="s">
        <v>127</v>
      </c>
      <c r="V1112" t="s">
        <v>77</v>
      </c>
      <c r="W1112" t="s">
        <v>128</v>
      </c>
      <c r="X1112" t="s">
        <v>129</v>
      </c>
      <c r="Y1112">
        <v>0.633997516669768</v>
      </c>
      <c r="Z1112">
        <v>633.99751666976795</v>
      </c>
      <c r="AA1112">
        <v>4.6254861111111101</v>
      </c>
      <c r="AB1112">
        <v>-74.066980555555503</v>
      </c>
      <c r="AC1112">
        <v>2621</v>
      </c>
      <c r="AD1112">
        <v>15</v>
      </c>
      <c r="AE1112" t="s">
        <v>80</v>
      </c>
      <c r="AF1112" t="s">
        <v>81</v>
      </c>
      <c r="AG1112" t="s">
        <v>82</v>
      </c>
      <c r="AH1112" t="s">
        <v>83</v>
      </c>
      <c r="AI1112" t="s">
        <v>138</v>
      </c>
      <c r="AJ1112">
        <v>0.11136946779222399</v>
      </c>
      <c r="AK1112">
        <v>0.89949815752611095</v>
      </c>
      <c r="AL1112">
        <v>0.31405967624686398</v>
      </c>
      <c r="AM1112">
        <v>3.8130556448605898E-2</v>
      </c>
      <c r="AN1112">
        <v>0.70381445224444295</v>
      </c>
      <c r="AO1112">
        <v>3.9668829955487601E-2</v>
      </c>
      <c r="AP1112">
        <v>3.9668829955487601E-2</v>
      </c>
      <c r="AQ1112">
        <v>1</v>
      </c>
      <c r="AR1112">
        <v>6</v>
      </c>
      <c r="AS1112">
        <v>0</v>
      </c>
      <c r="AT1112">
        <v>3</v>
      </c>
      <c r="AU1112">
        <v>17</v>
      </c>
      <c r="AV1112">
        <v>91</v>
      </c>
      <c r="AW1112">
        <v>2</v>
      </c>
      <c r="AX1112">
        <v>1</v>
      </c>
      <c r="AZ1112">
        <v>6.8</v>
      </c>
      <c r="BA1112">
        <v>19.899999999999999</v>
      </c>
      <c r="BB1112">
        <v>564</v>
      </c>
      <c r="BC1112">
        <v>68</v>
      </c>
      <c r="BD1112">
        <v>1.5</v>
      </c>
      <c r="BE1112">
        <v>135</v>
      </c>
      <c r="BF1112">
        <v>0.8</v>
      </c>
      <c r="BG1112">
        <v>162</v>
      </c>
      <c r="BH1112">
        <v>9.1</v>
      </c>
      <c r="BI1112">
        <v>9.1999999999999993</v>
      </c>
      <c r="BJ1112">
        <v>18.3</v>
      </c>
      <c r="BK1112">
        <v>0.34</v>
      </c>
      <c r="BL1112">
        <v>7.3</v>
      </c>
      <c r="BM1112">
        <v>0.9</v>
      </c>
      <c r="BN1112">
        <v>7.5</v>
      </c>
      <c r="BO1112">
        <v>2.9</v>
      </c>
      <c r="BP1112">
        <f t="shared" si="34"/>
        <v>6.5899102882551626</v>
      </c>
      <c r="BQ1112">
        <f t="shared" si="35"/>
        <v>19.599494818350987</v>
      </c>
    </row>
    <row r="1113" spans="1:69" hidden="1" x14ac:dyDescent="0.2">
      <c r="A1113" t="s">
        <v>3550</v>
      </c>
      <c r="B1113" t="s">
        <v>68</v>
      </c>
      <c r="C1113" t="s">
        <v>3294</v>
      </c>
      <c r="D1113" t="s">
        <v>70</v>
      </c>
      <c r="E1113" t="s">
        <v>1530</v>
      </c>
      <c r="F1113">
        <v>3</v>
      </c>
      <c r="G1113">
        <v>33</v>
      </c>
      <c r="H1113">
        <v>1</v>
      </c>
      <c r="I1113">
        <v>1</v>
      </c>
      <c r="J1113">
        <v>0</v>
      </c>
      <c r="K1113" t="s">
        <v>110</v>
      </c>
      <c r="L1113" t="s">
        <v>111</v>
      </c>
      <c r="M1113" s="4">
        <v>346000000</v>
      </c>
      <c r="N1113">
        <v>0</v>
      </c>
      <c r="O1113">
        <v>4.6176623000000001</v>
      </c>
      <c r="P1113">
        <v>-74.066481499999995</v>
      </c>
      <c r="Q1113" t="s">
        <v>3551</v>
      </c>
      <c r="R1113">
        <v>10484848.48</v>
      </c>
      <c r="S1113">
        <v>0</v>
      </c>
      <c r="T1113" t="s">
        <v>126</v>
      </c>
      <c r="U1113" t="s">
        <v>127</v>
      </c>
      <c r="V1113" t="s">
        <v>77</v>
      </c>
      <c r="W1113" t="s">
        <v>128</v>
      </c>
      <c r="X1113" t="s">
        <v>129</v>
      </c>
      <c r="Y1113">
        <v>0.87270121480546503</v>
      </c>
      <c r="Z1113">
        <v>872.70121480546504</v>
      </c>
      <c r="AA1113">
        <v>4.6254861111111101</v>
      </c>
      <c r="AB1113">
        <v>-74.066980555555503</v>
      </c>
      <c r="AC1113">
        <v>2621</v>
      </c>
      <c r="AD1113">
        <v>15</v>
      </c>
      <c r="AE1113" t="s">
        <v>80</v>
      </c>
      <c r="AF1113" t="s">
        <v>81</v>
      </c>
      <c r="AG1113" t="s">
        <v>82</v>
      </c>
      <c r="AH1113" t="s">
        <v>83</v>
      </c>
      <c r="AI1113" t="s">
        <v>138</v>
      </c>
      <c r="AJ1113">
        <v>0.404838055812764</v>
      </c>
      <c r="AK1113">
        <v>0.407860929057481</v>
      </c>
      <c r="AL1113">
        <v>0.36280320910421099</v>
      </c>
      <c r="AM1113">
        <v>0.19064958171785301</v>
      </c>
      <c r="AN1113">
        <v>0.26326419266373002</v>
      </c>
      <c r="AO1113">
        <v>5.1078401436081798E-2</v>
      </c>
      <c r="AP1113">
        <v>5.1078401436081798E-2</v>
      </c>
      <c r="AQ1113">
        <v>1</v>
      </c>
      <c r="AR1113">
        <v>5</v>
      </c>
      <c r="AS1113">
        <v>1</v>
      </c>
      <c r="AT1113">
        <v>10</v>
      </c>
      <c r="AU1113">
        <v>12</v>
      </c>
      <c r="AV1113">
        <v>56</v>
      </c>
      <c r="AW1113">
        <v>1</v>
      </c>
      <c r="AX1113">
        <v>2</v>
      </c>
      <c r="AZ1113">
        <v>6.8</v>
      </c>
      <c r="BA1113">
        <v>19.899999999999999</v>
      </c>
      <c r="BB1113">
        <v>564</v>
      </c>
      <c r="BC1113">
        <v>68</v>
      </c>
      <c r="BD1113">
        <v>1.5</v>
      </c>
      <c r="BE1113">
        <v>135</v>
      </c>
      <c r="BF1113">
        <v>0.8</v>
      </c>
      <c r="BG1113">
        <v>162</v>
      </c>
      <c r="BH1113">
        <v>9.1</v>
      </c>
      <c r="BI1113">
        <v>9.1999999999999993</v>
      </c>
      <c r="BJ1113">
        <v>18.3</v>
      </c>
      <c r="BK1113">
        <v>0.34</v>
      </c>
      <c r="BL1113">
        <v>7.3</v>
      </c>
      <c r="BM1113">
        <v>0.9</v>
      </c>
      <c r="BN1113">
        <v>7.5</v>
      </c>
      <c r="BO1113">
        <v>2.9</v>
      </c>
      <c r="BP1113">
        <f t="shared" si="34"/>
        <v>6.5125032234910023</v>
      </c>
      <c r="BQ1113">
        <f t="shared" si="35"/>
        <v>19.487532508903527</v>
      </c>
    </row>
    <row r="1114" spans="1:69" hidden="1" x14ac:dyDescent="0.2">
      <c r="A1114" t="s">
        <v>3952</v>
      </c>
      <c r="B1114" t="s">
        <v>68</v>
      </c>
      <c r="C1114" t="s">
        <v>3294</v>
      </c>
      <c r="D1114" t="s">
        <v>70</v>
      </c>
      <c r="E1114" t="s">
        <v>2808</v>
      </c>
      <c r="F1114">
        <v>4</v>
      </c>
      <c r="G1114">
        <v>33</v>
      </c>
      <c r="H1114">
        <v>1</v>
      </c>
      <c r="I1114">
        <v>1</v>
      </c>
      <c r="J1114">
        <v>0</v>
      </c>
      <c r="K1114" t="s">
        <v>110</v>
      </c>
      <c r="L1114" t="s">
        <v>111</v>
      </c>
      <c r="M1114" s="4">
        <v>331200000</v>
      </c>
      <c r="N1114">
        <v>0</v>
      </c>
      <c r="O1114">
        <v>4.6923539999999999</v>
      </c>
      <c r="P1114">
        <v>-74.067092000000002</v>
      </c>
      <c r="Q1114" t="s">
        <v>3953</v>
      </c>
      <c r="R1114">
        <v>10036363.640000001</v>
      </c>
      <c r="S1114">
        <v>0</v>
      </c>
      <c r="T1114" t="s">
        <v>75</v>
      </c>
      <c r="U1114" t="s">
        <v>76</v>
      </c>
      <c r="V1114" t="s">
        <v>77</v>
      </c>
      <c r="W1114" t="s">
        <v>78</v>
      </c>
      <c r="X1114" t="s">
        <v>79</v>
      </c>
      <c r="Y1114">
        <v>4.2113706999888096</v>
      </c>
      <c r="Z1114">
        <v>4211.37069998881</v>
      </c>
      <c r="AA1114">
        <v>4.6584666666666701</v>
      </c>
      <c r="AB1114">
        <v>-74.083966666666697</v>
      </c>
      <c r="AC1114">
        <v>2552</v>
      </c>
      <c r="AD1114">
        <v>0</v>
      </c>
      <c r="AE1114" t="s">
        <v>80</v>
      </c>
      <c r="AF1114" t="s">
        <v>81</v>
      </c>
      <c r="AG1114" t="s">
        <v>82</v>
      </c>
      <c r="AH1114" t="s">
        <v>83</v>
      </c>
      <c r="AI1114" t="s">
        <v>121</v>
      </c>
      <c r="AJ1114">
        <v>0.116403120570648</v>
      </c>
      <c r="AK1114">
        <v>3.6712569494902301</v>
      </c>
      <c r="AL1114">
        <v>0.66595310599023505</v>
      </c>
      <c r="AM1114">
        <v>8.3405521511087502E-2</v>
      </c>
      <c r="AN1114">
        <v>2.6231550286731702</v>
      </c>
      <c r="AO1114">
        <v>0.35908625602609801</v>
      </c>
      <c r="AP1114">
        <v>0.35908625602609801</v>
      </c>
      <c r="AQ1114">
        <v>1</v>
      </c>
      <c r="AR1114">
        <v>4</v>
      </c>
      <c r="AS1114">
        <v>0</v>
      </c>
      <c r="AT1114">
        <v>0</v>
      </c>
      <c r="AU1114">
        <v>1</v>
      </c>
      <c r="AV1114">
        <v>71</v>
      </c>
      <c r="AW1114">
        <v>0</v>
      </c>
      <c r="AX1114">
        <v>0</v>
      </c>
      <c r="AZ1114">
        <v>6.8</v>
      </c>
      <c r="BA1114">
        <v>19.899999999999999</v>
      </c>
      <c r="BB1114">
        <v>564</v>
      </c>
      <c r="BC1114">
        <v>68</v>
      </c>
      <c r="BD1114">
        <v>1.5</v>
      </c>
      <c r="BE1114">
        <v>135</v>
      </c>
      <c r="BF1114">
        <v>0.8</v>
      </c>
      <c r="BG1114">
        <v>162</v>
      </c>
      <c r="BH1114">
        <v>9.1</v>
      </c>
      <c r="BI1114">
        <v>9.1999999999999993</v>
      </c>
      <c r="BJ1114">
        <v>18.3</v>
      </c>
      <c r="BK1114">
        <v>0.34</v>
      </c>
      <c r="BL1114">
        <v>7.3</v>
      </c>
      <c r="BM1114">
        <v>0.9</v>
      </c>
      <c r="BN1114">
        <v>7.5</v>
      </c>
      <c r="BO1114">
        <v>2.9</v>
      </c>
      <c r="BP1114">
        <f t="shared" si="34"/>
        <v>5.5204521188992564</v>
      </c>
      <c r="BQ1114">
        <f t="shared" si="35"/>
        <v>17.986956115098998</v>
      </c>
    </row>
    <row r="1115" spans="1:69" hidden="1" x14ac:dyDescent="0.2">
      <c r="A1115" t="s">
        <v>4594</v>
      </c>
      <c r="B1115" t="s">
        <v>68</v>
      </c>
      <c r="C1115" t="s">
        <v>3294</v>
      </c>
      <c r="D1115" t="s">
        <v>70</v>
      </c>
      <c r="E1115" t="s">
        <v>2034</v>
      </c>
      <c r="F1115">
        <v>4</v>
      </c>
      <c r="G1115">
        <v>33</v>
      </c>
      <c r="H1115">
        <v>1</v>
      </c>
      <c r="I1115">
        <v>1</v>
      </c>
      <c r="J1115">
        <v>0</v>
      </c>
      <c r="K1115" t="s">
        <v>110</v>
      </c>
      <c r="L1115" t="s">
        <v>111</v>
      </c>
      <c r="M1115" s="4">
        <v>331200000</v>
      </c>
      <c r="N1115">
        <v>0</v>
      </c>
      <c r="O1115">
        <v>4.6923542019999998</v>
      </c>
      <c r="P1115">
        <v>-74.067092900000006</v>
      </c>
      <c r="Q1115" t="s">
        <v>4595</v>
      </c>
      <c r="R1115">
        <v>10036363.640000001</v>
      </c>
      <c r="S1115">
        <v>0</v>
      </c>
      <c r="T1115" t="s">
        <v>75</v>
      </c>
      <c r="U1115" t="s">
        <v>76</v>
      </c>
      <c r="V1115" t="s">
        <v>77</v>
      </c>
      <c r="W1115" t="s">
        <v>78</v>
      </c>
      <c r="X1115" t="s">
        <v>79</v>
      </c>
      <c r="Y1115">
        <v>4.2113464516015</v>
      </c>
      <c r="Z1115">
        <v>4211.3464516015001</v>
      </c>
      <c r="AA1115">
        <v>4.6584666666666701</v>
      </c>
      <c r="AB1115">
        <v>-74.083966666666697</v>
      </c>
      <c r="AC1115">
        <v>2552</v>
      </c>
      <c r="AD1115">
        <v>0</v>
      </c>
      <c r="AE1115" t="s">
        <v>80</v>
      </c>
      <c r="AF1115" t="s">
        <v>81</v>
      </c>
      <c r="AG1115" t="s">
        <v>82</v>
      </c>
      <c r="AH1115" t="s">
        <v>83</v>
      </c>
      <c r="AI1115" t="s">
        <v>121</v>
      </c>
      <c r="AJ1115">
        <v>0.116369878892988</v>
      </c>
      <c r="AK1115">
        <v>3.6713527563124702</v>
      </c>
      <c r="AL1115">
        <v>0.66589099616134695</v>
      </c>
      <c r="AM1115">
        <v>8.3316858019037404E-2</v>
      </c>
      <c r="AN1115">
        <v>2.6231101662006</v>
      </c>
      <c r="AO1115">
        <v>0.359032015968763</v>
      </c>
      <c r="AP1115">
        <v>0.359032015968763</v>
      </c>
      <c r="AQ1115">
        <v>1</v>
      </c>
      <c r="AR1115">
        <v>4</v>
      </c>
      <c r="AS1115">
        <v>0</v>
      </c>
      <c r="AT1115">
        <v>0</v>
      </c>
      <c r="AU1115">
        <v>1</v>
      </c>
      <c r="AV1115">
        <v>71</v>
      </c>
      <c r="AW1115">
        <v>0</v>
      </c>
      <c r="AX1115">
        <v>0</v>
      </c>
      <c r="AZ1115">
        <v>6.8</v>
      </c>
      <c r="BA1115">
        <v>19.899999999999999</v>
      </c>
      <c r="BB1115">
        <v>564</v>
      </c>
      <c r="BC1115">
        <v>68</v>
      </c>
      <c r="BD1115">
        <v>1.5</v>
      </c>
      <c r="BE1115">
        <v>135</v>
      </c>
      <c r="BF1115">
        <v>0.8</v>
      </c>
      <c r="BG1115">
        <v>162</v>
      </c>
      <c r="BH1115">
        <v>9.1</v>
      </c>
      <c r="BI1115">
        <v>9.1999999999999993</v>
      </c>
      <c r="BJ1115">
        <v>18.3</v>
      </c>
      <c r="BK1115">
        <v>0.34</v>
      </c>
      <c r="BL1115">
        <v>7.3</v>
      </c>
      <c r="BM1115">
        <v>0.9</v>
      </c>
      <c r="BN1115">
        <v>7.5</v>
      </c>
      <c r="BO1115">
        <v>2.9</v>
      </c>
      <c r="BP1115">
        <f t="shared" si="34"/>
        <v>5.5204587450752571</v>
      </c>
      <c r="BQ1115">
        <f t="shared" si="35"/>
        <v>17.986966582814325</v>
      </c>
    </row>
    <row r="1116" spans="1:69" hidden="1" x14ac:dyDescent="0.2">
      <c r="A1116" t="s">
        <v>3071</v>
      </c>
      <c r="B1116" t="s">
        <v>68</v>
      </c>
      <c r="C1116" t="s">
        <v>1956</v>
      </c>
      <c r="D1116" t="s">
        <v>70</v>
      </c>
      <c r="E1116" t="s">
        <v>3072</v>
      </c>
      <c r="F1116">
        <v>2</v>
      </c>
      <c r="G1116">
        <v>33</v>
      </c>
      <c r="H1116">
        <v>5</v>
      </c>
      <c r="I1116">
        <v>2</v>
      </c>
      <c r="J1116">
        <v>0</v>
      </c>
      <c r="K1116" t="s">
        <v>110</v>
      </c>
      <c r="L1116" t="s">
        <v>162</v>
      </c>
      <c r="M1116" s="4">
        <v>320000000</v>
      </c>
      <c r="N1116">
        <v>0</v>
      </c>
      <c r="O1116">
        <v>4.5689544</v>
      </c>
      <c r="P1116">
        <v>-74.142903500000003</v>
      </c>
      <c r="Q1116" t="s">
        <v>3073</v>
      </c>
      <c r="R1116">
        <v>9696969.6970000006</v>
      </c>
      <c r="S1116">
        <v>0</v>
      </c>
      <c r="T1116" t="s">
        <v>1843</v>
      </c>
      <c r="U1116" t="s">
        <v>1844</v>
      </c>
      <c r="V1116" t="s">
        <v>77</v>
      </c>
      <c r="W1116" t="s">
        <v>1845</v>
      </c>
      <c r="X1116" t="s">
        <v>1846</v>
      </c>
      <c r="Y1116">
        <v>1.5533266474232199</v>
      </c>
      <c r="Z1116">
        <v>1553.32664742322</v>
      </c>
      <c r="AA1116">
        <v>4.576225</v>
      </c>
      <c r="AB1116">
        <v>-74.130955555555502</v>
      </c>
      <c r="AC1116">
        <v>2589</v>
      </c>
      <c r="AD1116">
        <v>0</v>
      </c>
      <c r="AE1116" t="s">
        <v>80</v>
      </c>
      <c r="AF1116" t="s">
        <v>107</v>
      </c>
      <c r="AG1116" t="s">
        <v>82</v>
      </c>
      <c r="AH1116" t="s">
        <v>83</v>
      </c>
      <c r="AI1116" t="s">
        <v>464</v>
      </c>
      <c r="AJ1116">
        <v>0.41194804563294302</v>
      </c>
      <c r="AK1116">
        <v>3.1069466897239799</v>
      </c>
      <c r="AL1116">
        <v>2.2853448245713501</v>
      </c>
      <c r="AM1116">
        <v>0.68111208407693202</v>
      </c>
      <c r="AN1116">
        <v>2.1679476876192001</v>
      </c>
      <c r="AO1116">
        <v>0.30572310262859298</v>
      </c>
      <c r="AP1116">
        <v>0.30572310262859298</v>
      </c>
      <c r="AQ1116">
        <v>1</v>
      </c>
      <c r="AR1116">
        <v>2</v>
      </c>
      <c r="AS1116">
        <v>0</v>
      </c>
      <c r="AT1116">
        <v>0</v>
      </c>
      <c r="AU1116">
        <v>0</v>
      </c>
      <c r="AV1116">
        <v>11</v>
      </c>
      <c r="AW1116">
        <v>0</v>
      </c>
      <c r="AX1116">
        <v>0</v>
      </c>
      <c r="AZ1116">
        <v>6.8</v>
      </c>
      <c r="BA1116">
        <v>19.899999999999999</v>
      </c>
      <c r="BB1116">
        <v>564</v>
      </c>
      <c r="BC1116">
        <v>68</v>
      </c>
      <c r="BD1116">
        <v>1.5</v>
      </c>
      <c r="BE1116">
        <v>135</v>
      </c>
      <c r="BF1116">
        <v>0.8</v>
      </c>
      <c r="BG1116">
        <v>162</v>
      </c>
      <c r="BH1116">
        <v>9.1</v>
      </c>
      <c r="BI1116">
        <v>9.1999999999999993</v>
      </c>
      <c r="BJ1116">
        <v>18.3</v>
      </c>
      <c r="BK1116">
        <v>0.34</v>
      </c>
      <c r="BL1116">
        <v>7.3</v>
      </c>
      <c r="BM1116">
        <v>0.9</v>
      </c>
      <c r="BN1116">
        <v>7.5</v>
      </c>
      <c r="BO1116">
        <v>2.9</v>
      </c>
      <c r="BP1116">
        <f t="shared" si="34"/>
        <v>6.296745692150874</v>
      </c>
      <c r="BQ1116">
        <f t="shared" si="35"/>
        <v>19.171789318034715</v>
      </c>
    </row>
    <row r="1117" spans="1:69" hidden="1" x14ac:dyDescent="0.2">
      <c r="A1117" t="s">
        <v>3456</v>
      </c>
      <c r="B1117" t="s">
        <v>68</v>
      </c>
      <c r="C1117" t="s">
        <v>3294</v>
      </c>
      <c r="D1117" t="s">
        <v>70</v>
      </c>
      <c r="E1117" t="s">
        <v>123</v>
      </c>
      <c r="F1117">
        <v>3</v>
      </c>
      <c r="G1117">
        <v>33</v>
      </c>
      <c r="H1117">
        <v>1</v>
      </c>
      <c r="I1117">
        <v>1</v>
      </c>
      <c r="J1117">
        <v>0</v>
      </c>
      <c r="K1117" t="s">
        <v>110</v>
      </c>
      <c r="L1117" t="s">
        <v>124</v>
      </c>
      <c r="M1117" s="4">
        <v>268000000</v>
      </c>
      <c r="N1117">
        <v>0</v>
      </c>
      <c r="O1117">
        <v>4.6466900000000004</v>
      </c>
      <c r="P1117">
        <v>-74.061800000000005</v>
      </c>
      <c r="Q1117" t="s">
        <v>3457</v>
      </c>
      <c r="R1117">
        <v>8121212.1210000003</v>
      </c>
      <c r="S1117">
        <v>0</v>
      </c>
      <c r="T1117" t="s">
        <v>126</v>
      </c>
      <c r="U1117" t="s">
        <v>127</v>
      </c>
      <c r="V1117" t="s">
        <v>77</v>
      </c>
      <c r="W1117" t="s">
        <v>128</v>
      </c>
      <c r="X1117" t="s">
        <v>129</v>
      </c>
      <c r="Y1117">
        <v>2.4293874739316701</v>
      </c>
      <c r="Z1117">
        <v>2429.3874739316698</v>
      </c>
      <c r="AA1117">
        <v>4.6254861111111101</v>
      </c>
      <c r="AB1117">
        <v>-74.066980555555503</v>
      </c>
      <c r="AC1117">
        <v>2621</v>
      </c>
      <c r="AD1117">
        <v>15</v>
      </c>
      <c r="AE1117" t="s">
        <v>80</v>
      </c>
      <c r="AF1117" t="s">
        <v>81</v>
      </c>
      <c r="AG1117" t="s">
        <v>82</v>
      </c>
      <c r="AH1117" t="s">
        <v>83</v>
      </c>
      <c r="AI1117" t="s">
        <v>130</v>
      </c>
      <c r="AJ1117">
        <v>0.38962099298154801</v>
      </c>
      <c r="AK1117">
        <v>0.78798929420080599</v>
      </c>
      <c r="AL1117">
        <v>0.178872588835288</v>
      </c>
      <c r="AM1117">
        <v>6.5188632930639201E-2</v>
      </c>
      <c r="AN1117">
        <v>0.67660012542526604</v>
      </c>
      <c r="AO1117">
        <v>0.321051581864647</v>
      </c>
      <c r="AP1117">
        <v>0.321051581864647</v>
      </c>
      <c r="AQ1117">
        <v>1</v>
      </c>
      <c r="AR1117">
        <v>3</v>
      </c>
      <c r="AS1117">
        <v>0</v>
      </c>
      <c r="AT1117">
        <v>10</v>
      </c>
      <c r="AU1117">
        <v>13</v>
      </c>
      <c r="AV1117">
        <v>76</v>
      </c>
      <c r="AW1117">
        <v>1</v>
      </c>
      <c r="AX1117">
        <v>0</v>
      </c>
      <c r="AZ1117">
        <v>6.8</v>
      </c>
      <c r="BA1117">
        <v>19.899999999999999</v>
      </c>
      <c r="BB1117">
        <v>564</v>
      </c>
      <c r="BC1117">
        <v>68</v>
      </c>
      <c r="BD1117">
        <v>1.5</v>
      </c>
      <c r="BE1117">
        <v>135</v>
      </c>
      <c r="BF1117">
        <v>0.8</v>
      </c>
      <c r="BG1117">
        <v>162</v>
      </c>
      <c r="BH1117">
        <v>9.1</v>
      </c>
      <c r="BI1117">
        <v>9.1999999999999993</v>
      </c>
      <c r="BJ1117">
        <v>18.3</v>
      </c>
      <c r="BK1117">
        <v>0.34</v>
      </c>
      <c r="BL1117">
        <v>7.3</v>
      </c>
      <c r="BM1117">
        <v>0.9</v>
      </c>
      <c r="BN1117">
        <v>7.5</v>
      </c>
      <c r="BO1117">
        <v>2.9</v>
      </c>
      <c r="BP1117">
        <f t="shared" si="34"/>
        <v>6.0295231753981362</v>
      </c>
      <c r="BQ1117">
        <f t="shared" si="35"/>
        <v>18.772901723862461</v>
      </c>
    </row>
    <row r="1118" spans="1:69" hidden="1" x14ac:dyDescent="0.2">
      <c r="A1118" t="s">
        <v>3374</v>
      </c>
      <c r="B1118" t="s">
        <v>68</v>
      </c>
      <c r="C1118" t="s">
        <v>3294</v>
      </c>
      <c r="D1118" t="s">
        <v>70</v>
      </c>
      <c r="E1118" t="s">
        <v>1920</v>
      </c>
      <c r="F1118">
        <v>3</v>
      </c>
      <c r="G1118">
        <v>33</v>
      </c>
      <c r="H1118">
        <v>1</v>
      </c>
      <c r="I1118">
        <v>1</v>
      </c>
      <c r="J1118">
        <v>0</v>
      </c>
      <c r="K1118" t="s">
        <v>110</v>
      </c>
      <c r="L1118" t="s">
        <v>124</v>
      </c>
      <c r="M1118" s="4">
        <v>250000000</v>
      </c>
      <c r="N1118">
        <v>0</v>
      </c>
      <c r="O1118">
        <v>4.6381944429999997</v>
      </c>
      <c r="P1118">
        <v>-74.065704350000004</v>
      </c>
      <c r="Q1118" t="s">
        <v>3375</v>
      </c>
      <c r="R1118">
        <v>7575757.5760000004</v>
      </c>
      <c r="S1118">
        <v>0</v>
      </c>
      <c r="T1118" t="s">
        <v>126</v>
      </c>
      <c r="U1118" t="s">
        <v>127</v>
      </c>
      <c r="V1118" t="s">
        <v>77</v>
      </c>
      <c r="W1118" t="s">
        <v>128</v>
      </c>
      <c r="X1118" t="s">
        <v>129</v>
      </c>
      <c r="Y1118">
        <v>1.42175421207107</v>
      </c>
      <c r="Z1118">
        <v>1421.75421207107</v>
      </c>
      <c r="AA1118">
        <v>4.6254861111111101</v>
      </c>
      <c r="AB1118">
        <v>-74.066980555555503</v>
      </c>
      <c r="AC1118">
        <v>2621</v>
      </c>
      <c r="AD1118">
        <v>15</v>
      </c>
      <c r="AE1118" t="s">
        <v>80</v>
      </c>
      <c r="AF1118" t="s">
        <v>81</v>
      </c>
      <c r="AG1118" t="s">
        <v>82</v>
      </c>
      <c r="AH1118" t="s">
        <v>83</v>
      </c>
      <c r="AI1118" t="s">
        <v>130</v>
      </c>
      <c r="AJ1118">
        <v>0.13917170321966099</v>
      </c>
      <c r="AK1118">
        <v>0.806836275219034</v>
      </c>
      <c r="AL1118">
        <v>0.16280777225166801</v>
      </c>
      <c r="AM1118">
        <v>8.8526668028791097E-2</v>
      </c>
      <c r="AN1118">
        <v>0.89469459512187</v>
      </c>
      <c r="AO1118">
        <v>0.213491886160352</v>
      </c>
      <c r="AP1118">
        <v>0.213491886160352</v>
      </c>
      <c r="AQ1118">
        <v>2</v>
      </c>
      <c r="AR1118">
        <v>4</v>
      </c>
      <c r="AS1118">
        <v>0</v>
      </c>
      <c r="AT1118">
        <v>13</v>
      </c>
      <c r="AU1118">
        <v>12</v>
      </c>
      <c r="AV1118">
        <v>165</v>
      </c>
      <c r="AW1118">
        <v>1</v>
      </c>
      <c r="AX1118">
        <v>0</v>
      </c>
      <c r="AZ1118">
        <v>6.8</v>
      </c>
      <c r="BA1118">
        <v>19.899999999999999</v>
      </c>
      <c r="BB1118">
        <v>564</v>
      </c>
      <c r="BC1118">
        <v>68</v>
      </c>
      <c r="BD1118">
        <v>1.5</v>
      </c>
      <c r="BE1118">
        <v>135</v>
      </c>
      <c r="BF1118">
        <v>0.8</v>
      </c>
      <c r="BG1118">
        <v>162</v>
      </c>
      <c r="BH1118">
        <v>9.1</v>
      </c>
      <c r="BI1118">
        <v>9.1999999999999993</v>
      </c>
      <c r="BJ1118">
        <v>18.3</v>
      </c>
      <c r="BK1118">
        <v>0.34</v>
      </c>
      <c r="BL1118">
        <v>7.3</v>
      </c>
      <c r="BM1118">
        <v>0.9</v>
      </c>
      <c r="BN1118">
        <v>7.5</v>
      </c>
      <c r="BO1118">
        <v>2.9</v>
      </c>
      <c r="BP1118">
        <f t="shared" si="34"/>
        <v>6.337889196349999</v>
      </c>
      <c r="BQ1118">
        <f t="shared" si="35"/>
        <v>19.232424498926552</v>
      </c>
    </row>
    <row r="1119" spans="1:69" hidden="1" x14ac:dyDescent="0.2">
      <c r="A1119" t="s">
        <v>3380</v>
      </c>
      <c r="B1119" t="s">
        <v>68</v>
      </c>
      <c r="C1119" t="s">
        <v>3294</v>
      </c>
      <c r="D1119" t="s">
        <v>70</v>
      </c>
      <c r="E1119" t="s">
        <v>136</v>
      </c>
      <c r="F1119">
        <v>4</v>
      </c>
      <c r="G1119">
        <v>32.71</v>
      </c>
      <c r="H1119">
        <v>1</v>
      </c>
      <c r="I1119">
        <v>1</v>
      </c>
      <c r="J1119">
        <v>0</v>
      </c>
      <c r="K1119" t="s">
        <v>110</v>
      </c>
      <c r="L1119" t="s">
        <v>111</v>
      </c>
      <c r="M1119" s="4">
        <v>375000000</v>
      </c>
      <c r="N1119">
        <v>0</v>
      </c>
      <c r="O1119">
        <v>4.6203341480000004</v>
      </c>
      <c r="P1119">
        <v>-74.069740300000007</v>
      </c>
      <c r="Q1119" t="s">
        <v>3381</v>
      </c>
      <c r="R1119">
        <v>11464383.98</v>
      </c>
      <c r="S1119">
        <v>0</v>
      </c>
      <c r="T1119" t="s">
        <v>126</v>
      </c>
      <c r="U1119" t="s">
        <v>127</v>
      </c>
      <c r="V1119" t="s">
        <v>77</v>
      </c>
      <c r="W1119" t="s">
        <v>128</v>
      </c>
      <c r="X1119" t="s">
        <v>129</v>
      </c>
      <c r="Y1119">
        <v>0.65014241261012795</v>
      </c>
      <c r="Z1119">
        <v>650.14241261012796</v>
      </c>
      <c r="AA1119">
        <v>4.6254861111111101</v>
      </c>
      <c r="AB1119">
        <v>-74.066980555555503</v>
      </c>
      <c r="AC1119">
        <v>2621</v>
      </c>
      <c r="AD1119">
        <v>15</v>
      </c>
      <c r="AE1119" t="s">
        <v>80</v>
      </c>
      <c r="AF1119" t="s">
        <v>81</v>
      </c>
      <c r="AG1119" t="s">
        <v>82</v>
      </c>
      <c r="AH1119" t="s">
        <v>83</v>
      </c>
      <c r="AI1119" t="s">
        <v>138</v>
      </c>
      <c r="AJ1119">
        <v>0.13720579165720401</v>
      </c>
      <c r="AK1119">
        <v>0.87071666130195202</v>
      </c>
      <c r="AL1119">
        <v>0.34510880768399999</v>
      </c>
      <c r="AM1119">
        <v>4.11443730616032E-2</v>
      </c>
      <c r="AN1119">
        <v>0.67214491497680795</v>
      </c>
      <c r="AO1119">
        <v>2.9003813943615401E-2</v>
      </c>
      <c r="AP1119">
        <v>2.9003813943615401E-2</v>
      </c>
      <c r="AQ1119">
        <v>2</v>
      </c>
      <c r="AR1119">
        <v>6</v>
      </c>
      <c r="AS1119">
        <v>0</v>
      </c>
      <c r="AT1119">
        <v>3</v>
      </c>
      <c r="AU1119">
        <v>17</v>
      </c>
      <c r="AV1119">
        <v>90</v>
      </c>
      <c r="AW1119">
        <v>2</v>
      </c>
      <c r="AX1119">
        <v>1</v>
      </c>
      <c r="AZ1119">
        <v>6.8</v>
      </c>
      <c r="BA1119">
        <v>19.899999999999999</v>
      </c>
      <c r="BB1119">
        <v>564</v>
      </c>
      <c r="BC1119">
        <v>68</v>
      </c>
      <c r="BD1119">
        <v>1.5</v>
      </c>
      <c r="BE1119">
        <v>135</v>
      </c>
      <c r="BF1119">
        <v>0.8</v>
      </c>
      <c r="BG1119">
        <v>162</v>
      </c>
      <c r="BH1119">
        <v>9.1</v>
      </c>
      <c r="BI1119">
        <v>9.1999999999999993</v>
      </c>
      <c r="BJ1119">
        <v>18.3</v>
      </c>
      <c r="BK1119">
        <v>0.34</v>
      </c>
      <c r="BL1119">
        <v>7.3</v>
      </c>
      <c r="BM1119">
        <v>0.9</v>
      </c>
      <c r="BN1119">
        <v>7.5</v>
      </c>
      <c r="BO1119">
        <v>2.9</v>
      </c>
      <c r="BP1119">
        <f t="shared" si="34"/>
        <v>6.5846459180198327</v>
      </c>
      <c r="BQ1119">
        <f t="shared" si="35"/>
        <v>19.591901926179613</v>
      </c>
    </row>
    <row r="1120" spans="1:69" hidden="1" x14ac:dyDescent="0.2">
      <c r="A1120" t="s">
        <v>4266</v>
      </c>
      <c r="B1120" t="s">
        <v>68</v>
      </c>
      <c r="C1120" t="s">
        <v>3294</v>
      </c>
      <c r="D1120" t="s">
        <v>70</v>
      </c>
      <c r="E1120" t="s">
        <v>3649</v>
      </c>
      <c r="F1120">
        <v>6</v>
      </c>
      <c r="G1120">
        <v>32.6</v>
      </c>
      <c r="H1120">
        <v>1</v>
      </c>
      <c r="I1120">
        <v>1</v>
      </c>
      <c r="J1120">
        <v>1</v>
      </c>
      <c r="K1120" t="s">
        <v>110</v>
      </c>
      <c r="L1120" t="s">
        <v>111</v>
      </c>
      <c r="M1120" s="4">
        <v>585000000</v>
      </c>
      <c r="N1120">
        <v>0</v>
      </c>
      <c r="O1120">
        <v>4.6720600000000001</v>
      </c>
      <c r="P1120">
        <v>-74.058359999999993</v>
      </c>
      <c r="Q1120" t="s">
        <v>4267</v>
      </c>
      <c r="R1120">
        <v>17944785.280000001</v>
      </c>
      <c r="S1120">
        <v>0</v>
      </c>
      <c r="T1120" t="s">
        <v>75</v>
      </c>
      <c r="U1120" t="s">
        <v>76</v>
      </c>
      <c r="V1120" t="s">
        <v>77</v>
      </c>
      <c r="W1120" t="s">
        <v>78</v>
      </c>
      <c r="X1120" t="s">
        <v>79</v>
      </c>
      <c r="Y1120">
        <v>3.2189286264914498</v>
      </c>
      <c r="Z1120">
        <v>3218.9286264914499</v>
      </c>
      <c r="AA1120">
        <v>4.6584666666666701</v>
      </c>
      <c r="AB1120">
        <v>-74.083966666666697</v>
      </c>
      <c r="AC1120">
        <v>2552</v>
      </c>
      <c r="AD1120">
        <v>0</v>
      </c>
      <c r="AE1120" t="s">
        <v>80</v>
      </c>
      <c r="AF1120" t="s">
        <v>81</v>
      </c>
      <c r="AG1120" t="s">
        <v>82</v>
      </c>
      <c r="AH1120" t="s">
        <v>83</v>
      </c>
      <c r="AI1120" t="s">
        <v>130</v>
      </c>
      <c r="AJ1120">
        <v>0.14504750864367399</v>
      </c>
      <c r="AK1120">
        <v>1.67565584749176</v>
      </c>
      <c r="AL1120">
        <v>0.46443478485509399</v>
      </c>
      <c r="AM1120">
        <v>3.1978484750333103E-2</v>
      </c>
      <c r="AN1120">
        <v>2.613119336939</v>
      </c>
      <c r="AO1120">
        <v>0.77247022554299705</v>
      </c>
      <c r="AP1120">
        <v>0.77247022554299705</v>
      </c>
      <c r="AQ1120">
        <v>3</v>
      </c>
      <c r="AR1120">
        <v>5</v>
      </c>
      <c r="AS1120">
        <v>0</v>
      </c>
      <c r="AT1120">
        <v>0</v>
      </c>
      <c r="AU1120">
        <v>7</v>
      </c>
      <c r="AV1120">
        <v>284</v>
      </c>
      <c r="AW1120">
        <v>0</v>
      </c>
      <c r="AX1120">
        <v>0</v>
      </c>
      <c r="AZ1120">
        <v>6.8</v>
      </c>
      <c r="BA1120">
        <v>19.899999999999999</v>
      </c>
      <c r="BB1120">
        <v>564</v>
      </c>
      <c r="BC1120">
        <v>68</v>
      </c>
      <c r="BD1120">
        <v>1.5</v>
      </c>
      <c r="BE1120">
        <v>135</v>
      </c>
      <c r="BF1120">
        <v>0.8</v>
      </c>
      <c r="BG1120">
        <v>162</v>
      </c>
      <c r="BH1120">
        <v>9.1</v>
      </c>
      <c r="BI1120">
        <v>9.1999999999999993</v>
      </c>
      <c r="BJ1120">
        <v>18.3</v>
      </c>
      <c r="BK1120">
        <v>0.34</v>
      </c>
      <c r="BL1120">
        <v>7.3</v>
      </c>
      <c r="BM1120">
        <v>0.9</v>
      </c>
      <c r="BN1120">
        <v>7.5</v>
      </c>
      <c r="BO1120">
        <v>2.9</v>
      </c>
      <c r="BP1120">
        <f t="shared" si="34"/>
        <v>5.7984210351505059</v>
      </c>
      <c r="BQ1120">
        <f t="shared" si="35"/>
        <v>18.42052339087493</v>
      </c>
    </row>
    <row r="1121" spans="1:69" hidden="1" x14ac:dyDescent="0.2">
      <c r="A1121" t="s">
        <v>4029</v>
      </c>
      <c r="B1121" t="s">
        <v>68</v>
      </c>
      <c r="C1121" t="s">
        <v>3294</v>
      </c>
      <c r="D1121" t="s">
        <v>70</v>
      </c>
      <c r="E1121" t="s">
        <v>1291</v>
      </c>
      <c r="F1121">
        <v>4</v>
      </c>
      <c r="G1121">
        <v>32</v>
      </c>
      <c r="H1121">
        <v>1</v>
      </c>
      <c r="I1121">
        <v>1</v>
      </c>
      <c r="J1121">
        <v>0</v>
      </c>
      <c r="K1121" t="s">
        <v>110</v>
      </c>
      <c r="L1121" t="s">
        <v>111</v>
      </c>
      <c r="M1121" s="4">
        <v>420000000</v>
      </c>
      <c r="N1121">
        <v>0</v>
      </c>
      <c r="O1121">
        <v>4.6421700000000001</v>
      </c>
      <c r="P1121">
        <v>-74.062619999999995</v>
      </c>
      <c r="Q1121" t="s">
        <v>4030</v>
      </c>
      <c r="R1121">
        <v>13125000</v>
      </c>
      <c r="S1121">
        <v>0</v>
      </c>
      <c r="T1121" t="s">
        <v>126</v>
      </c>
      <c r="U1121" t="s">
        <v>127</v>
      </c>
      <c r="V1121" t="s">
        <v>77</v>
      </c>
      <c r="W1121" t="s">
        <v>128</v>
      </c>
      <c r="X1121" t="s">
        <v>129</v>
      </c>
      <c r="Y1121">
        <v>1.91922838807675</v>
      </c>
      <c r="Z1121">
        <v>1919.22838807675</v>
      </c>
      <c r="AA1121">
        <v>4.6254861111111101</v>
      </c>
      <c r="AB1121">
        <v>-74.066980555555503</v>
      </c>
      <c r="AC1121">
        <v>2621</v>
      </c>
      <c r="AD1121">
        <v>15</v>
      </c>
      <c r="AE1121" t="s">
        <v>80</v>
      </c>
      <c r="AF1121" t="s">
        <v>81</v>
      </c>
      <c r="AG1121" t="s">
        <v>82</v>
      </c>
      <c r="AH1121" t="s">
        <v>83</v>
      </c>
      <c r="AI1121" t="s">
        <v>130</v>
      </c>
      <c r="AJ1121">
        <v>0.36688709197208902</v>
      </c>
      <c r="AK1121">
        <v>0.57830557945604999</v>
      </c>
      <c r="AL1121">
        <v>0.40083768395434699</v>
      </c>
      <c r="AM1121">
        <v>5.1942815949417701E-2</v>
      </c>
      <c r="AN1121">
        <v>0.47304396293589801</v>
      </c>
      <c r="AO1121">
        <v>0.25878570025696601</v>
      </c>
      <c r="AP1121">
        <v>0.25878570025696601</v>
      </c>
      <c r="AQ1121">
        <v>1</v>
      </c>
      <c r="AR1121">
        <v>4</v>
      </c>
      <c r="AS1121">
        <v>0</v>
      </c>
      <c r="AT1121">
        <v>21</v>
      </c>
      <c r="AU1121">
        <v>6</v>
      </c>
      <c r="AV1121">
        <v>131</v>
      </c>
      <c r="AW1121">
        <v>1</v>
      </c>
      <c r="AX1121">
        <v>0</v>
      </c>
      <c r="AZ1121">
        <v>6.8</v>
      </c>
      <c r="BA1121">
        <v>19.899999999999999</v>
      </c>
      <c r="BB1121">
        <v>564</v>
      </c>
      <c r="BC1121">
        <v>68</v>
      </c>
      <c r="BD1121">
        <v>1.5</v>
      </c>
      <c r="BE1121">
        <v>135</v>
      </c>
      <c r="BF1121">
        <v>0.8</v>
      </c>
      <c r="BG1121">
        <v>162</v>
      </c>
      <c r="BH1121">
        <v>9.1</v>
      </c>
      <c r="BI1121">
        <v>9.1999999999999993</v>
      </c>
      <c r="BJ1121">
        <v>18.3</v>
      </c>
      <c r="BK1121">
        <v>0.34</v>
      </c>
      <c r="BL1121">
        <v>7.3</v>
      </c>
      <c r="BM1121">
        <v>0.9</v>
      </c>
      <c r="BN1121">
        <v>7.5</v>
      </c>
      <c r="BO1121">
        <v>2.9</v>
      </c>
      <c r="BP1121">
        <f t="shared" si="34"/>
        <v>6.1837247914533089</v>
      </c>
      <c r="BQ1121">
        <f t="shared" si="35"/>
        <v>19.004166610545376</v>
      </c>
    </row>
    <row r="1122" spans="1:69" hidden="1" x14ac:dyDescent="0.2">
      <c r="A1122" t="s">
        <v>3588</v>
      </c>
      <c r="B1122" t="s">
        <v>68</v>
      </c>
      <c r="C1122" t="s">
        <v>3294</v>
      </c>
      <c r="D1122" t="s">
        <v>70</v>
      </c>
      <c r="E1122" t="s">
        <v>136</v>
      </c>
      <c r="F1122">
        <v>4</v>
      </c>
      <c r="G1122">
        <v>32</v>
      </c>
      <c r="H1122">
        <v>1</v>
      </c>
      <c r="I1122">
        <v>1</v>
      </c>
      <c r="J1122">
        <v>0</v>
      </c>
      <c r="K1122" t="s">
        <v>110</v>
      </c>
      <c r="L1122" t="s">
        <v>111</v>
      </c>
      <c r="M1122" s="4">
        <v>350000000</v>
      </c>
      <c r="N1122">
        <v>0</v>
      </c>
      <c r="O1122">
        <v>4.6217586070000003</v>
      </c>
      <c r="P1122">
        <v>-74.068006190000006</v>
      </c>
      <c r="Q1122" t="s">
        <v>3589</v>
      </c>
      <c r="R1122">
        <v>10937500</v>
      </c>
      <c r="S1122">
        <v>0</v>
      </c>
      <c r="T1122" t="s">
        <v>126</v>
      </c>
      <c r="U1122" t="s">
        <v>127</v>
      </c>
      <c r="V1122" t="s">
        <v>77</v>
      </c>
      <c r="W1122" t="s">
        <v>128</v>
      </c>
      <c r="X1122" t="s">
        <v>129</v>
      </c>
      <c r="Y1122">
        <v>0.430266429382965</v>
      </c>
      <c r="Z1122">
        <v>430.26642938296499</v>
      </c>
      <c r="AA1122">
        <v>4.6254861111111101</v>
      </c>
      <c r="AB1122">
        <v>-74.066980555555503</v>
      </c>
      <c r="AC1122">
        <v>2621</v>
      </c>
      <c r="AD1122">
        <v>15</v>
      </c>
      <c r="AE1122" t="s">
        <v>80</v>
      </c>
      <c r="AF1122" t="s">
        <v>81</v>
      </c>
      <c r="AG1122" t="s">
        <v>82</v>
      </c>
      <c r="AH1122" t="s">
        <v>83</v>
      </c>
      <c r="AI1122" t="s">
        <v>138</v>
      </c>
      <c r="AJ1122">
        <v>0.19102884698027101</v>
      </c>
      <c r="AK1122">
        <v>0.75734009374104005</v>
      </c>
      <c r="AL1122">
        <v>0.22192635924144399</v>
      </c>
      <c r="AM1122">
        <v>0.11872796493401799</v>
      </c>
      <c r="AN1122">
        <v>0.652330046125842</v>
      </c>
      <c r="AO1122">
        <v>0.143459066273773</v>
      </c>
      <c r="AP1122">
        <v>0.143459066273773</v>
      </c>
      <c r="AQ1122">
        <v>2</v>
      </c>
      <c r="AR1122">
        <v>6</v>
      </c>
      <c r="AS1122">
        <v>0</v>
      </c>
      <c r="AT1122">
        <v>10</v>
      </c>
      <c r="AU1122">
        <v>16</v>
      </c>
      <c r="AV1122">
        <v>97</v>
      </c>
      <c r="AW1122">
        <v>2</v>
      </c>
      <c r="AX1122">
        <v>1</v>
      </c>
      <c r="AZ1122">
        <v>6.8</v>
      </c>
      <c r="BA1122">
        <v>19.899999999999999</v>
      </c>
      <c r="BB1122">
        <v>564</v>
      </c>
      <c r="BC1122">
        <v>68</v>
      </c>
      <c r="BD1122">
        <v>1.5</v>
      </c>
      <c r="BE1122">
        <v>135</v>
      </c>
      <c r="BF1122">
        <v>0.8</v>
      </c>
      <c r="BG1122">
        <v>162</v>
      </c>
      <c r="BH1122">
        <v>9.1</v>
      </c>
      <c r="BI1122">
        <v>9.1999999999999993</v>
      </c>
      <c r="BJ1122">
        <v>18.3</v>
      </c>
      <c r="BK1122">
        <v>0.34</v>
      </c>
      <c r="BL1122">
        <v>7.3</v>
      </c>
      <c r="BM1122">
        <v>0.9</v>
      </c>
      <c r="BN1122">
        <v>7.5</v>
      </c>
      <c r="BO1122">
        <v>2.9</v>
      </c>
      <c r="BP1122">
        <f t="shared" si="34"/>
        <v>6.6567037122380031</v>
      </c>
      <c r="BQ1122">
        <f t="shared" si="35"/>
        <v>19.695562123063738</v>
      </c>
    </row>
    <row r="1123" spans="1:69" hidden="1" x14ac:dyDescent="0.2">
      <c r="A1123" t="s">
        <v>4624</v>
      </c>
      <c r="B1123" t="s">
        <v>68</v>
      </c>
      <c r="C1123" t="s">
        <v>3294</v>
      </c>
      <c r="D1123" t="s">
        <v>70</v>
      </c>
      <c r="E1123" t="s">
        <v>4044</v>
      </c>
      <c r="F1123">
        <v>3</v>
      </c>
      <c r="G1123">
        <v>32</v>
      </c>
      <c r="H1123">
        <v>1</v>
      </c>
      <c r="I1123">
        <v>1</v>
      </c>
      <c r="J1123">
        <v>0</v>
      </c>
      <c r="K1123" t="s">
        <v>110</v>
      </c>
      <c r="L1123" t="s">
        <v>162</v>
      </c>
      <c r="M1123" s="4">
        <v>140000000</v>
      </c>
      <c r="N1123">
        <v>0</v>
      </c>
      <c r="O1123">
        <v>4.6096649169999999</v>
      </c>
      <c r="P1123">
        <v>-74.072906489999994</v>
      </c>
      <c r="Q1123" t="s">
        <v>4625</v>
      </c>
      <c r="R1123">
        <v>4375000</v>
      </c>
      <c r="S1123">
        <v>0</v>
      </c>
      <c r="T1123" t="s">
        <v>126</v>
      </c>
      <c r="U1123" t="s">
        <v>127</v>
      </c>
      <c r="V1123" t="s">
        <v>77</v>
      </c>
      <c r="W1123" t="s">
        <v>128</v>
      </c>
      <c r="X1123" t="s">
        <v>129</v>
      </c>
      <c r="Y1123">
        <v>1.8799462456964</v>
      </c>
      <c r="Z1123">
        <v>1879.9462456964</v>
      </c>
      <c r="AA1123">
        <v>4.6254861111111101</v>
      </c>
      <c r="AB1123">
        <v>-74.066980555555503</v>
      </c>
      <c r="AC1123">
        <v>2621</v>
      </c>
      <c r="AD1123">
        <v>15</v>
      </c>
      <c r="AE1123" t="s">
        <v>80</v>
      </c>
      <c r="AF1123" t="s">
        <v>81</v>
      </c>
      <c r="AG1123" t="s">
        <v>82</v>
      </c>
      <c r="AH1123" t="s">
        <v>83</v>
      </c>
      <c r="AI1123" t="s">
        <v>138</v>
      </c>
      <c r="AJ1123">
        <v>0.20718648656123401</v>
      </c>
      <c r="AK1123">
        <v>0.90668035431734795</v>
      </c>
      <c r="AL1123">
        <v>0.21287129318845599</v>
      </c>
      <c r="AM1123">
        <v>0.284764235834011</v>
      </c>
      <c r="AN1123">
        <v>0.95490295370552003</v>
      </c>
      <c r="AO1123">
        <v>3.2945094861804199E-2</v>
      </c>
      <c r="AP1123">
        <v>3.2945094861804199E-2</v>
      </c>
      <c r="AQ1123">
        <v>4</v>
      </c>
      <c r="AR1123">
        <v>9</v>
      </c>
      <c r="AS1123">
        <v>0</v>
      </c>
      <c r="AT1123">
        <v>4</v>
      </c>
      <c r="AU1123">
        <v>10</v>
      </c>
      <c r="AV1123">
        <v>60</v>
      </c>
      <c r="AW1123">
        <v>1</v>
      </c>
      <c r="AX1123">
        <v>6</v>
      </c>
      <c r="AZ1123">
        <v>6.8</v>
      </c>
      <c r="BA1123">
        <v>19.899999999999999</v>
      </c>
      <c r="BB1123">
        <v>564</v>
      </c>
      <c r="BC1123">
        <v>68</v>
      </c>
      <c r="BD1123">
        <v>1.5</v>
      </c>
      <c r="BE1123">
        <v>135</v>
      </c>
      <c r="BF1123">
        <v>0.8</v>
      </c>
      <c r="BG1123">
        <v>162</v>
      </c>
      <c r="BH1123">
        <v>9.1</v>
      </c>
      <c r="BI1123">
        <v>9.1999999999999993</v>
      </c>
      <c r="BJ1123">
        <v>18.3</v>
      </c>
      <c r="BK1123">
        <v>0.34</v>
      </c>
      <c r="BL1123">
        <v>7.3</v>
      </c>
      <c r="BM1123">
        <v>0.9</v>
      </c>
      <c r="BN1123">
        <v>7.5</v>
      </c>
      <c r="BO1123">
        <v>2.9</v>
      </c>
      <c r="BP1123">
        <f t="shared" si="34"/>
        <v>6.1957605321117244</v>
      </c>
      <c r="BQ1123">
        <f t="shared" si="35"/>
        <v>19.022091643909025</v>
      </c>
    </row>
    <row r="1124" spans="1:69" hidden="1" x14ac:dyDescent="0.2">
      <c r="A1124" t="s">
        <v>3522</v>
      </c>
      <c r="B1124" t="s">
        <v>68</v>
      </c>
      <c r="C1124" t="s">
        <v>3294</v>
      </c>
      <c r="D1124" t="s">
        <v>70</v>
      </c>
      <c r="E1124" t="s">
        <v>3523</v>
      </c>
      <c r="F1124">
        <v>3</v>
      </c>
      <c r="G1124">
        <v>32</v>
      </c>
      <c r="H1124">
        <v>1</v>
      </c>
      <c r="I1124">
        <v>1</v>
      </c>
      <c r="J1124">
        <v>0</v>
      </c>
      <c r="K1124" t="s">
        <v>110</v>
      </c>
      <c r="L1124" t="s">
        <v>162</v>
      </c>
      <c r="M1124" s="4">
        <v>120000000</v>
      </c>
      <c r="N1124">
        <v>0</v>
      </c>
      <c r="O1124">
        <v>4.6880445000000002</v>
      </c>
      <c r="P1124">
        <v>-74.084075999999996</v>
      </c>
      <c r="Q1124" t="s">
        <v>3524</v>
      </c>
      <c r="R1124">
        <v>3750000</v>
      </c>
      <c r="S1124">
        <v>0</v>
      </c>
      <c r="T1124" t="s">
        <v>75</v>
      </c>
      <c r="U1124" t="s">
        <v>76</v>
      </c>
      <c r="V1124" t="s">
        <v>77</v>
      </c>
      <c r="W1124" t="s">
        <v>78</v>
      </c>
      <c r="X1124" t="s">
        <v>79</v>
      </c>
      <c r="Y1124">
        <v>3.2926116907323002</v>
      </c>
      <c r="Z1124">
        <v>3292.6116907322998</v>
      </c>
      <c r="AA1124">
        <v>4.6584666666666701</v>
      </c>
      <c r="AB1124">
        <v>-74.083966666666697</v>
      </c>
      <c r="AC1124">
        <v>2552</v>
      </c>
      <c r="AD1124">
        <v>0</v>
      </c>
      <c r="AE1124" t="s">
        <v>80</v>
      </c>
      <c r="AF1124" t="s">
        <v>81</v>
      </c>
      <c r="AG1124" t="s">
        <v>82</v>
      </c>
      <c r="AH1124" t="s">
        <v>83</v>
      </c>
      <c r="AI1124" t="s">
        <v>412</v>
      </c>
      <c r="AJ1124">
        <v>0.319370245310935</v>
      </c>
      <c r="AK1124">
        <v>5.0266407382496396</v>
      </c>
      <c r="AL1124">
        <v>1.0195276997940601</v>
      </c>
      <c r="AM1124">
        <v>0.111155864614047</v>
      </c>
      <c r="AN1124">
        <v>1.59192230533477</v>
      </c>
      <c r="AO1124">
        <v>1.2318462946155E-2</v>
      </c>
      <c r="AP1124">
        <v>1.2318462946155E-2</v>
      </c>
      <c r="AQ1124">
        <v>2</v>
      </c>
      <c r="AR1124">
        <v>3</v>
      </c>
      <c r="AS1124">
        <v>0</v>
      </c>
      <c r="AT1124">
        <v>0</v>
      </c>
      <c r="AU1124">
        <v>0</v>
      </c>
      <c r="AV1124">
        <v>25</v>
      </c>
      <c r="AW1124">
        <v>0</v>
      </c>
      <c r="AX1124">
        <v>0</v>
      </c>
      <c r="AZ1124">
        <v>6.8</v>
      </c>
      <c r="BA1124">
        <v>19.899999999999999</v>
      </c>
      <c r="BB1124">
        <v>564</v>
      </c>
      <c r="BC1124">
        <v>68</v>
      </c>
      <c r="BD1124">
        <v>1.5</v>
      </c>
      <c r="BE1124">
        <v>135</v>
      </c>
      <c r="BF1124">
        <v>0.8</v>
      </c>
      <c r="BG1124">
        <v>162</v>
      </c>
      <c r="BH1124">
        <v>9.1</v>
      </c>
      <c r="BI1124">
        <v>9.1999999999999993</v>
      </c>
      <c r="BJ1124">
        <v>18.3</v>
      </c>
      <c r="BK1124">
        <v>0.34</v>
      </c>
      <c r="BL1124">
        <v>7.3</v>
      </c>
      <c r="BM1124">
        <v>0.9</v>
      </c>
      <c r="BN1124">
        <v>7.5</v>
      </c>
      <c r="BO1124">
        <v>2.9</v>
      </c>
      <c r="BP1124">
        <f t="shared" si="34"/>
        <v>5.7773109073937849</v>
      </c>
      <c r="BQ1124">
        <f t="shared" si="35"/>
        <v>18.387977441778904</v>
      </c>
    </row>
    <row r="1125" spans="1:69" hidden="1" x14ac:dyDescent="0.2">
      <c r="A1125" t="s">
        <v>3956</v>
      </c>
      <c r="B1125" t="s">
        <v>68</v>
      </c>
      <c r="C1125" t="s">
        <v>3294</v>
      </c>
      <c r="D1125" t="s">
        <v>70</v>
      </c>
      <c r="E1125" t="s">
        <v>2521</v>
      </c>
      <c r="F1125">
        <v>4</v>
      </c>
      <c r="G1125">
        <v>31.96</v>
      </c>
      <c r="H1125">
        <v>1</v>
      </c>
      <c r="I1125">
        <v>1</v>
      </c>
      <c r="J1125">
        <v>1</v>
      </c>
      <c r="K1125" t="s">
        <v>110</v>
      </c>
      <c r="L1125" t="s">
        <v>111</v>
      </c>
      <c r="M1125" s="4">
        <v>652700000</v>
      </c>
      <c r="N1125">
        <v>0</v>
      </c>
      <c r="O1125">
        <v>4.6712499999999997</v>
      </c>
      <c r="P1125">
        <v>-74.064930000000004</v>
      </c>
      <c r="Q1125" t="s">
        <v>3957</v>
      </c>
      <c r="R1125">
        <v>20422403</v>
      </c>
      <c r="S1125">
        <v>0</v>
      </c>
      <c r="T1125" t="s">
        <v>75</v>
      </c>
      <c r="U1125" t="s">
        <v>76</v>
      </c>
      <c r="V1125" t="s">
        <v>77</v>
      </c>
      <c r="W1125" t="s">
        <v>78</v>
      </c>
      <c r="X1125" t="s">
        <v>79</v>
      </c>
      <c r="Y1125">
        <v>2.5467879479722999</v>
      </c>
      <c r="Z1125">
        <v>2546.7879479723001</v>
      </c>
      <c r="AA1125">
        <v>4.6584666666666701</v>
      </c>
      <c r="AB1125">
        <v>-74.083966666666697</v>
      </c>
      <c r="AC1125">
        <v>2552</v>
      </c>
      <c r="AD1125">
        <v>0</v>
      </c>
      <c r="AE1125" t="s">
        <v>80</v>
      </c>
      <c r="AF1125" t="s">
        <v>81</v>
      </c>
      <c r="AG1125" t="s">
        <v>82</v>
      </c>
      <c r="AH1125" t="s">
        <v>83</v>
      </c>
      <c r="AI1125" t="s">
        <v>342</v>
      </c>
      <c r="AJ1125">
        <v>0.136890712308541</v>
      </c>
      <c r="AK1125">
        <v>2.3076183359975002</v>
      </c>
      <c r="AL1125">
        <v>0.80888925508398402</v>
      </c>
      <c r="AM1125">
        <v>0.12815544697217901</v>
      </c>
      <c r="AN1125">
        <v>1.89867080334959</v>
      </c>
      <c r="AO1125">
        <v>4.7779363435587897E-2</v>
      </c>
      <c r="AP1125">
        <v>4.7779363435587897E-2</v>
      </c>
      <c r="AQ1125">
        <v>2</v>
      </c>
      <c r="AR1125">
        <v>9</v>
      </c>
      <c r="AS1125">
        <v>0</v>
      </c>
      <c r="AT1125">
        <v>0</v>
      </c>
      <c r="AU1125">
        <v>4</v>
      </c>
      <c r="AV1125">
        <v>230</v>
      </c>
      <c r="AW1125">
        <v>0</v>
      </c>
      <c r="AX1125">
        <v>0</v>
      </c>
      <c r="AZ1125">
        <v>6.8</v>
      </c>
      <c r="BA1125">
        <v>19.899999999999999</v>
      </c>
      <c r="BB1125">
        <v>564</v>
      </c>
      <c r="BC1125">
        <v>68</v>
      </c>
      <c r="BD1125">
        <v>1.5</v>
      </c>
      <c r="BE1125">
        <v>135</v>
      </c>
      <c r="BF1125">
        <v>0.8</v>
      </c>
      <c r="BG1125">
        <v>162</v>
      </c>
      <c r="BH1125">
        <v>9.1</v>
      </c>
      <c r="BI1125">
        <v>9.1999999999999993</v>
      </c>
      <c r="BJ1125">
        <v>18.3</v>
      </c>
      <c r="BK1125">
        <v>0.34</v>
      </c>
      <c r="BL1125">
        <v>7.3</v>
      </c>
      <c r="BM1125">
        <v>0.9</v>
      </c>
      <c r="BN1125">
        <v>7.5</v>
      </c>
      <c r="BO1125">
        <v>2.9</v>
      </c>
      <c r="BP1125">
        <f t="shared" si="34"/>
        <v>5.9945852819115446</v>
      </c>
      <c r="BQ1125">
        <f t="shared" si="35"/>
        <v>18.720081430860446</v>
      </c>
    </row>
    <row r="1126" spans="1:69" hidden="1" x14ac:dyDescent="0.2">
      <c r="A1126" t="s">
        <v>3742</v>
      </c>
      <c r="B1126" t="s">
        <v>68</v>
      </c>
      <c r="C1126" t="s">
        <v>3294</v>
      </c>
      <c r="D1126" t="s">
        <v>70</v>
      </c>
      <c r="E1126" t="s">
        <v>1291</v>
      </c>
      <c r="F1126">
        <v>4</v>
      </c>
      <c r="G1126">
        <v>31.9</v>
      </c>
      <c r="H1126">
        <v>1</v>
      </c>
      <c r="I1126">
        <v>1</v>
      </c>
      <c r="J1126">
        <v>0</v>
      </c>
      <c r="K1126" t="s">
        <v>110</v>
      </c>
      <c r="L1126" t="s">
        <v>162</v>
      </c>
      <c r="M1126" s="4">
        <v>229000000</v>
      </c>
      <c r="N1126">
        <v>0</v>
      </c>
      <c r="O1126">
        <v>4.6425900000000002</v>
      </c>
      <c r="P1126">
        <v>-74.061279999999996</v>
      </c>
      <c r="Q1126" t="s">
        <v>3743</v>
      </c>
      <c r="R1126">
        <v>7178683.3859999999</v>
      </c>
      <c r="S1126">
        <v>0</v>
      </c>
      <c r="T1126" t="s">
        <v>126</v>
      </c>
      <c r="U1126" t="s">
        <v>127</v>
      </c>
      <c r="V1126" t="s">
        <v>77</v>
      </c>
      <c r="W1126" t="s">
        <v>128</v>
      </c>
      <c r="X1126" t="s">
        <v>129</v>
      </c>
      <c r="Y1126">
        <v>2.00630719727027</v>
      </c>
      <c r="Z1126">
        <v>2006.3071972702701</v>
      </c>
      <c r="AA1126">
        <v>4.6254861111111101</v>
      </c>
      <c r="AB1126">
        <v>-74.066980555555503</v>
      </c>
      <c r="AC1126">
        <v>2621</v>
      </c>
      <c r="AD1126">
        <v>15</v>
      </c>
      <c r="AE1126" t="s">
        <v>80</v>
      </c>
      <c r="AF1126" t="s">
        <v>81</v>
      </c>
      <c r="AG1126" t="s">
        <v>82</v>
      </c>
      <c r="AH1126" t="s">
        <v>83</v>
      </c>
      <c r="AI1126" t="s">
        <v>130</v>
      </c>
      <c r="AJ1126">
        <v>0.50619618253462195</v>
      </c>
      <c r="AK1126">
        <v>0.45419633031405299</v>
      </c>
      <c r="AL1126">
        <v>0.27258428034149701</v>
      </c>
      <c r="AM1126">
        <v>7.4205803909910203E-2</v>
      </c>
      <c r="AN1126">
        <v>0.33814105665469602</v>
      </c>
      <c r="AO1126">
        <v>0.13206654655363501</v>
      </c>
      <c r="AP1126">
        <v>0.13206654655363501</v>
      </c>
      <c r="AQ1126">
        <v>0</v>
      </c>
      <c r="AR1126">
        <v>4</v>
      </c>
      <c r="AS1126">
        <v>3</v>
      </c>
      <c r="AT1126">
        <v>27</v>
      </c>
      <c r="AU1126">
        <v>8</v>
      </c>
      <c r="AV1126">
        <v>128</v>
      </c>
      <c r="AW1126">
        <v>1</v>
      </c>
      <c r="AX1126">
        <v>0</v>
      </c>
      <c r="AZ1126">
        <v>6.8</v>
      </c>
      <c r="BA1126">
        <v>19.899999999999999</v>
      </c>
      <c r="BB1126">
        <v>564</v>
      </c>
      <c r="BC1126">
        <v>68</v>
      </c>
      <c r="BD1126">
        <v>1.5</v>
      </c>
      <c r="BE1126">
        <v>135</v>
      </c>
      <c r="BF1126">
        <v>0.8</v>
      </c>
      <c r="BG1126">
        <v>162</v>
      </c>
      <c r="BH1126">
        <v>9.1</v>
      </c>
      <c r="BI1126">
        <v>9.1999999999999993</v>
      </c>
      <c r="BJ1126">
        <v>18.3</v>
      </c>
      <c r="BK1126">
        <v>0.34</v>
      </c>
      <c r="BL1126">
        <v>7.3</v>
      </c>
      <c r="BM1126">
        <v>0.9</v>
      </c>
      <c r="BN1126">
        <v>7.5</v>
      </c>
      <c r="BO1126">
        <v>2.9</v>
      </c>
      <c r="BP1126">
        <f t="shared" si="34"/>
        <v>6.157127820573562</v>
      </c>
      <c r="BQ1126">
        <f t="shared" si="35"/>
        <v>18.964491438630791</v>
      </c>
    </row>
    <row r="1127" spans="1:69" hidden="1" x14ac:dyDescent="0.2">
      <c r="A1127" t="s">
        <v>1645</v>
      </c>
      <c r="B1127" t="s">
        <v>68</v>
      </c>
      <c r="C1127" t="s">
        <v>69</v>
      </c>
      <c r="D1127" t="s">
        <v>70</v>
      </c>
      <c r="E1127" t="s">
        <v>1646</v>
      </c>
      <c r="F1127">
        <v>4</v>
      </c>
      <c r="G1127">
        <v>31.73</v>
      </c>
      <c r="H1127">
        <v>1</v>
      </c>
      <c r="I1127">
        <v>1</v>
      </c>
      <c r="J1127">
        <v>0</v>
      </c>
      <c r="K1127" t="s">
        <v>72</v>
      </c>
      <c r="L1127" t="s">
        <v>73</v>
      </c>
      <c r="M1127" s="4">
        <v>551607151</v>
      </c>
      <c r="N1127">
        <v>0</v>
      </c>
      <c r="O1127">
        <v>4.6136106999999997</v>
      </c>
      <c r="P1127">
        <v>-74.067999999999998</v>
      </c>
      <c r="Q1127" t="s">
        <v>1647</v>
      </c>
      <c r="R1127">
        <v>17384404.379999999</v>
      </c>
      <c r="S1127">
        <v>0</v>
      </c>
      <c r="T1127" t="s">
        <v>126</v>
      </c>
      <c r="U1127" t="s">
        <v>127</v>
      </c>
      <c r="V1127" t="s">
        <v>77</v>
      </c>
      <c r="W1127" t="s">
        <v>128</v>
      </c>
      <c r="X1127" t="s">
        <v>129</v>
      </c>
      <c r="Y1127">
        <v>1.32679531356876</v>
      </c>
      <c r="Z1127">
        <v>1326.7953135687601</v>
      </c>
      <c r="AA1127">
        <v>4.6254861111111101</v>
      </c>
      <c r="AB1127">
        <v>-74.066980555555503</v>
      </c>
      <c r="AC1127">
        <v>2621</v>
      </c>
      <c r="AD1127">
        <v>15</v>
      </c>
      <c r="AE1127" t="s">
        <v>80</v>
      </c>
      <c r="AF1127" t="s">
        <v>81</v>
      </c>
      <c r="AG1127" t="s">
        <v>82</v>
      </c>
      <c r="AH1127" t="s">
        <v>83</v>
      </c>
      <c r="AI1127" t="s">
        <v>138</v>
      </c>
      <c r="AJ1127">
        <v>0.226279498155146</v>
      </c>
      <c r="AK1127">
        <v>0.45713466067730502</v>
      </c>
      <c r="AL1127">
        <v>0.17650917730728399</v>
      </c>
      <c r="AM1127">
        <v>0.12835911917661399</v>
      </c>
      <c r="AN1127">
        <v>0.25897344103646802</v>
      </c>
      <c r="AO1127">
        <v>0.104731044684612</v>
      </c>
      <c r="AP1127">
        <v>0.104731044684612</v>
      </c>
      <c r="AQ1127">
        <v>2</v>
      </c>
      <c r="AR1127">
        <v>6</v>
      </c>
      <c r="AS1127">
        <v>1</v>
      </c>
      <c r="AT1127">
        <v>23</v>
      </c>
      <c r="AU1127">
        <v>10</v>
      </c>
      <c r="AV1127">
        <v>39</v>
      </c>
      <c r="AW1127">
        <v>1</v>
      </c>
      <c r="AX1127">
        <v>4</v>
      </c>
      <c r="AZ1127">
        <v>6.8</v>
      </c>
      <c r="BA1127">
        <v>19.899999999999999</v>
      </c>
      <c r="BB1127">
        <v>564</v>
      </c>
      <c r="BC1127">
        <v>68</v>
      </c>
      <c r="BD1127">
        <v>1.5</v>
      </c>
      <c r="BE1127">
        <v>135</v>
      </c>
      <c r="BF1127">
        <v>0.8</v>
      </c>
      <c r="BG1127">
        <v>162</v>
      </c>
      <c r="BH1127">
        <v>9.1</v>
      </c>
      <c r="BI1127">
        <v>9.1999999999999993</v>
      </c>
      <c r="BJ1127">
        <v>18.3</v>
      </c>
      <c r="BK1127">
        <v>0.34</v>
      </c>
      <c r="BL1127">
        <v>7.3</v>
      </c>
      <c r="BM1127">
        <v>0.9</v>
      </c>
      <c r="BN1127">
        <v>7.5</v>
      </c>
      <c r="BO1127">
        <v>2.9</v>
      </c>
      <c r="BP1127">
        <f t="shared" si="34"/>
        <v>6.3677503513911882</v>
      </c>
      <c r="BQ1127">
        <f t="shared" si="35"/>
        <v>19.276305438865162</v>
      </c>
    </row>
    <row r="1128" spans="1:69" hidden="1" x14ac:dyDescent="0.2">
      <c r="A1128" t="s">
        <v>1747</v>
      </c>
      <c r="B1128" t="s">
        <v>68</v>
      </c>
      <c r="C1128" t="s">
        <v>69</v>
      </c>
      <c r="D1128" t="s">
        <v>70</v>
      </c>
      <c r="E1128" t="s">
        <v>1530</v>
      </c>
      <c r="F1128">
        <v>3</v>
      </c>
      <c r="G1128">
        <v>31.69</v>
      </c>
      <c r="H1128">
        <v>1</v>
      </c>
      <c r="I1128">
        <v>1</v>
      </c>
      <c r="J1128">
        <v>0</v>
      </c>
      <c r="K1128" t="s">
        <v>72</v>
      </c>
      <c r="L1128" t="s">
        <v>73</v>
      </c>
      <c r="M1128" s="4">
        <v>340042186</v>
      </c>
      <c r="N1128">
        <v>0</v>
      </c>
      <c r="O1128">
        <v>4.6218880000000002</v>
      </c>
      <c r="P1128">
        <v>-74.069320000000005</v>
      </c>
      <c r="Q1128" t="s">
        <v>1748</v>
      </c>
      <c r="R1128">
        <v>10730267.779999999</v>
      </c>
      <c r="S1128">
        <v>0</v>
      </c>
      <c r="T1128" t="s">
        <v>126</v>
      </c>
      <c r="U1128" t="s">
        <v>127</v>
      </c>
      <c r="V1128" t="s">
        <v>77</v>
      </c>
      <c r="W1128" t="s">
        <v>128</v>
      </c>
      <c r="X1128" t="s">
        <v>129</v>
      </c>
      <c r="Y1128">
        <v>0.477297678444431</v>
      </c>
      <c r="Z1128">
        <v>477.29767844443103</v>
      </c>
      <c r="AA1128">
        <v>4.6254861111111101</v>
      </c>
      <c r="AB1128">
        <v>-74.066980555555503</v>
      </c>
      <c r="AC1128">
        <v>2621</v>
      </c>
      <c r="AD1128">
        <v>15</v>
      </c>
      <c r="AE1128" t="s">
        <v>80</v>
      </c>
      <c r="AF1128" t="s">
        <v>81</v>
      </c>
      <c r="AG1128" t="s">
        <v>82</v>
      </c>
      <c r="AH1128" t="s">
        <v>83</v>
      </c>
      <c r="AI1128" t="s">
        <v>138</v>
      </c>
      <c r="AJ1128">
        <v>5.6142650139799702E-2</v>
      </c>
      <c r="AK1128">
        <v>0.90372310585985105</v>
      </c>
      <c r="AL1128">
        <v>0.22218264720956099</v>
      </c>
      <c r="AM1128">
        <v>4.7684081077489601E-2</v>
      </c>
      <c r="AN1128">
        <v>0.68763354418564704</v>
      </c>
      <c r="AO1128">
        <v>0.19304280251591199</v>
      </c>
      <c r="AP1128">
        <v>0.19304280251591199</v>
      </c>
      <c r="AQ1128">
        <v>2</v>
      </c>
      <c r="AR1128">
        <v>6</v>
      </c>
      <c r="AS1128">
        <v>0</v>
      </c>
      <c r="AT1128">
        <v>3</v>
      </c>
      <c r="AU1128">
        <v>18</v>
      </c>
      <c r="AV1128">
        <v>98</v>
      </c>
      <c r="AW1128">
        <v>2</v>
      </c>
      <c r="AX1128">
        <v>1</v>
      </c>
      <c r="AZ1128">
        <v>6.8</v>
      </c>
      <c r="BA1128">
        <v>19.899999999999999</v>
      </c>
      <c r="BB1128">
        <v>564</v>
      </c>
      <c r="BC1128">
        <v>68</v>
      </c>
      <c r="BD1128">
        <v>1.5</v>
      </c>
      <c r="BE1128">
        <v>135</v>
      </c>
      <c r="BF1128">
        <v>0.8</v>
      </c>
      <c r="BG1128">
        <v>162</v>
      </c>
      <c r="BH1128">
        <v>9.1</v>
      </c>
      <c r="BI1128">
        <v>9.1999999999999993</v>
      </c>
      <c r="BJ1128">
        <v>18.3</v>
      </c>
      <c r="BK1128">
        <v>0.34</v>
      </c>
      <c r="BL1128">
        <v>7.3</v>
      </c>
      <c r="BM1128">
        <v>0.9</v>
      </c>
      <c r="BN1128">
        <v>7.5</v>
      </c>
      <c r="BO1128">
        <v>2.9</v>
      </c>
      <c r="BP1128">
        <f t="shared" si="34"/>
        <v>6.6412246192899369</v>
      </c>
      <c r="BQ1128">
        <f t="shared" si="35"/>
        <v>19.673343299868097</v>
      </c>
    </row>
    <row r="1129" spans="1:69" hidden="1" x14ac:dyDescent="0.2">
      <c r="A1129" t="s">
        <v>4039</v>
      </c>
      <c r="B1129" t="s">
        <v>68</v>
      </c>
      <c r="C1129" t="s">
        <v>3294</v>
      </c>
      <c r="D1129" t="s">
        <v>70</v>
      </c>
      <c r="E1129" t="s">
        <v>1920</v>
      </c>
      <c r="F1129">
        <v>4</v>
      </c>
      <c r="G1129">
        <v>31.58</v>
      </c>
      <c r="H1129">
        <v>1</v>
      </c>
      <c r="I1129">
        <v>1</v>
      </c>
      <c r="J1129">
        <v>1</v>
      </c>
      <c r="K1129" t="s">
        <v>110</v>
      </c>
      <c r="L1129" t="s">
        <v>162</v>
      </c>
      <c r="M1129" s="4">
        <v>225000000</v>
      </c>
      <c r="N1129">
        <v>0</v>
      </c>
      <c r="O1129">
        <v>4.6418799999999996</v>
      </c>
      <c r="P1129">
        <v>-74.076402900000005</v>
      </c>
      <c r="Q1129" t="s">
        <v>4040</v>
      </c>
      <c r="R1129">
        <v>7124762.5080000004</v>
      </c>
      <c r="S1129">
        <v>0</v>
      </c>
      <c r="T1129" t="s">
        <v>75</v>
      </c>
      <c r="U1129" t="s">
        <v>76</v>
      </c>
      <c r="V1129" t="s">
        <v>77</v>
      </c>
      <c r="W1129" t="s">
        <v>78</v>
      </c>
      <c r="X1129" t="s">
        <v>79</v>
      </c>
      <c r="Y1129">
        <v>2.0281911835751698</v>
      </c>
      <c r="Z1129">
        <v>2028.19118357517</v>
      </c>
      <c r="AA1129">
        <v>4.6584666666666701</v>
      </c>
      <c r="AB1129">
        <v>-74.083966666666697</v>
      </c>
      <c r="AC1129">
        <v>2552</v>
      </c>
      <c r="AD1129">
        <v>0</v>
      </c>
      <c r="AE1129" t="s">
        <v>80</v>
      </c>
      <c r="AF1129" t="s">
        <v>81</v>
      </c>
      <c r="AG1129" t="s">
        <v>82</v>
      </c>
      <c r="AH1129" t="s">
        <v>83</v>
      </c>
      <c r="AI1129" t="s">
        <v>84</v>
      </c>
      <c r="AJ1129">
        <v>0.465369071257622</v>
      </c>
      <c r="AK1129">
        <v>2.03966244712886</v>
      </c>
      <c r="AL1129">
        <v>0.37136443353009202</v>
      </c>
      <c r="AM1129">
        <v>2.3076064064063401E-2</v>
      </c>
      <c r="AN1129">
        <v>1.92257034379986</v>
      </c>
      <c r="AO1129">
        <v>0.644093614505034</v>
      </c>
      <c r="AP1129">
        <v>0.644093614505034</v>
      </c>
      <c r="AQ1129">
        <v>1</v>
      </c>
      <c r="AR1129">
        <v>3</v>
      </c>
      <c r="AS1129">
        <v>0</v>
      </c>
      <c r="AT1129">
        <v>0</v>
      </c>
      <c r="AU1129">
        <v>4</v>
      </c>
      <c r="AV1129">
        <v>98</v>
      </c>
      <c r="AW1129">
        <v>0</v>
      </c>
      <c r="AX1129">
        <v>0</v>
      </c>
      <c r="AZ1129">
        <v>6.8</v>
      </c>
      <c r="BA1129">
        <v>19.899999999999999</v>
      </c>
      <c r="BB1129">
        <v>564</v>
      </c>
      <c r="BC1129">
        <v>68</v>
      </c>
      <c r="BD1129">
        <v>1.5</v>
      </c>
      <c r="BE1129">
        <v>135</v>
      </c>
      <c r="BF1129">
        <v>0.8</v>
      </c>
      <c r="BG1129">
        <v>162</v>
      </c>
      <c r="BH1129">
        <v>9.1</v>
      </c>
      <c r="BI1129">
        <v>9.1999999999999993</v>
      </c>
      <c r="BJ1129">
        <v>18.3</v>
      </c>
      <c r="BK1129">
        <v>0.34</v>
      </c>
      <c r="BL1129">
        <v>7.3</v>
      </c>
      <c r="BM1129">
        <v>0.9</v>
      </c>
      <c r="BN1129">
        <v>7.5</v>
      </c>
      <c r="BO1129">
        <v>2.9</v>
      </c>
      <c r="BP1129">
        <f t="shared" si="34"/>
        <v>6.1504616780046035</v>
      </c>
      <c r="BQ1129">
        <f t="shared" si="35"/>
        <v>18.954533605762496</v>
      </c>
    </row>
    <row r="1130" spans="1:69" hidden="1" x14ac:dyDescent="0.2">
      <c r="A1130" t="s">
        <v>4124</v>
      </c>
      <c r="B1130" t="s">
        <v>68</v>
      </c>
      <c r="C1130" t="s">
        <v>3294</v>
      </c>
      <c r="D1130" t="s">
        <v>70</v>
      </c>
      <c r="E1130" t="s">
        <v>1291</v>
      </c>
      <c r="F1130">
        <v>4</v>
      </c>
      <c r="G1130">
        <v>31.5</v>
      </c>
      <c r="H1130">
        <v>1</v>
      </c>
      <c r="I1130">
        <v>1</v>
      </c>
      <c r="J1130">
        <v>0</v>
      </c>
      <c r="K1130" t="s">
        <v>110</v>
      </c>
      <c r="L1130" t="s">
        <v>162</v>
      </c>
      <c r="M1130" s="4">
        <v>346500000</v>
      </c>
      <c r="N1130">
        <v>0</v>
      </c>
      <c r="O1130">
        <v>4.6475200000000001</v>
      </c>
      <c r="P1130">
        <v>-74.059820000000002</v>
      </c>
      <c r="Q1130" t="s">
        <v>4125</v>
      </c>
      <c r="R1130">
        <v>11000000</v>
      </c>
      <c r="S1130">
        <v>0</v>
      </c>
      <c r="T1130" t="s">
        <v>126</v>
      </c>
      <c r="U1130" t="s">
        <v>127</v>
      </c>
      <c r="V1130" t="s">
        <v>77</v>
      </c>
      <c r="W1130" t="s">
        <v>128</v>
      </c>
      <c r="X1130" t="s">
        <v>129</v>
      </c>
      <c r="Y1130">
        <v>2.57826800060251</v>
      </c>
      <c r="Z1130">
        <v>2578.2680006025098</v>
      </c>
      <c r="AA1130">
        <v>4.6254861111111101</v>
      </c>
      <c r="AB1130">
        <v>-74.066980555555503</v>
      </c>
      <c r="AC1130">
        <v>2621</v>
      </c>
      <c r="AD1130">
        <v>15</v>
      </c>
      <c r="AE1130" t="s">
        <v>80</v>
      </c>
      <c r="AF1130" t="s">
        <v>81</v>
      </c>
      <c r="AG1130" t="s">
        <v>82</v>
      </c>
      <c r="AH1130" t="s">
        <v>83</v>
      </c>
      <c r="AI1130" t="s">
        <v>130</v>
      </c>
      <c r="AJ1130">
        <v>0.56849067648222895</v>
      </c>
      <c r="AK1130">
        <v>0.73734148311672199</v>
      </c>
      <c r="AL1130">
        <v>0.192841274729603</v>
      </c>
      <c r="AM1130">
        <v>0.16255868724338701</v>
      </c>
      <c r="AN1130">
        <v>0.67180115101908999</v>
      </c>
      <c r="AO1130">
        <v>0.25058642058473601</v>
      </c>
      <c r="AP1130">
        <v>0.25058642058473601</v>
      </c>
      <c r="AQ1130">
        <v>0</v>
      </c>
      <c r="AR1130">
        <v>3</v>
      </c>
      <c r="AS1130">
        <v>0</v>
      </c>
      <c r="AT1130">
        <v>16</v>
      </c>
      <c r="AU1130">
        <v>13</v>
      </c>
      <c r="AV1130">
        <v>72</v>
      </c>
      <c r="AW1130">
        <v>1</v>
      </c>
      <c r="AX1130">
        <v>0</v>
      </c>
      <c r="AZ1130">
        <v>6.8</v>
      </c>
      <c r="BA1130">
        <v>19.899999999999999</v>
      </c>
      <c r="BB1130">
        <v>564</v>
      </c>
      <c r="BC1130">
        <v>68</v>
      </c>
      <c r="BD1130">
        <v>1.5</v>
      </c>
      <c r="BE1130">
        <v>135</v>
      </c>
      <c r="BF1130">
        <v>0.8</v>
      </c>
      <c r="BG1130">
        <v>162</v>
      </c>
      <c r="BH1130">
        <v>9.1</v>
      </c>
      <c r="BI1130">
        <v>9.1999999999999993</v>
      </c>
      <c r="BJ1130">
        <v>18.3</v>
      </c>
      <c r="BK1130">
        <v>0.34</v>
      </c>
      <c r="BL1130">
        <v>7.3</v>
      </c>
      <c r="BM1130">
        <v>0.9</v>
      </c>
      <c r="BN1130">
        <v>7.5</v>
      </c>
      <c r="BO1130">
        <v>2.9</v>
      </c>
      <c r="BP1130">
        <f t="shared" si="34"/>
        <v>5.9852514180273069</v>
      </c>
      <c r="BQ1130">
        <f t="shared" si="35"/>
        <v>18.705943352773822</v>
      </c>
    </row>
    <row r="1131" spans="1:69" hidden="1" x14ac:dyDescent="0.2">
      <c r="A1131" t="s">
        <v>4021</v>
      </c>
      <c r="B1131" t="s">
        <v>68</v>
      </c>
      <c r="C1131" t="s">
        <v>3294</v>
      </c>
      <c r="D1131" t="s">
        <v>70</v>
      </c>
      <c r="E1131" t="s">
        <v>3918</v>
      </c>
      <c r="F1131">
        <v>3</v>
      </c>
      <c r="G1131">
        <v>31.47</v>
      </c>
      <c r="H1131">
        <v>1</v>
      </c>
      <c r="I1131">
        <v>1</v>
      </c>
      <c r="J1131">
        <v>0</v>
      </c>
      <c r="K1131" t="s">
        <v>110</v>
      </c>
      <c r="L1131" t="s">
        <v>111</v>
      </c>
      <c r="M1131" s="4">
        <v>309000000</v>
      </c>
      <c r="N1131">
        <v>0</v>
      </c>
      <c r="O1131">
        <v>4.6406459809999996</v>
      </c>
      <c r="P1131">
        <v>-74.072708129999995</v>
      </c>
      <c r="Q1131" t="s">
        <v>4022</v>
      </c>
      <c r="R1131">
        <v>9818875.1190000009</v>
      </c>
      <c r="S1131">
        <v>0</v>
      </c>
      <c r="T1131" t="s">
        <v>126</v>
      </c>
      <c r="U1131" t="s">
        <v>127</v>
      </c>
      <c r="V1131" t="s">
        <v>77</v>
      </c>
      <c r="W1131" t="s">
        <v>128</v>
      </c>
      <c r="X1131" t="s">
        <v>129</v>
      </c>
      <c r="Y1131">
        <v>1.8032820478801099</v>
      </c>
      <c r="Z1131">
        <v>1803.28204788011</v>
      </c>
      <c r="AA1131">
        <v>4.6254861111111101</v>
      </c>
      <c r="AB1131">
        <v>-74.066980555555503</v>
      </c>
      <c r="AC1131">
        <v>2621</v>
      </c>
      <c r="AD1131">
        <v>15</v>
      </c>
      <c r="AE1131" t="s">
        <v>80</v>
      </c>
      <c r="AF1131" t="s">
        <v>81</v>
      </c>
      <c r="AG1131" t="s">
        <v>82</v>
      </c>
      <c r="AH1131" t="s">
        <v>83</v>
      </c>
      <c r="AI1131" t="s">
        <v>84</v>
      </c>
      <c r="AJ1131">
        <v>0.73982396616865598</v>
      </c>
      <c r="AK1131">
        <v>1.61363396553261</v>
      </c>
      <c r="AL1131">
        <v>6.3616362337869603E-2</v>
      </c>
      <c r="AM1131">
        <v>9.3025974772218203E-2</v>
      </c>
      <c r="AN1131">
        <v>1.59125488242741</v>
      </c>
      <c r="AO1131">
        <v>0.29193096675896901</v>
      </c>
      <c r="AP1131">
        <v>0.29193096675896901</v>
      </c>
      <c r="AQ1131">
        <v>0</v>
      </c>
      <c r="AR1131">
        <v>5</v>
      </c>
      <c r="AS1131">
        <v>0</v>
      </c>
      <c r="AT1131">
        <v>0</v>
      </c>
      <c r="AU1131">
        <v>8</v>
      </c>
      <c r="AV1131">
        <v>149</v>
      </c>
      <c r="AW1131">
        <v>0</v>
      </c>
      <c r="AX1131">
        <v>0</v>
      </c>
      <c r="AZ1131">
        <v>6.8</v>
      </c>
      <c r="BA1131">
        <v>19.899999999999999</v>
      </c>
      <c r="BB1131">
        <v>564</v>
      </c>
      <c r="BC1131">
        <v>68</v>
      </c>
      <c r="BD1131">
        <v>1.5</v>
      </c>
      <c r="BE1131">
        <v>135</v>
      </c>
      <c r="BF1131">
        <v>0.8</v>
      </c>
      <c r="BG1131">
        <v>162</v>
      </c>
      <c r="BH1131">
        <v>9.1</v>
      </c>
      <c r="BI1131">
        <v>9.1999999999999993</v>
      </c>
      <c r="BJ1131">
        <v>18.3</v>
      </c>
      <c r="BK1131">
        <v>0.34</v>
      </c>
      <c r="BL1131">
        <v>7.3</v>
      </c>
      <c r="BM1131">
        <v>0.9</v>
      </c>
      <c r="BN1131">
        <v>7.5</v>
      </c>
      <c r="BO1131">
        <v>2.9</v>
      </c>
      <c r="BP1131">
        <f t="shared" si="34"/>
        <v>6.2193173555216728</v>
      </c>
      <c r="BQ1131">
        <f t="shared" si="35"/>
        <v>19.057123383708838</v>
      </c>
    </row>
    <row r="1132" spans="1:69" hidden="1" x14ac:dyDescent="0.2">
      <c r="A1132" t="s">
        <v>3475</v>
      </c>
      <c r="B1132" t="s">
        <v>68</v>
      </c>
      <c r="C1132" t="s">
        <v>3294</v>
      </c>
      <c r="D1132" t="s">
        <v>70</v>
      </c>
      <c r="E1132" t="s">
        <v>84</v>
      </c>
      <c r="F1132">
        <v>4</v>
      </c>
      <c r="G1132">
        <v>31.04</v>
      </c>
      <c r="H1132">
        <v>1</v>
      </c>
      <c r="I1132">
        <v>1</v>
      </c>
      <c r="J1132">
        <v>0</v>
      </c>
      <c r="K1132" t="s">
        <v>110</v>
      </c>
      <c r="L1132" t="s">
        <v>111</v>
      </c>
      <c r="M1132" s="4">
        <v>340000000</v>
      </c>
      <c r="N1132">
        <v>0</v>
      </c>
      <c r="O1132">
        <v>4.6222124100000004</v>
      </c>
      <c r="P1132">
        <v>-74.06968689</v>
      </c>
      <c r="Q1132" t="s">
        <v>3476</v>
      </c>
      <c r="R1132">
        <v>10953608.25</v>
      </c>
      <c r="S1132">
        <v>0</v>
      </c>
      <c r="T1132" t="s">
        <v>126</v>
      </c>
      <c r="U1132" t="s">
        <v>127</v>
      </c>
      <c r="V1132" t="s">
        <v>77</v>
      </c>
      <c r="W1132" t="s">
        <v>128</v>
      </c>
      <c r="X1132" t="s">
        <v>129</v>
      </c>
      <c r="Y1132">
        <v>0.472206833127507</v>
      </c>
      <c r="Z1132">
        <v>472.20683312750702</v>
      </c>
      <c r="AA1132">
        <v>4.6254861111111101</v>
      </c>
      <c r="AB1132">
        <v>-74.066980555555503</v>
      </c>
      <c r="AC1132">
        <v>2621</v>
      </c>
      <c r="AD1132">
        <v>15</v>
      </c>
      <c r="AE1132" t="s">
        <v>80</v>
      </c>
      <c r="AF1132" t="s">
        <v>81</v>
      </c>
      <c r="AG1132" t="s">
        <v>82</v>
      </c>
      <c r="AH1132" t="s">
        <v>83</v>
      </c>
      <c r="AI1132" t="s">
        <v>84</v>
      </c>
      <c r="AJ1132">
        <v>7.0476233731438104E-2</v>
      </c>
      <c r="AK1132">
        <v>0.94799266565209706</v>
      </c>
      <c r="AL1132">
        <v>0.16802881298367001</v>
      </c>
      <c r="AM1132">
        <v>3.6351316412109397E-2</v>
      </c>
      <c r="AN1132">
        <v>0.67487221214827398</v>
      </c>
      <c r="AO1132">
        <v>0.19510673271340701</v>
      </c>
      <c r="AP1132">
        <v>0.19510673271340701</v>
      </c>
      <c r="AQ1132">
        <v>2</v>
      </c>
      <c r="AR1132">
        <v>6</v>
      </c>
      <c r="AS1132">
        <v>0</v>
      </c>
      <c r="AT1132">
        <v>3</v>
      </c>
      <c r="AU1132">
        <v>18</v>
      </c>
      <c r="AV1132">
        <v>99</v>
      </c>
      <c r="AW1132">
        <v>2</v>
      </c>
      <c r="AX1132">
        <v>1</v>
      </c>
      <c r="AZ1132">
        <v>6.8</v>
      </c>
      <c r="BA1132">
        <v>19.899999999999999</v>
      </c>
      <c r="BB1132">
        <v>564</v>
      </c>
      <c r="BC1132">
        <v>68</v>
      </c>
      <c r="BD1132">
        <v>1.5</v>
      </c>
      <c r="BE1132">
        <v>135</v>
      </c>
      <c r="BF1132">
        <v>0.8</v>
      </c>
      <c r="BG1132">
        <v>162</v>
      </c>
      <c r="BH1132">
        <v>9.1</v>
      </c>
      <c r="BI1132">
        <v>9.1999999999999993</v>
      </c>
      <c r="BJ1132">
        <v>18.3</v>
      </c>
      <c r="BK1132">
        <v>0.34</v>
      </c>
      <c r="BL1132">
        <v>7.3</v>
      </c>
      <c r="BM1132">
        <v>0.9</v>
      </c>
      <c r="BN1132">
        <v>7.5</v>
      </c>
      <c r="BO1132">
        <v>2.9</v>
      </c>
      <c r="BP1132">
        <f t="shared" si="34"/>
        <v>6.6428983978134939</v>
      </c>
      <c r="BQ1132">
        <f t="shared" si="35"/>
        <v>19.67574714145869</v>
      </c>
    </row>
    <row r="1133" spans="1:69" hidden="1" x14ac:dyDescent="0.2">
      <c r="A1133" t="s">
        <v>3492</v>
      </c>
      <c r="B1133" t="s">
        <v>68</v>
      </c>
      <c r="C1133" t="s">
        <v>3294</v>
      </c>
      <c r="D1133" t="s">
        <v>70</v>
      </c>
      <c r="E1133" t="s">
        <v>136</v>
      </c>
      <c r="F1133">
        <v>4</v>
      </c>
      <c r="G1133">
        <v>31.04</v>
      </c>
      <c r="H1133">
        <v>1</v>
      </c>
      <c r="I1133">
        <v>1</v>
      </c>
      <c r="J1133">
        <v>0</v>
      </c>
      <c r="K1133" t="s">
        <v>110</v>
      </c>
      <c r="L1133" t="s">
        <v>111</v>
      </c>
      <c r="M1133" s="4">
        <v>315000000</v>
      </c>
      <c r="N1133">
        <v>0</v>
      </c>
      <c r="O1133">
        <v>4.6203341480000004</v>
      </c>
      <c r="P1133">
        <v>-74.069740300000007</v>
      </c>
      <c r="Q1133" t="s">
        <v>3493</v>
      </c>
      <c r="R1133">
        <v>10148195.880000001</v>
      </c>
      <c r="S1133">
        <v>0</v>
      </c>
      <c r="T1133" t="s">
        <v>126</v>
      </c>
      <c r="U1133" t="s">
        <v>127</v>
      </c>
      <c r="V1133" t="s">
        <v>77</v>
      </c>
      <c r="W1133" t="s">
        <v>128</v>
      </c>
      <c r="X1133" t="s">
        <v>129</v>
      </c>
      <c r="Y1133">
        <v>0.65014241261012795</v>
      </c>
      <c r="Z1133">
        <v>650.14241261012796</v>
      </c>
      <c r="AA1133">
        <v>4.6254861111111101</v>
      </c>
      <c r="AB1133">
        <v>-74.066980555555503</v>
      </c>
      <c r="AC1133">
        <v>2621</v>
      </c>
      <c r="AD1133">
        <v>15</v>
      </c>
      <c r="AE1133" t="s">
        <v>80</v>
      </c>
      <c r="AF1133" t="s">
        <v>81</v>
      </c>
      <c r="AG1133" t="s">
        <v>82</v>
      </c>
      <c r="AH1133" t="s">
        <v>83</v>
      </c>
      <c r="AI1133" t="s">
        <v>138</v>
      </c>
      <c r="AJ1133">
        <v>0.13720579165720401</v>
      </c>
      <c r="AK1133">
        <v>0.87071666130195202</v>
      </c>
      <c r="AL1133">
        <v>0.34510880768399999</v>
      </c>
      <c r="AM1133">
        <v>4.11443730616032E-2</v>
      </c>
      <c r="AN1133">
        <v>0.67214491497680795</v>
      </c>
      <c r="AO1133">
        <v>2.9003813943615401E-2</v>
      </c>
      <c r="AP1133">
        <v>2.9003813943615401E-2</v>
      </c>
      <c r="AQ1133">
        <v>2</v>
      </c>
      <c r="AR1133">
        <v>6</v>
      </c>
      <c r="AS1133">
        <v>0</v>
      </c>
      <c r="AT1133">
        <v>3</v>
      </c>
      <c r="AU1133">
        <v>17</v>
      </c>
      <c r="AV1133">
        <v>90</v>
      </c>
      <c r="AW1133">
        <v>2</v>
      </c>
      <c r="AX1133">
        <v>1</v>
      </c>
      <c r="AZ1133">
        <v>6.8</v>
      </c>
      <c r="BA1133">
        <v>19.899999999999999</v>
      </c>
      <c r="BB1133">
        <v>564</v>
      </c>
      <c r="BC1133">
        <v>68</v>
      </c>
      <c r="BD1133">
        <v>1.5</v>
      </c>
      <c r="BE1133">
        <v>135</v>
      </c>
      <c r="BF1133">
        <v>0.8</v>
      </c>
      <c r="BG1133">
        <v>162</v>
      </c>
      <c r="BH1133">
        <v>9.1</v>
      </c>
      <c r="BI1133">
        <v>9.1999999999999993</v>
      </c>
      <c r="BJ1133">
        <v>18.3</v>
      </c>
      <c r="BK1133">
        <v>0.34</v>
      </c>
      <c r="BL1133">
        <v>7.3</v>
      </c>
      <c r="BM1133">
        <v>0.9</v>
      </c>
      <c r="BN1133">
        <v>7.5</v>
      </c>
      <c r="BO1133">
        <v>2.9</v>
      </c>
      <c r="BP1133">
        <f t="shared" si="34"/>
        <v>6.5846459180198327</v>
      </c>
      <c r="BQ1133">
        <f t="shared" si="35"/>
        <v>19.591901926179613</v>
      </c>
    </row>
    <row r="1134" spans="1:69" hidden="1" x14ac:dyDescent="0.2">
      <c r="A1134" t="s">
        <v>4078</v>
      </c>
      <c r="B1134" t="s">
        <v>68</v>
      </c>
      <c r="C1134" t="s">
        <v>3294</v>
      </c>
      <c r="D1134" t="s">
        <v>70</v>
      </c>
      <c r="E1134" t="s">
        <v>4079</v>
      </c>
      <c r="F1134">
        <v>5</v>
      </c>
      <c r="G1134">
        <v>31</v>
      </c>
      <c r="H1134">
        <v>1</v>
      </c>
      <c r="I1134">
        <v>1</v>
      </c>
      <c r="J1134">
        <v>0</v>
      </c>
      <c r="K1134" t="s">
        <v>110</v>
      </c>
      <c r="L1134" t="s">
        <v>111</v>
      </c>
      <c r="M1134" s="4">
        <v>430000000</v>
      </c>
      <c r="N1134">
        <v>0</v>
      </c>
      <c r="O1134">
        <v>4.66215957</v>
      </c>
      <c r="P1134">
        <v>-74.057109600000004</v>
      </c>
      <c r="Q1134" t="s">
        <v>4080</v>
      </c>
      <c r="R1134">
        <v>13870967.74</v>
      </c>
      <c r="S1134">
        <v>0</v>
      </c>
      <c r="T1134" t="s">
        <v>75</v>
      </c>
      <c r="U1134" t="s">
        <v>76</v>
      </c>
      <c r="V1134" t="s">
        <v>77</v>
      </c>
      <c r="W1134" t="s">
        <v>78</v>
      </c>
      <c r="X1134" t="s">
        <v>79</v>
      </c>
      <c r="Y1134">
        <v>3.0080538106316501</v>
      </c>
      <c r="Z1134">
        <v>3008.0538106316499</v>
      </c>
      <c r="AA1134">
        <v>4.6584666666666701</v>
      </c>
      <c r="AB1134">
        <v>-74.083966666666697</v>
      </c>
      <c r="AC1134">
        <v>2552</v>
      </c>
      <c r="AD1134">
        <v>0</v>
      </c>
      <c r="AE1134" t="s">
        <v>80</v>
      </c>
      <c r="AF1134" t="s">
        <v>81</v>
      </c>
      <c r="AG1134" t="s">
        <v>82</v>
      </c>
      <c r="AH1134" t="s">
        <v>83</v>
      </c>
      <c r="AI1134" t="s">
        <v>130</v>
      </c>
      <c r="AJ1134">
        <v>0.470281967987007</v>
      </c>
      <c r="AK1134">
        <v>1.1560846340222299</v>
      </c>
      <c r="AL1134">
        <v>4.7810630647053397E-2</v>
      </c>
      <c r="AM1134">
        <v>7.6610375033365694E-2</v>
      </c>
      <c r="AN1134">
        <v>2.27511146314693</v>
      </c>
      <c r="AO1134">
        <v>5.5730772655706001E-2</v>
      </c>
      <c r="AP1134">
        <v>5.5730772655706001E-2</v>
      </c>
      <c r="AQ1134">
        <v>1</v>
      </c>
      <c r="AR1134">
        <v>3</v>
      </c>
      <c r="AS1134">
        <v>0</v>
      </c>
      <c r="AT1134">
        <v>0</v>
      </c>
      <c r="AU1134">
        <v>22</v>
      </c>
      <c r="AV1134">
        <v>231</v>
      </c>
      <c r="AW1134">
        <v>0</v>
      </c>
      <c r="AX1134">
        <v>0</v>
      </c>
      <c r="AZ1134">
        <v>6.8</v>
      </c>
      <c r="BA1134">
        <v>19.899999999999999</v>
      </c>
      <c r="BB1134">
        <v>564</v>
      </c>
      <c r="BC1134">
        <v>68</v>
      </c>
      <c r="BD1134">
        <v>1.5</v>
      </c>
      <c r="BE1134">
        <v>135</v>
      </c>
      <c r="BF1134">
        <v>0.8</v>
      </c>
      <c r="BG1134">
        <v>162</v>
      </c>
      <c r="BH1134">
        <v>9.1</v>
      </c>
      <c r="BI1134">
        <v>9.1999999999999993</v>
      </c>
      <c r="BJ1134">
        <v>18.3</v>
      </c>
      <c r="BK1134">
        <v>0.34</v>
      </c>
      <c r="BL1134">
        <v>7.3</v>
      </c>
      <c r="BM1134">
        <v>0.9</v>
      </c>
      <c r="BN1134">
        <v>7.5</v>
      </c>
      <c r="BO1134">
        <v>2.9</v>
      </c>
      <c r="BP1134">
        <f t="shared" si="34"/>
        <v>5.8592637077662575</v>
      </c>
      <c r="BQ1134">
        <f t="shared" si="35"/>
        <v>18.513985885492154</v>
      </c>
    </row>
    <row r="1135" spans="1:69" hidden="1" x14ac:dyDescent="0.2">
      <c r="A1135" t="s">
        <v>3974</v>
      </c>
      <c r="B1135" t="s">
        <v>68</v>
      </c>
      <c r="C1135" t="s">
        <v>3294</v>
      </c>
      <c r="D1135" t="s">
        <v>70</v>
      </c>
      <c r="E1135" t="s">
        <v>2521</v>
      </c>
      <c r="F1135">
        <v>4</v>
      </c>
      <c r="G1135">
        <v>31</v>
      </c>
      <c r="H1135">
        <v>1</v>
      </c>
      <c r="I1135">
        <v>1</v>
      </c>
      <c r="J1135">
        <v>0</v>
      </c>
      <c r="K1135" t="s">
        <v>110</v>
      </c>
      <c r="L1135" t="s">
        <v>111</v>
      </c>
      <c r="M1135" s="4">
        <v>320000000</v>
      </c>
      <c r="N1135">
        <v>0</v>
      </c>
      <c r="O1135">
        <v>4.6771053</v>
      </c>
      <c r="P1135">
        <v>-74.060121300000006</v>
      </c>
      <c r="Q1135" t="s">
        <v>3975</v>
      </c>
      <c r="R1135">
        <v>10322580.65</v>
      </c>
      <c r="S1135">
        <v>0</v>
      </c>
      <c r="T1135" t="s">
        <v>75</v>
      </c>
      <c r="U1135" t="s">
        <v>76</v>
      </c>
      <c r="V1135" t="s">
        <v>77</v>
      </c>
      <c r="W1135" t="s">
        <v>78</v>
      </c>
      <c r="X1135" t="s">
        <v>79</v>
      </c>
      <c r="Y1135">
        <v>3.3622073515233502</v>
      </c>
      <c r="Z1135">
        <v>3362.2073515233501</v>
      </c>
      <c r="AA1135">
        <v>4.6584666666666701</v>
      </c>
      <c r="AB1135">
        <v>-74.083966666666697</v>
      </c>
      <c r="AC1135">
        <v>2552</v>
      </c>
      <c r="AD1135">
        <v>0</v>
      </c>
      <c r="AE1135" t="s">
        <v>80</v>
      </c>
      <c r="AF1135" t="s">
        <v>81</v>
      </c>
      <c r="AG1135" t="s">
        <v>82</v>
      </c>
      <c r="AH1135" t="s">
        <v>83</v>
      </c>
      <c r="AI1135" t="s">
        <v>342</v>
      </c>
      <c r="AJ1135">
        <v>0.17296335195675899</v>
      </c>
      <c r="AK1135">
        <v>2.1097082787294199</v>
      </c>
      <c r="AL1135">
        <v>0.27909720226901102</v>
      </c>
      <c r="AM1135">
        <v>3.2981606645727697E-2</v>
      </c>
      <c r="AN1135">
        <v>2.4379506053627602</v>
      </c>
      <c r="AO1135">
        <v>0.37678931657211501</v>
      </c>
      <c r="AP1135">
        <v>0.37678931657211501</v>
      </c>
      <c r="AQ1135">
        <v>1</v>
      </c>
      <c r="AR1135">
        <v>9</v>
      </c>
      <c r="AS1135">
        <v>0</v>
      </c>
      <c r="AT1135">
        <v>0</v>
      </c>
      <c r="AU1135">
        <v>1</v>
      </c>
      <c r="AV1135">
        <v>298</v>
      </c>
      <c r="AW1135">
        <v>0</v>
      </c>
      <c r="AX1135">
        <v>0</v>
      </c>
      <c r="AZ1135">
        <v>6.8</v>
      </c>
      <c r="BA1135">
        <v>19.899999999999999</v>
      </c>
      <c r="BB1135">
        <v>564</v>
      </c>
      <c r="BC1135">
        <v>68</v>
      </c>
      <c r="BD1135">
        <v>1.5</v>
      </c>
      <c r="BE1135">
        <v>135</v>
      </c>
      <c r="BF1135">
        <v>0.8</v>
      </c>
      <c r="BG1135">
        <v>162</v>
      </c>
      <c r="BH1135">
        <v>9.1</v>
      </c>
      <c r="BI1135">
        <v>9.1999999999999993</v>
      </c>
      <c r="BJ1135">
        <v>18.3</v>
      </c>
      <c r="BK1135">
        <v>0.34</v>
      </c>
      <c r="BL1135">
        <v>7.3</v>
      </c>
      <c r="BM1135">
        <v>0.9</v>
      </c>
      <c r="BN1135">
        <v>7.5</v>
      </c>
      <c r="BO1135">
        <v>2.9</v>
      </c>
      <c r="BP1135">
        <f t="shared" si="34"/>
        <v>5.7574423997763704</v>
      </c>
      <c r="BQ1135">
        <f t="shared" si="35"/>
        <v>18.357289715128768</v>
      </c>
    </row>
    <row r="1136" spans="1:69" hidden="1" x14ac:dyDescent="0.2">
      <c r="A1136" t="s">
        <v>3744</v>
      </c>
      <c r="B1136" t="s">
        <v>68</v>
      </c>
      <c r="C1136" t="s">
        <v>3294</v>
      </c>
      <c r="D1136" t="s">
        <v>70</v>
      </c>
      <c r="E1136" t="s">
        <v>2808</v>
      </c>
      <c r="F1136">
        <v>4</v>
      </c>
      <c r="G1136">
        <v>31</v>
      </c>
      <c r="H1136">
        <v>1</v>
      </c>
      <c r="I1136">
        <v>1</v>
      </c>
      <c r="J1136">
        <v>0</v>
      </c>
      <c r="K1136" t="s">
        <v>110</v>
      </c>
      <c r="L1136" t="s">
        <v>111</v>
      </c>
      <c r="M1136" s="4">
        <v>300000000</v>
      </c>
      <c r="N1136">
        <v>0</v>
      </c>
      <c r="O1136">
        <v>4.6865899999999998</v>
      </c>
      <c r="P1136">
        <v>-74.065470000000005</v>
      </c>
      <c r="Q1136" t="s">
        <v>3745</v>
      </c>
      <c r="R1136">
        <v>9677419.3550000004</v>
      </c>
      <c r="S1136">
        <v>0</v>
      </c>
      <c r="T1136" t="s">
        <v>75</v>
      </c>
      <c r="U1136" t="s">
        <v>76</v>
      </c>
      <c r="V1136" t="s">
        <v>77</v>
      </c>
      <c r="W1136" t="s">
        <v>78</v>
      </c>
      <c r="X1136" t="s">
        <v>79</v>
      </c>
      <c r="Y1136">
        <v>3.7433456862367098</v>
      </c>
      <c r="Z1136">
        <v>3743.3456862367102</v>
      </c>
      <c r="AA1136">
        <v>4.6584666666666701</v>
      </c>
      <c r="AB1136">
        <v>-74.083966666666697</v>
      </c>
      <c r="AC1136">
        <v>2552</v>
      </c>
      <c r="AD1136">
        <v>0</v>
      </c>
      <c r="AE1136" t="s">
        <v>80</v>
      </c>
      <c r="AF1136" t="s">
        <v>81</v>
      </c>
      <c r="AG1136" t="s">
        <v>82</v>
      </c>
      <c r="AH1136" t="s">
        <v>83</v>
      </c>
      <c r="AI1136" t="s">
        <v>342</v>
      </c>
      <c r="AJ1136">
        <v>0.12132357500667799</v>
      </c>
      <c r="AK1136">
        <v>3.1855307330283802</v>
      </c>
      <c r="AL1136">
        <v>0.92767828434477095</v>
      </c>
      <c r="AM1136">
        <v>0.14781688437906601</v>
      </c>
      <c r="AN1136">
        <v>2.3016478789939301</v>
      </c>
      <c r="AO1136">
        <v>0.376462743853124</v>
      </c>
      <c r="AP1136">
        <v>0.376462743853124</v>
      </c>
      <c r="AQ1136">
        <v>2</v>
      </c>
      <c r="AR1136">
        <v>5</v>
      </c>
      <c r="AS1136">
        <v>0</v>
      </c>
      <c r="AT1136">
        <v>0</v>
      </c>
      <c r="AU1136">
        <v>1</v>
      </c>
      <c r="AV1136">
        <v>146</v>
      </c>
      <c r="AW1136">
        <v>0</v>
      </c>
      <c r="AX1136">
        <v>0</v>
      </c>
      <c r="AZ1136">
        <v>6.8</v>
      </c>
      <c r="BA1136">
        <v>19.899999999999999</v>
      </c>
      <c r="BB1136">
        <v>564</v>
      </c>
      <c r="BC1136">
        <v>68</v>
      </c>
      <c r="BD1136">
        <v>1.5</v>
      </c>
      <c r="BE1136">
        <v>135</v>
      </c>
      <c r="BF1136">
        <v>0.8</v>
      </c>
      <c r="BG1136">
        <v>162</v>
      </c>
      <c r="BH1136">
        <v>9.1</v>
      </c>
      <c r="BI1136">
        <v>9.1999999999999993</v>
      </c>
      <c r="BJ1136">
        <v>18.3</v>
      </c>
      <c r="BK1136">
        <v>0.34</v>
      </c>
      <c r="BL1136">
        <v>7.3</v>
      </c>
      <c r="BM1136">
        <v>0.9</v>
      </c>
      <c r="BN1136">
        <v>7.5</v>
      </c>
      <c r="BO1136">
        <v>2.9</v>
      </c>
      <c r="BP1136">
        <f t="shared" si="34"/>
        <v>5.6498387261874639</v>
      </c>
      <c r="BQ1136">
        <f t="shared" si="35"/>
        <v>18.190135383775878</v>
      </c>
    </row>
    <row r="1137" spans="1:69" hidden="1" x14ac:dyDescent="0.2">
      <c r="A1137" t="s">
        <v>4130</v>
      </c>
      <c r="B1137" t="s">
        <v>68</v>
      </c>
      <c r="C1137" t="s">
        <v>3294</v>
      </c>
      <c r="D1137" t="s">
        <v>70</v>
      </c>
      <c r="E1137" t="s">
        <v>948</v>
      </c>
      <c r="F1137">
        <v>4</v>
      </c>
      <c r="G1137">
        <v>31</v>
      </c>
      <c r="H1137">
        <v>1</v>
      </c>
      <c r="I1137">
        <v>1</v>
      </c>
      <c r="J1137">
        <v>1</v>
      </c>
      <c r="K1137" t="s">
        <v>110</v>
      </c>
      <c r="L1137" t="s">
        <v>162</v>
      </c>
      <c r="M1137" s="4">
        <v>295000000</v>
      </c>
      <c r="N1137">
        <v>0</v>
      </c>
      <c r="O1137">
        <v>4.6355300000000002</v>
      </c>
      <c r="P1137">
        <v>-74.064689999999999</v>
      </c>
      <c r="Q1137" t="s">
        <v>4131</v>
      </c>
      <c r="R1137">
        <v>9516129.0319999997</v>
      </c>
      <c r="S1137">
        <v>0</v>
      </c>
      <c r="T1137" t="s">
        <v>126</v>
      </c>
      <c r="U1137" t="s">
        <v>127</v>
      </c>
      <c r="V1137" t="s">
        <v>77</v>
      </c>
      <c r="W1137" t="s">
        <v>128</v>
      </c>
      <c r="X1137" t="s">
        <v>129</v>
      </c>
      <c r="Y1137">
        <v>1.1466023999197701</v>
      </c>
      <c r="Z1137">
        <v>1146.6023999197701</v>
      </c>
      <c r="AA1137">
        <v>4.6254861111111101</v>
      </c>
      <c r="AB1137">
        <v>-74.066980555555503</v>
      </c>
      <c r="AC1137">
        <v>2621</v>
      </c>
      <c r="AD1137">
        <v>15</v>
      </c>
      <c r="AE1137" t="s">
        <v>80</v>
      </c>
      <c r="AF1137" t="s">
        <v>81</v>
      </c>
      <c r="AG1137" t="s">
        <v>82</v>
      </c>
      <c r="AH1137" t="s">
        <v>83</v>
      </c>
      <c r="AI1137" t="s">
        <v>130</v>
      </c>
      <c r="AJ1137">
        <v>0.32311201017068197</v>
      </c>
      <c r="AK1137">
        <v>0.56556095559154196</v>
      </c>
      <c r="AL1137">
        <v>0.27669359119371101</v>
      </c>
      <c r="AM1137">
        <v>2.95361703437697E-3</v>
      </c>
      <c r="AN1137">
        <v>0.91337902888704803</v>
      </c>
      <c r="AO1137">
        <v>6.2563370171898405E-2</v>
      </c>
      <c r="AP1137">
        <v>6.2563370171898405E-2</v>
      </c>
      <c r="AQ1137">
        <v>2</v>
      </c>
      <c r="AR1137">
        <v>4</v>
      </c>
      <c r="AS1137">
        <v>0</v>
      </c>
      <c r="AT1137">
        <v>24</v>
      </c>
      <c r="AU1137">
        <v>11</v>
      </c>
      <c r="AV1137">
        <v>144</v>
      </c>
      <c r="AW1137">
        <v>2</v>
      </c>
      <c r="AX1137">
        <v>0</v>
      </c>
      <c r="AZ1137">
        <v>6.8</v>
      </c>
      <c r="BA1137">
        <v>19.899999999999999</v>
      </c>
      <c r="BB1137">
        <v>564</v>
      </c>
      <c r="BC1137">
        <v>68</v>
      </c>
      <c r="BD1137">
        <v>1.5</v>
      </c>
      <c r="BE1137">
        <v>135</v>
      </c>
      <c r="BF1137">
        <v>0.8</v>
      </c>
      <c r="BG1137">
        <v>162</v>
      </c>
      <c r="BH1137">
        <v>9.1</v>
      </c>
      <c r="BI1137">
        <v>9.1999999999999993</v>
      </c>
      <c r="BJ1137">
        <v>18.3</v>
      </c>
      <c r="BK1137">
        <v>0.34</v>
      </c>
      <c r="BL1137">
        <v>7.3</v>
      </c>
      <c r="BM1137">
        <v>0.9</v>
      </c>
      <c r="BN1137">
        <v>7.5</v>
      </c>
      <c r="BO1137">
        <v>2.9</v>
      </c>
      <c r="BP1137">
        <f t="shared" si="34"/>
        <v>6.4248018727903915</v>
      </c>
      <c r="BQ1137">
        <f t="shared" si="35"/>
        <v>19.359848843207196</v>
      </c>
    </row>
    <row r="1138" spans="1:69" hidden="1" x14ac:dyDescent="0.2">
      <c r="A1138" t="s">
        <v>4342</v>
      </c>
      <c r="B1138" t="s">
        <v>68</v>
      </c>
      <c r="C1138" t="s">
        <v>3294</v>
      </c>
      <c r="D1138" t="s">
        <v>70</v>
      </c>
      <c r="E1138" t="s">
        <v>1990</v>
      </c>
      <c r="F1138">
        <v>4</v>
      </c>
      <c r="G1138">
        <v>31</v>
      </c>
      <c r="H1138">
        <v>1</v>
      </c>
      <c r="I1138">
        <v>1</v>
      </c>
      <c r="J1138">
        <v>0</v>
      </c>
      <c r="K1138" t="s">
        <v>110</v>
      </c>
      <c r="L1138" t="s">
        <v>111</v>
      </c>
      <c r="M1138" s="4">
        <v>270000000</v>
      </c>
      <c r="N1138">
        <v>0</v>
      </c>
      <c r="O1138">
        <v>4.696307182</v>
      </c>
      <c r="P1138">
        <v>-74.069168090000005</v>
      </c>
      <c r="Q1138" t="s">
        <v>4343</v>
      </c>
      <c r="R1138">
        <v>8709677.4189999998</v>
      </c>
      <c r="S1138">
        <v>0</v>
      </c>
      <c r="T1138" t="s">
        <v>75</v>
      </c>
      <c r="U1138" t="s">
        <v>76</v>
      </c>
      <c r="V1138" t="s">
        <v>77</v>
      </c>
      <c r="W1138" t="s">
        <v>78</v>
      </c>
      <c r="X1138" t="s">
        <v>79</v>
      </c>
      <c r="Y1138">
        <v>4.5210602025830804</v>
      </c>
      <c r="Z1138">
        <v>4521.0602025830804</v>
      </c>
      <c r="AA1138">
        <v>4.6584666666666701</v>
      </c>
      <c r="AB1138">
        <v>-74.083966666666697</v>
      </c>
      <c r="AC1138">
        <v>2552</v>
      </c>
      <c r="AD1138">
        <v>0</v>
      </c>
      <c r="AE1138" t="s">
        <v>80</v>
      </c>
      <c r="AF1138" t="s">
        <v>81</v>
      </c>
      <c r="AG1138" t="s">
        <v>82</v>
      </c>
      <c r="AH1138" t="s">
        <v>83</v>
      </c>
      <c r="AI1138" t="s">
        <v>121</v>
      </c>
      <c r="AJ1138">
        <v>0.33278270808345201</v>
      </c>
      <c r="AK1138">
        <v>4.1095916439740598</v>
      </c>
      <c r="AL1138">
        <v>0.17472353726963</v>
      </c>
      <c r="AM1138">
        <v>9.3087353516690702E-2</v>
      </c>
      <c r="AN1138">
        <v>2.85678688274725</v>
      </c>
      <c r="AO1138">
        <v>4.0412247337270002E-2</v>
      </c>
      <c r="AP1138">
        <v>4.0412247337270002E-2</v>
      </c>
      <c r="AQ1138">
        <v>2</v>
      </c>
      <c r="AR1138">
        <v>2</v>
      </c>
      <c r="AS1138">
        <v>0</v>
      </c>
      <c r="AT1138">
        <v>0</v>
      </c>
      <c r="AU1138">
        <v>1</v>
      </c>
      <c r="AV1138">
        <v>55</v>
      </c>
      <c r="AW1138">
        <v>0</v>
      </c>
      <c r="AX1138">
        <v>0</v>
      </c>
      <c r="AZ1138">
        <v>6.8</v>
      </c>
      <c r="BA1138">
        <v>19.899999999999999</v>
      </c>
      <c r="BB1138">
        <v>564</v>
      </c>
      <c r="BC1138">
        <v>68</v>
      </c>
      <c r="BD1138">
        <v>1.5</v>
      </c>
      <c r="BE1138">
        <v>135</v>
      </c>
      <c r="BF1138">
        <v>0.8</v>
      </c>
      <c r="BG1138">
        <v>162</v>
      </c>
      <c r="BH1138">
        <v>9.1</v>
      </c>
      <c r="BI1138">
        <v>9.1999999999999993</v>
      </c>
      <c r="BJ1138">
        <v>18.3</v>
      </c>
      <c r="BK1138">
        <v>0.34</v>
      </c>
      <c r="BL1138">
        <v>7.3</v>
      </c>
      <c r="BM1138">
        <v>0.9</v>
      </c>
      <c r="BN1138">
        <v>7.5</v>
      </c>
      <c r="BO1138">
        <v>2.9</v>
      </c>
      <c r="BP1138">
        <f t="shared" si="34"/>
        <v>5.4364709729650578</v>
      </c>
      <c r="BQ1138">
        <f t="shared" si="35"/>
        <v>17.853762795318577</v>
      </c>
    </row>
    <row r="1139" spans="1:69" hidden="1" x14ac:dyDescent="0.2">
      <c r="A1139" t="s">
        <v>305</v>
      </c>
      <c r="B1139" t="s">
        <v>68</v>
      </c>
      <c r="C1139" t="s">
        <v>69</v>
      </c>
      <c r="D1139" t="s">
        <v>70</v>
      </c>
      <c r="E1139" t="s">
        <v>306</v>
      </c>
      <c r="F1139">
        <v>3</v>
      </c>
      <c r="G1139">
        <v>31</v>
      </c>
      <c r="H1139">
        <v>1</v>
      </c>
      <c r="I1139">
        <v>1</v>
      </c>
      <c r="J1139">
        <v>0</v>
      </c>
      <c r="K1139" t="s">
        <v>110</v>
      </c>
      <c r="L1139" t="s">
        <v>111</v>
      </c>
      <c r="M1139" s="4">
        <v>258000000</v>
      </c>
      <c r="N1139">
        <v>0</v>
      </c>
      <c r="O1139">
        <v>4.6147498000000002</v>
      </c>
      <c r="P1139">
        <v>-74.084737700000005</v>
      </c>
      <c r="Q1139" t="s">
        <v>307</v>
      </c>
      <c r="R1139">
        <v>8322580.6449999996</v>
      </c>
      <c r="S1139">
        <v>0</v>
      </c>
      <c r="T1139" t="s">
        <v>126</v>
      </c>
      <c r="U1139" t="s">
        <v>127</v>
      </c>
      <c r="V1139" t="s">
        <v>77</v>
      </c>
      <c r="W1139" t="s">
        <v>128</v>
      </c>
      <c r="X1139" t="s">
        <v>129</v>
      </c>
      <c r="Y1139">
        <v>2.3044445185681499</v>
      </c>
      <c r="Z1139">
        <v>2304.4445185681502</v>
      </c>
      <c r="AA1139">
        <v>4.6254861111111101</v>
      </c>
      <c r="AB1139">
        <v>-74.066980555555503</v>
      </c>
      <c r="AC1139">
        <v>2621</v>
      </c>
      <c r="AD1139">
        <v>15</v>
      </c>
      <c r="AE1139" t="s">
        <v>80</v>
      </c>
      <c r="AF1139" t="s">
        <v>81</v>
      </c>
      <c r="AG1139" t="s">
        <v>82</v>
      </c>
      <c r="AH1139" t="s">
        <v>83</v>
      </c>
      <c r="AI1139" t="s">
        <v>308</v>
      </c>
      <c r="AJ1139">
        <v>0.58549642971714599</v>
      </c>
      <c r="AK1139">
        <v>2.30449899230624</v>
      </c>
      <c r="AL1139">
        <v>1.0436505085116701</v>
      </c>
      <c r="AM1139">
        <v>0.36032676370790701</v>
      </c>
      <c r="AN1139">
        <v>0.77453198726745198</v>
      </c>
      <c r="AO1139">
        <v>0.110601537129947</v>
      </c>
      <c r="AP1139">
        <v>0.110601537129947</v>
      </c>
      <c r="AQ1139">
        <v>0</v>
      </c>
      <c r="AR1139">
        <v>4</v>
      </c>
      <c r="AS1139">
        <v>0</v>
      </c>
      <c r="AT1139">
        <v>0</v>
      </c>
      <c r="AU1139">
        <v>0</v>
      </c>
      <c r="AV1139">
        <v>15</v>
      </c>
      <c r="AW1139">
        <v>1</v>
      </c>
      <c r="AX1139">
        <v>0</v>
      </c>
      <c r="AZ1139">
        <v>6.8</v>
      </c>
      <c r="BA1139">
        <v>19.899999999999999</v>
      </c>
      <c r="BB1139">
        <v>564</v>
      </c>
      <c r="BC1139">
        <v>68</v>
      </c>
      <c r="BD1139">
        <v>1.5</v>
      </c>
      <c r="BE1139">
        <v>135</v>
      </c>
      <c r="BF1139">
        <v>0.8</v>
      </c>
      <c r="BG1139">
        <v>162</v>
      </c>
      <c r="BH1139">
        <v>9.1</v>
      </c>
      <c r="BI1139">
        <v>9.1999999999999993</v>
      </c>
      <c r="BJ1139">
        <v>18.3</v>
      </c>
      <c r="BK1139">
        <v>0.34</v>
      </c>
      <c r="BL1139">
        <v>7.3</v>
      </c>
      <c r="BM1139">
        <v>0.9</v>
      </c>
      <c r="BN1139">
        <v>7.5</v>
      </c>
      <c r="BO1139">
        <v>2.9</v>
      </c>
      <c r="BP1139">
        <f t="shared" si="34"/>
        <v>6.0669293778177344</v>
      </c>
      <c r="BQ1139">
        <f t="shared" si="35"/>
        <v>18.829279212990301</v>
      </c>
    </row>
    <row r="1140" spans="1:69" hidden="1" x14ac:dyDescent="0.2">
      <c r="A1140" t="s">
        <v>4501</v>
      </c>
      <c r="B1140" t="s">
        <v>68</v>
      </c>
      <c r="C1140" t="s">
        <v>3294</v>
      </c>
      <c r="D1140" t="s">
        <v>70</v>
      </c>
      <c r="E1140" t="s">
        <v>306</v>
      </c>
      <c r="F1140">
        <v>3</v>
      </c>
      <c r="G1140">
        <v>31</v>
      </c>
      <c r="H1140">
        <v>1</v>
      </c>
      <c r="I1140">
        <v>1</v>
      </c>
      <c r="J1140">
        <v>0</v>
      </c>
      <c r="K1140" t="s">
        <v>110</v>
      </c>
      <c r="L1140" t="s">
        <v>111</v>
      </c>
      <c r="M1140" s="4">
        <v>250000000</v>
      </c>
      <c r="N1140">
        <v>0</v>
      </c>
      <c r="O1140">
        <v>4.6148419379999996</v>
      </c>
      <c r="P1140">
        <v>-74.08454132</v>
      </c>
      <c r="Q1140" t="s">
        <v>4502</v>
      </c>
      <c r="R1140">
        <v>8064516.1289999997</v>
      </c>
      <c r="S1140">
        <v>0</v>
      </c>
      <c r="T1140" t="s">
        <v>126</v>
      </c>
      <c r="U1140" t="s">
        <v>127</v>
      </c>
      <c r="V1140" t="s">
        <v>77</v>
      </c>
      <c r="W1140" t="s">
        <v>128</v>
      </c>
      <c r="X1140" t="s">
        <v>129</v>
      </c>
      <c r="Y1140">
        <v>2.28049603526765</v>
      </c>
      <c r="Z1140">
        <v>2280.4960352676499</v>
      </c>
      <c r="AA1140">
        <v>4.6254861111111101</v>
      </c>
      <c r="AB1140">
        <v>-74.066980555555503</v>
      </c>
      <c r="AC1140">
        <v>2621</v>
      </c>
      <c r="AD1140">
        <v>15</v>
      </c>
      <c r="AE1140" t="s">
        <v>80</v>
      </c>
      <c r="AF1140" t="s">
        <v>81</v>
      </c>
      <c r="AG1140" t="s">
        <v>82</v>
      </c>
      <c r="AH1140" t="s">
        <v>83</v>
      </c>
      <c r="AI1140" t="s">
        <v>308</v>
      </c>
      <c r="AJ1140">
        <v>0.60146031743117101</v>
      </c>
      <c r="AK1140">
        <v>2.2829063847740598</v>
      </c>
      <c r="AL1140">
        <v>1.0471133717399399</v>
      </c>
      <c r="AM1140">
        <v>0.33634084896213701</v>
      </c>
      <c r="AN1140">
        <v>0.79521163920471405</v>
      </c>
      <c r="AO1140">
        <v>9.9807681957730501E-2</v>
      </c>
      <c r="AP1140">
        <v>9.9807681957730501E-2</v>
      </c>
      <c r="AQ1140">
        <v>0</v>
      </c>
      <c r="AR1140">
        <v>4</v>
      </c>
      <c r="AS1140">
        <v>0</v>
      </c>
      <c r="AT1140">
        <v>0</v>
      </c>
      <c r="AU1140">
        <v>0</v>
      </c>
      <c r="AV1140">
        <v>15</v>
      </c>
      <c r="AW1140">
        <v>1</v>
      </c>
      <c r="AX1140">
        <v>0</v>
      </c>
      <c r="AZ1140">
        <v>6.8</v>
      </c>
      <c r="BA1140">
        <v>19.899999999999999</v>
      </c>
      <c r="BB1140">
        <v>564</v>
      </c>
      <c r="BC1140">
        <v>68</v>
      </c>
      <c r="BD1140">
        <v>1.5</v>
      </c>
      <c r="BE1140">
        <v>135</v>
      </c>
      <c r="BF1140">
        <v>0.8</v>
      </c>
      <c r="BG1140">
        <v>162</v>
      </c>
      <c r="BH1140">
        <v>9.1</v>
      </c>
      <c r="BI1140">
        <v>9.1999999999999993</v>
      </c>
      <c r="BJ1140">
        <v>18.3</v>
      </c>
      <c r="BK1140">
        <v>0.34</v>
      </c>
      <c r="BL1140">
        <v>7.3</v>
      </c>
      <c r="BM1140">
        <v>0.9</v>
      </c>
      <c r="BN1140">
        <v>7.5</v>
      </c>
      <c r="BO1140">
        <v>2.9</v>
      </c>
      <c r="BP1140">
        <f t="shared" si="34"/>
        <v>6.0741256833709798</v>
      </c>
      <c r="BQ1140">
        <f t="shared" si="35"/>
        <v>18.840104708033557</v>
      </c>
    </row>
    <row r="1141" spans="1:69" hidden="1" x14ac:dyDescent="0.2">
      <c r="A1141" t="s">
        <v>4509</v>
      </c>
      <c r="B1141" t="s">
        <v>68</v>
      </c>
      <c r="C1141" t="s">
        <v>3294</v>
      </c>
      <c r="D1141" t="s">
        <v>70</v>
      </c>
      <c r="E1141" t="s">
        <v>306</v>
      </c>
      <c r="F1141">
        <v>3</v>
      </c>
      <c r="G1141">
        <v>31</v>
      </c>
      <c r="H1141">
        <v>1</v>
      </c>
      <c r="I1141">
        <v>1</v>
      </c>
      <c r="J1141">
        <v>1</v>
      </c>
      <c r="K1141" t="s">
        <v>110</v>
      </c>
      <c r="L1141" t="s">
        <v>111</v>
      </c>
      <c r="M1141" s="4">
        <v>240000000</v>
      </c>
      <c r="N1141">
        <v>0</v>
      </c>
      <c r="O1141">
        <v>4.6210193000000004</v>
      </c>
      <c r="P1141">
        <v>-74.090806799999996</v>
      </c>
      <c r="Q1141" t="s">
        <v>4510</v>
      </c>
      <c r="R1141">
        <v>7741935.4840000002</v>
      </c>
      <c r="S1141">
        <v>0</v>
      </c>
      <c r="T1141" t="s">
        <v>126</v>
      </c>
      <c r="U1141" t="s">
        <v>127</v>
      </c>
      <c r="V1141" t="s">
        <v>77</v>
      </c>
      <c r="W1141" t="s">
        <v>128</v>
      </c>
      <c r="X1141" t="s">
        <v>129</v>
      </c>
      <c r="Y1141">
        <v>2.69005131175023</v>
      </c>
      <c r="Z1141">
        <v>2690.0513117502301</v>
      </c>
      <c r="AA1141">
        <v>4.6254861111111101</v>
      </c>
      <c r="AB1141">
        <v>-74.066980555555503</v>
      </c>
      <c r="AC1141">
        <v>2621</v>
      </c>
      <c r="AD1141">
        <v>15</v>
      </c>
      <c r="AE1141" t="s">
        <v>80</v>
      </c>
      <c r="AF1141" t="s">
        <v>81</v>
      </c>
      <c r="AG1141" t="s">
        <v>82</v>
      </c>
      <c r="AH1141" t="s">
        <v>83</v>
      </c>
      <c r="AI1141" t="s">
        <v>288</v>
      </c>
      <c r="AJ1141">
        <v>0.47366863694838102</v>
      </c>
      <c r="AK1141">
        <v>3.0650703605020402</v>
      </c>
      <c r="AL1141">
        <v>1.6633317857083101</v>
      </c>
      <c r="AM1141">
        <v>0.21274749354120101</v>
      </c>
      <c r="AN1141">
        <v>1.35795349751144</v>
      </c>
      <c r="AO1141">
        <v>0.67133862622526597</v>
      </c>
      <c r="AP1141">
        <v>0.67133862622526597</v>
      </c>
      <c r="AQ1141">
        <v>1</v>
      </c>
      <c r="AR1141">
        <v>5</v>
      </c>
      <c r="AS1141">
        <v>0</v>
      </c>
      <c r="AT1141">
        <v>0</v>
      </c>
      <c r="AU1141">
        <v>0</v>
      </c>
      <c r="AV1141">
        <v>13</v>
      </c>
      <c r="AW1141">
        <v>0</v>
      </c>
      <c r="AX1141">
        <v>0</v>
      </c>
      <c r="AZ1141">
        <v>6.8</v>
      </c>
      <c r="BA1141">
        <v>19.899999999999999</v>
      </c>
      <c r="BB1141">
        <v>564</v>
      </c>
      <c r="BC1141">
        <v>68</v>
      </c>
      <c r="BD1141">
        <v>1.5</v>
      </c>
      <c r="BE1141">
        <v>135</v>
      </c>
      <c r="BF1141">
        <v>0.8</v>
      </c>
      <c r="BG1141">
        <v>162</v>
      </c>
      <c r="BH1141">
        <v>9.1</v>
      </c>
      <c r="BI1141">
        <v>9.1999999999999993</v>
      </c>
      <c r="BJ1141">
        <v>18.3</v>
      </c>
      <c r="BK1141">
        <v>0.34</v>
      </c>
      <c r="BL1141">
        <v>7.3</v>
      </c>
      <c r="BM1141">
        <v>0.9</v>
      </c>
      <c r="BN1141">
        <v>7.5</v>
      </c>
      <c r="BO1141">
        <v>2.9</v>
      </c>
      <c r="BP1141">
        <f t="shared" si="34"/>
        <v>5.9522248393778563</v>
      </c>
      <c r="BQ1141">
        <f t="shared" si="35"/>
        <v>18.655826314947682</v>
      </c>
    </row>
    <row r="1142" spans="1:69" hidden="1" x14ac:dyDescent="0.2">
      <c r="A1142" t="s">
        <v>3988</v>
      </c>
      <c r="B1142" t="s">
        <v>68</v>
      </c>
      <c r="C1142" t="s">
        <v>3294</v>
      </c>
      <c r="D1142" t="s">
        <v>70</v>
      </c>
      <c r="E1142" t="s">
        <v>670</v>
      </c>
      <c r="F1142">
        <v>3</v>
      </c>
      <c r="G1142">
        <v>31</v>
      </c>
      <c r="H1142">
        <v>1</v>
      </c>
      <c r="I1142">
        <v>1</v>
      </c>
      <c r="J1142">
        <v>0</v>
      </c>
      <c r="K1142" t="s">
        <v>110</v>
      </c>
      <c r="L1142" t="s">
        <v>124</v>
      </c>
      <c r="M1142" s="4">
        <v>205000000</v>
      </c>
      <c r="N1142">
        <v>0</v>
      </c>
      <c r="O1142">
        <v>4.6435046199999999</v>
      </c>
      <c r="P1142">
        <v>-74.065963749999995</v>
      </c>
      <c r="Q1142" t="s">
        <v>3989</v>
      </c>
      <c r="R1142">
        <v>6612903.2259999998</v>
      </c>
      <c r="S1142">
        <v>0</v>
      </c>
      <c r="T1142" t="s">
        <v>126</v>
      </c>
      <c r="U1142" t="s">
        <v>127</v>
      </c>
      <c r="V1142" t="s">
        <v>77</v>
      </c>
      <c r="W1142" t="s">
        <v>128</v>
      </c>
      <c r="X1142" t="s">
        <v>129</v>
      </c>
      <c r="Y1142">
        <v>2.0089816085161898</v>
      </c>
      <c r="Z1142">
        <v>2008.9816085161899</v>
      </c>
      <c r="AA1142">
        <v>4.6254861111111101</v>
      </c>
      <c r="AB1142">
        <v>-74.066980555555503</v>
      </c>
      <c r="AC1142">
        <v>2621</v>
      </c>
      <c r="AD1142">
        <v>15</v>
      </c>
      <c r="AE1142" t="s">
        <v>80</v>
      </c>
      <c r="AF1142" t="s">
        <v>81</v>
      </c>
      <c r="AG1142" t="s">
        <v>82</v>
      </c>
      <c r="AH1142" t="s">
        <v>83</v>
      </c>
      <c r="AI1142" t="s">
        <v>84</v>
      </c>
      <c r="AJ1142">
        <v>5.9718381335886202E-2</v>
      </c>
      <c r="AK1142">
        <v>0.975803894622991</v>
      </c>
      <c r="AL1142">
        <v>0.14923886348394599</v>
      </c>
      <c r="AM1142">
        <v>0.103361648629148</v>
      </c>
      <c r="AN1142">
        <v>0.86543130210669605</v>
      </c>
      <c r="AO1142">
        <v>0.31309207214416301</v>
      </c>
      <c r="AP1142">
        <v>0.31309207214416301</v>
      </c>
      <c r="AQ1142">
        <v>1</v>
      </c>
      <c r="AR1142">
        <v>4</v>
      </c>
      <c r="AS1142">
        <v>0</v>
      </c>
      <c r="AT1142">
        <v>1</v>
      </c>
      <c r="AU1142">
        <v>12</v>
      </c>
      <c r="AV1142">
        <v>157</v>
      </c>
      <c r="AW1142">
        <v>1</v>
      </c>
      <c r="AX1142">
        <v>0</v>
      </c>
      <c r="AZ1142">
        <v>6.8</v>
      </c>
      <c r="BA1142">
        <v>19.899999999999999</v>
      </c>
      <c r="BB1142">
        <v>564</v>
      </c>
      <c r="BC1142">
        <v>68</v>
      </c>
      <c r="BD1142">
        <v>1.5</v>
      </c>
      <c r="BE1142">
        <v>135</v>
      </c>
      <c r="BF1142">
        <v>0.8</v>
      </c>
      <c r="BG1142">
        <v>162</v>
      </c>
      <c r="BH1142">
        <v>9.1</v>
      </c>
      <c r="BI1142">
        <v>9.1999999999999993</v>
      </c>
      <c r="BJ1142">
        <v>18.3</v>
      </c>
      <c r="BK1142">
        <v>0.34</v>
      </c>
      <c r="BL1142">
        <v>7.3</v>
      </c>
      <c r="BM1142">
        <v>0.9</v>
      </c>
      <c r="BN1142">
        <v>7.5</v>
      </c>
      <c r="BO1142">
        <v>2.9</v>
      </c>
      <c r="BP1142">
        <f t="shared" si="34"/>
        <v>6.156312773275749</v>
      </c>
      <c r="BQ1142">
        <f t="shared" si="35"/>
        <v>18.963274225314915</v>
      </c>
    </row>
    <row r="1143" spans="1:69" hidden="1" x14ac:dyDescent="0.2">
      <c r="A1143" t="s">
        <v>4466</v>
      </c>
      <c r="B1143" t="s">
        <v>68</v>
      </c>
      <c r="C1143" t="s">
        <v>3294</v>
      </c>
      <c r="D1143" t="s">
        <v>70</v>
      </c>
      <c r="E1143" t="s">
        <v>670</v>
      </c>
      <c r="F1143">
        <v>3</v>
      </c>
      <c r="G1143">
        <v>31</v>
      </c>
      <c r="H1143">
        <v>1</v>
      </c>
      <c r="I1143">
        <v>1</v>
      </c>
      <c r="J1143">
        <v>0</v>
      </c>
      <c r="K1143" t="s">
        <v>110</v>
      </c>
      <c r="L1143" t="s">
        <v>124</v>
      </c>
      <c r="M1143" s="4">
        <v>205000000</v>
      </c>
      <c r="N1143">
        <v>0</v>
      </c>
      <c r="O1143">
        <v>4.6435046199999999</v>
      </c>
      <c r="P1143">
        <v>-74.065963749999995</v>
      </c>
      <c r="Q1143" t="s">
        <v>4467</v>
      </c>
      <c r="R1143">
        <v>6612903.2259999998</v>
      </c>
      <c r="S1143">
        <v>0</v>
      </c>
      <c r="T1143" t="s">
        <v>126</v>
      </c>
      <c r="U1143" t="s">
        <v>127</v>
      </c>
      <c r="V1143" t="s">
        <v>77</v>
      </c>
      <c r="W1143" t="s">
        <v>128</v>
      </c>
      <c r="X1143" t="s">
        <v>129</v>
      </c>
      <c r="Y1143">
        <v>2.0089816085161898</v>
      </c>
      <c r="Z1143">
        <v>2008.9816085161899</v>
      </c>
      <c r="AA1143">
        <v>4.6254861111111101</v>
      </c>
      <c r="AB1143">
        <v>-74.066980555555503</v>
      </c>
      <c r="AC1143">
        <v>2621</v>
      </c>
      <c r="AD1143">
        <v>15</v>
      </c>
      <c r="AE1143" t="s">
        <v>80</v>
      </c>
      <c r="AF1143" t="s">
        <v>81</v>
      </c>
      <c r="AG1143" t="s">
        <v>82</v>
      </c>
      <c r="AH1143" t="s">
        <v>83</v>
      </c>
      <c r="AI1143" t="s">
        <v>84</v>
      </c>
      <c r="AJ1143">
        <v>5.9718381335886202E-2</v>
      </c>
      <c r="AK1143">
        <v>0.975803894622991</v>
      </c>
      <c r="AL1143">
        <v>0.14923886348394599</v>
      </c>
      <c r="AM1143">
        <v>0.103361648629148</v>
      </c>
      <c r="AN1143">
        <v>0.86543130210669605</v>
      </c>
      <c r="AO1143">
        <v>0.31309207214416301</v>
      </c>
      <c r="AP1143">
        <v>0.31309207214416301</v>
      </c>
      <c r="AQ1143">
        <v>1</v>
      </c>
      <c r="AR1143">
        <v>4</v>
      </c>
      <c r="AS1143">
        <v>0</v>
      </c>
      <c r="AT1143">
        <v>1</v>
      </c>
      <c r="AU1143">
        <v>12</v>
      </c>
      <c r="AV1143">
        <v>157</v>
      </c>
      <c r="AW1143">
        <v>1</v>
      </c>
      <c r="AX1143">
        <v>0</v>
      </c>
      <c r="AZ1143">
        <v>6.8</v>
      </c>
      <c r="BA1143">
        <v>19.899999999999999</v>
      </c>
      <c r="BB1143">
        <v>564</v>
      </c>
      <c r="BC1143">
        <v>68</v>
      </c>
      <c r="BD1143">
        <v>1.5</v>
      </c>
      <c r="BE1143">
        <v>135</v>
      </c>
      <c r="BF1143">
        <v>0.8</v>
      </c>
      <c r="BG1143">
        <v>162</v>
      </c>
      <c r="BH1143">
        <v>9.1</v>
      </c>
      <c r="BI1143">
        <v>9.1999999999999993</v>
      </c>
      <c r="BJ1143">
        <v>18.3</v>
      </c>
      <c r="BK1143">
        <v>0.34</v>
      </c>
      <c r="BL1143">
        <v>7.3</v>
      </c>
      <c r="BM1143">
        <v>0.9</v>
      </c>
      <c r="BN1143">
        <v>7.5</v>
      </c>
      <c r="BO1143">
        <v>2.9</v>
      </c>
      <c r="BP1143">
        <f t="shared" si="34"/>
        <v>6.156312773275749</v>
      </c>
      <c r="BQ1143">
        <f t="shared" si="35"/>
        <v>18.963274225314915</v>
      </c>
    </row>
    <row r="1144" spans="1:69" hidden="1" x14ac:dyDescent="0.2">
      <c r="A1144" t="s">
        <v>4577</v>
      </c>
      <c r="B1144" t="s">
        <v>68</v>
      </c>
      <c r="C1144" t="s">
        <v>3294</v>
      </c>
      <c r="D1144" t="s">
        <v>70</v>
      </c>
      <c r="E1144" t="s">
        <v>84</v>
      </c>
      <c r="F1144">
        <v>3</v>
      </c>
      <c r="G1144">
        <v>31</v>
      </c>
      <c r="H1144">
        <v>1</v>
      </c>
      <c r="I1144">
        <v>1</v>
      </c>
      <c r="J1144">
        <v>0</v>
      </c>
      <c r="K1144" t="s">
        <v>110</v>
      </c>
      <c r="L1144" t="s">
        <v>124</v>
      </c>
      <c r="M1144" s="4">
        <v>204500000</v>
      </c>
      <c r="N1144">
        <v>0</v>
      </c>
      <c r="O1144">
        <v>4.6435046</v>
      </c>
      <c r="P1144">
        <v>-74.065960899999993</v>
      </c>
      <c r="Q1144" t="s">
        <v>4578</v>
      </c>
      <c r="R1144">
        <v>6596774.1940000001</v>
      </c>
      <c r="S1144">
        <v>0</v>
      </c>
      <c r="T1144" t="s">
        <v>126</v>
      </c>
      <c r="U1144" t="s">
        <v>127</v>
      </c>
      <c r="V1144" t="s">
        <v>77</v>
      </c>
      <c r="W1144" t="s">
        <v>128</v>
      </c>
      <c r="X1144" t="s">
        <v>129</v>
      </c>
      <c r="Y1144">
        <v>2.0089971689017698</v>
      </c>
      <c r="Z1144">
        <v>2008.99716890177</v>
      </c>
      <c r="AA1144">
        <v>4.6254861111111101</v>
      </c>
      <c r="AB1144">
        <v>-74.066980555555503</v>
      </c>
      <c r="AC1144">
        <v>2621</v>
      </c>
      <c r="AD1144">
        <v>15</v>
      </c>
      <c r="AE1144" t="s">
        <v>80</v>
      </c>
      <c r="AF1144" t="s">
        <v>81</v>
      </c>
      <c r="AG1144" t="s">
        <v>82</v>
      </c>
      <c r="AH1144" t="s">
        <v>83</v>
      </c>
      <c r="AI1144" t="s">
        <v>84</v>
      </c>
      <c r="AJ1144">
        <v>5.9637515384078903E-2</v>
      </c>
      <c r="AK1144">
        <v>0.97550235785640704</v>
      </c>
      <c r="AL1144">
        <v>0.149365914739581</v>
      </c>
      <c r="AM1144">
        <v>0.10305359899319599</v>
      </c>
      <c r="AN1144">
        <v>0.86512410435461695</v>
      </c>
      <c r="AO1144">
        <v>0.313404422831354</v>
      </c>
      <c r="AP1144">
        <v>0.313404422831354</v>
      </c>
      <c r="AQ1144">
        <v>1</v>
      </c>
      <c r="AR1144">
        <v>4</v>
      </c>
      <c r="AS1144">
        <v>0</v>
      </c>
      <c r="AT1144">
        <v>1</v>
      </c>
      <c r="AU1144">
        <v>12</v>
      </c>
      <c r="AV1144">
        <v>157</v>
      </c>
      <c r="AW1144">
        <v>1</v>
      </c>
      <c r="AX1144">
        <v>0</v>
      </c>
      <c r="AZ1144">
        <v>6.8</v>
      </c>
      <c r="BA1144">
        <v>19.899999999999999</v>
      </c>
      <c r="BB1144">
        <v>564</v>
      </c>
      <c r="BC1144">
        <v>68</v>
      </c>
      <c r="BD1144">
        <v>1.5</v>
      </c>
      <c r="BE1144">
        <v>135</v>
      </c>
      <c r="BF1144">
        <v>0.8</v>
      </c>
      <c r="BG1144">
        <v>162</v>
      </c>
      <c r="BH1144">
        <v>9.1</v>
      </c>
      <c r="BI1144">
        <v>9.1999999999999993</v>
      </c>
      <c r="BJ1144">
        <v>18.3</v>
      </c>
      <c r="BK1144">
        <v>0.34</v>
      </c>
      <c r="BL1144">
        <v>7.3</v>
      </c>
      <c r="BM1144">
        <v>0.9</v>
      </c>
      <c r="BN1144">
        <v>7.5</v>
      </c>
      <c r="BO1144">
        <v>2.9</v>
      </c>
      <c r="BP1144">
        <f t="shared" si="34"/>
        <v>6.1563080314448504</v>
      </c>
      <c r="BQ1144">
        <f t="shared" si="35"/>
        <v>18.963267143495628</v>
      </c>
    </row>
    <row r="1145" spans="1:69" hidden="1" x14ac:dyDescent="0.2">
      <c r="A1145" t="s">
        <v>1639</v>
      </c>
      <c r="B1145" t="s">
        <v>68</v>
      </c>
      <c r="C1145" t="s">
        <v>69</v>
      </c>
      <c r="D1145" t="s">
        <v>70</v>
      </c>
      <c r="E1145" t="s">
        <v>1530</v>
      </c>
      <c r="F1145">
        <v>3</v>
      </c>
      <c r="G1145">
        <v>30.97</v>
      </c>
      <c r="H1145">
        <v>1</v>
      </c>
      <c r="I1145">
        <v>1</v>
      </c>
      <c r="J1145">
        <v>0</v>
      </c>
      <c r="K1145" t="s">
        <v>72</v>
      </c>
      <c r="L1145" t="s">
        <v>73</v>
      </c>
      <c r="M1145" s="4">
        <v>345636482</v>
      </c>
      <c r="N1145">
        <v>0</v>
      </c>
      <c r="O1145">
        <v>4.6218880000000002</v>
      </c>
      <c r="P1145">
        <v>-74.069320000000005</v>
      </c>
      <c r="Q1145" t="s">
        <v>1640</v>
      </c>
      <c r="R1145">
        <v>11160364.289999999</v>
      </c>
      <c r="S1145">
        <v>0</v>
      </c>
      <c r="T1145" t="s">
        <v>126</v>
      </c>
      <c r="U1145" t="s">
        <v>127</v>
      </c>
      <c r="V1145" t="s">
        <v>77</v>
      </c>
      <c r="W1145" t="s">
        <v>128</v>
      </c>
      <c r="X1145" t="s">
        <v>129</v>
      </c>
      <c r="Y1145">
        <v>0.477297678444431</v>
      </c>
      <c r="Z1145">
        <v>477.29767844443103</v>
      </c>
      <c r="AA1145">
        <v>4.6254861111111101</v>
      </c>
      <c r="AB1145">
        <v>-74.066980555555503</v>
      </c>
      <c r="AC1145">
        <v>2621</v>
      </c>
      <c r="AD1145">
        <v>15</v>
      </c>
      <c r="AE1145" t="s">
        <v>80</v>
      </c>
      <c r="AF1145" t="s">
        <v>81</v>
      </c>
      <c r="AG1145" t="s">
        <v>82</v>
      </c>
      <c r="AH1145" t="s">
        <v>83</v>
      </c>
      <c r="AI1145" t="s">
        <v>138</v>
      </c>
      <c r="AJ1145">
        <v>5.6142650139799702E-2</v>
      </c>
      <c r="AK1145">
        <v>0.90372310585985105</v>
      </c>
      <c r="AL1145">
        <v>0.22218264720956099</v>
      </c>
      <c r="AM1145">
        <v>4.7684081077489601E-2</v>
      </c>
      <c r="AN1145">
        <v>0.68763354418564704</v>
      </c>
      <c r="AO1145">
        <v>0.19304280251591199</v>
      </c>
      <c r="AP1145">
        <v>0.19304280251591199</v>
      </c>
      <c r="AQ1145">
        <v>2</v>
      </c>
      <c r="AR1145">
        <v>6</v>
      </c>
      <c r="AS1145">
        <v>0</v>
      </c>
      <c r="AT1145">
        <v>3</v>
      </c>
      <c r="AU1145">
        <v>18</v>
      </c>
      <c r="AV1145">
        <v>98</v>
      </c>
      <c r="AW1145">
        <v>2</v>
      </c>
      <c r="AX1145">
        <v>1</v>
      </c>
      <c r="AZ1145">
        <v>6.8</v>
      </c>
      <c r="BA1145">
        <v>19.899999999999999</v>
      </c>
      <c r="BB1145">
        <v>564</v>
      </c>
      <c r="BC1145">
        <v>68</v>
      </c>
      <c r="BD1145">
        <v>1.5</v>
      </c>
      <c r="BE1145">
        <v>135</v>
      </c>
      <c r="BF1145">
        <v>0.8</v>
      </c>
      <c r="BG1145">
        <v>162</v>
      </c>
      <c r="BH1145">
        <v>9.1</v>
      </c>
      <c r="BI1145">
        <v>9.1999999999999993</v>
      </c>
      <c r="BJ1145">
        <v>18.3</v>
      </c>
      <c r="BK1145">
        <v>0.34</v>
      </c>
      <c r="BL1145">
        <v>7.3</v>
      </c>
      <c r="BM1145">
        <v>0.9</v>
      </c>
      <c r="BN1145">
        <v>7.5</v>
      </c>
      <c r="BO1145">
        <v>2.9</v>
      </c>
      <c r="BP1145">
        <f t="shared" si="34"/>
        <v>6.6412246192899369</v>
      </c>
      <c r="BQ1145">
        <f t="shared" si="35"/>
        <v>19.673343299868097</v>
      </c>
    </row>
    <row r="1146" spans="1:69" hidden="1" x14ac:dyDescent="0.2">
      <c r="A1146" t="s">
        <v>3970</v>
      </c>
      <c r="B1146" t="s">
        <v>68</v>
      </c>
      <c r="C1146" t="s">
        <v>3294</v>
      </c>
      <c r="D1146" t="s">
        <v>70</v>
      </c>
      <c r="E1146" t="s">
        <v>948</v>
      </c>
      <c r="F1146">
        <v>4</v>
      </c>
      <c r="G1146">
        <v>30.83</v>
      </c>
      <c r="H1146">
        <v>1</v>
      </c>
      <c r="I1146">
        <v>1</v>
      </c>
      <c r="J1146">
        <v>0</v>
      </c>
      <c r="K1146" t="s">
        <v>110</v>
      </c>
      <c r="L1146" t="s">
        <v>111</v>
      </c>
      <c r="M1146" s="4">
        <v>367576000</v>
      </c>
      <c r="N1146">
        <v>0</v>
      </c>
      <c r="O1146">
        <v>4.6353600000000004</v>
      </c>
      <c r="P1146">
        <v>-74.066329999999994</v>
      </c>
      <c r="Q1146" t="s">
        <v>3971</v>
      </c>
      <c r="R1146">
        <v>11922672.720000001</v>
      </c>
      <c r="S1146">
        <v>0</v>
      </c>
      <c r="T1146" t="s">
        <v>126</v>
      </c>
      <c r="U1146" t="s">
        <v>127</v>
      </c>
      <c r="V1146" t="s">
        <v>77</v>
      </c>
      <c r="W1146" t="s">
        <v>128</v>
      </c>
      <c r="X1146" t="s">
        <v>129</v>
      </c>
      <c r="Y1146">
        <v>1.1015239179115</v>
      </c>
      <c r="Z1146">
        <v>1101.5239179114999</v>
      </c>
      <c r="AA1146">
        <v>4.6254861111111101</v>
      </c>
      <c r="AB1146">
        <v>-74.066980555555503</v>
      </c>
      <c r="AC1146">
        <v>2621</v>
      </c>
      <c r="AD1146">
        <v>15</v>
      </c>
      <c r="AE1146" t="s">
        <v>80</v>
      </c>
      <c r="AF1146" t="s">
        <v>81</v>
      </c>
      <c r="AG1146" t="s">
        <v>82</v>
      </c>
      <c r="AH1146" t="s">
        <v>83</v>
      </c>
      <c r="AI1146" t="s">
        <v>130</v>
      </c>
      <c r="AJ1146">
        <v>0.248270327741166</v>
      </c>
      <c r="AK1146">
        <v>0.731600878017301</v>
      </c>
      <c r="AL1146">
        <v>0.16345060226298599</v>
      </c>
      <c r="AM1146">
        <v>4.7015747432402298E-2</v>
      </c>
      <c r="AN1146">
        <v>0.86922477593762804</v>
      </c>
      <c r="AO1146">
        <v>0.106999019967031</v>
      </c>
      <c r="AP1146">
        <v>0.106999019967031</v>
      </c>
      <c r="AQ1146">
        <v>3</v>
      </c>
      <c r="AR1146">
        <v>5</v>
      </c>
      <c r="AS1146">
        <v>0</v>
      </c>
      <c r="AT1146">
        <v>12</v>
      </c>
      <c r="AU1146">
        <v>12</v>
      </c>
      <c r="AV1146">
        <v>176</v>
      </c>
      <c r="AW1146">
        <v>1</v>
      </c>
      <c r="AX1146">
        <v>0</v>
      </c>
      <c r="AZ1146">
        <v>6.8</v>
      </c>
      <c r="BA1146">
        <v>19.899999999999999</v>
      </c>
      <c r="BB1146">
        <v>564</v>
      </c>
      <c r="BC1146">
        <v>68</v>
      </c>
      <c r="BD1146">
        <v>1.5</v>
      </c>
      <c r="BE1146">
        <v>135</v>
      </c>
      <c r="BF1146">
        <v>0.8</v>
      </c>
      <c r="BG1146">
        <v>162</v>
      </c>
      <c r="BH1146">
        <v>9.1</v>
      </c>
      <c r="BI1146">
        <v>9.1999999999999993</v>
      </c>
      <c r="BJ1146">
        <v>18.3</v>
      </c>
      <c r="BK1146">
        <v>0.34</v>
      </c>
      <c r="BL1146">
        <v>7.3</v>
      </c>
      <c r="BM1146">
        <v>0.9</v>
      </c>
      <c r="BN1146">
        <v>7.5</v>
      </c>
      <c r="BO1146">
        <v>2.9</v>
      </c>
      <c r="BP1146">
        <f t="shared" si="34"/>
        <v>6.4391540851136133</v>
      </c>
      <c r="BQ1146">
        <f t="shared" si="35"/>
        <v>19.38080527972155</v>
      </c>
    </row>
    <row r="1147" spans="1:69" hidden="1" x14ac:dyDescent="0.2">
      <c r="A1147" t="s">
        <v>3642</v>
      </c>
      <c r="B1147" t="s">
        <v>68</v>
      </c>
      <c r="C1147" t="s">
        <v>3294</v>
      </c>
      <c r="D1147" t="s">
        <v>70</v>
      </c>
      <c r="E1147" t="s">
        <v>948</v>
      </c>
      <c r="F1147">
        <v>4</v>
      </c>
      <c r="G1147">
        <v>30.83</v>
      </c>
      <c r="H1147">
        <v>1</v>
      </c>
      <c r="I1147">
        <v>1</v>
      </c>
      <c r="J1147">
        <v>0</v>
      </c>
      <c r="K1147" t="s">
        <v>110</v>
      </c>
      <c r="L1147" t="s">
        <v>111</v>
      </c>
      <c r="M1147" s="4">
        <v>352873000</v>
      </c>
      <c r="N1147">
        <v>0</v>
      </c>
      <c r="O1147">
        <v>4.6353600000000004</v>
      </c>
      <c r="P1147">
        <v>-74.066329999999994</v>
      </c>
      <c r="Q1147" t="s">
        <v>3643</v>
      </c>
      <c r="R1147">
        <v>11445767.109999999</v>
      </c>
      <c r="S1147">
        <v>0</v>
      </c>
      <c r="T1147" t="s">
        <v>126</v>
      </c>
      <c r="U1147" t="s">
        <v>127</v>
      </c>
      <c r="V1147" t="s">
        <v>77</v>
      </c>
      <c r="W1147" t="s">
        <v>128</v>
      </c>
      <c r="X1147" t="s">
        <v>129</v>
      </c>
      <c r="Y1147">
        <v>1.1015239179115</v>
      </c>
      <c r="Z1147">
        <v>1101.5239179114999</v>
      </c>
      <c r="AA1147">
        <v>4.6254861111111101</v>
      </c>
      <c r="AB1147">
        <v>-74.066980555555503</v>
      </c>
      <c r="AC1147">
        <v>2621</v>
      </c>
      <c r="AD1147">
        <v>15</v>
      </c>
      <c r="AE1147" t="s">
        <v>80</v>
      </c>
      <c r="AF1147" t="s">
        <v>81</v>
      </c>
      <c r="AG1147" t="s">
        <v>82</v>
      </c>
      <c r="AH1147" t="s">
        <v>83</v>
      </c>
      <c r="AI1147" t="s">
        <v>130</v>
      </c>
      <c r="AJ1147">
        <v>0.248270327741166</v>
      </c>
      <c r="AK1147">
        <v>0.731600878017301</v>
      </c>
      <c r="AL1147">
        <v>0.16345060226298599</v>
      </c>
      <c r="AM1147">
        <v>4.7015747432402298E-2</v>
      </c>
      <c r="AN1147">
        <v>0.86922477593762804</v>
      </c>
      <c r="AO1147">
        <v>0.106999019967031</v>
      </c>
      <c r="AP1147">
        <v>0.106999019967031</v>
      </c>
      <c r="AQ1147">
        <v>3</v>
      </c>
      <c r="AR1147">
        <v>5</v>
      </c>
      <c r="AS1147">
        <v>0</v>
      </c>
      <c r="AT1147">
        <v>12</v>
      </c>
      <c r="AU1147">
        <v>12</v>
      </c>
      <c r="AV1147">
        <v>176</v>
      </c>
      <c r="AW1147">
        <v>1</v>
      </c>
      <c r="AX1147">
        <v>0</v>
      </c>
      <c r="AZ1147">
        <v>6.8</v>
      </c>
      <c r="BA1147">
        <v>19.899999999999999</v>
      </c>
      <c r="BB1147">
        <v>564</v>
      </c>
      <c r="BC1147">
        <v>68</v>
      </c>
      <c r="BD1147">
        <v>1.5</v>
      </c>
      <c r="BE1147">
        <v>135</v>
      </c>
      <c r="BF1147">
        <v>0.8</v>
      </c>
      <c r="BG1147">
        <v>162</v>
      </c>
      <c r="BH1147">
        <v>9.1</v>
      </c>
      <c r="BI1147">
        <v>9.1999999999999993</v>
      </c>
      <c r="BJ1147">
        <v>18.3</v>
      </c>
      <c r="BK1147">
        <v>0.34</v>
      </c>
      <c r="BL1147">
        <v>7.3</v>
      </c>
      <c r="BM1147">
        <v>0.9</v>
      </c>
      <c r="BN1147">
        <v>7.5</v>
      </c>
      <c r="BO1147">
        <v>2.9</v>
      </c>
      <c r="BP1147">
        <f t="shared" si="34"/>
        <v>6.4391540851136133</v>
      </c>
      <c r="BQ1147">
        <f t="shared" si="35"/>
        <v>19.38080527972155</v>
      </c>
    </row>
    <row r="1148" spans="1:69" hidden="1" x14ac:dyDescent="0.2">
      <c r="A1148" t="s">
        <v>3624</v>
      </c>
      <c r="B1148" t="s">
        <v>68</v>
      </c>
      <c r="C1148" t="s">
        <v>3294</v>
      </c>
      <c r="D1148" t="s">
        <v>70</v>
      </c>
      <c r="E1148" t="s">
        <v>3625</v>
      </c>
      <c r="F1148">
        <v>3</v>
      </c>
      <c r="G1148">
        <v>30.62</v>
      </c>
      <c r="H1148">
        <v>1</v>
      </c>
      <c r="I1148">
        <v>1</v>
      </c>
      <c r="J1148">
        <v>0</v>
      </c>
      <c r="K1148" t="s">
        <v>110</v>
      </c>
      <c r="L1148" t="s">
        <v>111</v>
      </c>
      <c r="M1148" s="4">
        <v>210000000</v>
      </c>
      <c r="N1148">
        <v>0</v>
      </c>
      <c r="O1148">
        <v>4.5882955000000001</v>
      </c>
      <c r="P1148">
        <v>-74.124579999999995</v>
      </c>
      <c r="Q1148" t="s">
        <v>3626</v>
      </c>
      <c r="R1148">
        <v>6858262.5729999999</v>
      </c>
      <c r="S1148">
        <v>0</v>
      </c>
      <c r="T1148" t="s">
        <v>1843</v>
      </c>
      <c r="U1148" t="s">
        <v>1844</v>
      </c>
      <c r="V1148" t="s">
        <v>77</v>
      </c>
      <c r="W1148" t="s">
        <v>1845</v>
      </c>
      <c r="X1148" t="s">
        <v>1846</v>
      </c>
      <c r="Y1148">
        <v>1.5185433069285099</v>
      </c>
      <c r="Z1148">
        <v>1518.54330692851</v>
      </c>
      <c r="AA1148">
        <v>4.576225</v>
      </c>
      <c r="AB1148">
        <v>-74.130955555555502</v>
      </c>
      <c r="AC1148">
        <v>2589</v>
      </c>
      <c r="AD1148">
        <v>0</v>
      </c>
      <c r="AE1148" t="s">
        <v>80</v>
      </c>
      <c r="AF1148" t="s">
        <v>107</v>
      </c>
      <c r="AG1148" t="s">
        <v>82</v>
      </c>
      <c r="AH1148" t="s">
        <v>83</v>
      </c>
      <c r="AI1148" t="s">
        <v>1847</v>
      </c>
      <c r="AJ1148">
        <v>0.616197145556173</v>
      </c>
      <c r="AK1148">
        <v>5.6876877128475698</v>
      </c>
      <c r="AL1148">
        <v>0.75526067598862301</v>
      </c>
      <c r="AM1148">
        <v>0.231431261696422</v>
      </c>
      <c r="AN1148">
        <v>1.0003001003041401</v>
      </c>
      <c r="AO1148">
        <v>0.23573997558851201</v>
      </c>
      <c r="AP1148">
        <v>0.23573997558851201</v>
      </c>
      <c r="AQ1148">
        <v>0</v>
      </c>
      <c r="AR1148">
        <v>2</v>
      </c>
      <c r="AS1148">
        <v>0</v>
      </c>
      <c r="AT1148">
        <v>0</v>
      </c>
      <c r="AU1148">
        <v>1</v>
      </c>
      <c r="AV1148">
        <v>26</v>
      </c>
      <c r="AW1148">
        <v>0</v>
      </c>
      <c r="AX1148">
        <v>0</v>
      </c>
      <c r="AZ1148">
        <v>6.8</v>
      </c>
      <c r="BA1148">
        <v>19.899999999999999</v>
      </c>
      <c r="BB1148">
        <v>564</v>
      </c>
      <c r="BC1148">
        <v>68</v>
      </c>
      <c r="BD1148">
        <v>1.5</v>
      </c>
      <c r="BE1148">
        <v>135</v>
      </c>
      <c r="BF1148">
        <v>0.8</v>
      </c>
      <c r="BG1148">
        <v>162</v>
      </c>
      <c r="BH1148">
        <v>9.1</v>
      </c>
      <c r="BI1148">
        <v>9.1999999999999993</v>
      </c>
      <c r="BJ1148">
        <v>18.3</v>
      </c>
      <c r="BK1148">
        <v>0.34</v>
      </c>
      <c r="BL1148">
        <v>7.3</v>
      </c>
      <c r="BM1148">
        <v>0.9</v>
      </c>
      <c r="BN1148">
        <v>7.5</v>
      </c>
      <c r="BO1148">
        <v>2.9</v>
      </c>
      <c r="BP1148">
        <f t="shared" si="34"/>
        <v>6.3075966124400233</v>
      </c>
      <c r="BQ1148">
        <f t="shared" si="35"/>
        <v>19.187800613238672</v>
      </c>
    </row>
    <row r="1149" spans="1:69" hidden="1" x14ac:dyDescent="0.2">
      <c r="A1149" t="s">
        <v>3536</v>
      </c>
      <c r="B1149" t="s">
        <v>68</v>
      </c>
      <c r="C1149" t="s">
        <v>3294</v>
      </c>
      <c r="D1149" t="s">
        <v>70</v>
      </c>
      <c r="E1149" t="s">
        <v>130</v>
      </c>
      <c r="F1149">
        <v>4</v>
      </c>
      <c r="G1149">
        <v>30.2</v>
      </c>
      <c r="H1149">
        <v>1</v>
      </c>
      <c r="I1149">
        <v>1</v>
      </c>
      <c r="J1149">
        <v>0</v>
      </c>
      <c r="K1149" t="s">
        <v>110</v>
      </c>
      <c r="L1149" t="s">
        <v>111</v>
      </c>
      <c r="M1149" s="4">
        <v>275000000</v>
      </c>
      <c r="N1149">
        <v>0</v>
      </c>
      <c r="O1149">
        <v>4.6444099999999997</v>
      </c>
      <c r="P1149">
        <v>-74.054789999999997</v>
      </c>
      <c r="Q1149" t="s">
        <v>3537</v>
      </c>
      <c r="R1149">
        <v>9105960.2650000006</v>
      </c>
      <c r="S1149">
        <v>0</v>
      </c>
      <c r="T1149" t="s">
        <v>126</v>
      </c>
      <c r="U1149" t="s">
        <v>127</v>
      </c>
      <c r="V1149" t="s">
        <v>77</v>
      </c>
      <c r="W1149" t="s">
        <v>128</v>
      </c>
      <c r="X1149" t="s">
        <v>129</v>
      </c>
      <c r="Y1149">
        <v>2.5034583567811999</v>
      </c>
      <c r="Z1149">
        <v>2503.4583567812001</v>
      </c>
      <c r="AA1149">
        <v>4.6254861111111101</v>
      </c>
      <c r="AB1149">
        <v>-74.066980555555503</v>
      </c>
      <c r="AC1149">
        <v>2621</v>
      </c>
      <c r="AD1149">
        <v>15</v>
      </c>
      <c r="AE1149" t="s">
        <v>80</v>
      </c>
      <c r="AF1149" t="s">
        <v>81</v>
      </c>
      <c r="AG1149" t="s">
        <v>82</v>
      </c>
      <c r="AH1149" t="s">
        <v>83</v>
      </c>
      <c r="AI1149" t="s">
        <v>130</v>
      </c>
      <c r="AJ1149">
        <v>1.2017817000808899</v>
      </c>
      <c r="AK1149">
        <v>0.15041522717057601</v>
      </c>
      <c r="AL1149">
        <v>0.58559663119874805</v>
      </c>
      <c r="AM1149">
        <v>0.252845426258689</v>
      </c>
      <c r="AN1149">
        <v>0.50492234318658502</v>
      </c>
      <c r="AO1149">
        <v>0.33080019019658502</v>
      </c>
      <c r="AP1149">
        <v>0.33080019019658502</v>
      </c>
      <c r="AQ1149">
        <v>0</v>
      </c>
      <c r="AR1149">
        <v>0</v>
      </c>
      <c r="AS1149">
        <v>18</v>
      </c>
      <c r="AT1149">
        <v>56</v>
      </c>
      <c r="AU1149">
        <v>5</v>
      </c>
      <c r="AV1149">
        <v>23</v>
      </c>
      <c r="AW1149">
        <v>1</v>
      </c>
      <c r="AX1149">
        <v>0</v>
      </c>
      <c r="AZ1149">
        <v>6.8</v>
      </c>
      <c r="BA1149">
        <v>19.899999999999999</v>
      </c>
      <c r="BB1149">
        <v>564</v>
      </c>
      <c r="BC1149">
        <v>68</v>
      </c>
      <c r="BD1149">
        <v>1.5</v>
      </c>
      <c r="BE1149">
        <v>135</v>
      </c>
      <c r="BF1149">
        <v>0.8</v>
      </c>
      <c r="BG1149">
        <v>162</v>
      </c>
      <c r="BH1149">
        <v>9.1</v>
      </c>
      <c r="BI1149">
        <v>9.1999999999999993</v>
      </c>
      <c r="BJ1149">
        <v>18.3</v>
      </c>
      <c r="BK1149">
        <v>0.34</v>
      </c>
      <c r="BL1149">
        <v>7.3</v>
      </c>
      <c r="BM1149">
        <v>0.9</v>
      </c>
      <c r="BN1149">
        <v>7.5</v>
      </c>
      <c r="BO1149">
        <v>2.9</v>
      </c>
      <c r="BP1149">
        <f t="shared" si="34"/>
        <v>6.0074563550276681</v>
      </c>
      <c r="BQ1149">
        <f t="shared" si="35"/>
        <v>18.739558759852745</v>
      </c>
    </row>
    <row r="1150" spans="1:69" hidden="1" x14ac:dyDescent="0.2">
      <c r="A1150" t="s">
        <v>1749</v>
      </c>
      <c r="B1150" t="s">
        <v>68</v>
      </c>
      <c r="C1150" t="s">
        <v>69</v>
      </c>
      <c r="D1150" t="s">
        <v>70</v>
      </c>
      <c r="E1150" t="s">
        <v>1530</v>
      </c>
      <c r="F1150">
        <v>3</v>
      </c>
      <c r="G1150">
        <v>30.1</v>
      </c>
      <c r="H1150">
        <v>1</v>
      </c>
      <c r="I1150">
        <v>1</v>
      </c>
      <c r="J1150">
        <v>0</v>
      </c>
      <c r="K1150" t="s">
        <v>72</v>
      </c>
      <c r="L1150" t="s">
        <v>73</v>
      </c>
      <c r="M1150" s="4">
        <v>338167367</v>
      </c>
      <c r="N1150">
        <v>0</v>
      </c>
      <c r="O1150">
        <v>4.6218880000000002</v>
      </c>
      <c r="P1150">
        <v>-74.069320000000005</v>
      </c>
      <c r="Q1150" t="s">
        <v>1750</v>
      </c>
      <c r="R1150">
        <v>11234796.25</v>
      </c>
      <c r="S1150">
        <v>0</v>
      </c>
      <c r="T1150" t="s">
        <v>126</v>
      </c>
      <c r="U1150" t="s">
        <v>127</v>
      </c>
      <c r="V1150" t="s">
        <v>77</v>
      </c>
      <c r="W1150" t="s">
        <v>128</v>
      </c>
      <c r="X1150" t="s">
        <v>129</v>
      </c>
      <c r="Y1150">
        <v>0.477297678444431</v>
      </c>
      <c r="Z1150">
        <v>477.29767844443103</v>
      </c>
      <c r="AA1150">
        <v>4.6254861111111101</v>
      </c>
      <c r="AB1150">
        <v>-74.066980555555503</v>
      </c>
      <c r="AC1150">
        <v>2621</v>
      </c>
      <c r="AD1150">
        <v>15</v>
      </c>
      <c r="AE1150" t="s">
        <v>80</v>
      </c>
      <c r="AF1150" t="s">
        <v>81</v>
      </c>
      <c r="AG1150" t="s">
        <v>82</v>
      </c>
      <c r="AH1150" t="s">
        <v>83</v>
      </c>
      <c r="AI1150" t="s">
        <v>138</v>
      </c>
      <c r="AJ1150">
        <v>5.6142650139799702E-2</v>
      </c>
      <c r="AK1150">
        <v>0.90372310585985105</v>
      </c>
      <c r="AL1150">
        <v>0.22218264720956099</v>
      </c>
      <c r="AM1150">
        <v>4.7684081077489601E-2</v>
      </c>
      <c r="AN1150">
        <v>0.68763354418564704</v>
      </c>
      <c r="AO1150">
        <v>0.19304280251591199</v>
      </c>
      <c r="AP1150">
        <v>0.19304280251591199</v>
      </c>
      <c r="AQ1150">
        <v>2</v>
      </c>
      <c r="AR1150">
        <v>6</v>
      </c>
      <c r="AS1150">
        <v>0</v>
      </c>
      <c r="AT1150">
        <v>3</v>
      </c>
      <c r="AU1150">
        <v>18</v>
      </c>
      <c r="AV1150">
        <v>98</v>
      </c>
      <c r="AW1150">
        <v>2</v>
      </c>
      <c r="AX1150">
        <v>1</v>
      </c>
      <c r="AZ1150">
        <v>6.8</v>
      </c>
      <c r="BA1150">
        <v>19.899999999999999</v>
      </c>
      <c r="BB1150">
        <v>564</v>
      </c>
      <c r="BC1150">
        <v>68</v>
      </c>
      <c r="BD1150">
        <v>1.5</v>
      </c>
      <c r="BE1150">
        <v>135</v>
      </c>
      <c r="BF1150">
        <v>0.8</v>
      </c>
      <c r="BG1150">
        <v>162</v>
      </c>
      <c r="BH1150">
        <v>9.1</v>
      </c>
      <c r="BI1150">
        <v>9.1999999999999993</v>
      </c>
      <c r="BJ1150">
        <v>18.3</v>
      </c>
      <c r="BK1150">
        <v>0.34</v>
      </c>
      <c r="BL1150">
        <v>7.3</v>
      </c>
      <c r="BM1150">
        <v>0.9</v>
      </c>
      <c r="BN1150">
        <v>7.5</v>
      </c>
      <c r="BO1150">
        <v>2.9</v>
      </c>
      <c r="BP1150">
        <f t="shared" si="34"/>
        <v>6.6412246192899369</v>
      </c>
      <c r="BQ1150">
        <f t="shared" si="35"/>
        <v>19.673343299868097</v>
      </c>
    </row>
    <row r="1151" spans="1:69" hidden="1" x14ac:dyDescent="0.2">
      <c r="A1151" t="s">
        <v>3763</v>
      </c>
      <c r="B1151" t="s">
        <v>68</v>
      </c>
      <c r="C1151" t="s">
        <v>3294</v>
      </c>
      <c r="D1151" t="s">
        <v>70</v>
      </c>
      <c r="E1151" t="s">
        <v>627</v>
      </c>
      <c r="F1151">
        <v>3</v>
      </c>
      <c r="G1151">
        <v>30</v>
      </c>
      <c r="H1151">
        <v>2</v>
      </c>
      <c r="I1151">
        <v>1</v>
      </c>
      <c r="J1151">
        <v>0</v>
      </c>
      <c r="K1151" t="s">
        <v>110</v>
      </c>
      <c r="L1151" t="s">
        <v>133</v>
      </c>
      <c r="M1151" s="4">
        <v>207000000</v>
      </c>
      <c r="N1151">
        <v>0</v>
      </c>
      <c r="O1151">
        <v>4.7242665290000003</v>
      </c>
      <c r="P1151">
        <v>-74.136634830000006</v>
      </c>
      <c r="Q1151" t="s">
        <v>3764</v>
      </c>
      <c r="R1151">
        <v>6900000</v>
      </c>
      <c r="S1151">
        <v>0</v>
      </c>
      <c r="T1151" t="s">
        <v>419</v>
      </c>
      <c r="U1151" t="s">
        <v>420</v>
      </c>
      <c r="V1151" t="s">
        <v>77</v>
      </c>
      <c r="W1151" t="s">
        <v>78</v>
      </c>
      <c r="X1151" t="s">
        <v>421</v>
      </c>
      <c r="Y1151">
        <v>1.7524925789574299</v>
      </c>
      <c r="Z1151">
        <v>1752.4925789574299</v>
      </c>
      <c r="AA1151">
        <v>4.7358055555555598</v>
      </c>
      <c r="AB1151">
        <v>-74.125888888888895</v>
      </c>
      <c r="AC1151">
        <v>2574</v>
      </c>
      <c r="AD1151">
        <v>0</v>
      </c>
      <c r="AE1151" t="s">
        <v>154</v>
      </c>
      <c r="AF1151" t="s">
        <v>107</v>
      </c>
      <c r="AG1151" t="s">
        <v>82</v>
      </c>
      <c r="AH1151" t="s">
        <v>83</v>
      </c>
      <c r="AI1151" t="s">
        <v>412</v>
      </c>
      <c r="AJ1151">
        <v>3.3073623583344101</v>
      </c>
      <c r="AK1151">
        <v>0.110341110390017</v>
      </c>
      <c r="AL1151">
        <v>4.6835955212587903</v>
      </c>
      <c r="AM1151">
        <v>1.0768637000122101</v>
      </c>
      <c r="AN1151">
        <v>3.2916947682640898</v>
      </c>
      <c r="AO1151">
        <v>0.14174153864396499</v>
      </c>
      <c r="AP1151">
        <v>0.14174153864396499</v>
      </c>
      <c r="AQ1151">
        <v>0</v>
      </c>
      <c r="AR1151">
        <v>0</v>
      </c>
      <c r="AS1151">
        <v>8</v>
      </c>
      <c r="AT1151">
        <v>18</v>
      </c>
      <c r="AU1151">
        <v>0</v>
      </c>
      <c r="AV1151">
        <v>0</v>
      </c>
      <c r="AW1151">
        <v>0</v>
      </c>
      <c r="AX1151">
        <v>0</v>
      </c>
      <c r="AZ1151">
        <v>6.8</v>
      </c>
      <c r="BA1151">
        <v>19.899999999999999</v>
      </c>
      <c r="BB1151">
        <v>564</v>
      </c>
      <c r="BC1151">
        <v>68</v>
      </c>
      <c r="BD1151">
        <v>1.5</v>
      </c>
      <c r="BE1151">
        <v>135</v>
      </c>
      <c r="BF1151">
        <v>0.8</v>
      </c>
      <c r="BG1151">
        <v>162</v>
      </c>
      <c r="BH1151">
        <v>9.1</v>
      </c>
      <c r="BI1151">
        <v>9.1999999999999993</v>
      </c>
      <c r="BJ1151">
        <v>18.3</v>
      </c>
      <c r="BK1151">
        <v>0.34</v>
      </c>
      <c r="BL1151">
        <v>7.3</v>
      </c>
      <c r="BM1151">
        <v>0.9</v>
      </c>
      <c r="BN1151">
        <v>7.5</v>
      </c>
      <c r="BO1151">
        <v>2.9</v>
      </c>
      <c r="BP1151">
        <f t="shared" si="34"/>
        <v>6.2349728802510329</v>
      </c>
      <c r="BQ1151">
        <f t="shared" si="35"/>
        <v>19.080367175529371</v>
      </c>
    </row>
    <row r="1152" spans="1:69" hidden="1" x14ac:dyDescent="0.2">
      <c r="A1152" t="s">
        <v>4519</v>
      </c>
      <c r="B1152" t="s">
        <v>68</v>
      </c>
      <c r="C1152" t="s">
        <v>3294</v>
      </c>
      <c r="D1152" t="s">
        <v>70</v>
      </c>
      <c r="E1152" t="s">
        <v>136</v>
      </c>
      <c r="F1152">
        <v>3</v>
      </c>
      <c r="G1152">
        <v>30</v>
      </c>
      <c r="H1152">
        <v>1</v>
      </c>
      <c r="I1152">
        <v>1</v>
      </c>
      <c r="J1152">
        <v>0</v>
      </c>
      <c r="K1152" t="s">
        <v>110</v>
      </c>
      <c r="L1152" t="s">
        <v>111</v>
      </c>
      <c r="M1152" s="4">
        <v>330000000</v>
      </c>
      <c r="N1152">
        <v>0</v>
      </c>
      <c r="O1152">
        <v>4.621835709</v>
      </c>
      <c r="P1152">
        <v>-74.069320680000004</v>
      </c>
      <c r="Q1152" t="s">
        <v>4520</v>
      </c>
      <c r="R1152">
        <v>11000000</v>
      </c>
      <c r="S1152">
        <v>0</v>
      </c>
      <c r="T1152" t="s">
        <v>126</v>
      </c>
      <c r="U1152" t="s">
        <v>127</v>
      </c>
      <c r="V1152" t="s">
        <v>77</v>
      </c>
      <c r="W1152" t="s">
        <v>128</v>
      </c>
      <c r="X1152" t="s">
        <v>129</v>
      </c>
      <c r="Y1152">
        <v>0.48223358546770301</v>
      </c>
      <c r="Z1152">
        <v>482.23358546770299</v>
      </c>
      <c r="AA1152">
        <v>4.6254861111111101</v>
      </c>
      <c r="AB1152">
        <v>-74.066980555555503</v>
      </c>
      <c r="AC1152">
        <v>2621</v>
      </c>
      <c r="AD1152">
        <v>15</v>
      </c>
      <c r="AE1152" t="s">
        <v>80</v>
      </c>
      <c r="AF1152" t="s">
        <v>81</v>
      </c>
      <c r="AG1152" t="s">
        <v>82</v>
      </c>
      <c r="AH1152" t="s">
        <v>83</v>
      </c>
      <c r="AI1152" t="s">
        <v>138</v>
      </c>
      <c r="AJ1152">
        <v>5.2721842452662801E-2</v>
      </c>
      <c r="AK1152">
        <v>0.90329993622719795</v>
      </c>
      <c r="AL1152">
        <v>0.226179852982476</v>
      </c>
      <c r="AM1152">
        <v>4.3319566646475703E-2</v>
      </c>
      <c r="AN1152">
        <v>0.69288320367224399</v>
      </c>
      <c r="AO1152">
        <v>0.18836316657674701</v>
      </c>
      <c r="AP1152">
        <v>0.18836316657674701</v>
      </c>
      <c r="AQ1152">
        <v>2</v>
      </c>
      <c r="AR1152">
        <v>6</v>
      </c>
      <c r="AS1152">
        <v>0</v>
      </c>
      <c r="AT1152">
        <v>3</v>
      </c>
      <c r="AU1152">
        <v>18</v>
      </c>
      <c r="AV1152">
        <v>98</v>
      </c>
      <c r="AW1152">
        <v>2</v>
      </c>
      <c r="AX1152">
        <v>1</v>
      </c>
      <c r="AZ1152">
        <v>6.8</v>
      </c>
      <c r="BA1152">
        <v>19.899999999999999</v>
      </c>
      <c r="BB1152">
        <v>564</v>
      </c>
      <c r="BC1152">
        <v>68</v>
      </c>
      <c r="BD1152">
        <v>1.5</v>
      </c>
      <c r="BE1152">
        <v>135</v>
      </c>
      <c r="BF1152">
        <v>0.8</v>
      </c>
      <c r="BG1152">
        <v>162</v>
      </c>
      <c r="BH1152">
        <v>9.1</v>
      </c>
      <c r="BI1152">
        <v>9.1999999999999993</v>
      </c>
      <c r="BJ1152">
        <v>18.3</v>
      </c>
      <c r="BK1152">
        <v>0.34</v>
      </c>
      <c r="BL1152">
        <v>7.3</v>
      </c>
      <c r="BM1152">
        <v>0.9</v>
      </c>
      <c r="BN1152">
        <v>7.5</v>
      </c>
      <c r="BO1152">
        <v>2.9</v>
      </c>
      <c r="BP1152">
        <f t="shared" si="34"/>
        <v>6.6396021843722055</v>
      </c>
      <c r="BQ1152">
        <f t="shared" si="35"/>
        <v>19.671012898861775</v>
      </c>
    </row>
    <row r="1153" spans="1:69" hidden="1" x14ac:dyDescent="0.2">
      <c r="A1153" t="s">
        <v>3460</v>
      </c>
      <c r="B1153" t="s">
        <v>68</v>
      </c>
      <c r="C1153" t="s">
        <v>3294</v>
      </c>
      <c r="D1153" t="s">
        <v>70</v>
      </c>
      <c r="E1153" t="s">
        <v>2521</v>
      </c>
      <c r="F1153">
        <v>4</v>
      </c>
      <c r="G1153">
        <v>30</v>
      </c>
      <c r="H1153">
        <v>1</v>
      </c>
      <c r="I1153">
        <v>1</v>
      </c>
      <c r="J1153">
        <v>0</v>
      </c>
      <c r="K1153" t="s">
        <v>110</v>
      </c>
      <c r="L1153" t="s">
        <v>111</v>
      </c>
      <c r="M1153" s="4">
        <v>310000000</v>
      </c>
      <c r="N1153">
        <v>0</v>
      </c>
      <c r="O1153">
        <v>4.6771500000000001</v>
      </c>
      <c r="P1153">
        <v>-74.060209999999998</v>
      </c>
      <c r="Q1153" t="s">
        <v>3461</v>
      </c>
      <c r="R1153">
        <v>10333333.33</v>
      </c>
      <c r="S1153">
        <v>0</v>
      </c>
      <c r="T1153" t="s">
        <v>75</v>
      </c>
      <c r="U1153" t="s">
        <v>76</v>
      </c>
      <c r="V1153" t="s">
        <v>77</v>
      </c>
      <c r="W1153" t="s">
        <v>78</v>
      </c>
      <c r="X1153" t="s">
        <v>79</v>
      </c>
      <c r="Y1153">
        <v>3.35754895549637</v>
      </c>
      <c r="Z1153">
        <v>3357.5489554963701</v>
      </c>
      <c r="AA1153">
        <v>4.6584666666666701</v>
      </c>
      <c r="AB1153">
        <v>-74.083966666666697</v>
      </c>
      <c r="AC1153">
        <v>2552</v>
      </c>
      <c r="AD1153">
        <v>0</v>
      </c>
      <c r="AE1153" t="s">
        <v>80</v>
      </c>
      <c r="AF1153" t="s">
        <v>81</v>
      </c>
      <c r="AG1153" t="s">
        <v>82</v>
      </c>
      <c r="AH1153" t="s">
        <v>83</v>
      </c>
      <c r="AI1153" t="s">
        <v>342</v>
      </c>
      <c r="AJ1153">
        <v>0.18343993801799599</v>
      </c>
      <c r="AK1153">
        <v>2.12071390569852</v>
      </c>
      <c r="AL1153">
        <v>0.26935233367577999</v>
      </c>
      <c r="AM1153">
        <v>3.8144404175971099E-2</v>
      </c>
      <c r="AN1153">
        <v>2.42897129735772</v>
      </c>
      <c r="AO1153">
        <v>0.37353912656826499</v>
      </c>
      <c r="AP1153">
        <v>0.37353912656826499</v>
      </c>
      <c r="AQ1153">
        <v>2</v>
      </c>
      <c r="AR1153">
        <v>9</v>
      </c>
      <c r="AS1153">
        <v>0</v>
      </c>
      <c r="AT1153">
        <v>0</v>
      </c>
      <c r="AU1153">
        <v>1</v>
      </c>
      <c r="AV1153">
        <v>299</v>
      </c>
      <c r="AW1153">
        <v>0</v>
      </c>
      <c r="AX1153">
        <v>0</v>
      </c>
      <c r="AZ1153">
        <v>6.8</v>
      </c>
      <c r="BA1153">
        <v>19.899999999999999</v>
      </c>
      <c r="BB1153">
        <v>564</v>
      </c>
      <c r="BC1153">
        <v>68</v>
      </c>
      <c r="BD1153">
        <v>1.5</v>
      </c>
      <c r="BE1153">
        <v>135</v>
      </c>
      <c r="BF1153">
        <v>0.8</v>
      </c>
      <c r="BG1153">
        <v>162</v>
      </c>
      <c r="BH1153">
        <v>9.1</v>
      </c>
      <c r="BI1153">
        <v>9.1999999999999993</v>
      </c>
      <c r="BJ1153">
        <v>18.3</v>
      </c>
      <c r="BK1153">
        <v>0.34</v>
      </c>
      <c r="BL1153">
        <v>7.3</v>
      </c>
      <c r="BM1153">
        <v>0.9</v>
      </c>
      <c r="BN1153">
        <v>7.5</v>
      </c>
      <c r="BO1153">
        <v>2.9</v>
      </c>
      <c r="BP1153">
        <f t="shared" si="34"/>
        <v>5.7587701649722094</v>
      </c>
      <c r="BQ1153">
        <f t="shared" si="35"/>
        <v>18.359342202473623</v>
      </c>
    </row>
    <row r="1154" spans="1:69" hidden="1" x14ac:dyDescent="0.2">
      <c r="A1154" t="s">
        <v>4364</v>
      </c>
      <c r="B1154" t="s">
        <v>68</v>
      </c>
      <c r="C1154" t="s">
        <v>3294</v>
      </c>
      <c r="D1154" t="s">
        <v>70</v>
      </c>
      <c r="E1154" t="s">
        <v>73</v>
      </c>
      <c r="F1154">
        <v>4</v>
      </c>
      <c r="G1154">
        <v>30</v>
      </c>
      <c r="H1154">
        <v>1</v>
      </c>
      <c r="I1154">
        <v>1</v>
      </c>
      <c r="J1154">
        <v>1</v>
      </c>
      <c r="K1154" t="s">
        <v>110</v>
      </c>
      <c r="L1154" t="s">
        <v>133</v>
      </c>
      <c r="M1154" s="4">
        <v>280000000</v>
      </c>
      <c r="N1154">
        <v>0</v>
      </c>
      <c r="O1154">
        <v>4.6459608079999999</v>
      </c>
      <c r="P1154">
        <v>-74.067749019999994</v>
      </c>
      <c r="Q1154" t="s">
        <v>4365</v>
      </c>
      <c r="R1154">
        <v>9333333.3330000006</v>
      </c>
      <c r="S1154">
        <v>0</v>
      </c>
      <c r="T1154" t="s">
        <v>75</v>
      </c>
      <c r="U1154" t="s">
        <v>76</v>
      </c>
      <c r="V1154" t="s">
        <v>77</v>
      </c>
      <c r="W1154" t="s">
        <v>78</v>
      </c>
      <c r="X1154" t="s">
        <v>79</v>
      </c>
      <c r="Y1154">
        <v>2.2750565846743398</v>
      </c>
      <c r="Z1154">
        <v>2275.0565846743398</v>
      </c>
      <c r="AA1154">
        <v>4.6584666666666701</v>
      </c>
      <c r="AB1154">
        <v>-74.083966666666697</v>
      </c>
      <c r="AC1154">
        <v>2552</v>
      </c>
      <c r="AD1154">
        <v>0</v>
      </c>
      <c r="AE1154" t="s">
        <v>80</v>
      </c>
      <c r="AF1154" t="s">
        <v>81</v>
      </c>
      <c r="AG1154" t="s">
        <v>82</v>
      </c>
      <c r="AH1154" t="s">
        <v>83</v>
      </c>
      <c r="AI1154" t="s">
        <v>84</v>
      </c>
      <c r="AJ1154">
        <v>0.39212266538408203</v>
      </c>
      <c r="AK1154">
        <v>1.26215438443646</v>
      </c>
      <c r="AL1154">
        <v>0.19333355936312499</v>
      </c>
      <c r="AM1154">
        <v>9.2645351859851996E-2</v>
      </c>
      <c r="AN1154">
        <v>1.1436077933409501</v>
      </c>
      <c r="AO1154">
        <v>6.9651924134253002E-2</v>
      </c>
      <c r="AP1154">
        <v>6.9651924134253002E-2</v>
      </c>
      <c r="AQ1154">
        <v>2</v>
      </c>
      <c r="AR1154">
        <v>4</v>
      </c>
      <c r="AS1154">
        <v>0</v>
      </c>
      <c r="AT1154">
        <v>0</v>
      </c>
      <c r="AU1154">
        <v>13</v>
      </c>
      <c r="AV1154">
        <v>121</v>
      </c>
      <c r="AW1154">
        <v>0</v>
      </c>
      <c r="AX1154">
        <v>0</v>
      </c>
      <c r="AZ1154">
        <v>6.8</v>
      </c>
      <c r="BA1154">
        <v>19.899999999999999</v>
      </c>
      <c r="BB1154">
        <v>564</v>
      </c>
      <c r="BC1154">
        <v>68</v>
      </c>
      <c r="BD1154">
        <v>1.5</v>
      </c>
      <c r="BE1154">
        <v>135</v>
      </c>
      <c r="BF1154">
        <v>0.8</v>
      </c>
      <c r="BG1154">
        <v>162</v>
      </c>
      <c r="BH1154">
        <v>9.1</v>
      </c>
      <c r="BI1154">
        <v>9.1999999999999993</v>
      </c>
      <c r="BJ1154">
        <v>18.3</v>
      </c>
      <c r="BK1154">
        <v>0.34</v>
      </c>
      <c r="BL1154">
        <v>7.3</v>
      </c>
      <c r="BM1154">
        <v>0.9</v>
      </c>
      <c r="BN1154">
        <v>7.5</v>
      </c>
      <c r="BO1154">
        <v>2.9</v>
      </c>
      <c r="BP1154">
        <f t="shared" ref="BP1154:BP1217" si="36">+AZ1154*EXP(-0.0495*Y1154)</f>
        <v>6.0757613789432439</v>
      </c>
      <c r="BQ1154">
        <f t="shared" ref="BQ1154:BQ1217" si="37">+BA1154*EXP(-0.024*Y1154)</f>
        <v>18.842564384231078</v>
      </c>
    </row>
    <row r="1155" spans="1:69" hidden="1" x14ac:dyDescent="0.2">
      <c r="A1155" t="s">
        <v>3651</v>
      </c>
      <c r="B1155" t="s">
        <v>68</v>
      </c>
      <c r="C1155" t="s">
        <v>3294</v>
      </c>
      <c r="D1155" t="s">
        <v>70</v>
      </c>
      <c r="E1155" t="s">
        <v>3652</v>
      </c>
      <c r="F1155">
        <v>4</v>
      </c>
      <c r="G1155">
        <v>30</v>
      </c>
      <c r="H1155">
        <v>1</v>
      </c>
      <c r="I1155">
        <v>1</v>
      </c>
      <c r="J1155">
        <v>1</v>
      </c>
      <c r="K1155" t="s">
        <v>110</v>
      </c>
      <c r="L1155" t="s">
        <v>111</v>
      </c>
      <c r="M1155" s="4">
        <v>280000000</v>
      </c>
      <c r="N1155">
        <v>0</v>
      </c>
      <c r="O1155">
        <v>4.6142000000000003</v>
      </c>
      <c r="P1155">
        <v>-74.065190000000001</v>
      </c>
      <c r="Q1155" t="s">
        <v>3653</v>
      </c>
      <c r="R1155">
        <v>9333333.3330000006</v>
      </c>
      <c r="S1155">
        <v>0</v>
      </c>
      <c r="T1155" t="s">
        <v>126</v>
      </c>
      <c r="U1155" t="s">
        <v>127</v>
      </c>
      <c r="V1155" t="s">
        <v>77</v>
      </c>
      <c r="W1155" t="s">
        <v>128</v>
      </c>
      <c r="X1155" t="s">
        <v>129</v>
      </c>
      <c r="Y1155">
        <v>1.27197604734682</v>
      </c>
      <c r="Z1155">
        <v>1271.97604734682</v>
      </c>
      <c r="AA1155">
        <v>4.6254861111111101</v>
      </c>
      <c r="AB1155">
        <v>-74.066980555555503</v>
      </c>
      <c r="AC1155">
        <v>2621</v>
      </c>
      <c r="AD1155">
        <v>15</v>
      </c>
      <c r="AE1155" t="s">
        <v>80</v>
      </c>
      <c r="AF1155" t="s">
        <v>81</v>
      </c>
      <c r="AG1155" t="s">
        <v>82</v>
      </c>
      <c r="AH1155" t="s">
        <v>83</v>
      </c>
      <c r="AI1155" t="s">
        <v>138</v>
      </c>
      <c r="AJ1155">
        <v>0.46232666883041301</v>
      </c>
      <c r="AK1155">
        <v>0.13882543005643799</v>
      </c>
      <c r="AL1155">
        <v>0.415681217613871</v>
      </c>
      <c r="AM1155">
        <v>0.426270848172626</v>
      </c>
      <c r="AN1155">
        <v>0.17684158889575599</v>
      </c>
      <c r="AO1155">
        <v>0.18518585171906299</v>
      </c>
      <c r="AP1155">
        <v>0.18518585171906299</v>
      </c>
      <c r="AQ1155">
        <v>1</v>
      </c>
      <c r="AR1155">
        <v>4</v>
      </c>
      <c r="AS1155">
        <v>1</v>
      </c>
      <c r="AT1155">
        <v>29</v>
      </c>
      <c r="AU1155">
        <v>8</v>
      </c>
      <c r="AV1155">
        <v>27</v>
      </c>
      <c r="AW1155">
        <v>1</v>
      </c>
      <c r="AX1155">
        <v>4</v>
      </c>
      <c r="AZ1155">
        <v>6.8</v>
      </c>
      <c r="BA1155">
        <v>19.899999999999999</v>
      </c>
      <c r="BB1155">
        <v>564</v>
      </c>
      <c r="BC1155">
        <v>68</v>
      </c>
      <c r="BD1155">
        <v>1.5</v>
      </c>
      <c r="BE1155">
        <v>135</v>
      </c>
      <c r="BF1155">
        <v>0.8</v>
      </c>
      <c r="BG1155">
        <v>162</v>
      </c>
      <c r="BH1155">
        <v>9.1</v>
      </c>
      <c r="BI1155">
        <v>9.1999999999999993</v>
      </c>
      <c r="BJ1155">
        <v>18.3</v>
      </c>
      <c r="BK1155">
        <v>0.34</v>
      </c>
      <c r="BL1155">
        <v>7.3</v>
      </c>
      <c r="BM1155">
        <v>0.9</v>
      </c>
      <c r="BN1155">
        <v>7.5</v>
      </c>
      <c r="BO1155">
        <v>2.9</v>
      </c>
      <c r="BP1155">
        <f t="shared" si="36"/>
        <v>6.3850530490599677</v>
      </c>
      <c r="BQ1155">
        <f t="shared" si="37"/>
        <v>19.301683239584534</v>
      </c>
    </row>
    <row r="1156" spans="1:69" hidden="1" x14ac:dyDescent="0.2">
      <c r="A1156" t="s">
        <v>4565</v>
      </c>
      <c r="B1156" t="s">
        <v>68</v>
      </c>
      <c r="C1156" t="s">
        <v>3294</v>
      </c>
      <c r="D1156" t="s">
        <v>70</v>
      </c>
      <c r="E1156" t="s">
        <v>1309</v>
      </c>
      <c r="F1156">
        <v>4</v>
      </c>
      <c r="G1156">
        <v>30</v>
      </c>
      <c r="H1156">
        <v>1</v>
      </c>
      <c r="I1156">
        <v>1</v>
      </c>
      <c r="J1156">
        <v>0</v>
      </c>
      <c r="K1156" t="s">
        <v>110</v>
      </c>
      <c r="L1156" t="s">
        <v>111</v>
      </c>
      <c r="M1156" s="4">
        <v>270000000</v>
      </c>
      <c r="N1156">
        <v>0</v>
      </c>
      <c r="O1156">
        <v>4.6444406999999996</v>
      </c>
      <c r="P1156">
        <v>-74.054779999999994</v>
      </c>
      <c r="Q1156" t="s">
        <v>4566</v>
      </c>
      <c r="R1156">
        <v>9000000</v>
      </c>
      <c r="S1156">
        <v>0</v>
      </c>
      <c r="T1156" t="s">
        <v>126</v>
      </c>
      <c r="U1156" t="s">
        <v>127</v>
      </c>
      <c r="V1156" t="s">
        <v>77</v>
      </c>
      <c r="W1156" t="s">
        <v>128</v>
      </c>
      <c r="X1156" t="s">
        <v>129</v>
      </c>
      <c r="Y1156">
        <v>2.5069337428835001</v>
      </c>
      <c r="Z1156">
        <v>2506.9337428835001</v>
      </c>
      <c r="AA1156">
        <v>4.6254861111111101</v>
      </c>
      <c r="AB1156">
        <v>-74.066980555555503</v>
      </c>
      <c r="AC1156">
        <v>2621</v>
      </c>
      <c r="AD1156">
        <v>15</v>
      </c>
      <c r="AE1156" t="s">
        <v>80</v>
      </c>
      <c r="AF1156" t="s">
        <v>81</v>
      </c>
      <c r="AG1156" t="s">
        <v>82</v>
      </c>
      <c r="AH1156" t="s">
        <v>83</v>
      </c>
      <c r="AI1156" t="s">
        <v>130</v>
      </c>
      <c r="AJ1156">
        <v>1.20157227317285</v>
      </c>
      <c r="AK1156">
        <v>0.150025381320052</v>
      </c>
      <c r="AL1156">
        <v>0.58442837611808096</v>
      </c>
      <c r="AM1156">
        <v>0.25639616209487898</v>
      </c>
      <c r="AN1156">
        <v>0.50788020141396595</v>
      </c>
      <c r="AO1156">
        <v>0.33075191316838398</v>
      </c>
      <c r="AP1156">
        <v>0.33075191316838398</v>
      </c>
      <c r="AQ1156">
        <v>0</v>
      </c>
      <c r="AR1156">
        <v>0</v>
      </c>
      <c r="AS1156">
        <v>19</v>
      </c>
      <c r="AT1156">
        <v>56</v>
      </c>
      <c r="AU1156">
        <v>5</v>
      </c>
      <c r="AV1156">
        <v>23</v>
      </c>
      <c r="AW1156">
        <v>1</v>
      </c>
      <c r="AX1156">
        <v>0</v>
      </c>
      <c r="AZ1156">
        <v>6.8</v>
      </c>
      <c r="BA1156">
        <v>19.899999999999999</v>
      </c>
      <c r="BB1156">
        <v>564</v>
      </c>
      <c r="BC1156">
        <v>68</v>
      </c>
      <c r="BD1156">
        <v>1.5</v>
      </c>
      <c r="BE1156">
        <v>135</v>
      </c>
      <c r="BF1156">
        <v>0.8</v>
      </c>
      <c r="BG1156">
        <v>162</v>
      </c>
      <c r="BH1156">
        <v>9.1</v>
      </c>
      <c r="BI1156">
        <v>9.1999999999999993</v>
      </c>
      <c r="BJ1156">
        <v>18.3</v>
      </c>
      <c r="BK1156">
        <v>0.34</v>
      </c>
      <c r="BL1156">
        <v>7.3</v>
      </c>
      <c r="BM1156">
        <v>0.9</v>
      </c>
      <c r="BN1156">
        <v>7.5</v>
      </c>
      <c r="BO1156">
        <v>2.9</v>
      </c>
      <c r="BP1156">
        <f t="shared" si="36"/>
        <v>6.0064229715163737</v>
      </c>
      <c r="BQ1156">
        <f t="shared" si="37"/>
        <v>18.737995772187624</v>
      </c>
    </row>
    <row r="1157" spans="1:69" hidden="1" x14ac:dyDescent="0.2">
      <c r="A1157" t="s">
        <v>3632</v>
      </c>
      <c r="B1157" t="s">
        <v>68</v>
      </c>
      <c r="C1157" t="s">
        <v>3294</v>
      </c>
      <c r="D1157" t="s">
        <v>70</v>
      </c>
      <c r="E1157" t="s">
        <v>1309</v>
      </c>
      <c r="F1157">
        <v>4</v>
      </c>
      <c r="G1157">
        <v>30</v>
      </c>
      <c r="H1157">
        <v>1</v>
      </c>
      <c r="I1157">
        <v>1</v>
      </c>
      <c r="J1157">
        <v>0</v>
      </c>
      <c r="K1157" t="s">
        <v>110</v>
      </c>
      <c r="L1157" t="s">
        <v>111</v>
      </c>
      <c r="M1157" s="4">
        <v>269000000</v>
      </c>
      <c r="N1157">
        <v>0</v>
      </c>
      <c r="O1157">
        <v>4.6444406999999996</v>
      </c>
      <c r="P1157">
        <v>-74.054779999999994</v>
      </c>
      <c r="Q1157" t="s">
        <v>3633</v>
      </c>
      <c r="R1157">
        <v>8966666.6669999994</v>
      </c>
      <c r="S1157">
        <v>0</v>
      </c>
      <c r="T1157" t="s">
        <v>126</v>
      </c>
      <c r="U1157" t="s">
        <v>127</v>
      </c>
      <c r="V1157" t="s">
        <v>77</v>
      </c>
      <c r="W1157" t="s">
        <v>128</v>
      </c>
      <c r="X1157" t="s">
        <v>129</v>
      </c>
      <c r="Y1157">
        <v>2.5069337428835001</v>
      </c>
      <c r="Z1157">
        <v>2506.9337428835001</v>
      </c>
      <c r="AA1157">
        <v>4.6254861111111101</v>
      </c>
      <c r="AB1157">
        <v>-74.066980555555503</v>
      </c>
      <c r="AC1157">
        <v>2621</v>
      </c>
      <c r="AD1157">
        <v>15</v>
      </c>
      <c r="AE1157" t="s">
        <v>80</v>
      </c>
      <c r="AF1157" t="s">
        <v>81</v>
      </c>
      <c r="AG1157" t="s">
        <v>82</v>
      </c>
      <c r="AH1157" t="s">
        <v>83</v>
      </c>
      <c r="AI1157" t="s">
        <v>130</v>
      </c>
      <c r="AJ1157">
        <v>1.20157227317285</v>
      </c>
      <c r="AK1157">
        <v>0.150025381320052</v>
      </c>
      <c r="AL1157">
        <v>0.58442837611808096</v>
      </c>
      <c r="AM1157">
        <v>0.25639616209487898</v>
      </c>
      <c r="AN1157">
        <v>0.50788020141396595</v>
      </c>
      <c r="AO1157">
        <v>0.33075191316838398</v>
      </c>
      <c r="AP1157">
        <v>0.33075191316838398</v>
      </c>
      <c r="AQ1157">
        <v>0</v>
      </c>
      <c r="AR1157">
        <v>0</v>
      </c>
      <c r="AS1157">
        <v>19</v>
      </c>
      <c r="AT1157">
        <v>56</v>
      </c>
      <c r="AU1157">
        <v>5</v>
      </c>
      <c r="AV1157">
        <v>23</v>
      </c>
      <c r="AW1157">
        <v>1</v>
      </c>
      <c r="AX1157">
        <v>0</v>
      </c>
      <c r="AZ1157">
        <v>6.8</v>
      </c>
      <c r="BA1157">
        <v>19.899999999999999</v>
      </c>
      <c r="BB1157">
        <v>564</v>
      </c>
      <c r="BC1157">
        <v>68</v>
      </c>
      <c r="BD1157">
        <v>1.5</v>
      </c>
      <c r="BE1157">
        <v>135</v>
      </c>
      <c r="BF1157">
        <v>0.8</v>
      </c>
      <c r="BG1157">
        <v>162</v>
      </c>
      <c r="BH1157">
        <v>9.1</v>
      </c>
      <c r="BI1157">
        <v>9.1999999999999993</v>
      </c>
      <c r="BJ1157">
        <v>18.3</v>
      </c>
      <c r="BK1157">
        <v>0.34</v>
      </c>
      <c r="BL1157">
        <v>7.3</v>
      </c>
      <c r="BM1157">
        <v>0.9</v>
      </c>
      <c r="BN1157">
        <v>7.5</v>
      </c>
      <c r="BO1157">
        <v>2.9</v>
      </c>
      <c r="BP1157">
        <f t="shared" si="36"/>
        <v>6.0064229715163737</v>
      </c>
      <c r="BQ1157">
        <f t="shared" si="37"/>
        <v>18.737995772187624</v>
      </c>
    </row>
    <row r="1158" spans="1:69" hidden="1" x14ac:dyDescent="0.2">
      <c r="A1158" t="s">
        <v>4072</v>
      </c>
      <c r="B1158" t="s">
        <v>68</v>
      </c>
      <c r="C1158" t="s">
        <v>3294</v>
      </c>
      <c r="D1158" t="s">
        <v>70</v>
      </c>
      <c r="E1158" t="s">
        <v>1291</v>
      </c>
      <c r="F1158">
        <v>4</v>
      </c>
      <c r="G1158">
        <v>30</v>
      </c>
      <c r="H1158">
        <v>1</v>
      </c>
      <c r="I1158">
        <v>1</v>
      </c>
      <c r="J1158">
        <v>0</v>
      </c>
      <c r="K1158" t="s">
        <v>110</v>
      </c>
      <c r="L1158" t="s">
        <v>111</v>
      </c>
      <c r="M1158" s="4">
        <v>265000000</v>
      </c>
      <c r="N1158">
        <v>0</v>
      </c>
      <c r="O1158">
        <v>4.6444299999999998</v>
      </c>
      <c r="P1158">
        <v>-74.054270000000002</v>
      </c>
      <c r="Q1158" t="s">
        <v>4073</v>
      </c>
      <c r="R1158">
        <v>8833333.3330000006</v>
      </c>
      <c r="S1158">
        <v>0</v>
      </c>
      <c r="T1158" t="s">
        <v>126</v>
      </c>
      <c r="U1158" t="s">
        <v>127</v>
      </c>
      <c r="V1158" t="s">
        <v>77</v>
      </c>
      <c r="W1158" t="s">
        <v>128</v>
      </c>
      <c r="X1158" t="s">
        <v>129</v>
      </c>
      <c r="Y1158">
        <v>2.5369470335492199</v>
      </c>
      <c r="Z1158">
        <v>2536.9470335492201</v>
      </c>
      <c r="AA1158">
        <v>4.6254861111111101</v>
      </c>
      <c r="AB1158">
        <v>-74.066980555555503</v>
      </c>
      <c r="AC1158">
        <v>2621</v>
      </c>
      <c r="AD1158">
        <v>15</v>
      </c>
      <c r="AE1158" t="s">
        <v>80</v>
      </c>
      <c r="AF1158" t="s">
        <v>81</v>
      </c>
      <c r="AG1158" t="s">
        <v>82</v>
      </c>
      <c r="AH1158" t="s">
        <v>83</v>
      </c>
      <c r="AI1158" t="s">
        <v>130</v>
      </c>
      <c r="AJ1158">
        <v>1.25481606266867</v>
      </c>
      <c r="AK1158">
        <v>9.5207316814099302E-2</v>
      </c>
      <c r="AL1158">
        <v>0.61815004059380996</v>
      </c>
      <c r="AM1158">
        <v>0.28308492129235602</v>
      </c>
      <c r="AN1158">
        <v>0.55288554306955395</v>
      </c>
      <c r="AO1158">
        <v>0.38510791537348299</v>
      </c>
      <c r="AP1158">
        <v>0.38510791537348299</v>
      </c>
      <c r="AQ1158">
        <v>0</v>
      </c>
      <c r="AR1158">
        <v>0</v>
      </c>
      <c r="AS1158">
        <v>22</v>
      </c>
      <c r="AT1158">
        <v>57</v>
      </c>
      <c r="AU1158">
        <v>4</v>
      </c>
      <c r="AV1158">
        <v>22</v>
      </c>
      <c r="AW1158">
        <v>1</v>
      </c>
      <c r="AX1158">
        <v>0</v>
      </c>
      <c r="AZ1158">
        <v>6.8</v>
      </c>
      <c r="BA1158">
        <v>19.899999999999999</v>
      </c>
      <c r="BB1158">
        <v>564</v>
      </c>
      <c r="BC1158">
        <v>68</v>
      </c>
      <c r="BD1158">
        <v>1.5</v>
      </c>
      <c r="BE1158">
        <v>135</v>
      </c>
      <c r="BF1158">
        <v>0.8</v>
      </c>
      <c r="BG1158">
        <v>162</v>
      </c>
      <c r="BH1158">
        <v>9.1</v>
      </c>
      <c r="BI1158">
        <v>9.1999999999999993</v>
      </c>
      <c r="BJ1158">
        <v>18.3</v>
      </c>
      <c r="BK1158">
        <v>0.34</v>
      </c>
      <c r="BL1158">
        <v>7.3</v>
      </c>
      <c r="BM1158">
        <v>0.9</v>
      </c>
      <c r="BN1158">
        <v>7.5</v>
      </c>
      <c r="BO1158">
        <v>2.9</v>
      </c>
      <c r="BP1158">
        <f t="shared" si="36"/>
        <v>5.997506107195357</v>
      </c>
      <c r="BQ1158">
        <f t="shared" si="37"/>
        <v>18.724503298287019</v>
      </c>
    </row>
    <row r="1159" spans="1:69" hidden="1" x14ac:dyDescent="0.2">
      <c r="A1159" t="s">
        <v>3304</v>
      </c>
      <c r="B1159" t="s">
        <v>68</v>
      </c>
      <c r="C1159" t="s">
        <v>3294</v>
      </c>
      <c r="D1159" t="s">
        <v>70</v>
      </c>
      <c r="E1159" t="s">
        <v>3305</v>
      </c>
      <c r="F1159">
        <v>3</v>
      </c>
      <c r="G1159">
        <v>30</v>
      </c>
      <c r="H1159">
        <v>1</v>
      </c>
      <c r="I1159">
        <v>1</v>
      </c>
      <c r="J1159">
        <v>0</v>
      </c>
      <c r="K1159" t="s">
        <v>110</v>
      </c>
      <c r="L1159" t="s">
        <v>111</v>
      </c>
      <c r="M1159" s="4">
        <v>224400000</v>
      </c>
      <c r="N1159">
        <v>0</v>
      </c>
      <c r="O1159">
        <v>4.7015800609999996</v>
      </c>
      <c r="P1159">
        <v>-74.107954680000006</v>
      </c>
      <c r="Q1159" t="s">
        <v>3306</v>
      </c>
      <c r="R1159">
        <v>7480000</v>
      </c>
      <c r="S1159">
        <v>0</v>
      </c>
      <c r="T1159" t="s">
        <v>419</v>
      </c>
      <c r="U1159" t="s">
        <v>420</v>
      </c>
      <c r="V1159" t="s">
        <v>77</v>
      </c>
      <c r="W1159" t="s">
        <v>78</v>
      </c>
      <c r="X1159" t="s">
        <v>421</v>
      </c>
      <c r="Y1159">
        <v>4.29820642793515</v>
      </c>
      <c r="Z1159">
        <v>4298.2064279351498</v>
      </c>
      <c r="AA1159">
        <v>4.7358055555555598</v>
      </c>
      <c r="AB1159">
        <v>-74.125888888888895</v>
      </c>
      <c r="AC1159">
        <v>2574</v>
      </c>
      <c r="AD1159">
        <v>0</v>
      </c>
      <c r="AE1159" t="s">
        <v>154</v>
      </c>
      <c r="AF1159" t="s">
        <v>107</v>
      </c>
      <c r="AG1159" t="s">
        <v>82</v>
      </c>
      <c r="AH1159" t="s">
        <v>83</v>
      </c>
      <c r="AI1159" t="s">
        <v>412</v>
      </c>
      <c r="AJ1159">
        <v>0.50711242884296504</v>
      </c>
      <c r="AK1159">
        <v>3.2784408724479199</v>
      </c>
      <c r="AL1159">
        <v>1.00531690778489</v>
      </c>
      <c r="AM1159">
        <v>0.399947429690581</v>
      </c>
      <c r="AN1159">
        <v>1.40614530012164</v>
      </c>
      <c r="AO1159">
        <v>3.2059648451517798E-2</v>
      </c>
      <c r="AP1159">
        <v>3.2059648451517798E-2</v>
      </c>
      <c r="AQ1159">
        <v>0</v>
      </c>
      <c r="AR1159">
        <v>4</v>
      </c>
      <c r="AS1159">
        <v>0</v>
      </c>
      <c r="AT1159">
        <v>0</v>
      </c>
      <c r="AU1159">
        <v>0</v>
      </c>
      <c r="AV1159">
        <v>36</v>
      </c>
      <c r="AW1159">
        <v>0</v>
      </c>
      <c r="AX1159">
        <v>0</v>
      </c>
      <c r="AZ1159">
        <v>6.8</v>
      </c>
      <c r="BA1159">
        <v>19.899999999999999</v>
      </c>
      <c r="BB1159">
        <v>564</v>
      </c>
      <c r="BC1159">
        <v>68</v>
      </c>
      <c r="BD1159">
        <v>1.5</v>
      </c>
      <c r="BE1159">
        <v>135</v>
      </c>
      <c r="BF1159">
        <v>0.8</v>
      </c>
      <c r="BG1159">
        <v>162</v>
      </c>
      <c r="BH1159">
        <v>9.1</v>
      </c>
      <c r="BI1159">
        <v>9.1999999999999993</v>
      </c>
      <c r="BJ1159">
        <v>18.3</v>
      </c>
      <c r="BK1159">
        <v>0.34</v>
      </c>
      <c r="BL1159">
        <v>7.3</v>
      </c>
      <c r="BM1159">
        <v>0.9</v>
      </c>
      <c r="BN1159">
        <v>7.5</v>
      </c>
      <c r="BO1159">
        <v>2.9</v>
      </c>
      <c r="BP1159">
        <f t="shared" si="36"/>
        <v>5.4967741060903235</v>
      </c>
      <c r="BQ1159">
        <f t="shared" si="37"/>
        <v>17.949509299043882</v>
      </c>
    </row>
    <row r="1160" spans="1:69" hidden="1" x14ac:dyDescent="0.2">
      <c r="A1160" t="s">
        <v>3387</v>
      </c>
      <c r="B1160" t="s">
        <v>68</v>
      </c>
      <c r="C1160" t="s">
        <v>3294</v>
      </c>
      <c r="D1160" t="s">
        <v>70</v>
      </c>
      <c r="E1160" t="s">
        <v>1309</v>
      </c>
      <c r="F1160">
        <v>4</v>
      </c>
      <c r="G1160">
        <v>30</v>
      </c>
      <c r="H1160">
        <v>1</v>
      </c>
      <c r="I1160">
        <v>1</v>
      </c>
      <c r="J1160">
        <v>1</v>
      </c>
      <c r="K1160" t="s">
        <v>110</v>
      </c>
      <c r="L1160" t="s">
        <v>111</v>
      </c>
      <c r="M1160" s="4">
        <v>260000000</v>
      </c>
      <c r="N1160">
        <v>0</v>
      </c>
      <c r="O1160">
        <v>4.6444902419999998</v>
      </c>
      <c r="P1160">
        <v>-74.055084230000006</v>
      </c>
      <c r="Q1160" t="s">
        <v>3388</v>
      </c>
      <c r="R1160">
        <v>8666666.6669999994</v>
      </c>
      <c r="S1160">
        <v>0</v>
      </c>
      <c r="T1160" t="s">
        <v>126</v>
      </c>
      <c r="U1160" t="s">
        <v>127</v>
      </c>
      <c r="V1160" t="s">
        <v>77</v>
      </c>
      <c r="W1160" t="s">
        <v>128</v>
      </c>
      <c r="X1160" t="s">
        <v>129</v>
      </c>
      <c r="Y1160">
        <v>2.4935452320537799</v>
      </c>
      <c r="Z1160">
        <v>2493.5452320537802</v>
      </c>
      <c r="AA1160">
        <v>4.6254861111111101</v>
      </c>
      <c r="AB1160">
        <v>-74.066980555555503</v>
      </c>
      <c r="AC1160">
        <v>2621</v>
      </c>
      <c r="AD1160">
        <v>15</v>
      </c>
      <c r="AE1160" t="s">
        <v>80</v>
      </c>
      <c r="AF1160" t="s">
        <v>81</v>
      </c>
      <c r="AG1160" t="s">
        <v>82</v>
      </c>
      <c r="AH1160" t="s">
        <v>83</v>
      </c>
      <c r="AI1160" t="s">
        <v>130</v>
      </c>
      <c r="AJ1160">
        <v>1.1681848572302</v>
      </c>
      <c r="AK1160">
        <v>0.18415593219535401</v>
      </c>
      <c r="AL1160">
        <v>0.55253449907653496</v>
      </c>
      <c r="AM1160">
        <v>0.24992540301235799</v>
      </c>
      <c r="AN1160">
        <v>0.48530590083936498</v>
      </c>
      <c r="AO1160">
        <v>0.297081149293562</v>
      </c>
      <c r="AP1160">
        <v>0.297081149293562</v>
      </c>
      <c r="AQ1160">
        <v>0</v>
      </c>
      <c r="AR1160">
        <v>0</v>
      </c>
      <c r="AS1160">
        <v>16</v>
      </c>
      <c r="AT1160">
        <v>55</v>
      </c>
      <c r="AU1160">
        <v>5</v>
      </c>
      <c r="AV1160">
        <v>28</v>
      </c>
      <c r="AW1160">
        <v>1</v>
      </c>
      <c r="AX1160">
        <v>0</v>
      </c>
      <c r="AZ1160">
        <v>6.8</v>
      </c>
      <c r="BA1160">
        <v>19.899999999999999</v>
      </c>
      <c r="BB1160">
        <v>564</v>
      </c>
      <c r="BC1160">
        <v>68</v>
      </c>
      <c r="BD1160">
        <v>1.5</v>
      </c>
      <c r="BE1160">
        <v>135</v>
      </c>
      <c r="BF1160">
        <v>0.8</v>
      </c>
      <c r="BG1160">
        <v>162</v>
      </c>
      <c r="BH1160">
        <v>9.1</v>
      </c>
      <c r="BI1160">
        <v>9.1999999999999993</v>
      </c>
      <c r="BJ1160">
        <v>18.3</v>
      </c>
      <c r="BK1160">
        <v>0.34</v>
      </c>
      <c r="BL1160">
        <v>7.3</v>
      </c>
      <c r="BM1160">
        <v>0.9</v>
      </c>
      <c r="BN1160">
        <v>7.5</v>
      </c>
      <c r="BO1160">
        <v>2.9</v>
      </c>
      <c r="BP1160">
        <f t="shared" si="36"/>
        <v>6.0104049352772115</v>
      </c>
      <c r="BQ1160">
        <f t="shared" si="37"/>
        <v>18.744017712257286</v>
      </c>
    </row>
    <row r="1161" spans="1:69" hidden="1" x14ac:dyDescent="0.2">
      <c r="A1161" t="s">
        <v>4558</v>
      </c>
      <c r="B1161" t="s">
        <v>68</v>
      </c>
      <c r="C1161" t="s">
        <v>3294</v>
      </c>
      <c r="D1161" t="s">
        <v>70</v>
      </c>
      <c r="E1161" t="s">
        <v>1291</v>
      </c>
      <c r="F1161">
        <v>4</v>
      </c>
      <c r="G1161">
        <v>30</v>
      </c>
      <c r="H1161">
        <v>1</v>
      </c>
      <c r="I1161">
        <v>1</v>
      </c>
      <c r="J1161">
        <v>0</v>
      </c>
      <c r="K1161" t="s">
        <v>110</v>
      </c>
      <c r="L1161" t="s">
        <v>111</v>
      </c>
      <c r="M1161" s="4">
        <v>259000000</v>
      </c>
      <c r="N1161">
        <v>0</v>
      </c>
      <c r="O1161">
        <v>4.6442595000000004</v>
      </c>
      <c r="P1161">
        <v>-74.054248200000004</v>
      </c>
      <c r="Q1161" t="s">
        <v>4559</v>
      </c>
      <c r="R1161">
        <v>8633333.3330000006</v>
      </c>
      <c r="S1161">
        <v>0</v>
      </c>
      <c r="T1161" t="s">
        <v>126</v>
      </c>
      <c r="U1161" t="s">
        <v>127</v>
      </c>
      <c r="V1161" t="s">
        <v>77</v>
      </c>
      <c r="W1161" t="s">
        <v>128</v>
      </c>
      <c r="X1161" t="s">
        <v>129</v>
      </c>
      <c r="Y1161">
        <v>2.5225460450050599</v>
      </c>
      <c r="Z1161">
        <v>2522.54604500506</v>
      </c>
      <c r="AA1161">
        <v>4.6254861111111101</v>
      </c>
      <c r="AB1161">
        <v>-74.066980555555503</v>
      </c>
      <c r="AC1161">
        <v>2621</v>
      </c>
      <c r="AD1161">
        <v>15</v>
      </c>
      <c r="AE1161" t="s">
        <v>80</v>
      </c>
      <c r="AF1161" t="s">
        <v>81</v>
      </c>
      <c r="AG1161" t="s">
        <v>82</v>
      </c>
      <c r="AH1161" t="s">
        <v>83</v>
      </c>
      <c r="AI1161" t="s">
        <v>130</v>
      </c>
      <c r="AJ1161">
        <v>1.26378694360799</v>
      </c>
      <c r="AK1161">
        <v>8.8379404242702797E-2</v>
      </c>
      <c r="AL1161">
        <v>0.63463681079020395</v>
      </c>
      <c r="AM1161">
        <v>0.26923077998385297</v>
      </c>
      <c r="AN1161">
        <v>0.54453588724488999</v>
      </c>
      <c r="AO1161">
        <v>0.393028265791664</v>
      </c>
      <c r="AP1161">
        <v>0.393028265791664</v>
      </c>
      <c r="AQ1161">
        <v>0</v>
      </c>
      <c r="AR1161">
        <v>0</v>
      </c>
      <c r="AS1161">
        <v>22</v>
      </c>
      <c r="AT1161">
        <v>58</v>
      </c>
      <c r="AU1161">
        <v>4</v>
      </c>
      <c r="AV1161">
        <v>20</v>
      </c>
      <c r="AW1161">
        <v>1</v>
      </c>
      <c r="AX1161">
        <v>0</v>
      </c>
      <c r="AZ1161">
        <v>6.8</v>
      </c>
      <c r="BA1161">
        <v>19.899999999999999</v>
      </c>
      <c r="BB1161">
        <v>564</v>
      </c>
      <c r="BC1161">
        <v>68</v>
      </c>
      <c r="BD1161">
        <v>1.5</v>
      </c>
      <c r="BE1161">
        <v>135</v>
      </c>
      <c r="BF1161">
        <v>0.8</v>
      </c>
      <c r="BG1161">
        <v>162</v>
      </c>
      <c r="BH1161">
        <v>9.1</v>
      </c>
      <c r="BI1161">
        <v>9.1999999999999993</v>
      </c>
      <c r="BJ1161">
        <v>18.3</v>
      </c>
      <c r="BK1161">
        <v>0.34</v>
      </c>
      <c r="BL1161">
        <v>7.3</v>
      </c>
      <c r="BM1161">
        <v>0.9</v>
      </c>
      <c r="BN1161">
        <v>7.5</v>
      </c>
      <c r="BO1161">
        <v>2.9</v>
      </c>
      <c r="BP1161">
        <f t="shared" si="36"/>
        <v>6.0017829472134618</v>
      </c>
      <c r="BQ1161">
        <f t="shared" si="37"/>
        <v>18.730976049370604</v>
      </c>
    </row>
    <row r="1162" spans="1:69" hidden="1" x14ac:dyDescent="0.2">
      <c r="A1162" t="s">
        <v>3454</v>
      </c>
      <c r="B1162" t="s">
        <v>68</v>
      </c>
      <c r="C1162" t="s">
        <v>3294</v>
      </c>
      <c r="D1162" t="s">
        <v>70</v>
      </c>
      <c r="E1162" t="s">
        <v>2292</v>
      </c>
      <c r="F1162">
        <v>4</v>
      </c>
      <c r="G1162">
        <v>30</v>
      </c>
      <c r="H1162">
        <v>1</v>
      </c>
      <c r="I1162">
        <v>1</v>
      </c>
      <c r="J1162">
        <v>0</v>
      </c>
      <c r="K1162" t="s">
        <v>110</v>
      </c>
      <c r="L1162" t="s">
        <v>111</v>
      </c>
      <c r="M1162" s="4">
        <v>220000000</v>
      </c>
      <c r="N1162">
        <v>0</v>
      </c>
      <c r="O1162">
        <v>4.62059</v>
      </c>
      <c r="P1162">
        <v>-74.066370000000006</v>
      </c>
      <c r="Q1162" t="s">
        <v>3455</v>
      </c>
      <c r="R1162">
        <v>7333333.3329999996</v>
      </c>
      <c r="S1162">
        <v>0</v>
      </c>
      <c r="T1162" t="s">
        <v>126</v>
      </c>
      <c r="U1162" t="s">
        <v>127</v>
      </c>
      <c r="V1162" t="s">
        <v>77</v>
      </c>
      <c r="W1162" t="s">
        <v>128</v>
      </c>
      <c r="X1162" t="s">
        <v>129</v>
      </c>
      <c r="Y1162">
        <v>0.54922672707338205</v>
      </c>
      <c r="Z1162">
        <v>549.22672707338199</v>
      </c>
      <c r="AA1162">
        <v>4.6254861111111101</v>
      </c>
      <c r="AB1162">
        <v>-74.066980555555503</v>
      </c>
      <c r="AC1162">
        <v>2621</v>
      </c>
      <c r="AD1162">
        <v>15</v>
      </c>
      <c r="AE1162" t="s">
        <v>80</v>
      </c>
      <c r="AF1162" t="s">
        <v>81</v>
      </c>
      <c r="AG1162" t="s">
        <v>82</v>
      </c>
      <c r="AH1162" t="s">
        <v>83</v>
      </c>
      <c r="AI1162" t="s">
        <v>138</v>
      </c>
      <c r="AJ1162">
        <v>0.38703205569758098</v>
      </c>
      <c r="AK1162">
        <v>0.57639128591139999</v>
      </c>
      <c r="AL1162">
        <v>4.4418592757160501E-2</v>
      </c>
      <c r="AM1162">
        <v>0.11636813478164</v>
      </c>
      <c r="AN1162">
        <v>0.58648836408707405</v>
      </c>
      <c r="AO1162">
        <v>2.9641849110330801E-2</v>
      </c>
      <c r="AP1162">
        <v>2.9641849110330801E-2</v>
      </c>
      <c r="AQ1162">
        <v>1</v>
      </c>
      <c r="AR1162">
        <v>5</v>
      </c>
      <c r="AS1162">
        <v>0</v>
      </c>
      <c r="AT1162">
        <v>16</v>
      </c>
      <c r="AU1162">
        <v>13</v>
      </c>
      <c r="AV1162">
        <v>77</v>
      </c>
      <c r="AW1162">
        <v>2</v>
      </c>
      <c r="AX1162">
        <v>1</v>
      </c>
      <c r="AZ1162">
        <v>6.8</v>
      </c>
      <c r="BA1162">
        <v>19.899999999999999</v>
      </c>
      <c r="BB1162">
        <v>564</v>
      </c>
      <c r="BC1162">
        <v>68</v>
      </c>
      <c r="BD1162">
        <v>1.5</v>
      </c>
      <c r="BE1162">
        <v>135</v>
      </c>
      <c r="BF1162">
        <v>0.8</v>
      </c>
      <c r="BG1162">
        <v>162</v>
      </c>
      <c r="BH1162">
        <v>9.1</v>
      </c>
      <c r="BI1162">
        <v>9.1999999999999993</v>
      </c>
      <c r="BJ1162">
        <v>18.3</v>
      </c>
      <c r="BK1162">
        <v>0.34</v>
      </c>
      <c r="BL1162">
        <v>7.3</v>
      </c>
      <c r="BM1162">
        <v>0.9</v>
      </c>
      <c r="BN1162">
        <v>7.5</v>
      </c>
      <c r="BO1162">
        <v>2.9</v>
      </c>
      <c r="BP1162">
        <f t="shared" si="36"/>
        <v>6.6176206650769203</v>
      </c>
      <c r="BQ1162">
        <f t="shared" si="37"/>
        <v>19.639410560485107</v>
      </c>
    </row>
    <row r="1163" spans="1:69" hidden="1" x14ac:dyDescent="0.2">
      <c r="A1163" t="s">
        <v>3700</v>
      </c>
      <c r="B1163" t="s">
        <v>68</v>
      </c>
      <c r="C1163" t="s">
        <v>3294</v>
      </c>
      <c r="D1163" t="s">
        <v>70</v>
      </c>
      <c r="E1163" t="s">
        <v>3701</v>
      </c>
      <c r="F1163">
        <v>3</v>
      </c>
      <c r="G1163">
        <v>30</v>
      </c>
      <c r="H1163">
        <v>1</v>
      </c>
      <c r="I1163">
        <v>1</v>
      </c>
      <c r="J1163">
        <v>0</v>
      </c>
      <c r="K1163" t="s">
        <v>110</v>
      </c>
      <c r="L1163" t="s">
        <v>111</v>
      </c>
      <c r="M1163" s="4">
        <v>185000000</v>
      </c>
      <c r="N1163">
        <v>0</v>
      </c>
      <c r="O1163">
        <v>4.6750825000000003</v>
      </c>
      <c r="P1163">
        <v>-74.077228000000005</v>
      </c>
      <c r="Q1163" t="s">
        <v>3702</v>
      </c>
      <c r="R1163">
        <v>6166666.6670000004</v>
      </c>
      <c r="S1163">
        <v>0</v>
      </c>
      <c r="T1163" t="s">
        <v>75</v>
      </c>
      <c r="U1163" t="s">
        <v>76</v>
      </c>
      <c r="V1163" t="s">
        <v>77</v>
      </c>
      <c r="W1163" t="s">
        <v>78</v>
      </c>
      <c r="X1163" t="s">
        <v>79</v>
      </c>
      <c r="Y1163">
        <v>1.9950581952814199</v>
      </c>
      <c r="Z1163">
        <v>1995.05819528142</v>
      </c>
      <c r="AA1163">
        <v>4.6584666666666701</v>
      </c>
      <c r="AB1163">
        <v>-74.083966666666697</v>
      </c>
      <c r="AC1163">
        <v>2552</v>
      </c>
      <c r="AD1163">
        <v>0</v>
      </c>
      <c r="AE1163" t="s">
        <v>80</v>
      </c>
      <c r="AF1163" t="s">
        <v>81</v>
      </c>
      <c r="AG1163" t="s">
        <v>82</v>
      </c>
      <c r="AH1163" t="s">
        <v>83</v>
      </c>
      <c r="AI1163" t="s">
        <v>342</v>
      </c>
      <c r="AJ1163">
        <v>0.53044475919828704</v>
      </c>
      <c r="AK1163">
        <v>3.73518719581954</v>
      </c>
      <c r="AL1163">
        <v>1.3100437185348801</v>
      </c>
      <c r="AM1163">
        <v>7.9582812902045094E-2</v>
      </c>
      <c r="AN1163">
        <v>0.532644840361996</v>
      </c>
      <c r="AO1163">
        <v>6.5380032345988298E-2</v>
      </c>
      <c r="AP1163">
        <v>6.5380032345988298E-2</v>
      </c>
      <c r="AQ1163">
        <v>0</v>
      </c>
      <c r="AR1163">
        <v>4</v>
      </c>
      <c r="AS1163">
        <v>0</v>
      </c>
      <c r="AT1163">
        <v>0</v>
      </c>
      <c r="AU1163">
        <v>0</v>
      </c>
      <c r="AV1163">
        <v>12</v>
      </c>
      <c r="AW1163">
        <v>1</v>
      </c>
      <c r="AX1163">
        <v>0</v>
      </c>
      <c r="AZ1163">
        <v>6.8</v>
      </c>
      <c r="BA1163">
        <v>19.899999999999999</v>
      </c>
      <c r="BB1163">
        <v>564</v>
      </c>
      <c r="BC1163">
        <v>68</v>
      </c>
      <c r="BD1163">
        <v>1.5</v>
      </c>
      <c r="BE1163">
        <v>135</v>
      </c>
      <c r="BF1163">
        <v>0.8</v>
      </c>
      <c r="BG1163">
        <v>162</v>
      </c>
      <c r="BH1163">
        <v>9.1</v>
      </c>
      <c r="BI1163">
        <v>9.1999999999999993</v>
      </c>
      <c r="BJ1163">
        <v>18.3</v>
      </c>
      <c r="BK1163">
        <v>0.34</v>
      </c>
      <c r="BL1163">
        <v>7.3</v>
      </c>
      <c r="BM1163">
        <v>0.9</v>
      </c>
      <c r="BN1163">
        <v>7.5</v>
      </c>
      <c r="BO1163">
        <v>2.9</v>
      </c>
      <c r="BP1163">
        <f t="shared" si="36"/>
        <v>6.1605572216575215</v>
      </c>
      <c r="BQ1163">
        <f t="shared" si="37"/>
        <v>18.969612088271919</v>
      </c>
    </row>
    <row r="1164" spans="1:69" hidden="1" x14ac:dyDescent="0.2">
      <c r="A1164" t="s">
        <v>3611</v>
      </c>
      <c r="B1164" t="s">
        <v>68</v>
      </c>
      <c r="C1164" t="s">
        <v>3294</v>
      </c>
      <c r="D1164" t="s">
        <v>70</v>
      </c>
      <c r="E1164" t="s">
        <v>811</v>
      </c>
      <c r="F1164">
        <v>4</v>
      </c>
      <c r="G1164">
        <v>29.85</v>
      </c>
      <c r="H1164">
        <v>1</v>
      </c>
      <c r="I1164">
        <v>1</v>
      </c>
      <c r="J1164">
        <v>0</v>
      </c>
      <c r="K1164" t="s">
        <v>110</v>
      </c>
      <c r="L1164" t="s">
        <v>162</v>
      </c>
      <c r="M1164" s="4">
        <v>328350000</v>
      </c>
      <c r="N1164">
        <v>0</v>
      </c>
      <c r="O1164">
        <v>4.6475200000000001</v>
      </c>
      <c r="P1164">
        <v>-74.059820000000002</v>
      </c>
      <c r="Q1164" t="s">
        <v>3612</v>
      </c>
      <c r="R1164">
        <v>11000000</v>
      </c>
      <c r="S1164">
        <v>0</v>
      </c>
      <c r="T1164" t="s">
        <v>126</v>
      </c>
      <c r="U1164" t="s">
        <v>127</v>
      </c>
      <c r="V1164" t="s">
        <v>77</v>
      </c>
      <c r="W1164" t="s">
        <v>128</v>
      </c>
      <c r="X1164" t="s">
        <v>129</v>
      </c>
      <c r="Y1164">
        <v>2.57826800060251</v>
      </c>
      <c r="Z1164">
        <v>2578.2680006025098</v>
      </c>
      <c r="AA1164">
        <v>4.6254861111111101</v>
      </c>
      <c r="AB1164">
        <v>-74.066980555555503</v>
      </c>
      <c r="AC1164">
        <v>2621</v>
      </c>
      <c r="AD1164">
        <v>15</v>
      </c>
      <c r="AE1164" t="s">
        <v>80</v>
      </c>
      <c r="AF1164" t="s">
        <v>81</v>
      </c>
      <c r="AG1164" t="s">
        <v>82</v>
      </c>
      <c r="AH1164" t="s">
        <v>83</v>
      </c>
      <c r="AI1164" t="s">
        <v>130</v>
      </c>
      <c r="AJ1164">
        <v>0.56849067648222895</v>
      </c>
      <c r="AK1164">
        <v>0.73734148311672199</v>
      </c>
      <c r="AL1164">
        <v>0.192841274729603</v>
      </c>
      <c r="AM1164">
        <v>0.16255868724338701</v>
      </c>
      <c r="AN1164">
        <v>0.67180115101908999</v>
      </c>
      <c r="AO1164">
        <v>0.25058642058473601</v>
      </c>
      <c r="AP1164">
        <v>0.25058642058473601</v>
      </c>
      <c r="AQ1164">
        <v>0</v>
      </c>
      <c r="AR1164">
        <v>3</v>
      </c>
      <c r="AS1164">
        <v>0</v>
      </c>
      <c r="AT1164">
        <v>16</v>
      </c>
      <c r="AU1164">
        <v>13</v>
      </c>
      <c r="AV1164">
        <v>72</v>
      </c>
      <c r="AW1164">
        <v>1</v>
      </c>
      <c r="AX1164">
        <v>0</v>
      </c>
      <c r="AZ1164">
        <v>6.8</v>
      </c>
      <c r="BA1164">
        <v>19.899999999999999</v>
      </c>
      <c r="BB1164">
        <v>564</v>
      </c>
      <c r="BC1164">
        <v>68</v>
      </c>
      <c r="BD1164">
        <v>1.5</v>
      </c>
      <c r="BE1164">
        <v>135</v>
      </c>
      <c r="BF1164">
        <v>0.8</v>
      </c>
      <c r="BG1164">
        <v>162</v>
      </c>
      <c r="BH1164">
        <v>9.1</v>
      </c>
      <c r="BI1164">
        <v>9.1999999999999993</v>
      </c>
      <c r="BJ1164">
        <v>18.3</v>
      </c>
      <c r="BK1164">
        <v>0.34</v>
      </c>
      <c r="BL1164">
        <v>7.3</v>
      </c>
      <c r="BM1164">
        <v>0.9</v>
      </c>
      <c r="BN1164">
        <v>7.5</v>
      </c>
      <c r="BO1164">
        <v>2.9</v>
      </c>
      <c r="BP1164">
        <f t="shared" si="36"/>
        <v>5.9852514180273069</v>
      </c>
      <c r="BQ1164">
        <f t="shared" si="37"/>
        <v>18.705943352773822</v>
      </c>
    </row>
    <row r="1165" spans="1:69" hidden="1" x14ac:dyDescent="0.2">
      <c r="A1165" t="s">
        <v>67</v>
      </c>
      <c r="B1165" t="s">
        <v>68</v>
      </c>
      <c r="C1165" t="s">
        <v>69</v>
      </c>
      <c r="D1165" t="s">
        <v>70</v>
      </c>
      <c r="E1165" t="s">
        <v>71</v>
      </c>
      <c r="F1165">
        <v>4</v>
      </c>
      <c r="G1165">
        <v>29.58</v>
      </c>
      <c r="H1165">
        <v>1</v>
      </c>
      <c r="I1165">
        <v>1</v>
      </c>
      <c r="J1165">
        <v>0</v>
      </c>
      <c r="K1165" t="s">
        <v>72</v>
      </c>
      <c r="L1165" t="s">
        <v>73</v>
      </c>
      <c r="M1165" s="4">
        <v>241951000</v>
      </c>
      <c r="N1165">
        <v>0</v>
      </c>
      <c r="O1165">
        <v>4.6444000000000001</v>
      </c>
      <c r="P1165">
        <v>-74.071950000000001</v>
      </c>
      <c r="Q1165" t="s">
        <v>74</v>
      </c>
      <c r="R1165">
        <v>8179546.9910000004</v>
      </c>
      <c r="S1165">
        <v>0</v>
      </c>
      <c r="T1165" t="s">
        <v>75</v>
      </c>
      <c r="U1165" t="s">
        <v>76</v>
      </c>
      <c r="V1165" t="s">
        <v>77</v>
      </c>
      <c r="W1165" t="s">
        <v>78</v>
      </c>
      <c r="X1165" t="s">
        <v>79</v>
      </c>
      <c r="Y1165">
        <v>2.0566160241458</v>
      </c>
      <c r="Z1165">
        <v>2056.6160241458001</v>
      </c>
      <c r="AA1165">
        <v>4.6584666666666701</v>
      </c>
      <c r="AB1165">
        <v>-74.083966666666697</v>
      </c>
      <c r="AC1165">
        <v>2552</v>
      </c>
      <c r="AD1165">
        <v>0</v>
      </c>
      <c r="AE1165" t="s">
        <v>80</v>
      </c>
      <c r="AF1165" t="s">
        <v>81</v>
      </c>
      <c r="AG1165" t="s">
        <v>82</v>
      </c>
      <c r="AH1165" t="s">
        <v>83</v>
      </c>
      <c r="AI1165" t="s">
        <v>84</v>
      </c>
      <c r="AJ1165">
        <v>0.69668438249942499</v>
      </c>
      <c r="AK1165">
        <v>1.64165379517924</v>
      </c>
      <c r="AL1165">
        <v>0.10918898860987</v>
      </c>
      <c r="AM1165">
        <v>3.6981298402529603E-2</v>
      </c>
      <c r="AN1165">
        <v>1.5348211707463799</v>
      </c>
      <c r="AO1165">
        <v>0.28743956610268701</v>
      </c>
      <c r="AP1165">
        <v>0.28743956610268701</v>
      </c>
      <c r="AQ1165">
        <v>0</v>
      </c>
      <c r="AR1165">
        <v>6</v>
      </c>
      <c r="AS1165">
        <v>0</v>
      </c>
      <c r="AT1165">
        <v>0</v>
      </c>
      <c r="AU1165">
        <v>6</v>
      </c>
      <c r="AV1165">
        <v>111</v>
      </c>
      <c r="AW1165">
        <v>0</v>
      </c>
      <c r="AX1165">
        <v>0</v>
      </c>
      <c r="AZ1165">
        <v>6.8</v>
      </c>
      <c r="BA1165">
        <v>19.899999999999999</v>
      </c>
      <c r="BB1165">
        <v>564</v>
      </c>
      <c r="BC1165">
        <v>68</v>
      </c>
      <c r="BD1165">
        <v>1.5</v>
      </c>
      <c r="BE1165">
        <v>135</v>
      </c>
      <c r="BF1165">
        <v>0.8</v>
      </c>
      <c r="BG1165">
        <v>162</v>
      </c>
      <c r="BH1165">
        <v>9.1</v>
      </c>
      <c r="BI1165">
        <v>9.1999999999999993</v>
      </c>
      <c r="BJ1165">
        <v>18.3</v>
      </c>
      <c r="BK1165">
        <v>0.34</v>
      </c>
      <c r="BL1165">
        <v>7.3</v>
      </c>
      <c r="BM1165">
        <v>0.9</v>
      </c>
      <c r="BN1165">
        <v>7.5</v>
      </c>
      <c r="BO1165">
        <v>2.9</v>
      </c>
      <c r="BP1165">
        <f t="shared" si="36"/>
        <v>6.1418138815987557</v>
      </c>
      <c r="BQ1165">
        <f t="shared" si="37"/>
        <v>18.941607305100209</v>
      </c>
    </row>
    <row r="1166" spans="1:69" hidden="1" x14ac:dyDescent="0.2">
      <c r="A1166" t="s">
        <v>4132</v>
      </c>
      <c r="B1166" t="s">
        <v>68</v>
      </c>
      <c r="C1166" t="s">
        <v>3294</v>
      </c>
      <c r="D1166" t="s">
        <v>70</v>
      </c>
      <c r="E1166" t="s">
        <v>1291</v>
      </c>
      <c r="F1166">
        <v>4</v>
      </c>
      <c r="G1166">
        <v>29.5</v>
      </c>
      <c r="H1166">
        <v>1</v>
      </c>
      <c r="I1166">
        <v>1</v>
      </c>
      <c r="J1166">
        <v>0</v>
      </c>
      <c r="K1166" t="s">
        <v>110</v>
      </c>
      <c r="L1166" t="s">
        <v>162</v>
      </c>
      <c r="M1166" s="4">
        <v>324500000</v>
      </c>
      <c r="N1166">
        <v>0</v>
      </c>
      <c r="O1166">
        <v>4.6475200000000001</v>
      </c>
      <c r="P1166">
        <v>-74.059820000000002</v>
      </c>
      <c r="Q1166" t="s">
        <v>4133</v>
      </c>
      <c r="R1166">
        <v>11000000</v>
      </c>
      <c r="S1166">
        <v>0</v>
      </c>
      <c r="T1166" t="s">
        <v>126</v>
      </c>
      <c r="U1166" t="s">
        <v>127</v>
      </c>
      <c r="V1166" t="s">
        <v>77</v>
      </c>
      <c r="W1166" t="s">
        <v>128</v>
      </c>
      <c r="X1166" t="s">
        <v>129</v>
      </c>
      <c r="Y1166">
        <v>2.57826800060251</v>
      </c>
      <c r="Z1166">
        <v>2578.2680006025098</v>
      </c>
      <c r="AA1166">
        <v>4.6254861111111101</v>
      </c>
      <c r="AB1166">
        <v>-74.066980555555503</v>
      </c>
      <c r="AC1166">
        <v>2621</v>
      </c>
      <c r="AD1166">
        <v>15</v>
      </c>
      <c r="AE1166" t="s">
        <v>80</v>
      </c>
      <c r="AF1166" t="s">
        <v>81</v>
      </c>
      <c r="AG1166" t="s">
        <v>82</v>
      </c>
      <c r="AH1166" t="s">
        <v>83</v>
      </c>
      <c r="AI1166" t="s">
        <v>130</v>
      </c>
      <c r="AJ1166">
        <v>0.56849067648222895</v>
      </c>
      <c r="AK1166">
        <v>0.73734148311672199</v>
      </c>
      <c r="AL1166">
        <v>0.192841274729603</v>
      </c>
      <c r="AM1166">
        <v>0.16255868724338701</v>
      </c>
      <c r="AN1166">
        <v>0.67180115101908999</v>
      </c>
      <c r="AO1166">
        <v>0.25058642058473601</v>
      </c>
      <c r="AP1166">
        <v>0.25058642058473601</v>
      </c>
      <c r="AQ1166">
        <v>0</v>
      </c>
      <c r="AR1166">
        <v>3</v>
      </c>
      <c r="AS1166">
        <v>0</v>
      </c>
      <c r="AT1166">
        <v>16</v>
      </c>
      <c r="AU1166">
        <v>13</v>
      </c>
      <c r="AV1166">
        <v>72</v>
      </c>
      <c r="AW1166">
        <v>1</v>
      </c>
      <c r="AX1166">
        <v>0</v>
      </c>
      <c r="AZ1166">
        <v>6.8</v>
      </c>
      <c r="BA1166">
        <v>19.899999999999999</v>
      </c>
      <c r="BB1166">
        <v>564</v>
      </c>
      <c r="BC1166">
        <v>68</v>
      </c>
      <c r="BD1166">
        <v>1.5</v>
      </c>
      <c r="BE1166">
        <v>135</v>
      </c>
      <c r="BF1166">
        <v>0.8</v>
      </c>
      <c r="BG1166">
        <v>162</v>
      </c>
      <c r="BH1166">
        <v>9.1</v>
      </c>
      <c r="BI1166">
        <v>9.1999999999999993</v>
      </c>
      <c r="BJ1166">
        <v>18.3</v>
      </c>
      <c r="BK1166">
        <v>0.34</v>
      </c>
      <c r="BL1166">
        <v>7.3</v>
      </c>
      <c r="BM1166">
        <v>0.9</v>
      </c>
      <c r="BN1166">
        <v>7.5</v>
      </c>
      <c r="BO1166">
        <v>2.9</v>
      </c>
      <c r="BP1166">
        <f t="shared" si="36"/>
        <v>5.9852514180273069</v>
      </c>
      <c r="BQ1166">
        <f t="shared" si="37"/>
        <v>18.705943352773822</v>
      </c>
    </row>
    <row r="1167" spans="1:69" hidden="1" x14ac:dyDescent="0.2">
      <c r="A1167" t="s">
        <v>4336</v>
      </c>
      <c r="B1167" t="s">
        <v>68</v>
      </c>
      <c r="C1167" t="s">
        <v>3294</v>
      </c>
      <c r="D1167" t="s">
        <v>70</v>
      </c>
      <c r="E1167" t="s">
        <v>1291</v>
      </c>
      <c r="F1167">
        <v>4</v>
      </c>
      <c r="G1167">
        <v>29.45</v>
      </c>
      <c r="H1167">
        <v>1</v>
      </c>
      <c r="I1167">
        <v>1</v>
      </c>
      <c r="J1167">
        <v>0</v>
      </c>
      <c r="K1167" t="s">
        <v>110</v>
      </c>
      <c r="L1167" t="s">
        <v>162</v>
      </c>
      <c r="M1167" s="4">
        <v>336930000</v>
      </c>
      <c r="N1167">
        <v>0</v>
      </c>
      <c r="O1167">
        <v>4.6475200000000001</v>
      </c>
      <c r="P1167">
        <v>-74.059820000000002</v>
      </c>
      <c r="Q1167" t="s">
        <v>4337</v>
      </c>
      <c r="R1167">
        <v>11440747.029999999</v>
      </c>
      <c r="S1167">
        <v>0</v>
      </c>
      <c r="T1167" t="s">
        <v>126</v>
      </c>
      <c r="U1167" t="s">
        <v>127</v>
      </c>
      <c r="V1167" t="s">
        <v>77</v>
      </c>
      <c r="W1167" t="s">
        <v>128</v>
      </c>
      <c r="X1167" t="s">
        <v>129</v>
      </c>
      <c r="Y1167">
        <v>2.57826800060251</v>
      </c>
      <c r="Z1167">
        <v>2578.2680006025098</v>
      </c>
      <c r="AA1167">
        <v>4.6254861111111101</v>
      </c>
      <c r="AB1167">
        <v>-74.066980555555503</v>
      </c>
      <c r="AC1167">
        <v>2621</v>
      </c>
      <c r="AD1167">
        <v>15</v>
      </c>
      <c r="AE1167" t="s">
        <v>80</v>
      </c>
      <c r="AF1167" t="s">
        <v>81</v>
      </c>
      <c r="AG1167" t="s">
        <v>82</v>
      </c>
      <c r="AH1167" t="s">
        <v>83</v>
      </c>
      <c r="AI1167" t="s">
        <v>130</v>
      </c>
      <c r="AJ1167">
        <v>0.56849067648222895</v>
      </c>
      <c r="AK1167">
        <v>0.73734148311672199</v>
      </c>
      <c r="AL1167">
        <v>0.192841274729603</v>
      </c>
      <c r="AM1167">
        <v>0.16255868724338701</v>
      </c>
      <c r="AN1167">
        <v>0.67180115101908999</v>
      </c>
      <c r="AO1167">
        <v>0.25058642058473601</v>
      </c>
      <c r="AP1167">
        <v>0.25058642058473601</v>
      </c>
      <c r="AQ1167">
        <v>0</v>
      </c>
      <c r="AR1167">
        <v>3</v>
      </c>
      <c r="AS1167">
        <v>0</v>
      </c>
      <c r="AT1167">
        <v>16</v>
      </c>
      <c r="AU1167">
        <v>13</v>
      </c>
      <c r="AV1167">
        <v>72</v>
      </c>
      <c r="AW1167">
        <v>1</v>
      </c>
      <c r="AX1167">
        <v>0</v>
      </c>
      <c r="AZ1167">
        <v>6.8</v>
      </c>
      <c r="BA1167">
        <v>19.899999999999999</v>
      </c>
      <c r="BB1167">
        <v>564</v>
      </c>
      <c r="BC1167">
        <v>68</v>
      </c>
      <c r="BD1167">
        <v>1.5</v>
      </c>
      <c r="BE1167">
        <v>135</v>
      </c>
      <c r="BF1167">
        <v>0.8</v>
      </c>
      <c r="BG1167">
        <v>162</v>
      </c>
      <c r="BH1167">
        <v>9.1</v>
      </c>
      <c r="BI1167">
        <v>9.1999999999999993</v>
      </c>
      <c r="BJ1167">
        <v>18.3</v>
      </c>
      <c r="BK1167">
        <v>0.34</v>
      </c>
      <c r="BL1167">
        <v>7.3</v>
      </c>
      <c r="BM1167">
        <v>0.9</v>
      </c>
      <c r="BN1167">
        <v>7.5</v>
      </c>
      <c r="BO1167">
        <v>2.9</v>
      </c>
      <c r="BP1167">
        <f t="shared" si="36"/>
        <v>5.9852514180273069</v>
      </c>
      <c r="BQ1167">
        <f t="shared" si="37"/>
        <v>18.705943352773822</v>
      </c>
    </row>
    <row r="1168" spans="1:69" hidden="1" x14ac:dyDescent="0.2">
      <c r="A1168" t="s">
        <v>4441</v>
      </c>
      <c r="B1168" t="s">
        <v>68</v>
      </c>
      <c r="C1168" t="s">
        <v>3294</v>
      </c>
      <c r="D1168" t="s">
        <v>70</v>
      </c>
      <c r="E1168" t="s">
        <v>1291</v>
      </c>
      <c r="F1168">
        <v>4</v>
      </c>
      <c r="G1168">
        <v>29.45</v>
      </c>
      <c r="H1168">
        <v>1</v>
      </c>
      <c r="I1168">
        <v>1</v>
      </c>
      <c r="J1168">
        <v>0</v>
      </c>
      <c r="K1168" t="s">
        <v>110</v>
      </c>
      <c r="L1168" t="s">
        <v>162</v>
      </c>
      <c r="M1168" s="4">
        <v>336930000</v>
      </c>
      <c r="N1168">
        <v>0</v>
      </c>
      <c r="O1168">
        <v>4.6475200000000001</v>
      </c>
      <c r="P1168">
        <v>-74.059820000000002</v>
      </c>
      <c r="Q1168" t="s">
        <v>4442</v>
      </c>
      <c r="R1168">
        <v>11440747.029999999</v>
      </c>
      <c r="S1168">
        <v>0</v>
      </c>
      <c r="T1168" t="s">
        <v>126</v>
      </c>
      <c r="U1168" t="s">
        <v>127</v>
      </c>
      <c r="V1168" t="s">
        <v>77</v>
      </c>
      <c r="W1168" t="s">
        <v>128</v>
      </c>
      <c r="X1168" t="s">
        <v>129</v>
      </c>
      <c r="Y1168">
        <v>2.57826800060251</v>
      </c>
      <c r="Z1168">
        <v>2578.2680006025098</v>
      </c>
      <c r="AA1168">
        <v>4.6254861111111101</v>
      </c>
      <c r="AB1168">
        <v>-74.066980555555503</v>
      </c>
      <c r="AC1168">
        <v>2621</v>
      </c>
      <c r="AD1168">
        <v>15</v>
      </c>
      <c r="AE1168" t="s">
        <v>80</v>
      </c>
      <c r="AF1168" t="s">
        <v>81</v>
      </c>
      <c r="AG1168" t="s">
        <v>82</v>
      </c>
      <c r="AH1168" t="s">
        <v>83</v>
      </c>
      <c r="AI1168" t="s">
        <v>130</v>
      </c>
      <c r="AJ1168">
        <v>0.56849067648222895</v>
      </c>
      <c r="AK1168">
        <v>0.73734148311672199</v>
      </c>
      <c r="AL1168">
        <v>0.192841274729603</v>
      </c>
      <c r="AM1168">
        <v>0.16255868724338701</v>
      </c>
      <c r="AN1168">
        <v>0.67180115101908999</v>
      </c>
      <c r="AO1168">
        <v>0.25058642058473601</v>
      </c>
      <c r="AP1168">
        <v>0.25058642058473601</v>
      </c>
      <c r="AQ1168">
        <v>0</v>
      </c>
      <c r="AR1168">
        <v>3</v>
      </c>
      <c r="AS1168">
        <v>0</v>
      </c>
      <c r="AT1168">
        <v>16</v>
      </c>
      <c r="AU1168">
        <v>13</v>
      </c>
      <c r="AV1168">
        <v>72</v>
      </c>
      <c r="AW1168">
        <v>1</v>
      </c>
      <c r="AX1168">
        <v>0</v>
      </c>
      <c r="AZ1168">
        <v>6.8</v>
      </c>
      <c r="BA1168">
        <v>19.899999999999999</v>
      </c>
      <c r="BB1168">
        <v>564</v>
      </c>
      <c r="BC1168">
        <v>68</v>
      </c>
      <c r="BD1168">
        <v>1.5</v>
      </c>
      <c r="BE1168">
        <v>135</v>
      </c>
      <c r="BF1168">
        <v>0.8</v>
      </c>
      <c r="BG1168">
        <v>162</v>
      </c>
      <c r="BH1168">
        <v>9.1</v>
      </c>
      <c r="BI1168">
        <v>9.1999999999999993</v>
      </c>
      <c r="BJ1168">
        <v>18.3</v>
      </c>
      <c r="BK1168">
        <v>0.34</v>
      </c>
      <c r="BL1168">
        <v>7.3</v>
      </c>
      <c r="BM1168">
        <v>0.9</v>
      </c>
      <c r="BN1168">
        <v>7.5</v>
      </c>
      <c r="BO1168">
        <v>2.9</v>
      </c>
      <c r="BP1168">
        <f t="shared" si="36"/>
        <v>5.9852514180273069</v>
      </c>
      <c r="BQ1168">
        <f t="shared" si="37"/>
        <v>18.705943352773822</v>
      </c>
    </row>
    <row r="1169" spans="1:69" hidden="1" x14ac:dyDescent="0.2">
      <c r="A1169" t="s">
        <v>3339</v>
      </c>
      <c r="B1169" t="s">
        <v>68</v>
      </c>
      <c r="C1169" t="s">
        <v>3294</v>
      </c>
      <c r="D1169" t="s">
        <v>70</v>
      </c>
      <c r="E1169" t="s">
        <v>811</v>
      </c>
      <c r="F1169">
        <v>4</v>
      </c>
      <c r="G1169">
        <v>29.45</v>
      </c>
      <c r="H1169">
        <v>1</v>
      </c>
      <c r="I1169">
        <v>1</v>
      </c>
      <c r="J1169">
        <v>0</v>
      </c>
      <c r="K1169" t="s">
        <v>110</v>
      </c>
      <c r="L1169" t="s">
        <v>111</v>
      </c>
      <c r="M1169" s="4">
        <v>336930000</v>
      </c>
      <c r="N1169">
        <v>0</v>
      </c>
      <c r="O1169">
        <v>4.6421700000000001</v>
      </c>
      <c r="P1169">
        <v>-74.062619999999995</v>
      </c>
      <c r="Q1169" t="s">
        <v>3340</v>
      </c>
      <c r="R1169">
        <v>11440747.029999999</v>
      </c>
      <c r="S1169">
        <v>0</v>
      </c>
      <c r="T1169" t="s">
        <v>126</v>
      </c>
      <c r="U1169" t="s">
        <v>127</v>
      </c>
      <c r="V1169" t="s">
        <v>77</v>
      </c>
      <c r="W1169" t="s">
        <v>128</v>
      </c>
      <c r="X1169" t="s">
        <v>129</v>
      </c>
      <c r="Y1169">
        <v>1.91922838807675</v>
      </c>
      <c r="Z1169">
        <v>1919.22838807675</v>
      </c>
      <c r="AA1169">
        <v>4.6254861111111101</v>
      </c>
      <c r="AB1169">
        <v>-74.066980555555503</v>
      </c>
      <c r="AC1169">
        <v>2621</v>
      </c>
      <c r="AD1169">
        <v>15</v>
      </c>
      <c r="AE1169" t="s">
        <v>80</v>
      </c>
      <c r="AF1169" t="s">
        <v>81</v>
      </c>
      <c r="AG1169" t="s">
        <v>82</v>
      </c>
      <c r="AH1169" t="s">
        <v>83</v>
      </c>
      <c r="AI1169" t="s">
        <v>130</v>
      </c>
      <c r="AJ1169">
        <v>0.36688709197208902</v>
      </c>
      <c r="AK1169">
        <v>0.57830557945604999</v>
      </c>
      <c r="AL1169">
        <v>0.40083768395434699</v>
      </c>
      <c r="AM1169">
        <v>5.1942815949417701E-2</v>
      </c>
      <c r="AN1169">
        <v>0.47304396293589801</v>
      </c>
      <c r="AO1169">
        <v>0.25878570025696601</v>
      </c>
      <c r="AP1169">
        <v>0.25878570025696601</v>
      </c>
      <c r="AQ1169">
        <v>1</v>
      </c>
      <c r="AR1169">
        <v>4</v>
      </c>
      <c r="AS1169">
        <v>0</v>
      </c>
      <c r="AT1169">
        <v>21</v>
      </c>
      <c r="AU1169">
        <v>6</v>
      </c>
      <c r="AV1169">
        <v>131</v>
      </c>
      <c r="AW1169">
        <v>1</v>
      </c>
      <c r="AX1169">
        <v>0</v>
      </c>
      <c r="AZ1169">
        <v>6.8</v>
      </c>
      <c r="BA1169">
        <v>19.899999999999999</v>
      </c>
      <c r="BB1169">
        <v>564</v>
      </c>
      <c r="BC1169">
        <v>68</v>
      </c>
      <c r="BD1169">
        <v>1.5</v>
      </c>
      <c r="BE1169">
        <v>135</v>
      </c>
      <c r="BF1169">
        <v>0.8</v>
      </c>
      <c r="BG1169">
        <v>162</v>
      </c>
      <c r="BH1169">
        <v>9.1</v>
      </c>
      <c r="BI1169">
        <v>9.1999999999999993</v>
      </c>
      <c r="BJ1169">
        <v>18.3</v>
      </c>
      <c r="BK1169">
        <v>0.34</v>
      </c>
      <c r="BL1169">
        <v>7.3</v>
      </c>
      <c r="BM1169">
        <v>0.9</v>
      </c>
      <c r="BN1169">
        <v>7.5</v>
      </c>
      <c r="BO1169">
        <v>2.9</v>
      </c>
      <c r="BP1169">
        <f t="shared" si="36"/>
        <v>6.1837247914533089</v>
      </c>
      <c r="BQ1169">
        <f t="shared" si="37"/>
        <v>19.004166610545376</v>
      </c>
    </row>
    <row r="1170" spans="1:69" hidden="1" x14ac:dyDescent="0.2">
      <c r="A1170" t="s">
        <v>3609</v>
      </c>
      <c r="B1170" t="s">
        <v>68</v>
      </c>
      <c r="C1170" t="s">
        <v>3294</v>
      </c>
      <c r="D1170" t="s">
        <v>70</v>
      </c>
      <c r="E1170" t="s">
        <v>811</v>
      </c>
      <c r="F1170">
        <v>4</v>
      </c>
      <c r="G1170">
        <v>29.45</v>
      </c>
      <c r="H1170">
        <v>1</v>
      </c>
      <c r="I1170">
        <v>1</v>
      </c>
      <c r="J1170">
        <v>0</v>
      </c>
      <c r="K1170" t="s">
        <v>110</v>
      </c>
      <c r="L1170" t="s">
        <v>162</v>
      </c>
      <c r="M1170" s="4">
        <v>323950000</v>
      </c>
      <c r="N1170">
        <v>0</v>
      </c>
      <c r="O1170">
        <v>4.6475200000000001</v>
      </c>
      <c r="P1170">
        <v>-74.059820000000002</v>
      </c>
      <c r="Q1170" t="s">
        <v>3610</v>
      </c>
      <c r="R1170">
        <v>11000000</v>
      </c>
      <c r="S1170">
        <v>0</v>
      </c>
      <c r="T1170" t="s">
        <v>126</v>
      </c>
      <c r="U1170" t="s">
        <v>127</v>
      </c>
      <c r="V1170" t="s">
        <v>77</v>
      </c>
      <c r="W1170" t="s">
        <v>128</v>
      </c>
      <c r="X1170" t="s">
        <v>129</v>
      </c>
      <c r="Y1170">
        <v>2.57826800060251</v>
      </c>
      <c r="Z1170">
        <v>2578.2680006025098</v>
      </c>
      <c r="AA1170">
        <v>4.6254861111111101</v>
      </c>
      <c r="AB1170">
        <v>-74.066980555555503</v>
      </c>
      <c r="AC1170">
        <v>2621</v>
      </c>
      <c r="AD1170">
        <v>15</v>
      </c>
      <c r="AE1170" t="s">
        <v>80</v>
      </c>
      <c r="AF1170" t="s">
        <v>81</v>
      </c>
      <c r="AG1170" t="s">
        <v>82</v>
      </c>
      <c r="AH1170" t="s">
        <v>83</v>
      </c>
      <c r="AI1170" t="s">
        <v>130</v>
      </c>
      <c r="AJ1170">
        <v>0.56849067648222895</v>
      </c>
      <c r="AK1170">
        <v>0.73734148311672199</v>
      </c>
      <c r="AL1170">
        <v>0.192841274729603</v>
      </c>
      <c r="AM1170">
        <v>0.16255868724338701</v>
      </c>
      <c r="AN1170">
        <v>0.67180115101908999</v>
      </c>
      <c r="AO1170">
        <v>0.25058642058473601</v>
      </c>
      <c r="AP1170">
        <v>0.25058642058473601</v>
      </c>
      <c r="AQ1170">
        <v>0</v>
      </c>
      <c r="AR1170">
        <v>3</v>
      </c>
      <c r="AS1170">
        <v>0</v>
      </c>
      <c r="AT1170">
        <v>16</v>
      </c>
      <c r="AU1170">
        <v>13</v>
      </c>
      <c r="AV1170">
        <v>72</v>
      </c>
      <c r="AW1170">
        <v>1</v>
      </c>
      <c r="AX1170">
        <v>0</v>
      </c>
      <c r="AZ1170">
        <v>6.8</v>
      </c>
      <c r="BA1170">
        <v>19.899999999999999</v>
      </c>
      <c r="BB1170">
        <v>564</v>
      </c>
      <c r="BC1170">
        <v>68</v>
      </c>
      <c r="BD1170">
        <v>1.5</v>
      </c>
      <c r="BE1170">
        <v>135</v>
      </c>
      <c r="BF1170">
        <v>0.8</v>
      </c>
      <c r="BG1170">
        <v>162</v>
      </c>
      <c r="BH1170">
        <v>9.1</v>
      </c>
      <c r="BI1170">
        <v>9.1999999999999993</v>
      </c>
      <c r="BJ1170">
        <v>18.3</v>
      </c>
      <c r="BK1170">
        <v>0.34</v>
      </c>
      <c r="BL1170">
        <v>7.3</v>
      </c>
      <c r="BM1170">
        <v>0.9</v>
      </c>
      <c r="BN1170">
        <v>7.5</v>
      </c>
      <c r="BO1170">
        <v>2.9</v>
      </c>
      <c r="BP1170">
        <f t="shared" si="36"/>
        <v>5.9852514180273069</v>
      </c>
      <c r="BQ1170">
        <f t="shared" si="37"/>
        <v>18.705943352773822</v>
      </c>
    </row>
    <row r="1171" spans="1:69" hidden="1" x14ac:dyDescent="0.2">
      <c r="A1171" t="s">
        <v>4555</v>
      </c>
      <c r="B1171" t="s">
        <v>68</v>
      </c>
      <c r="C1171" t="s">
        <v>3294</v>
      </c>
      <c r="D1171" t="s">
        <v>70</v>
      </c>
      <c r="E1171" t="s">
        <v>4556</v>
      </c>
      <c r="F1171">
        <v>3</v>
      </c>
      <c r="G1171">
        <v>29.45</v>
      </c>
      <c r="H1171">
        <v>1</v>
      </c>
      <c r="I1171">
        <v>1</v>
      </c>
      <c r="J1171">
        <v>0</v>
      </c>
      <c r="K1171" t="s">
        <v>110</v>
      </c>
      <c r="L1171" t="s">
        <v>111</v>
      </c>
      <c r="M1171" s="4">
        <v>215000000</v>
      </c>
      <c r="N1171">
        <v>0</v>
      </c>
      <c r="O1171">
        <v>4.6776847840000002</v>
      </c>
      <c r="P1171">
        <v>-74.088371280000004</v>
      </c>
      <c r="Q1171" t="s">
        <v>4557</v>
      </c>
      <c r="R1171">
        <v>7300509.3380000005</v>
      </c>
      <c r="S1171">
        <v>0</v>
      </c>
      <c r="T1171" t="s">
        <v>75</v>
      </c>
      <c r="U1171" t="s">
        <v>76</v>
      </c>
      <c r="V1171" t="s">
        <v>77</v>
      </c>
      <c r="W1171" t="s">
        <v>78</v>
      </c>
      <c r="X1171" t="s">
        <v>79</v>
      </c>
      <c r="Y1171">
        <v>2.1944574662193701</v>
      </c>
      <c r="Z1171">
        <v>2194.45746621937</v>
      </c>
      <c r="AA1171">
        <v>4.6584666666666701</v>
      </c>
      <c r="AB1171">
        <v>-74.083966666666697</v>
      </c>
      <c r="AC1171">
        <v>2552</v>
      </c>
      <c r="AD1171">
        <v>0</v>
      </c>
      <c r="AE1171" t="s">
        <v>80</v>
      </c>
      <c r="AF1171" t="s">
        <v>81</v>
      </c>
      <c r="AG1171" t="s">
        <v>82</v>
      </c>
      <c r="AH1171" t="s">
        <v>83</v>
      </c>
      <c r="AI1171" t="s">
        <v>412</v>
      </c>
      <c r="AJ1171">
        <v>1.2555950397656499</v>
      </c>
      <c r="AK1171">
        <v>5.0000398909721602</v>
      </c>
      <c r="AL1171">
        <v>1.7896435313804</v>
      </c>
      <c r="AM1171">
        <v>0.239874523296179</v>
      </c>
      <c r="AN1171">
        <v>0.83914199077683904</v>
      </c>
      <c r="AO1171">
        <v>0.22703550711000001</v>
      </c>
      <c r="AP1171">
        <v>0.22703550711000001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22</v>
      </c>
      <c r="AW1171">
        <v>1</v>
      </c>
      <c r="AX1171">
        <v>0</v>
      </c>
      <c r="AZ1171">
        <v>6.8</v>
      </c>
      <c r="BA1171">
        <v>19.899999999999999</v>
      </c>
      <c r="BB1171">
        <v>564</v>
      </c>
      <c r="BC1171">
        <v>68</v>
      </c>
      <c r="BD1171">
        <v>1.5</v>
      </c>
      <c r="BE1171">
        <v>135</v>
      </c>
      <c r="BF1171">
        <v>0.8</v>
      </c>
      <c r="BG1171">
        <v>162</v>
      </c>
      <c r="BH1171">
        <v>9.1</v>
      </c>
      <c r="BI1171">
        <v>9.1999999999999993</v>
      </c>
      <c r="BJ1171">
        <v>18.3</v>
      </c>
      <c r="BK1171">
        <v>0.34</v>
      </c>
      <c r="BL1171">
        <v>7.3</v>
      </c>
      <c r="BM1171">
        <v>0.9</v>
      </c>
      <c r="BN1171">
        <v>7.5</v>
      </c>
      <c r="BO1171">
        <v>2.9</v>
      </c>
      <c r="BP1171">
        <f t="shared" si="36"/>
        <v>6.1000499983970178</v>
      </c>
      <c r="BQ1171">
        <f t="shared" si="37"/>
        <v>18.879048317620345</v>
      </c>
    </row>
    <row r="1172" spans="1:69" hidden="1" x14ac:dyDescent="0.2">
      <c r="A1172" t="s">
        <v>4051</v>
      </c>
      <c r="B1172" t="s">
        <v>68</v>
      </c>
      <c r="C1172" t="s">
        <v>3294</v>
      </c>
      <c r="D1172" t="s">
        <v>70</v>
      </c>
      <c r="E1172" t="s">
        <v>3776</v>
      </c>
      <c r="F1172">
        <v>4</v>
      </c>
      <c r="G1172">
        <v>29</v>
      </c>
      <c r="H1172">
        <v>1</v>
      </c>
      <c r="I1172">
        <v>1</v>
      </c>
      <c r="J1172">
        <v>0</v>
      </c>
      <c r="K1172" t="s">
        <v>110</v>
      </c>
      <c r="L1172" t="s">
        <v>111</v>
      </c>
      <c r="M1172" s="4">
        <v>330000000</v>
      </c>
      <c r="N1172">
        <v>0</v>
      </c>
      <c r="O1172">
        <v>4.6175569999999997</v>
      </c>
      <c r="P1172">
        <v>-74.071899999999999</v>
      </c>
      <c r="Q1172" t="s">
        <v>4052</v>
      </c>
      <c r="R1172">
        <v>11379310.34</v>
      </c>
      <c r="S1172">
        <v>0</v>
      </c>
      <c r="T1172" t="s">
        <v>126</v>
      </c>
      <c r="U1172" t="s">
        <v>127</v>
      </c>
      <c r="V1172" t="s">
        <v>77</v>
      </c>
      <c r="W1172" t="s">
        <v>128</v>
      </c>
      <c r="X1172" t="s">
        <v>129</v>
      </c>
      <c r="Y1172">
        <v>1.0378094850252599</v>
      </c>
      <c r="Z1172">
        <v>1037.8094850252601</v>
      </c>
      <c r="AA1172">
        <v>4.6254861111111101</v>
      </c>
      <c r="AB1172">
        <v>-74.066980555555503</v>
      </c>
      <c r="AC1172">
        <v>2621</v>
      </c>
      <c r="AD1172">
        <v>15</v>
      </c>
      <c r="AE1172" t="s">
        <v>80</v>
      </c>
      <c r="AF1172" t="s">
        <v>81</v>
      </c>
      <c r="AG1172" t="s">
        <v>82</v>
      </c>
      <c r="AH1172" t="s">
        <v>83</v>
      </c>
      <c r="AI1172" t="s">
        <v>84</v>
      </c>
      <c r="AJ1172">
        <v>0.104087267774247</v>
      </c>
      <c r="AK1172">
        <v>0.94612825159584002</v>
      </c>
      <c r="AL1172">
        <v>0.37704699037030698</v>
      </c>
      <c r="AM1172">
        <v>9.9160182203619301E-2</v>
      </c>
      <c r="AN1172">
        <v>0.66334022933139802</v>
      </c>
      <c r="AO1172">
        <v>0.32341150256688</v>
      </c>
      <c r="AP1172">
        <v>0.32341150256688</v>
      </c>
      <c r="AQ1172">
        <v>2</v>
      </c>
      <c r="AR1172">
        <v>7</v>
      </c>
      <c r="AS1172">
        <v>0</v>
      </c>
      <c r="AT1172">
        <v>1</v>
      </c>
      <c r="AU1172">
        <v>13</v>
      </c>
      <c r="AV1172">
        <v>71</v>
      </c>
      <c r="AW1172">
        <v>1</v>
      </c>
      <c r="AX1172">
        <v>3</v>
      </c>
      <c r="AZ1172">
        <v>6.8</v>
      </c>
      <c r="BA1172">
        <v>19.899999999999999</v>
      </c>
      <c r="BB1172">
        <v>564</v>
      </c>
      <c r="BC1172">
        <v>68</v>
      </c>
      <c r="BD1172">
        <v>1.5</v>
      </c>
      <c r="BE1172">
        <v>135</v>
      </c>
      <c r="BF1172">
        <v>0.8</v>
      </c>
      <c r="BG1172">
        <v>162</v>
      </c>
      <c r="BH1172">
        <v>9.1</v>
      </c>
      <c r="BI1172">
        <v>9.1999999999999993</v>
      </c>
      <c r="BJ1172">
        <v>18.3</v>
      </c>
      <c r="BK1172">
        <v>0.34</v>
      </c>
      <c r="BL1172">
        <v>7.3</v>
      </c>
      <c r="BM1172">
        <v>0.9</v>
      </c>
      <c r="BN1172">
        <v>7.5</v>
      </c>
      <c r="BO1172">
        <v>2.9</v>
      </c>
      <c r="BP1172">
        <f t="shared" si="36"/>
        <v>6.4594943625067245</v>
      </c>
      <c r="BQ1172">
        <f t="shared" si="37"/>
        <v>19.41046403864901</v>
      </c>
    </row>
    <row r="1173" spans="1:69" hidden="1" x14ac:dyDescent="0.2">
      <c r="A1173" t="s">
        <v>4599</v>
      </c>
      <c r="B1173" t="s">
        <v>68</v>
      </c>
      <c r="C1173" t="s">
        <v>3294</v>
      </c>
      <c r="D1173" t="s">
        <v>70</v>
      </c>
      <c r="E1173" t="s">
        <v>4600</v>
      </c>
      <c r="F1173">
        <v>3</v>
      </c>
      <c r="G1173">
        <v>29</v>
      </c>
      <c r="H1173">
        <v>1</v>
      </c>
      <c r="I1173">
        <v>1</v>
      </c>
      <c r="J1173">
        <v>0</v>
      </c>
      <c r="K1173" t="s">
        <v>110</v>
      </c>
      <c r="L1173" t="s">
        <v>111</v>
      </c>
      <c r="M1173" s="4">
        <v>290000000</v>
      </c>
      <c r="N1173">
        <v>0</v>
      </c>
      <c r="O1173">
        <v>4.6578626630000004</v>
      </c>
      <c r="P1173">
        <v>-74.067825319999997</v>
      </c>
      <c r="Q1173" t="s">
        <v>4601</v>
      </c>
      <c r="R1173">
        <v>10000000</v>
      </c>
      <c r="S1173">
        <v>0</v>
      </c>
      <c r="T1173" t="s">
        <v>75</v>
      </c>
      <c r="U1173" t="s">
        <v>76</v>
      </c>
      <c r="V1173" t="s">
        <v>77</v>
      </c>
      <c r="W1173" t="s">
        <v>78</v>
      </c>
      <c r="X1173" t="s">
        <v>79</v>
      </c>
      <c r="Y1173">
        <v>1.7921731417286899</v>
      </c>
      <c r="Z1173">
        <v>1792.1731417286901</v>
      </c>
      <c r="AA1173">
        <v>4.6584666666666701</v>
      </c>
      <c r="AB1173">
        <v>-74.083966666666697</v>
      </c>
      <c r="AC1173">
        <v>2552</v>
      </c>
      <c r="AD1173">
        <v>0</v>
      </c>
      <c r="AE1173" t="s">
        <v>80</v>
      </c>
      <c r="AF1173" t="s">
        <v>81</v>
      </c>
      <c r="AG1173" t="s">
        <v>82</v>
      </c>
      <c r="AH1173" t="s">
        <v>83</v>
      </c>
      <c r="AI1173" t="s">
        <v>342</v>
      </c>
      <c r="AJ1173">
        <v>0.62624492558576805</v>
      </c>
      <c r="AK1173">
        <v>2.1044855512899199</v>
      </c>
      <c r="AL1173">
        <v>0.45082389281891599</v>
      </c>
      <c r="AM1173">
        <v>0.25469440401538801</v>
      </c>
      <c r="AN1173">
        <v>2.0783448932178499</v>
      </c>
      <c r="AO1173">
        <v>0.17978854013884199</v>
      </c>
      <c r="AP1173">
        <v>0.17978854013884199</v>
      </c>
      <c r="AQ1173">
        <v>0</v>
      </c>
      <c r="AR1173">
        <v>3</v>
      </c>
      <c r="AS1173">
        <v>0</v>
      </c>
      <c r="AT1173">
        <v>0</v>
      </c>
      <c r="AU1173">
        <v>18</v>
      </c>
      <c r="AV1173">
        <v>64</v>
      </c>
      <c r="AW1173">
        <v>0</v>
      </c>
      <c r="AX1173">
        <v>0</v>
      </c>
      <c r="AZ1173">
        <v>6.8</v>
      </c>
      <c r="BA1173">
        <v>19.899999999999999</v>
      </c>
      <c r="BB1173">
        <v>564</v>
      </c>
      <c r="BC1173">
        <v>68</v>
      </c>
      <c r="BD1173">
        <v>1.5</v>
      </c>
      <c r="BE1173">
        <v>135</v>
      </c>
      <c r="BF1173">
        <v>0.8</v>
      </c>
      <c r="BG1173">
        <v>162</v>
      </c>
      <c r="BH1173">
        <v>9.1</v>
      </c>
      <c r="BI1173">
        <v>9.1999999999999993</v>
      </c>
      <c r="BJ1173">
        <v>18.3</v>
      </c>
      <c r="BK1173">
        <v>0.34</v>
      </c>
      <c r="BL1173">
        <v>7.3</v>
      </c>
      <c r="BM1173">
        <v>0.9</v>
      </c>
      <c r="BN1173">
        <v>7.5</v>
      </c>
      <c r="BO1173">
        <v>2.9</v>
      </c>
      <c r="BP1173">
        <f t="shared" si="36"/>
        <v>6.2227382417274963</v>
      </c>
      <c r="BQ1173">
        <f t="shared" si="37"/>
        <v>19.062204952171196</v>
      </c>
    </row>
    <row r="1174" spans="1:69" hidden="1" x14ac:dyDescent="0.2">
      <c r="A1174" t="s">
        <v>4596</v>
      </c>
      <c r="B1174" t="s">
        <v>68</v>
      </c>
      <c r="C1174" t="s">
        <v>3294</v>
      </c>
      <c r="D1174" t="s">
        <v>70</v>
      </c>
      <c r="E1174" t="s">
        <v>4597</v>
      </c>
      <c r="F1174">
        <v>4</v>
      </c>
      <c r="G1174">
        <v>29</v>
      </c>
      <c r="H1174">
        <v>1</v>
      </c>
      <c r="I1174">
        <v>1</v>
      </c>
      <c r="J1174">
        <v>0</v>
      </c>
      <c r="K1174" t="s">
        <v>110</v>
      </c>
      <c r="L1174" t="s">
        <v>133</v>
      </c>
      <c r="M1174" s="4">
        <v>280000000</v>
      </c>
      <c r="N1174">
        <v>0</v>
      </c>
      <c r="O1174">
        <v>4.6502299999999996</v>
      </c>
      <c r="P1174">
        <v>-74.073099999999997</v>
      </c>
      <c r="Q1174" t="s">
        <v>4598</v>
      </c>
      <c r="R1174">
        <v>9655172.4140000008</v>
      </c>
      <c r="S1174">
        <v>0</v>
      </c>
      <c r="T1174" t="s">
        <v>75</v>
      </c>
      <c r="U1174" t="s">
        <v>76</v>
      </c>
      <c r="V1174" t="s">
        <v>77</v>
      </c>
      <c r="W1174" t="s">
        <v>78</v>
      </c>
      <c r="X1174" t="s">
        <v>79</v>
      </c>
      <c r="Y1174">
        <v>1.5147208603591999</v>
      </c>
      <c r="Z1174">
        <v>1514.7208603592001</v>
      </c>
      <c r="AA1174">
        <v>4.6584666666666701</v>
      </c>
      <c r="AB1174">
        <v>-74.083966666666697</v>
      </c>
      <c r="AC1174">
        <v>2552</v>
      </c>
      <c r="AD1174">
        <v>0</v>
      </c>
      <c r="AE1174" t="s">
        <v>80</v>
      </c>
      <c r="AF1174" t="s">
        <v>81</v>
      </c>
      <c r="AG1174" t="s">
        <v>82</v>
      </c>
      <c r="AH1174" t="s">
        <v>83</v>
      </c>
      <c r="AI1174" t="s">
        <v>84</v>
      </c>
      <c r="AJ1174">
        <v>0.58391280504443799</v>
      </c>
      <c r="AK1174">
        <v>2.0095416792069098</v>
      </c>
      <c r="AL1174">
        <v>0.16931749752906899</v>
      </c>
      <c r="AM1174">
        <v>5.7111840206613099E-2</v>
      </c>
      <c r="AN1174">
        <v>1.88876103629396</v>
      </c>
      <c r="AO1174">
        <v>0.348005981273381</v>
      </c>
      <c r="AP1174">
        <v>0.348005981273381</v>
      </c>
      <c r="AQ1174">
        <v>0</v>
      </c>
      <c r="AR1174">
        <v>4</v>
      </c>
      <c r="AS1174">
        <v>0</v>
      </c>
      <c r="AT1174">
        <v>0</v>
      </c>
      <c r="AU1174">
        <v>6</v>
      </c>
      <c r="AV1174">
        <v>68</v>
      </c>
      <c r="AW1174">
        <v>0</v>
      </c>
      <c r="AX1174">
        <v>0</v>
      </c>
      <c r="AZ1174">
        <v>6.8</v>
      </c>
      <c r="BA1174">
        <v>19.899999999999999</v>
      </c>
      <c r="BB1174">
        <v>564</v>
      </c>
      <c r="BC1174">
        <v>68</v>
      </c>
      <c r="BD1174">
        <v>1.5</v>
      </c>
      <c r="BE1174">
        <v>135</v>
      </c>
      <c r="BF1174">
        <v>0.8</v>
      </c>
      <c r="BG1174">
        <v>162</v>
      </c>
      <c r="BH1174">
        <v>9.1</v>
      </c>
      <c r="BI1174">
        <v>9.1999999999999993</v>
      </c>
      <c r="BJ1174">
        <v>18.3</v>
      </c>
      <c r="BK1174">
        <v>0.34</v>
      </c>
      <c r="BL1174">
        <v>7.3</v>
      </c>
      <c r="BM1174">
        <v>0.9</v>
      </c>
      <c r="BN1174">
        <v>7.5</v>
      </c>
      <c r="BO1174">
        <v>2.9</v>
      </c>
      <c r="BP1174">
        <f t="shared" si="36"/>
        <v>6.3087901926818564</v>
      </c>
      <c r="BQ1174">
        <f t="shared" si="37"/>
        <v>19.189560958206375</v>
      </c>
    </row>
    <row r="1175" spans="1:69" hidden="1" x14ac:dyDescent="0.2">
      <c r="A1175" t="s">
        <v>4360</v>
      </c>
      <c r="B1175" t="s">
        <v>68</v>
      </c>
      <c r="C1175" t="s">
        <v>3294</v>
      </c>
      <c r="D1175" t="s">
        <v>70</v>
      </c>
      <c r="E1175" t="s">
        <v>1920</v>
      </c>
      <c r="F1175">
        <v>3</v>
      </c>
      <c r="G1175">
        <v>29</v>
      </c>
      <c r="H1175">
        <v>1</v>
      </c>
      <c r="I1175">
        <v>1</v>
      </c>
      <c r="J1175">
        <v>0</v>
      </c>
      <c r="K1175" t="s">
        <v>110</v>
      </c>
      <c r="L1175" t="s">
        <v>111</v>
      </c>
      <c r="M1175" s="4">
        <v>250000000</v>
      </c>
      <c r="N1175">
        <v>0</v>
      </c>
      <c r="O1175">
        <v>4.6383967999999998</v>
      </c>
      <c r="P1175">
        <v>-74.075856000000002</v>
      </c>
      <c r="Q1175" t="s">
        <v>4361</v>
      </c>
      <c r="R1175">
        <v>8620689.6549999993</v>
      </c>
      <c r="S1175">
        <v>0</v>
      </c>
      <c r="T1175" t="s">
        <v>126</v>
      </c>
      <c r="U1175" t="s">
        <v>127</v>
      </c>
      <c r="V1175" t="s">
        <v>77</v>
      </c>
      <c r="W1175" t="s">
        <v>128</v>
      </c>
      <c r="X1175" t="s">
        <v>129</v>
      </c>
      <c r="Y1175">
        <v>1.7422325234375</v>
      </c>
      <c r="Z1175">
        <v>1742.2325234375</v>
      </c>
      <c r="AA1175">
        <v>4.6254861111111101</v>
      </c>
      <c r="AB1175">
        <v>-74.066980555555503</v>
      </c>
      <c r="AC1175">
        <v>2621</v>
      </c>
      <c r="AD1175">
        <v>15</v>
      </c>
      <c r="AE1175" t="s">
        <v>80</v>
      </c>
      <c r="AF1175" t="s">
        <v>81</v>
      </c>
      <c r="AG1175" t="s">
        <v>82</v>
      </c>
      <c r="AH1175" t="s">
        <v>83</v>
      </c>
      <c r="AI1175" t="s">
        <v>84</v>
      </c>
      <c r="AJ1175">
        <v>0.40981709902563801</v>
      </c>
      <c r="AK1175">
        <v>1.8396917563758499</v>
      </c>
      <c r="AL1175">
        <v>0.25120461628216101</v>
      </c>
      <c r="AM1175">
        <v>9.5186537926169296E-2</v>
      </c>
      <c r="AN1175">
        <v>1.5790799078028199</v>
      </c>
      <c r="AO1175">
        <v>0.37265415008887598</v>
      </c>
      <c r="AP1175">
        <v>0.37265415008887598</v>
      </c>
      <c r="AQ1175">
        <v>1</v>
      </c>
      <c r="AR1175">
        <v>3</v>
      </c>
      <c r="AS1175">
        <v>0</v>
      </c>
      <c r="AT1175">
        <v>0</v>
      </c>
      <c r="AU1175">
        <v>6</v>
      </c>
      <c r="AV1175">
        <v>112</v>
      </c>
      <c r="AW1175">
        <v>0</v>
      </c>
      <c r="AX1175">
        <v>0</v>
      </c>
      <c r="AZ1175">
        <v>6.8</v>
      </c>
      <c r="BA1175">
        <v>19.899999999999999</v>
      </c>
      <c r="BB1175">
        <v>564</v>
      </c>
      <c r="BC1175">
        <v>68</v>
      </c>
      <c r="BD1175">
        <v>1.5</v>
      </c>
      <c r="BE1175">
        <v>135</v>
      </c>
      <c r="BF1175">
        <v>0.8</v>
      </c>
      <c r="BG1175">
        <v>162</v>
      </c>
      <c r="BH1175">
        <v>9.1</v>
      </c>
      <c r="BI1175">
        <v>9.1999999999999993</v>
      </c>
      <c r="BJ1175">
        <v>18.3</v>
      </c>
      <c r="BK1175">
        <v>0.34</v>
      </c>
      <c r="BL1175">
        <v>7.3</v>
      </c>
      <c r="BM1175">
        <v>0.9</v>
      </c>
      <c r="BN1175">
        <v>7.5</v>
      </c>
      <c r="BO1175">
        <v>2.9</v>
      </c>
      <c r="BP1175">
        <f t="shared" si="36"/>
        <v>6.2381402573070694</v>
      </c>
      <c r="BQ1175">
        <f t="shared" si="37"/>
        <v>19.085066129081401</v>
      </c>
    </row>
    <row r="1176" spans="1:69" hidden="1" x14ac:dyDescent="0.2">
      <c r="A1176" t="s">
        <v>3833</v>
      </c>
      <c r="B1176" t="s">
        <v>68</v>
      </c>
      <c r="C1176" t="s">
        <v>3294</v>
      </c>
      <c r="D1176" t="s">
        <v>70</v>
      </c>
      <c r="E1176" t="s">
        <v>1646</v>
      </c>
      <c r="F1176">
        <v>3</v>
      </c>
      <c r="G1176">
        <v>28.67</v>
      </c>
      <c r="H1176">
        <v>1</v>
      </c>
      <c r="I1176">
        <v>1</v>
      </c>
      <c r="J1176">
        <v>0</v>
      </c>
      <c r="K1176" t="s">
        <v>110</v>
      </c>
      <c r="L1176" t="s">
        <v>111</v>
      </c>
      <c r="M1176" s="4">
        <v>310000000</v>
      </c>
      <c r="N1176">
        <v>0</v>
      </c>
      <c r="O1176">
        <v>4.6108148</v>
      </c>
      <c r="P1176">
        <v>-74.070130399999996</v>
      </c>
      <c r="Q1176" t="s">
        <v>3834</v>
      </c>
      <c r="R1176">
        <v>10812696.199999999</v>
      </c>
      <c r="S1176">
        <v>0</v>
      </c>
      <c r="T1176" t="s">
        <v>126</v>
      </c>
      <c r="U1176" t="s">
        <v>127</v>
      </c>
      <c r="V1176" t="s">
        <v>77</v>
      </c>
      <c r="W1176" t="s">
        <v>128</v>
      </c>
      <c r="X1176" t="s">
        <v>129</v>
      </c>
      <c r="Y1176">
        <v>1.6701803479913799</v>
      </c>
      <c r="Z1176">
        <v>1670.1803479913799</v>
      </c>
      <c r="AA1176">
        <v>4.6254861111111101</v>
      </c>
      <c r="AB1176">
        <v>-74.066980555555503</v>
      </c>
      <c r="AC1176">
        <v>2621</v>
      </c>
      <c r="AD1176">
        <v>15</v>
      </c>
      <c r="AE1176" t="s">
        <v>80</v>
      </c>
      <c r="AF1176" t="s">
        <v>81</v>
      </c>
      <c r="AG1176" t="s">
        <v>82</v>
      </c>
      <c r="AH1176" t="s">
        <v>83</v>
      </c>
      <c r="AI1176" t="s">
        <v>138</v>
      </c>
      <c r="AJ1176">
        <v>0.152171584704172</v>
      </c>
      <c r="AK1176">
        <v>0.62893358527237297</v>
      </c>
      <c r="AL1176">
        <v>0.27521620825673698</v>
      </c>
      <c r="AM1176">
        <v>0.33092285654416997</v>
      </c>
      <c r="AN1176">
        <v>0.64673907868714897</v>
      </c>
      <c r="AO1176">
        <v>4.9164984995367998E-2</v>
      </c>
      <c r="AP1176">
        <v>4.9164984995367998E-2</v>
      </c>
      <c r="AQ1176">
        <v>1</v>
      </c>
      <c r="AR1176">
        <v>8</v>
      </c>
      <c r="AS1176">
        <v>0</v>
      </c>
      <c r="AT1176">
        <v>23</v>
      </c>
      <c r="AU1176">
        <v>9</v>
      </c>
      <c r="AV1176">
        <v>62</v>
      </c>
      <c r="AW1176">
        <v>1</v>
      </c>
      <c r="AX1176">
        <v>5</v>
      </c>
      <c r="AZ1176">
        <v>6.8</v>
      </c>
      <c r="BA1176">
        <v>19.899999999999999</v>
      </c>
      <c r="BB1176">
        <v>564</v>
      </c>
      <c r="BC1176">
        <v>68</v>
      </c>
      <c r="BD1176">
        <v>1.5</v>
      </c>
      <c r="BE1176">
        <v>135</v>
      </c>
      <c r="BF1176">
        <v>0.8</v>
      </c>
      <c r="BG1176">
        <v>162</v>
      </c>
      <c r="BH1176">
        <v>9.1</v>
      </c>
      <c r="BI1176">
        <v>9.1999999999999993</v>
      </c>
      <c r="BJ1176">
        <v>18.3</v>
      </c>
      <c r="BK1176">
        <v>0.34</v>
      </c>
      <c r="BL1176">
        <v>7.3</v>
      </c>
      <c r="BM1176">
        <v>0.9</v>
      </c>
      <c r="BN1176">
        <v>7.5</v>
      </c>
      <c r="BO1176">
        <v>2.9</v>
      </c>
      <c r="BP1176">
        <f t="shared" si="36"/>
        <v>6.2604288237134593</v>
      </c>
      <c r="BQ1176">
        <f t="shared" si="37"/>
        <v>19.118097573494541</v>
      </c>
    </row>
    <row r="1177" spans="1:69" hidden="1" x14ac:dyDescent="0.2">
      <c r="A1177" t="s">
        <v>4382</v>
      </c>
      <c r="B1177" t="s">
        <v>68</v>
      </c>
      <c r="C1177" t="s">
        <v>3294</v>
      </c>
      <c r="D1177" t="s">
        <v>70</v>
      </c>
      <c r="E1177" t="s">
        <v>3559</v>
      </c>
      <c r="F1177">
        <v>3</v>
      </c>
      <c r="G1177">
        <v>28.67</v>
      </c>
      <c r="H1177">
        <v>1</v>
      </c>
      <c r="I1177">
        <v>1</v>
      </c>
      <c r="J1177">
        <v>0</v>
      </c>
      <c r="K1177" t="s">
        <v>110</v>
      </c>
      <c r="L1177" t="s">
        <v>111</v>
      </c>
      <c r="M1177" s="4">
        <v>290000000</v>
      </c>
      <c r="N1177">
        <v>0</v>
      </c>
      <c r="O1177">
        <v>4.6102999999999996</v>
      </c>
      <c r="P1177">
        <v>-74.070300000000003</v>
      </c>
      <c r="Q1177" t="s">
        <v>4383</v>
      </c>
      <c r="R1177">
        <v>10115102.9</v>
      </c>
      <c r="S1177">
        <v>0</v>
      </c>
      <c r="T1177" t="s">
        <v>126</v>
      </c>
      <c r="U1177" t="s">
        <v>127</v>
      </c>
      <c r="V1177" t="s">
        <v>77</v>
      </c>
      <c r="W1177" t="s">
        <v>128</v>
      </c>
      <c r="X1177" t="s">
        <v>129</v>
      </c>
      <c r="Y1177">
        <v>1.73016869515159</v>
      </c>
      <c r="Z1177">
        <v>1730.1686951515901</v>
      </c>
      <c r="AA1177">
        <v>4.6254861111111101</v>
      </c>
      <c r="AB1177">
        <v>-74.066980555555503</v>
      </c>
      <c r="AC1177">
        <v>2621</v>
      </c>
      <c r="AD1177">
        <v>15</v>
      </c>
      <c r="AE1177" t="s">
        <v>80</v>
      </c>
      <c r="AF1177" t="s">
        <v>81</v>
      </c>
      <c r="AG1177" t="s">
        <v>82</v>
      </c>
      <c r="AH1177" t="s">
        <v>83</v>
      </c>
      <c r="AI1177" t="s">
        <v>138</v>
      </c>
      <c r="AJ1177">
        <v>0.14863813906381901</v>
      </c>
      <c r="AK1177">
        <v>0.63136889955848396</v>
      </c>
      <c r="AL1177">
        <v>0.28046374973949001</v>
      </c>
      <c r="AM1177">
        <v>0.27109003560582401</v>
      </c>
      <c r="AN1177">
        <v>0.70267866686443203</v>
      </c>
      <c r="AO1177">
        <v>6.12402926326596E-2</v>
      </c>
      <c r="AP1177">
        <v>6.12402926326596E-2</v>
      </c>
      <c r="AQ1177">
        <v>1</v>
      </c>
      <c r="AR1177">
        <v>8</v>
      </c>
      <c r="AS1177">
        <v>0</v>
      </c>
      <c r="AT1177">
        <v>24</v>
      </c>
      <c r="AU1177">
        <v>9</v>
      </c>
      <c r="AV1177">
        <v>63</v>
      </c>
      <c r="AW1177">
        <v>1</v>
      </c>
      <c r="AX1177">
        <v>6</v>
      </c>
      <c r="AZ1177">
        <v>6.8</v>
      </c>
      <c r="BA1177">
        <v>19.899999999999999</v>
      </c>
      <c r="BB1177">
        <v>564</v>
      </c>
      <c r="BC1177">
        <v>68</v>
      </c>
      <c r="BD1177">
        <v>1.5</v>
      </c>
      <c r="BE1177">
        <v>135</v>
      </c>
      <c r="BF1177">
        <v>0.8</v>
      </c>
      <c r="BG1177">
        <v>162</v>
      </c>
      <c r="BH1177">
        <v>9.1</v>
      </c>
      <c r="BI1177">
        <v>9.1999999999999993</v>
      </c>
      <c r="BJ1177">
        <v>18.3</v>
      </c>
      <c r="BK1177">
        <v>0.34</v>
      </c>
      <c r="BL1177">
        <v>7.3</v>
      </c>
      <c r="BM1177">
        <v>0.9</v>
      </c>
      <c r="BN1177">
        <v>7.5</v>
      </c>
      <c r="BO1177">
        <v>2.9</v>
      </c>
      <c r="BP1177">
        <f t="shared" si="36"/>
        <v>6.2418665345051867</v>
      </c>
      <c r="BQ1177">
        <f t="shared" si="37"/>
        <v>19.090592664151391</v>
      </c>
    </row>
    <row r="1178" spans="1:69" hidden="1" x14ac:dyDescent="0.2">
      <c r="A1178" t="s">
        <v>1641</v>
      </c>
      <c r="B1178" t="s">
        <v>68</v>
      </c>
      <c r="C1178" t="s">
        <v>69</v>
      </c>
      <c r="D1178" t="s">
        <v>70</v>
      </c>
      <c r="E1178" t="s">
        <v>1530</v>
      </c>
      <c r="F1178">
        <v>3</v>
      </c>
      <c r="G1178">
        <v>28.65</v>
      </c>
      <c r="H1178">
        <v>1</v>
      </c>
      <c r="I1178">
        <v>1</v>
      </c>
      <c r="J1178">
        <v>0</v>
      </c>
      <c r="K1178" t="s">
        <v>72</v>
      </c>
      <c r="L1178" t="s">
        <v>73</v>
      </c>
      <c r="M1178" s="4">
        <v>321645309</v>
      </c>
      <c r="N1178">
        <v>0</v>
      </c>
      <c r="O1178">
        <v>4.6218880000000002</v>
      </c>
      <c r="P1178">
        <v>-74.069320000000005</v>
      </c>
      <c r="Q1178" t="s">
        <v>1642</v>
      </c>
      <c r="R1178">
        <v>11226712.359999999</v>
      </c>
      <c r="S1178">
        <v>0</v>
      </c>
      <c r="T1178" t="s">
        <v>126</v>
      </c>
      <c r="U1178" t="s">
        <v>127</v>
      </c>
      <c r="V1178" t="s">
        <v>77</v>
      </c>
      <c r="W1178" t="s">
        <v>128</v>
      </c>
      <c r="X1178" t="s">
        <v>129</v>
      </c>
      <c r="Y1178">
        <v>0.477297678444431</v>
      </c>
      <c r="Z1178">
        <v>477.29767844443103</v>
      </c>
      <c r="AA1178">
        <v>4.6254861111111101</v>
      </c>
      <c r="AB1178">
        <v>-74.066980555555503</v>
      </c>
      <c r="AC1178">
        <v>2621</v>
      </c>
      <c r="AD1178">
        <v>15</v>
      </c>
      <c r="AE1178" t="s">
        <v>80</v>
      </c>
      <c r="AF1178" t="s">
        <v>81</v>
      </c>
      <c r="AG1178" t="s">
        <v>82</v>
      </c>
      <c r="AH1178" t="s">
        <v>83</v>
      </c>
      <c r="AI1178" t="s">
        <v>138</v>
      </c>
      <c r="AJ1178">
        <v>5.6142650139799702E-2</v>
      </c>
      <c r="AK1178">
        <v>0.90372310585985105</v>
      </c>
      <c r="AL1178">
        <v>0.22218264720956099</v>
      </c>
      <c r="AM1178">
        <v>4.7684081077489601E-2</v>
      </c>
      <c r="AN1178">
        <v>0.68763354418564704</v>
      </c>
      <c r="AO1178">
        <v>0.19304280251591199</v>
      </c>
      <c r="AP1178">
        <v>0.19304280251591199</v>
      </c>
      <c r="AQ1178">
        <v>2</v>
      </c>
      <c r="AR1178">
        <v>6</v>
      </c>
      <c r="AS1178">
        <v>0</v>
      </c>
      <c r="AT1178">
        <v>3</v>
      </c>
      <c r="AU1178">
        <v>18</v>
      </c>
      <c r="AV1178">
        <v>98</v>
      </c>
      <c r="AW1178">
        <v>2</v>
      </c>
      <c r="AX1178">
        <v>1</v>
      </c>
      <c r="AZ1178">
        <v>6.8</v>
      </c>
      <c r="BA1178">
        <v>19.899999999999999</v>
      </c>
      <c r="BB1178">
        <v>564</v>
      </c>
      <c r="BC1178">
        <v>68</v>
      </c>
      <c r="BD1178">
        <v>1.5</v>
      </c>
      <c r="BE1178">
        <v>135</v>
      </c>
      <c r="BF1178">
        <v>0.8</v>
      </c>
      <c r="BG1178">
        <v>162</v>
      </c>
      <c r="BH1178">
        <v>9.1</v>
      </c>
      <c r="BI1178">
        <v>9.1999999999999993</v>
      </c>
      <c r="BJ1178">
        <v>18.3</v>
      </c>
      <c r="BK1178">
        <v>0.34</v>
      </c>
      <c r="BL1178">
        <v>7.3</v>
      </c>
      <c r="BM1178">
        <v>0.9</v>
      </c>
      <c r="BN1178">
        <v>7.5</v>
      </c>
      <c r="BO1178">
        <v>2.9</v>
      </c>
      <c r="BP1178">
        <f t="shared" si="36"/>
        <v>6.6412246192899369</v>
      </c>
      <c r="BQ1178">
        <f t="shared" si="37"/>
        <v>19.673343299868097</v>
      </c>
    </row>
    <row r="1179" spans="1:69" hidden="1" x14ac:dyDescent="0.2">
      <c r="A1179" t="s">
        <v>4087</v>
      </c>
      <c r="B1179" t="s">
        <v>68</v>
      </c>
      <c r="C1179" t="s">
        <v>3294</v>
      </c>
      <c r="D1179" t="s">
        <v>70</v>
      </c>
      <c r="E1179" t="s">
        <v>3559</v>
      </c>
      <c r="F1179">
        <v>3</v>
      </c>
      <c r="G1179">
        <v>28.07</v>
      </c>
      <c r="H1179">
        <v>1</v>
      </c>
      <c r="I1179">
        <v>1</v>
      </c>
      <c r="J1179">
        <v>0</v>
      </c>
      <c r="K1179" t="s">
        <v>110</v>
      </c>
      <c r="L1179" t="s">
        <v>111</v>
      </c>
      <c r="M1179" s="4">
        <v>343500000</v>
      </c>
      <c r="N1179">
        <v>0</v>
      </c>
      <c r="O1179">
        <v>4.6318061000000004</v>
      </c>
      <c r="P1179">
        <v>-74.0639903</v>
      </c>
      <c r="Q1179" t="s">
        <v>4088</v>
      </c>
      <c r="R1179">
        <v>12237263.98</v>
      </c>
      <c r="S1179">
        <v>0</v>
      </c>
      <c r="T1179" t="s">
        <v>126</v>
      </c>
      <c r="U1179" t="s">
        <v>127</v>
      </c>
      <c r="V1179" t="s">
        <v>77</v>
      </c>
      <c r="W1179" t="s">
        <v>128</v>
      </c>
      <c r="X1179" t="s">
        <v>129</v>
      </c>
      <c r="Y1179">
        <v>0.77784895064422999</v>
      </c>
      <c r="Z1179">
        <v>777.84895064422994</v>
      </c>
      <c r="AA1179">
        <v>4.6254861111111101</v>
      </c>
      <c r="AB1179">
        <v>-74.066980555555503</v>
      </c>
      <c r="AC1179">
        <v>2621</v>
      </c>
      <c r="AD1179">
        <v>15</v>
      </c>
      <c r="AE1179" t="s">
        <v>80</v>
      </c>
      <c r="AF1179" t="s">
        <v>81</v>
      </c>
      <c r="AG1179" t="s">
        <v>82</v>
      </c>
      <c r="AH1179" t="s">
        <v>83</v>
      </c>
      <c r="AI1179" t="s">
        <v>130</v>
      </c>
      <c r="AJ1179">
        <v>0.43295064725290799</v>
      </c>
      <c r="AK1179">
        <v>0.45973649605725903</v>
      </c>
      <c r="AL1179">
        <v>0.18318921822877199</v>
      </c>
      <c r="AM1179">
        <v>0.103482540603006</v>
      </c>
      <c r="AN1179">
        <v>0.55940715793662998</v>
      </c>
      <c r="AO1179">
        <v>7.6124657875659002E-2</v>
      </c>
      <c r="AP1179">
        <v>7.6124657875659002E-2</v>
      </c>
      <c r="AQ1179">
        <v>1</v>
      </c>
      <c r="AR1179">
        <v>5</v>
      </c>
      <c r="AS1179">
        <v>4</v>
      </c>
      <c r="AT1179">
        <v>41</v>
      </c>
      <c r="AU1179">
        <v>11</v>
      </c>
      <c r="AV1179">
        <v>125</v>
      </c>
      <c r="AW1179">
        <v>1</v>
      </c>
      <c r="AX1179">
        <v>1</v>
      </c>
      <c r="AZ1179">
        <v>6.8</v>
      </c>
      <c r="BA1179">
        <v>19.899999999999999</v>
      </c>
      <c r="BB1179">
        <v>564</v>
      </c>
      <c r="BC1179">
        <v>68</v>
      </c>
      <c r="BD1179">
        <v>1.5</v>
      </c>
      <c r="BE1179">
        <v>135</v>
      </c>
      <c r="BF1179">
        <v>0.8</v>
      </c>
      <c r="BG1179">
        <v>162</v>
      </c>
      <c r="BH1179">
        <v>9.1</v>
      </c>
      <c r="BI1179">
        <v>9.1999999999999993</v>
      </c>
      <c r="BJ1179">
        <v>18.3</v>
      </c>
      <c r="BK1179">
        <v>0.34</v>
      </c>
      <c r="BL1179">
        <v>7.3</v>
      </c>
      <c r="BM1179">
        <v>0.9</v>
      </c>
      <c r="BN1179">
        <v>7.5</v>
      </c>
      <c r="BO1179">
        <v>2.9</v>
      </c>
      <c r="BP1179">
        <f t="shared" si="36"/>
        <v>6.5431525402915165</v>
      </c>
      <c r="BQ1179">
        <f t="shared" si="37"/>
        <v>19.53194551977252</v>
      </c>
    </row>
    <row r="1180" spans="1:69" hidden="1" x14ac:dyDescent="0.2">
      <c r="A1180" t="s">
        <v>3601</v>
      </c>
      <c r="B1180" t="s">
        <v>68</v>
      </c>
      <c r="C1180" t="s">
        <v>3294</v>
      </c>
      <c r="D1180" t="s">
        <v>70</v>
      </c>
      <c r="E1180" t="s">
        <v>3486</v>
      </c>
      <c r="F1180">
        <v>4</v>
      </c>
      <c r="G1180">
        <v>28</v>
      </c>
      <c r="H1180">
        <v>1</v>
      </c>
      <c r="I1180">
        <v>1</v>
      </c>
      <c r="J1180">
        <v>0</v>
      </c>
      <c r="K1180" t="s">
        <v>110</v>
      </c>
      <c r="L1180" t="s">
        <v>111</v>
      </c>
      <c r="M1180" s="4">
        <v>360000000</v>
      </c>
      <c r="N1180">
        <v>0</v>
      </c>
      <c r="O1180">
        <v>4.6286144260000004</v>
      </c>
      <c r="P1180">
        <v>-74.085868840000003</v>
      </c>
      <c r="Q1180" t="s">
        <v>3602</v>
      </c>
      <c r="R1180">
        <v>12857142.859999999</v>
      </c>
      <c r="S1180">
        <v>0</v>
      </c>
      <c r="T1180" t="s">
        <v>126</v>
      </c>
      <c r="U1180" t="s">
        <v>127</v>
      </c>
      <c r="V1180" t="s">
        <v>77</v>
      </c>
      <c r="W1180" t="s">
        <v>128</v>
      </c>
      <c r="X1180" t="s">
        <v>129</v>
      </c>
      <c r="Y1180">
        <v>2.1245171124844502</v>
      </c>
      <c r="Z1180">
        <v>2124.5171124844501</v>
      </c>
      <c r="AA1180">
        <v>4.6254861111111101</v>
      </c>
      <c r="AB1180">
        <v>-74.066980555555503</v>
      </c>
      <c r="AC1180">
        <v>2621</v>
      </c>
      <c r="AD1180">
        <v>15</v>
      </c>
      <c r="AE1180" t="s">
        <v>80</v>
      </c>
      <c r="AF1180" t="s">
        <v>81</v>
      </c>
      <c r="AG1180" t="s">
        <v>82</v>
      </c>
      <c r="AH1180" t="s">
        <v>83</v>
      </c>
      <c r="AI1180" t="s">
        <v>84</v>
      </c>
      <c r="AJ1180">
        <v>0.36035865627563901</v>
      </c>
      <c r="AK1180">
        <v>2.7637126742206899</v>
      </c>
      <c r="AL1180">
        <v>0.685125481214933</v>
      </c>
      <c r="AM1180">
        <v>0.267194372774544</v>
      </c>
      <c r="AN1180">
        <v>2.1354241146323498</v>
      </c>
      <c r="AO1180">
        <v>3.09214848177491E-2</v>
      </c>
      <c r="AP1180">
        <v>3.09214848177491E-2</v>
      </c>
      <c r="AQ1180">
        <v>1</v>
      </c>
      <c r="AR1180">
        <v>5</v>
      </c>
      <c r="AS1180">
        <v>0</v>
      </c>
      <c r="AT1180">
        <v>0</v>
      </c>
      <c r="AU1180">
        <v>2</v>
      </c>
      <c r="AV1180">
        <v>27</v>
      </c>
      <c r="AW1180">
        <v>0</v>
      </c>
      <c r="AX1180">
        <v>0</v>
      </c>
      <c r="AZ1180">
        <v>6.8</v>
      </c>
      <c r="BA1180">
        <v>19.899999999999999</v>
      </c>
      <c r="BB1180">
        <v>564</v>
      </c>
      <c r="BC1180">
        <v>68</v>
      </c>
      <c r="BD1180">
        <v>1.5</v>
      </c>
      <c r="BE1180">
        <v>135</v>
      </c>
      <c r="BF1180">
        <v>0.8</v>
      </c>
      <c r="BG1180">
        <v>162</v>
      </c>
      <c r="BH1180">
        <v>9.1</v>
      </c>
      <c r="BI1180">
        <v>9.1999999999999993</v>
      </c>
      <c r="BJ1180">
        <v>18.3</v>
      </c>
      <c r="BK1180">
        <v>0.34</v>
      </c>
      <c r="BL1180">
        <v>7.3</v>
      </c>
      <c r="BM1180">
        <v>0.9</v>
      </c>
      <c r="BN1180">
        <v>7.5</v>
      </c>
      <c r="BO1180">
        <v>2.9</v>
      </c>
      <c r="BP1180">
        <f t="shared" si="36"/>
        <v>6.1212052604350555</v>
      </c>
      <c r="BQ1180">
        <f t="shared" si="37"/>
        <v>18.91076470485778</v>
      </c>
    </row>
    <row r="1181" spans="1:69" hidden="1" x14ac:dyDescent="0.2">
      <c r="A1181" t="s">
        <v>4289</v>
      </c>
      <c r="B1181" t="s">
        <v>68</v>
      </c>
      <c r="C1181" t="s">
        <v>3294</v>
      </c>
      <c r="D1181" t="s">
        <v>70</v>
      </c>
      <c r="E1181" t="s">
        <v>3559</v>
      </c>
      <c r="F1181">
        <v>3</v>
      </c>
      <c r="G1181">
        <v>28</v>
      </c>
      <c r="H1181">
        <v>1</v>
      </c>
      <c r="I1181">
        <v>1</v>
      </c>
      <c r="J1181">
        <v>0</v>
      </c>
      <c r="K1181" t="s">
        <v>110</v>
      </c>
      <c r="L1181" t="s">
        <v>111</v>
      </c>
      <c r="M1181" s="4">
        <v>350000000</v>
      </c>
      <c r="N1181">
        <v>0</v>
      </c>
      <c r="O1181">
        <v>4.6133962999999998</v>
      </c>
      <c r="P1181">
        <v>-74.0695956</v>
      </c>
      <c r="Q1181" t="s">
        <v>4290</v>
      </c>
      <c r="R1181">
        <v>12500000</v>
      </c>
      <c r="S1181">
        <v>0</v>
      </c>
      <c r="T1181" t="s">
        <v>126</v>
      </c>
      <c r="U1181" t="s">
        <v>127</v>
      </c>
      <c r="V1181" t="s">
        <v>77</v>
      </c>
      <c r="W1181" t="s">
        <v>128</v>
      </c>
      <c r="X1181" t="s">
        <v>129</v>
      </c>
      <c r="Y1181">
        <v>1.3767554048533599</v>
      </c>
      <c r="Z1181">
        <v>1376.75540485336</v>
      </c>
      <c r="AA1181">
        <v>4.6254861111111101</v>
      </c>
      <c r="AB1181">
        <v>-74.066980555555503</v>
      </c>
      <c r="AC1181">
        <v>2621</v>
      </c>
      <c r="AD1181">
        <v>15</v>
      </c>
      <c r="AE1181" t="s">
        <v>80</v>
      </c>
      <c r="AF1181" t="s">
        <v>81</v>
      </c>
      <c r="AG1181" t="s">
        <v>82</v>
      </c>
      <c r="AH1181" t="s">
        <v>83</v>
      </c>
      <c r="AI1181" t="s">
        <v>138</v>
      </c>
      <c r="AJ1181">
        <v>0.20859495229956401</v>
      </c>
      <c r="AK1181">
        <v>0.63537759075358202</v>
      </c>
      <c r="AL1181">
        <v>0.19026566687762</v>
      </c>
      <c r="AM1181">
        <v>9.3815307045673396E-2</v>
      </c>
      <c r="AN1181">
        <v>0.414600482625401</v>
      </c>
      <c r="AO1181">
        <v>1.06945947541207E-2</v>
      </c>
      <c r="AP1181">
        <v>1.06945947541207E-2</v>
      </c>
      <c r="AQ1181">
        <v>3</v>
      </c>
      <c r="AR1181">
        <v>7</v>
      </c>
      <c r="AS1181">
        <v>0</v>
      </c>
      <c r="AT1181">
        <v>18</v>
      </c>
      <c r="AU1181">
        <v>9</v>
      </c>
      <c r="AV1181">
        <v>66</v>
      </c>
      <c r="AW1181">
        <v>1</v>
      </c>
      <c r="AX1181">
        <v>4</v>
      </c>
      <c r="AZ1181">
        <v>6.8</v>
      </c>
      <c r="BA1181">
        <v>19.899999999999999</v>
      </c>
      <c r="BB1181">
        <v>564</v>
      </c>
      <c r="BC1181">
        <v>68</v>
      </c>
      <c r="BD1181">
        <v>1.5</v>
      </c>
      <c r="BE1181">
        <v>135</v>
      </c>
      <c r="BF1181">
        <v>0.8</v>
      </c>
      <c r="BG1181">
        <v>162</v>
      </c>
      <c r="BH1181">
        <v>9.1</v>
      </c>
      <c r="BI1181">
        <v>9.1999999999999993</v>
      </c>
      <c r="BJ1181">
        <v>18.3</v>
      </c>
      <c r="BK1181">
        <v>0.34</v>
      </c>
      <c r="BL1181">
        <v>7.3</v>
      </c>
      <c r="BM1181">
        <v>0.9</v>
      </c>
      <c r="BN1181">
        <v>7.5</v>
      </c>
      <c r="BO1181">
        <v>2.9</v>
      </c>
      <c r="BP1181">
        <f t="shared" si="36"/>
        <v>6.3520222047060599</v>
      </c>
      <c r="BQ1181">
        <f t="shared" si="37"/>
        <v>19.253206186617128</v>
      </c>
    </row>
    <row r="1182" spans="1:69" hidden="1" x14ac:dyDescent="0.2">
      <c r="A1182" t="s">
        <v>4590</v>
      </c>
      <c r="B1182" t="s">
        <v>68</v>
      </c>
      <c r="C1182" t="s">
        <v>3294</v>
      </c>
      <c r="D1182" t="s">
        <v>70</v>
      </c>
      <c r="E1182" t="s">
        <v>1098</v>
      </c>
      <c r="F1182">
        <v>3</v>
      </c>
      <c r="G1182">
        <v>28</v>
      </c>
      <c r="H1182">
        <v>1</v>
      </c>
      <c r="I1182">
        <v>1</v>
      </c>
      <c r="J1182">
        <v>1</v>
      </c>
      <c r="K1182" t="s">
        <v>110</v>
      </c>
      <c r="L1182" t="s">
        <v>111</v>
      </c>
      <c r="M1182" s="4">
        <v>340000000</v>
      </c>
      <c r="N1182">
        <v>0</v>
      </c>
      <c r="O1182">
        <v>4.6102980999999996</v>
      </c>
      <c r="P1182">
        <v>-74.070298399999999</v>
      </c>
      <c r="Q1182" t="s">
        <v>4591</v>
      </c>
      <c r="R1182">
        <v>12142857.140000001</v>
      </c>
      <c r="S1182">
        <v>0</v>
      </c>
      <c r="T1182" t="s">
        <v>126</v>
      </c>
      <c r="U1182" t="s">
        <v>127</v>
      </c>
      <c r="V1182" t="s">
        <v>77</v>
      </c>
      <c r="W1182" t="s">
        <v>128</v>
      </c>
      <c r="X1182" t="s">
        <v>129</v>
      </c>
      <c r="Y1182">
        <v>1.7303375746377301</v>
      </c>
      <c r="Z1182">
        <v>1730.3375746377301</v>
      </c>
      <c r="AA1182">
        <v>4.6254861111111101</v>
      </c>
      <c r="AB1182">
        <v>-74.066980555555503</v>
      </c>
      <c r="AC1182">
        <v>2621</v>
      </c>
      <c r="AD1182">
        <v>15</v>
      </c>
      <c r="AE1182" t="s">
        <v>80</v>
      </c>
      <c r="AF1182" t="s">
        <v>81</v>
      </c>
      <c r="AG1182" t="s">
        <v>82</v>
      </c>
      <c r="AH1182" t="s">
        <v>83</v>
      </c>
      <c r="AI1182" t="s">
        <v>138</v>
      </c>
      <c r="AJ1182">
        <v>0.14889056018687899</v>
      </c>
      <c r="AK1182">
        <v>0.63114810933434495</v>
      </c>
      <c r="AL1182">
        <v>0.28072151144425</v>
      </c>
      <c r="AM1182">
        <v>0.270932764878279</v>
      </c>
      <c r="AN1182">
        <v>0.70273306351493803</v>
      </c>
      <c r="AO1182">
        <v>6.1498804287053697E-2</v>
      </c>
      <c r="AP1182">
        <v>6.1498804287053697E-2</v>
      </c>
      <c r="AQ1182">
        <v>1</v>
      </c>
      <c r="AR1182">
        <v>8</v>
      </c>
      <c r="AS1182">
        <v>0</v>
      </c>
      <c r="AT1182">
        <v>24</v>
      </c>
      <c r="AU1182">
        <v>9</v>
      </c>
      <c r="AV1182">
        <v>63</v>
      </c>
      <c r="AW1182">
        <v>1</v>
      </c>
      <c r="AX1182">
        <v>6</v>
      </c>
      <c r="AZ1182">
        <v>6.8</v>
      </c>
      <c r="BA1182">
        <v>19.899999999999999</v>
      </c>
      <c r="BB1182">
        <v>564</v>
      </c>
      <c r="BC1182">
        <v>68</v>
      </c>
      <c r="BD1182">
        <v>1.5</v>
      </c>
      <c r="BE1182">
        <v>135</v>
      </c>
      <c r="BF1182">
        <v>0.8</v>
      </c>
      <c r="BG1182">
        <v>162</v>
      </c>
      <c r="BH1182">
        <v>9.1</v>
      </c>
      <c r="BI1182">
        <v>9.1999999999999993</v>
      </c>
      <c r="BJ1182">
        <v>18.3</v>
      </c>
      <c r="BK1182">
        <v>0.34</v>
      </c>
      <c r="BL1182">
        <v>7.3</v>
      </c>
      <c r="BM1182">
        <v>0.9</v>
      </c>
      <c r="BN1182">
        <v>7.5</v>
      </c>
      <c r="BO1182">
        <v>2.9</v>
      </c>
      <c r="BP1182">
        <f t="shared" si="36"/>
        <v>6.2418143556242436</v>
      </c>
      <c r="BQ1182">
        <f t="shared" si="37"/>
        <v>19.090515288080695</v>
      </c>
    </row>
    <row r="1183" spans="1:69" hidden="1" x14ac:dyDescent="0.2">
      <c r="A1183" t="s">
        <v>4604</v>
      </c>
      <c r="B1183" t="s">
        <v>68</v>
      </c>
      <c r="C1183" t="s">
        <v>3294</v>
      </c>
      <c r="D1183" t="s">
        <v>70</v>
      </c>
      <c r="E1183" t="s">
        <v>1646</v>
      </c>
      <c r="F1183">
        <v>3</v>
      </c>
      <c r="G1183">
        <v>28</v>
      </c>
      <c r="H1183">
        <v>1</v>
      </c>
      <c r="I1183">
        <v>1</v>
      </c>
      <c r="J1183">
        <v>0</v>
      </c>
      <c r="K1183" t="s">
        <v>110</v>
      </c>
      <c r="L1183" t="s">
        <v>111</v>
      </c>
      <c r="M1183" s="4">
        <v>320000000</v>
      </c>
      <c r="N1183">
        <v>0</v>
      </c>
      <c r="O1183">
        <v>4.6102980999999996</v>
      </c>
      <c r="P1183">
        <v>-74.070298399999999</v>
      </c>
      <c r="Q1183" t="s">
        <v>4605</v>
      </c>
      <c r="R1183">
        <v>11428571.43</v>
      </c>
      <c r="S1183">
        <v>0</v>
      </c>
      <c r="T1183" t="s">
        <v>126</v>
      </c>
      <c r="U1183" t="s">
        <v>127</v>
      </c>
      <c r="V1183" t="s">
        <v>77</v>
      </c>
      <c r="W1183" t="s">
        <v>128</v>
      </c>
      <c r="X1183" t="s">
        <v>129</v>
      </c>
      <c r="Y1183">
        <v>1.7303375746377301</v>
      </c>
      <c r="Z1183">
        <v>1730.3375746377301</v>
      </c>
      <c r="AA1183">
        <v>4.6254861111111101</v>
      </c>
      <c r="AB1183">
        <v>-74.066980555555503</v>
      </c>
      <c r="AC1183">
        <v>2621</v>
      </c>
      <c r="AD1183">
        <v>15</v>
      </c>
      <c r="AE1183" t="s">
        <v>80</v>
      </c>
      <c r="AF1183" t="s">
        <v>81</v>
      </c>
      <c r="AG1183" t="s">
        <v>82</v>
      </c>
      <c r="AH1183" t="s">
        <v>83</v>
      </c>
      <c r="AI1183" t="s">
        <v>138</v>
      </c>
      <c r="AJ1183">
        <v>0.14889056018687899</v>
      </c>
      <c r="AK1183">
        <v>0.63114810933434495</v>
      </c>
      <c r="AL1183">
        <v>0.28072151144425</v>
      </c>
      <c r="AM1183">
        <v>0.270932764878279</v>
      </c>
      <c r="AN1183">
        <v>0.70273306351493803</v>
      </c>
      <c r="AO1183">
        <v>6.1498804287053697E-2</v>
      </c>
      <c r="AP1183">
        <v>6.1498804287053697E-2</v>
      </c>
      <c r="AQ1183">
        <v>1</v>
      </c>
      <c r="AR1183">
        <v>8</v>
      </c>
      <c r="AS1183">
        <v>0</v>
      </c>
      <c r="AT1183">
        <v>24</v>
      </c>
      <c r="AU1183">
        <v>9</v>
      </c>
      <c r="AV1183">
        <v>63</v>
      </c>
      <c r="AW1183">
        <v>1</v>
      </c>
      <c r="AX1183">
        <v>6</v>
      </c>
      <c r="AZ1183">
        <v>6.8</v>
      </c>
      <c r="BA1183">
        <v>19.899999999999999</v>
      </c>
      <c r="BB1183">
        <v>564</v>
      </c>
      <c r="BC1183">
        <v>68</v>
      </c>
      <c r="BD1183">
        <v>1.5</v>
      </c>
      <c r="BE1183">
        <v>135</v>
      </c>
      <c r="BF1183">
        <v>0.8</v>
      </c>
      <c r="BG1183">
        <v>162</v>
      </c>
      <c r="BH1183">
        <v>9.1</v>
      </c>
      <c r="BI1183">
        <v>9.1999999999999993</v>
      </c>
      <c r="BJ1183">
        <v>18.3</v>
      </c>
      <c r="BK1183">
        <v>0.34</v>
      </c>
      <c r="BL1183">
        <v>7.3</v>
      </c>
      <c r="BM1183">
        <v>0.9</v>
      </c>
      <c r="BN1183">
        <v>7.5</v>
      </c>
      <c r="BO1183">
        <v>2.9</v>
      </c>
      <c r="BP1183">
        <f t="shared" si="36"/>
        <v>6.2418143556242436</v>
      </c>
      <c r="BQ1183">
        <f t="shared" si="37"/>
        <v>19.090515288080695</v>
      </c>
    </row>
    <row r="1184" spans="1:69" hidden="1" x14ac:dyDescent="0.2">
      <c r="A1184" t="s">
        <v>4551</v>
      </c>
      <c r="B1184" t="s">
        <v>68</v>
      </c>
      <c r="C1184" t="s">
        <v>3294</v>
      </c>
      <c r="D1184" t="s">
        <v>70</v>
      </c>
      <c r="E1184" t="s">
        <v>3559</v>
      </c>
      <c r="F1184">
        <v>3</v>
      </c>
      <c r="G1184">
        <v>28</v>
      </c>
      <c r="H1184">
        <v>1</v>
      </c>
      <c r="I1184">
        <v>1</v>
      </c>
      <c r="J1184">
        <v>0</v>
      </c>
      <c r="K1184" t="s">
        <v>110</v>
      </c>
      <c r="L1184" t="s">
        <v>111</v>
      </c>
      <c r="M1184" s="4">
        <v>320000000</v>
      </c>
      <c r="N1184">
        <v>0</v>
      </c>
      <c r="O1184">
        <v>4.6208900000000002</v>
      </c>
      <c r="P1184">
        <v>-74.070120000000003</v>
      </c>
      <c r="Q1184" t="s">
        <v>4552</v>
      </c>
      <c r="R1184">
        <v>11428571.43</v>
      </c>
      <c r="S1184">
        <v>0</v>
      </c>
      <c r="T1184" t="s">
        <v>126</v>
      </c>
      <c r="U1184" t="s">
        <v>127</v>
      </c>
      <c r="V1184" t="s">
        <v>77</v>
      </c>
      <c r="W1184" t="s">
        <v>128</v>
      </c>
      <c r="X1184" t="s">
        <v>129</v>
      </c>
      <c r="Y1184">
        <v>0.61896355962907001</v>
      </c>
      <c r="Z1184">
        <v>618.96355962907001</v>
      </c>
      <c r="AA1184">
        <v>4.6254861111111101</v>
      </c>
      <c r="AB1184">
        <v>-74.066980555555503</v>
      </c>
      <c r="AC1184">
        <v>2621</v>
      </c>
      <c r="AD1184">
        <v>15</v>
      </c>
      <c r="AE1184" t="s">
        <v>80</v>
      </c>
      <c r="AF1184" t="s">
        <v>81</v>
      </c>
      <c r="AG1184" t="s">
        <v>82</v>
      </c>
      <c r="AH1184" t="s">
        <v>83</v>
      </c>
      <c r="AI1184" t="s">
        <v>84</v>
      </c>
      <c r="AJ1184">
        <v>8.7833549809609904E-2</v>
      </c>
      <c r="AK1184">
        <v>0.94048365361414599</v>
      </c>
      <c r="AL1184">
        <v>0.27396478629899601</v>
      </c>
      <c r="AM1184">
        <v>6.2837241780012904E-2</v>
      </c>
      <c r="AN1184">
        <v>0.746615025325018</v>
      </c>
      <c r="AO1184">
        <v>5.2060812331275998E-2</v>
      </c>
      <c r="AP1184">
        <v>5.2060812331275998E-2</v>
      </c>
      <c r="AQ1184">
        <v>1</v>
      </c>
      <c r="AR1184">
        <v>6</v>
      </c>
      <c r="AS1184">
        <v>0</v>
      </c>
      <c r="AT1184">
        <v>2</v>
      </c>
      <c r="AU1184">
        <v>17</v>
      </c>
      <c r="AV1184">
        <v>92</v>
      </c>
      <c r="AW1184">
        <v>2</v>
      </c>
      <c r="AX1184">
        <v>1</v>
      </c>
      <c r="AZ1184">
        <v>6.8</v>
      </c>
      <c r="BA1184">
        <v>19.899999999999999</v>
      </c>
      <c r="BB1184">
        <v>564</v>
      </c>
      <c r="BC1184">
        <v>68</v>
      </c>
      <c r="BD1184">
        <v>1.5</v>
      </c>
      <c r="BE1184">
        <v>135</v>
      </c>
      <c r="BF1184">
        <v>0.8</v>
      </c>
      <c r="BG1184">
        <v>162</v>
      </c>
      <c r="BH1184">
        <v>9.1</v>
      </c>
      <c r="BI1184">
        <v>9.1999999999999993</v>
      </c>
      <c r="BJ1184">
        <v>18.3</v>
      </c>
      <c r="BK1184">
        <v>0.34</v>
      </c>
      <c r="BL1184">
        <v>7.3</v>
      </c>
      <c r="BM1184">
        <v>0.9</v>
      </c>
      <c r="BN1184">
        <v>7.5</v>
      </c>
      <c r="BO1184">
        <v>2.9</v>
      </c>
      <c r="BP1184">
        <f t="shared" si="36"/>
        <v>6.5948161986657965</v>
      </c>
      <c r="BQ1184">
        <f t="shared" si="37"/>
        <v>19.606567885423331</v>
      </c>
    </row>
    <row r="1185" spans="1:69" hidden="1" x14ac:dyDescent="0.2">
      <c r="A1185" t="s">
        <v>3518</v>
      </c>
      <c r="B1185" t="s">
        <v>68</v>
      </c>
      <c r="C1185" t="s">
        <v>3294</v>
      </c>
      <c r="D1185" t="s">
        <v>70</v>
      </c>
      <c r="E1185" t="s">
        <v>3486</v>
      </c>
      <c r="F1185">
        <v>4</v>
      </c>
      <c r="G1185">
        <v>28</v>
      </c>
      <c r="H1185">
        <v>1</v>
      </c>
      <c r="I1185">
        <v>1</v>
      </c>
      <c r="J1185">
        <v>0</v>
      </c>
      <c r="K1185" t="s">
        <v>110</v>
      </c>
      <c r="L1185" t="s">
        <v>111</v>
      </c>
      <c r="M1185" s="4">
        <v>285000000</v>
      </c>
      <c r="N1185">
        <v>0</v>
      </c>
      <c r="O1185">
        <v>4.6284390000000002</v>
      </c>
      <c r="P1185">
        <v>-74.085700000000003</v>
      </c>
      <c r="Q1185" t="s">
        <v>3519</v>
      </c>
      <c r="R1185">
        <v>10178571.43</v>
      </c>
      <c r="S1185">
        <v>0</v>
      </c>
      <c r="T1185" t="s">
        <v>126</v>
      </c>
      <c r="U1185" t="s">
        <v>127</v>
      </c>
      <c r="V1185" t="s">
        <v>77</v>
      </c>
      <c r="W1185" t="s">
        <v>128</v>
      </c>
      <c r="X1185" t="s">
        <v>129</v>
      </c>
      <c r="Y1185">
        <v>2.1028981716062001</v>
      </c>
      <c r="Z1185">
        <v>2102.8981716061999</v>
      </c>
      <c r="AA1185">
        <v>4.6254861111111101</v>
      </c>
      <c r="AB1185">
        <v>-74.066980555555503</v>
      </c>
      <c r="AC1185">
        <v>2621</v>
      </c>
      <c r="AD1185">
        <v>15</v>
      </c>
      <c r="AE1185" t="s">
        <v>80</v>
      </c>
      <c r="AF1185" t="s">
        <v>81</v>
      </c>
      <c r="AG1185" t="s">
        <v>82</v>
      </c>
      <c r="AH1185" t="s">
        <v>83</v>
      </c>
      <c r="AI1185" t="s">
        <v>84</v>
      </c>
      <c r="AJ1185">
        <v>0.36131715156067201</v>
      </c>
      <c r="AK1185">
        <v>2.74533267347236</v>
      </c>
      <c r="AL1185">
        <v>0.68245242345756996</v>
      </c>
      <c r="AM1185">
        <v>0.24040570764153599</v>
      </c>
      <c r="AN1185">
        <v>2.11569451414569</v>
      </c>
      <c r="AO1185">
        <v>4.5197172594674097E-3</v>
      </c>
      <c r="AP1185">
        <v>4.5197172594674097E-3</v>
      </c>
      <c r="AQ1185">
        <v>1</v>
      </c>
      <c r="AR1185">
        <v>5</v>
      </c>
      <c r="AS1185">
        <v>0</v>
      </c>
      <c r="AT1185">
        <v>0</v>
      </c>
      <c r="AU1185">
        <v>2</v>
      </c>
      <c r="AV1185">
        <v>28</v>
      </c>
      <c r="AW1185">
        <v>0</v>
      </c>
      <c r="AX1185">
        <v>0</v>
      </c>
      <c r="AZ1185">
        <v>6.8</v>
      </c>
      <c r="BA1185">
        <v>19.899999999999999</v>
      </c>
      <c r="BB1185">
        <v>564</v>
      </c>
      <c r="BC1185">
        <v>68</v>
      </c>
      <c r="BD1185">
        <v>1.5</v>
      </c>
      <c r="BE1185">
        <v>135</v>
      </c>
      <c r="BF1185">
        <v>0.8</v>
      </c>
      <c r="BG1185">
        <v>162</v>
      </c>
      <c r="BH1185">
        <v>9.1</v>
      </c>
      <c r="BI1185">
        <v>9.1999999999999993</v>
      </c>
      <c r="BJ1185">
        <v>18.3</v>
      </c>
      <c r="BK1185">
        <v>0.34</v>
      </c>
      <c r="BL1185">
        <v>7.3</v>
      </c>
      <c r="BM1185">
        <v>0.9</v>
      </c>
      <c r="BN1185">
        <v>7.5</v>
      </c>
      <c r="BO1185">
        <v>2.9</v>
      </c>
      <c r="BP1185">
        <f t="shared" si="36"/>
        <v>6.127759298414869</v>
      </c>
      <c r="BQ1185">
        <f t="shared" si="37"/>
        <v>18.920579187681092</v>
      </c>
    </row>
    <row r="1186" spans="1:69" hidden="1" x14ac:dyDescent="0.2">
      <c r="A1186" t="s">
        <v>3590</v>
      </c>
      <c r="B1186" t="s">
        <v>68</v>
      </c>
      <c r="C1186" t="s">
        <v>3294</v>
      </c>
      <c r="D1186" t="s">
        <v>70</v>
      </c>
      <c r="E1186" t="s">
        <v>1309</v>
      </c>
      <c r="F1186">
        <v>4</v>
      </c>
      <c r="G1186">
        <v>28</v>
      </c>
      <c r="H1186">
        <v>1</v>
      </c>
      <c r="I1186">
        <v>1</v>
      </c>
      <c r="J1186">
        <v>0</v>
      </c>
      <c r="K1186" t="s">
        <v>110</v>
      </c>
      <c r="L1186" t="s">
        <v>111</v>
      </c>
      <c r="M1186" s="4">
        <v>280000000</v>
      </c>
      <c r="N1186">
        <v>0</v>
      </c>
      <c r="O1186">
        <v>4.6445121770000002</v>
      </c>
      <c r="P1186">
        <v>-74.055099490000003</v>
      </c>
      <c r="Q1186" t="s">
        <v>3591</v>
      </c>
      <c r="R1186">
        <v>10000000</v>
      </c>
      <c r="S1186">
        <v>0</v>
      </c>
      <c r="T1186" t="s">
        <v>126</v>
      </c>
      <c r="U1186" t="s">
        <v>127</v>
      </c>
      <c r="V1186" t="s">
        <v>77</v>
      </c>
      <c r="W1186" t="s">
        <v>128</v>
      </c>
      <c r="X1186" t="s">
        <v>129</v>
      </c>
      <c r="Y1186">
        <v>2.4947220498855098</v>
      </c>
      <c r="Z1186">
        <v>2494.7220498855099</v>
      </c>
      <c r="AA1186">
        <v>4.6254861111111101</v>
      </c>
      <c r="AB1186">
        <v>-74.066980555555503</v>
      </c>
      <c r="AC1186">
        <v>2621</v>
      </c>
      <c r="AD1186">
        <v>15</v>
      </c>
      <c r="AE1186" t="s">
        <v>80</v>
      </c>
      <c r="AF1186" t="s">
        <v>81</v>
      </c>
      <c r="AG1186" t="s">
        <v>82</v>
      </c>
      <c r="AH1186" t="s">
        <v>83</v>
      </c>
      <c r="AI1186" t="s">
        <v>130</v>
      </c>
      <c r="AJ1186">
        <v>1.1657166022590799</v>
      </c>
      <c r="AK1186">
        <v>0.18632239684627599</v>
      </c>
      <c r="AL1186">
        <v>0.550732057438302</v>
      </c>
      <c r="AM1186">
        <v>0.25178737052865402</v>
      </c>
      <c r="AN1186">
        <v>0.48562496787155401</v>
      </c>
      <c r="AO1186">
        <v>0.29467782700002199</v>
      </c>
      <c r="AP1186">
        <v>0.29467782700002199</v>
      </c>
      <c r="AQ1186">
        <v>0</v>
      </c>
      <c r="AR1186">
        <v>0</v>
      </c>
      <c r="AS1186">
        <v>16</v>
      </c>
      <c r="AT1186">
        <v>55</v>
      </c>
      <c r="AU1186">
        <v>5</v>
      </c>
      <c r="AV1186">
        <v>28</v>
      </c>
      <c r="AW1186">
        <v>1</v>
      </c>
      <c r="AX1186">
        <v>0</v>
      </c>
      <c r="AZ1186">
        <v>6.8</v>
      </c>
      <c r="BA1186">
        <v>19.899999999999999</v>
      </c>
      <c r="BB1186">
        <v>564</v>
      </c>
      <c r="BC1186">
        <v>68</v>
      </c>
      <c r="BD1186">
        <v>1.5</v>
      </c>
      <c r="BE1186">
        <v>135</v>
      </c>
      <c r="BF1186">
        <v>0.8</v>
      </c>
      <c r="BG1186">
        <v>162</v>
      </c>
      <c r="BH1186">
        <v>9.1</v>
      </c>
      <c r="BI1186">
        <v>9.1999999999999993</v>
      </c>
      <c r="BJ1186">
        <v>18.3</v>
      </c>
      <c r="BK1186">
        <v>0.34</v>
      </c>
      <c r="BL1186">
        <v>7.3</v>
      </c>
      <c r="BM1186">
        <v>0.9</v>
      </c>
      <c r="BN1186">
        <v>7.5</v>
      </c>
      <c r="BO1186">
        <v>2.9</v>
      </c>
      <c r="BP1186">
        <f t="shared" si="36"/>
        <v>6.0100548244653869</v>
      </c>
      <c r="BQ1186">
        <f t="shared" si="37"/>
        <v>18.743488320670522</v>
      </c>
    </row>
    <row r="1187" spans="1:69" hidden="1" x14ac:dyDescent="0.2">
      <c r="A1187" t="s">
        <v>3920</v>
      </c>
      <c r="B1187" t="s">
        <v>68</v>
      </c>
      <c r="C1187" t="s">
        <v>3294</v>
      </c>
      <c r="D1187" t="s">
        <v>70</v>
      </c>
      <c r="E1187" t="s">
        <v>123</v>
      </c>
      <c r="F1187">
        <v>3</v>
      </c>
      <c r="G1187">
        <v>28</v>
      </c>
      <c r="H1187">
        <v>1</v>
      </c>
      <c r="I1187">
        <v>1</v>
      </c>
      <c r="J1187">
        <v>0</v>
      </c>
      <c r="K1187" t="s">
        <v>110</v>
      </c>
      <c r="L1187" t="s">
        <v>111</v>
      </c>
      <c r="M1187" s="4">
        <v>270000000</v>
      </c>
      <c r="N1187">
        <v>0</v>
      </c>
      <c r="O1187">
        <v>4.6446699999999996</v>
      </c>
      <c r="P1187">
        <v>-74.062569999999994</v>
      </c>
      <c r="Q1187" t="s">
        <v>3921</v>
      </c>
      <c r="R1187">
        <v>9642857.1429999992</v>
      </c>
      <c r="S1187">
        <v>0</v>
      </c>
      <c r="T1187" t="s">
        <v>126</v>
      </c>
      <c r="U1187" t="s">
        <v>127</v>
      </c>
      <c r="V1187" t="s">
        <v>77</v>
      </c>
      <c r="W1187" t="s">
        <v>128</v>
      </c>
      <c r="X1187" t="s">
        <v>129</v>
      </c>
      <c r="Y1187">
        <v>2.1908953056558902</v>
      </c>
      <c r="Z1187">
        <v>2190.8953056558898</v>
      </c>
      <c r="AA1187">
        <v>4.6254861111111101</v>
      </c>
      <c r="AB1187">
        <v>-74.066980555555503</v>
      </c>
      <c r="AC1187">
        <v>2621</v>
      </c>
      <c r="AD1187">
        <v>15</v>
      </c>
      <c r="AE1187" t="s">
        <v>80</v>
      </c>
      <c r="AF1187" t="s">
        <v>81</v>
      </c>
      <c r="AG1187" t="s">
        <v>82</v>
      </c>
      <c r="AH1187" t="s">
        <v>83</v>
      </c>
      <c r="AI1187" t="s">
        <v>130</v>
      </c>
      <c r="AJ1187">
        <v>0.40663326196583</v>
      </c>
      <c r="AK1187">
        <v>0.69521114586403798</v>
      </c>
      <c r="AL1187">
        <v>0.27826797994408897</v>
      </c>
      <c r="AM1187">
        <v>0.170145770123345</v>
      </c>
      <c r="AN1187">
        <v>0.57355198912748395</v>
      </c>
      <c r="AO1187">
        <v>0.34651480415778102</v>
      </c>
      <c r="AP1187">
        <v>0.34651480415778102</v>
      </c>
      <c r="AQ1187">
        <v>2</v>
      </c>
      <c r="AR1187">
        <v>4</v>
      </c>
      <c r="AS1187">
        <v>0</v>
      </c>
      <c r="AT1187">
        <v>11</v>
      </c>
      <c r="AU1187">
        <v>11</v>
      </c>
      <c r="AV1187">
        <v>122</v>
      </c>
      <c r="AW1187">
        <v>1</v>
      </c>
      <c r="AX1187">
        <v>0</v>
      </c>
      <c r="AZ1187">
        <v>6.8</v>
      </c>
      <c r="BA1187">
        <v>19.899999999999999</v>
      </c>
      <c r="BB1187">
        <v>564</v>
      </c>
      <c r="BC1187">
        <v>68</v>
      </c>
      <c r="BD1187">
        <v>1.5</v>
      </c>
      <c r="BE1187">
        <v>135</v>
      </c>
      <c r="BF1187">
        <v>0.8</v>
      </c>
      <c r="BG1187">
        <v>162</v>
      </c>
      <c r="BH1187">
        <v>9.1</v>
      </c>
      <c r="BI1187">
        <v>9.1999999999999993</v>
      </c>
      <c r="BJ1187">
        <v>18.3</v>
      </c>
      <c r="BK1187">
        <v>0.34</v>
      </c>
      <c r="BL1187">
        <v>7.3</v>
      </c>
      <c r="BM1187">
        <v>0.9</v>
      </c>
      <c r="BN1187">
        <v>7.5</v>
      </c>
      <c r="BO1187">
        <v>2.9</v>
      </c>
      <c r="BP1187">
        <f t="shared" si="36"/>
        <v>6.1011256964297127</v>
      </c>
      <c r="BQ1187">
        <f t="shared" si="37"/>
        <v>18.880662391447878</v>
      </c>
    </row>
    <row r="1188" spans="1:69" hidden="1" x14ac:dyDescent="0.2">
      <c r="A1188" t="s">
        <v>4651</v>
      </c>
      <c r="B1188" t="s">
        <v>68</v>
      </c>
      <c r="C1188" t="s">
        <v>3294</v>
      </c>
      <c r="D1188" t="s">
        <v>70</v>
      </c>
      <c r="E1188" t="s">
        <v>1291</v>
      </c>
      <c r="F1188">
        <v>4</v>
      </c>
      <c r="G1188">
        <v>28</v>
      </c>
      <c r="H1188">
        <v>1</v>
      </c>
      <c r="I1188">
        <v>1</v>
      </c>
      <c r="J1188">
        <v>0</v>
      </c>
      <c r="K1188" t="s">
        <v>110</v>
      </c>
      <c r="L1188" t="s">
        <v>115</v>
      </c>
      <c r="M1188" s="4">
        <v>265000000</v>
      </c>
      <c r="N1188">
        <v>0</v>
      </c>
      <c r="O1188">
        <v>4.6444900000000002</v>
      </c>
      <c r="P1188">
        <v>-74.055090000000007</v>
      </c>
      <c r="Q1188" t="s">
        <v>4652</v>
      </c>
      <c r="R1188">
        <v>9464285.7139999997</v>
      </c>
      <c r="S1188">
        <v>0</v>
      </c>
      <c r="T1188" t="s">
        <v>126</v>
      </c>
      <c r="U1188" t="s">
        <v>127</v>
      </c>
      <c r="V1188" t="s">
        <v>77</v>
      </c>
      <c r="W1188" t="s">
        <v>128</v>
      </c>
      <c r="X1188" t="s">
        <v>129</v>
      </c>
      <c r="Y1188">
        <v>2.4931835351758398</v>
      </c>
      <c r="Z1188">
        <v>2493.18353517584</v>
      </c>
      <c r="AA1188">
        <v>4.6254861111111101</v>
      </c>
      <c r="AB1188">
        <v>-74.066980555555503</v>
      </c>
      <c r="AC1188">
        <v>2621</v>
      </c>
      <c r="AD1188">
        <v>15</v>
      </c>
      <c r="AE1188" t="s">
        <v>80</v>
      </c>
      <c r="AF1188" t="s">
        <v>81</v>
      </c>
      <c r="AG1188" t="s">
        <v>82</v>
      </c>
      <c r="AH1188" t="s">
        <v>83</v>
      </c>
      <c r="AI1188" t="s">
        <v>130</v>
      </c>
      <c r="AJ1188">
        <v>1.1676004444752801</v>
      </c>
      <c r="AK1188">
        <v>0.184776560153708</v>
      </c>
      <c r="AL1188">
        <v>0.55189673021987495</v>
      </c>
      <c r="AM1188">
        <v>0.249720817413813</v>
      </c>
      <c r="AN1188">
        <v>0.48480522344336202</v>
      </c>
      <c r="AO1188">
        <v>0.29648762524665101</v>
      </c>
      <c r="AP1188">
        <v>0.29648762524665101</v>
      </c>
      <c r="AQ1188">
        <v>0</v>
      </c>
      <c r="AR1188">
        <v>0</v>
      </c>
      <c r="AS1188">
        <v>16</v>
      </c>
      <c r="AT1188">
        <v>55</v>
      </c>
      <c r="AU1188">
        <v>5</v>
      </c>
      <c r="AV1188">
        <v>28</v>
      </c>
      <c r="AW1188">
        <v>1</v>
      </c>
      <c r="AX1188">
        <v>0</v>
      </c>
      <c r="AZ1188">
        <v>6.8</v>
      </c>
      <c r="BA1188">
        <v>19.899999999999999</v>
      </c>
      <c r="BB1188">
        <v>564</v>
      </c>
      <c r="BC1188">
        <v>68</v>
      </c>
      <c r="BD1188">
        <v>1.5</v>
      </c>
      <c r="BE1188">
        <v>135</v>
      </c>
      <c r="BF1188">
        <v>0.8</v>
      </c>
      <c r="BG1188">
        <v>162</v>
      </c>
      <c r="BH1188">
        <v>9.1</v>
      </c>
      <c r="BI1188">
        <v>9.1999999999999993</v>
      </c>
      <c r="BJ1188">
        <v>18.3</v>
      </c>
      <c r="BK1188">
        <v>0.34</v>
      </c>
      <c r="BL1188">
        <v>7.3</v>
      </c>
      <c r="BM1188">
        <v>0.9</v>
      </c>
      <c r="BN1188">
        <v>7.5</v>
      </c>
      <c r="BO1188">
        <v>2.9</v>
      </c>
      <c r="BP1188">
        <f t="shared" si="36"/>
        <v>6.0105125465032065</v>
      </c>
      <c r="BQ1188">
        <f t="shared" si="37"/>
        <v>18.744180424627995</v>
      </c>
    </row>
    <row r="1189" spans="1:69" hidden="1" x14ac:dyDescent="0.2">
      <c r="A1189" t="s">
        <v>3433</v>
      </c>
      <c r="B1189" t="s">
        <v>68</v>
      </c>
      <c r="C1189" t="s">
        <v>3294</v>
      </c>
      <c r="D1189" t="s">
        <v>70</v>
      </c>
      <c r="E1189" t="s">
        <v>130</v>
      </c>
      <c r="F1189">
        <v>3</v>
      </c>
      <c r="G1189">
        <v>27.83</v>
      </c>
      <c r="H1189">
        <v>1</v>
      </c>
      <c r="I1189">
        <v>1</v>
      </c>
      <c r="J1189">
        <v>0</v>
      </c>
      <c r="K1189" t="s">
        <v>110</v>
      </c>
      <c r="L1189" t="s">
        <v>124</v>
      </c>
      <c r="M1189" s="4">
        <v>215000000</v>
      </c>
      <c r="N1189">
        <v>0</v>
      </c>
      <c r="O1189">
        <v>4.6452900000000001</v>
      </c>
      <c r="P1189">
        <v>-74.061819999999997</v>
      </c>
      <c r="Q1189" t="s">
        <v>3434</v>
      </c>
      <c r="R1189">
        <v>7725476.1050000004</v>
      </c>
      <c r="S1189">
        <v>0</v>
      </c>
      <c r="T1189" t="s">
        <v>126</v>
      </c>
      <c r="U1189" t="s">
        <v>127</v>
      </c>
      <c r="V1189" t="s">
        <v>77</v>
      </c>
      <c r="W1189" t="s">
        <v>128</v>
      </c>
      <c r="X1189" t="s">
        <v>129</v>
      </c>
      <c r="Y1189">
        <v>2.277705104591</v>
      </c>
      <c r="Z1189">
        <v>2277.7051045909998</v>
      </c>
      <c r="AA1189">
        <v>4.6254861111111101</v>
      </c>
      <c r="AB1189">
        <v>-74.066980555555503</v>
      </c>
      <c r="AC1189">
        <v>2621</v>
      </c>
      <c r="AD1189">
        <v>15</v>
      </c>
      <c r="AE1189" t="s">
        <v>80</v>
      </c>
      <c r="AF1189" t="s">
        <v>81</v>
      </c>
      <c r="AG1189" t="s">
        <v>82</v>
      </c>
      <c r="AH1189" t="s">
        <v>83</v>
      </c>
      <c r="AI1189" t="s">
        <v>130</v>
      </c>
      <c r="AJ1189">
        <v>0.48254336151400501</v>
      </c>
      <c r="AK1189">
        <v>0.67461500054604695</v>
      </c>
      <c r="AL1189">
        <v>0.20453264397811999</v>
      </c>
      <c r="AM1189">
        <v>0.12713968777851201</v>
      </c>
      <c r="AN1189">
        <v>0.55658162518299303</v>
      </c>
      <c r="AO1189">
        <v>0.31914250286318202</v>
      </c>
      <c r="AP1189">
        <v>0.31914250286318202</v>
      </c>
      <c r="AQ1189">
        <v>1</v>
      </c>
      <c r="AR1189">
        <v>2</v>
      </c>
      <c r="AS1189">
        <v>0</v>
      </c>
      <c r="AT1189">
        <v>14</v>
      </c>
      <c r="AU1189">
        <v>12</v>
      </c>
      <c r="AV1189">
        <v>104</v>
      </c>
      <c r="AW1189">
        <v>1</v>
      </c>
      <c r="AX1189">
        <v>0</v>
      </c>
      <c r="AZ1189">
        <v>6.8</v>
      </c>
      <c r="BA1189">
        <v>19.899999999999999</v>
      </c>
      <c r="BB1189">
        <v>564</v>
      </c>
      <c r="BC1189">
        <v>68</v>
      </c>
      <c r="BD1189">
        <v>1.5</v>
      </c>
      <c r="BE1189">
        <v>135</v>
      </c>
      <c r="BF1189">
        <v>0.8</v>
      </c>
      <c r="BG1189">
        <v>162</v>
      </c>
      <c r="BH1189">
        <v>9.1</v>
      </c>
      <c r="BI1189">
        <v>9.1999999999999993</v>
      </c>
      <c r="BJ1189">
        <v>18.3</v>
      </c>
      <c r="BK1189">
        <v>0.34</v>
      </c>
      <c r="BL1189">
        <v>7.3</v>
      </c>
      <c r="BM1189">
        <v>0.9</v>
      </c>
      <c r="BN1189">
        <v>7.5</v>
      </c>
      <c r="BO1189">
        <v>2.9</v>
      </c>
      <c r="BP1189">
        <f t="shared" si="36"/>
        <v>6.0749648882914986</v>
      </c>
      <c r="BQ1189">
        <f t="shared" si="37"/>
        <v>18.841366704527164</v>
      </c>
    </row>
    <row r="1190" spans="1:69" hidden="1" x14ac:dyDescent="0.2">
      <c r="A1190" t="s">
        <v>4009</v>
      </c>
      <c r="B1190" t="s">
        <v>68</v>
      </c>
      <c r="C1190" t="s">
        <v>3294</v>
      </c>
      <c r="D1190" t="s">
        <v>70</v>
      </c>
      <c r="E1190" t="s">
        <v>3918</v>
      </c>
      <c r="F1190">
        <v>3</v>
      </c>
      <c r="G1190">
        <v>27.82</v>
      </c>
      <c r="H1190">
        <v>1</v>
      </c>
      <c r="I1190">
        <v>1</v>
      </c>
      <c r="J1190">
        <v>0</v>
      </c>
      <c r="K1190" t="s">
        <v>110</v>
      </c>
      <c r="L1190" t="s">
        <v>111</v>
      </c>
      <c r="M1190" s="4">
        <v>275200000</v>
      </c>
      <c r="N1190">
        <v>0</v>
      </c>
      <c r="O1190">
        <v>4.6406459809999996</v>
      </c>
      <c r="P1190">
        <v>-74.072708129999995</v>
      </c>
      <c r="Q1190" t="s">
        <v>4010</v>
      </c>
      <c r="R1190">
        <v>9892163.9110000003</v>
      </c>
      <c r="S1190">
        <v>0</v>
      </c>
      <c r="T1190" t="s">
        <v>126</v>
      </c>
      <c r="U1190" t="s">
        <v>127</v>
      </c>
      <c r="V1190" t="s">
        <v>77</v>
      </c>
      <c r="W1190" t="s">
        <v>128</v>
      </c>
      <c r="X1190" t="s">
        <v>129</v>
      </c>
      <c r="Y1190">
        <v>1.8032820478801099</v>
      </c>
      <c r="Z1190">
        <v>1803.28204788011</v>
      </c>
      <c r="AA1190">
        <v>4.6254861111111101</v>
      </c>
      <c r="AB1190">
        <v>-74.066980555555503</v>
      </c>
      <c r="AC1190">
        <v>2621</v>
      </c>
      <c r="AD1190">
        <v>15</v>
      </c>
      <c r="AE1190" t="s">
        <v>80</v>
      </c>
      <c r="AF1190" t="s">
        <v>81</v>
      </c>
      <c r="AG1190" t="s">
        <v>82</v>
      </c>
      <c r="AH1190" t="s">
        <v>83</v>
      </c>
      <c r="AI1190" t="s">
        <v>84</v>
      </c>
      <c r="AJ1190">
        <v>0.73982396616865598</v>
      </c>
      <c r="AK1190">
        <v>1.61363396553261</v>
      </c>
      <c r="AL1190">
        <v>6.3616362337869603E-2</v>
      </c>
      <c r="AM1190">
        <v>9.3025974772218203E-2</v>
      </c>
      <c r="AN1190">
        <v>1.59125488242741</v>
      </c>
      <c r="AO1190">
        <v>0.29193096675896901</v>
      </c>
      <c r="AP1190">
        <v>0.29193096675896901</v>
      </c>
      <c r="AQ1190">
        <v>0</v>
      </c>
      <c r="AR1190">
        <v>5</v>
      </c>
      <c r="AS1190">
        <v>0</v>
      </c>
      <c r="AT1190">
        <v>0</v>
      </c>
      <c r="AU1190">
        <v>8</v>
      </c>
      <c r="AV1190">
        <v>149</v>
      </c>
      <c r="AW1190">
        <v>0</v>
      </c>
      <c r="AX1190">
        <v>0</v>
      </c>
      <c r="AZ1190">
        <v>6.8</v>
      </c>
      <c r="BA1190">
        <v>19.899999999999999</v>
      </c>
      <c r="BB1190">
        <v>564</v>
      </c>
      <c r="BC1190">
        <v>68</v>
      </c>
      <c r="BD1190">
        <v>1.5</v>
      </c>
      <c r="BE1190">
        <v>135</v>
      </c>
      <c r="BF1190">
        <v>0.8</v>
      </c>
      <c r="BG1190">
        <v>162</v>
      </c>
      <c r="BH1190">
        <v>9.1</v>
      </c>
      <c r="BI1190">
        <v>9.1999999999999993</v>
      </c>
      <c r="BJ1190">
        <v>18.3</v>
      </c>
      <c r="BK1190">
        <v>0.34</v>
      </c>
      <c r="BL1190">
        <v>7.3</v>
      </c>
      <c r="BM1190">
        <v>0.9</v>
      </c>
      <c r="BN1190">
        <v>7.5</v>
      </c>
      <c r="BO1190">
        <v>2.9</v>
      </c>
      <c r="BP1190">
        <f t="shared" si="36"/>
        <v>6.2193173555216728</v>
      </c>
      <c r="BQ1190">
        <f t="shared" si="37"/>
        <v>19.057123383708838</v>
      </c>
    </row>
    <row r="1191" spans="1:69" hidden="1" x14ac:dyDescent="0.2">
      <c r="A1191" t="s">
        <v>1395</v>
      </c>
      <c r="B1191" t="s">
        <v>68</v>
      </c>
      <c r="C1191" t="s">
        <v>69</v>
      </c>
      <c r="D1191" t="s">
        <v>70</v>
      </c>
      <c r="E1191" t="s">
        <v>1246</v>
      </c>
      <c r="F1191">
        <v>5</v>
      </c>
      <c r="G1191">
        <v>27.5</v>
      </c>
      <c r="H1191">
        <v>1</v>
      </c>
      <c r="I1191">
        <v>1</v>
      </c>
      <c r="J1191">
        <v>0</v>
      </c>
      <c r="K1191" t="s">
        <v>72</v>
      </c>
      <c r="L1191" t="s">
        <v>73</v>
      </c>
      <c r="M1191" s="4">
        <v>449000000</v>
      </c>
      <c r="N1191">
        <v>0</v>
      </c>
      <c r="O1191">
        <v>4.6722479999999997</v>
      </c>
      <c r="P1191">
        <v>-74.058210000000003</v>
      </c>
      <c r="Q1191" t="s">
        <v>1396</v>
      </c>
      <c r="R1191">
        <v>16327272.73</v>
      </c>
      <c r="S1191">
        <v>0</v>
      </c>
      <c r="T1191" t="s">
        <v>75</v>
      </c>
      <c r="U1191" t="s">
        <v>76</v>
      </c>
      <c r="V1191" t="s">
        <v>77</v>
      </c>
      <c r="W1191" t="s">
        <v>78</v>
      </c>
      <c r="X1191" t="s">
        <v>79</v>
      </c>
      <c r="Y1191">
        <v>3.2434729711424199</v>
      </c>
      <c r="Z1191">
        <v>3243.4729711424202</v>
      </c>
      <c r="AA1191">
        <v>4.6584666666666701</v>
      </c>
      <c r="AB1191">
        <v>-74.083966666666697</v>
      </c>
      <c r="AC1191">
        <v>2552</v>
      </c>
      <c r="AD1191">
        <v>0</v>
      </c>
      <c r="AE1191" t="s">
        <v>80</v>
      </c>
      <c r="AF1191" t="s">
        <v>81</v>
      </c>
      <c r="AG1191" t="s">
        <v>82</v>
      </c>
      <c r="AH1191" t="s">
        <v>83</v>
      </c>
      <c r="AI1191" t="s">
        <v>130</v>
      </c>
      <c r="AJ1191">
        <v>0.159125330979347</v>
      </c>
      <c r="AK1191">
        <v>1.6714273734279199</v>
      </c>
      <c r="AL1191">
        <v>0.485889339747969</v>
      </c>
      <c r="AM1191">
        <v>5.4385552229093997E-2</v>
      </c>
      <c r="AN1191">
        <v>2.6282578442396698</v>
      </c>
      <c r="AO1191">
        <v>0.79239885688924305</v>
      </c>
      <c r="AP1191">
        <v>0.79239885688924305</v>
      </c>
      <c r="AQ1191">
        <v>2</v>
      </c>
      <c r="AR1191">
        <v>5</v>
      </c>
      <c r="AS1191">
        <v>0</v>
      </c>
      <c r="AT1191">
        <v>0</v>
      </c>
      <c r="AU1191">
        <v>7</v>
      </c>
      <c r="AV1191">
        <v>286</v>
      </c>
      <c r="AW1191">
        <v>0</v>
      </c>
      <c r="AX1191">
        <v>0</v>
      </c>
      <c r="AZ1191">
        <v>6.8</v>
      </c>
      <c r="BA1191">
        <v>19.899999999999999</v>
      </c>
      <c r="BB1191">
        <v>564</v>
      </c>
      <c r="BC1191">
        <v>68</v>
      </c>
      <c r="BD1191">
        <v>1.5</v>
      </c>
      <c r="BE1191">
        <v>135</v>
      </c>
      <c r="BF1191">
        <v>0.8</v>
      </c>
      <c r="BG1191">
        <v>162</v>
      </c>
      <c r="BH1191">
        <v>9.1</v>
      </c>
      <c r="BI1191">
        <v>9.1999999999999993</v>
      </c>
      <c r="BJ1191">
        <v>18.3</v>
      </c>
      <c r="BK1191">
        <v>0.34</v>
      </c>
      <c r="BL1191">
        <v>7.3</v>
      </c>
      <c r="BM1191">
        <v>0.9</v>
      </c>
      <c r="BN1191">
        <v>7.5</v>
      </c>
      <c r="BO1191">
        <v>2.9</v>
      </c>
      <c r="BP1191">
        <f t="shared" si="36"/>
        <v>5.7913805499241633</v>
      </c>
      <c r="BQ1191">
        <f t="shared" si="37"/>
        <v>18.409675713983884</v>
      </c>
    </row>
    <row r="1192" spans="1:69" hidden="1" x14ac:dyDescent="0.2">
      <c r="A1192" t="s">
        <v>3370</v>
      </c>
      <c r="B1192" t="s">
        <v>68</v>
      </c>
      <c r="C1192" t="s">
        <v>3294</v>
      </c>
      <c r="D1192" t="s">
        <v>70</v>
      </c>
      <c r="E1192" t="s">
        <v>136</v>
      </c>
      <c r="F1192">
        <v>4</v>
      </c>
      <c r="G1192">
        <v>27.45</v>
      </c>
      <c r="H1192">
        <v>1</v>
      </c>
      <c r="I1192">
        <v>1</v>
      </c>
      <c r="J1192">
        <v>0</v>
      </c>
      <c r="K1192" t="s">
        <v>110</v>
      </c>
      <c r="L1192" t="s">
        <v>111</v>
      </c>
      <c r="M1192" s="4">
        <v>360000000</v>
      </c>
      <c r="N1192">
        <v>0</v>
      </c>
      <c r="O1192">
        <v>4.6203341480000004</v>
      </c>
      <c r="P1192">
        <v>-74.069740300000007</v>
      </c>
      <c r="Q1192" t="s">
        <v>3371</v>
      </c>
      <c r="R1192">
        <v>13114754.1</v>
      </c>
      <c r="S1192">
        <v>0</v>
      </c>
      <c r="T1192" t="s">
        <v>126</v>
      </c>
      <c r="U1192" t="s">
        <v>127</v>
      </c>
      <c r="V1192" t="s">
        <v>77</v>
      </c>
      <c r="W1192" t="s">
        <v>128</v>
      </c>
      <c r="X1192" t="s">
        <v>129</v>
      </c>
      <c r="Y1192">
        <v>0.65014241261012795</v>
      </c>
      <c r="Z1192">
        <v>650.14241261012796</v>
      </c>
      <c r="AA1192">
        <v>4.6254861111111101</v>
      </c>
      <c r="AB1192">
        <v>-74.066980555555503</v>
      </c>
      <c r="AC1192">
        <v>2621</v>
      </c>
      <c r="AD1192">
        <v>15</v>
      </c>
      <c r="AE1192" t="s">
        <v>80</v>
      </c>
      <c r="AF1192" t="s">
        <v>81</v>
      </c>
      <c r="AG1192" t="s">
        <v>82</v>
      </c>
      <c r="AH1192" t="s">
        <v>83</v>
      </c>
      <c r="AI1192" t="s">
        <v>138</v>
      </c>
      <c r="AJ1192">
        <v>0.13720579165720401</v>
      </c>
      <c r="AK1192">
        <v>0.87071666130195202</v>
      </c>
      <c r="AL1192">
        <v>0.34510880768399999</v>
      </c>
      <c r="AM1192">
        <v>4.11443730616032E-2</v>
      </c>
      <c r="AN1192">
        <v>0.67214491497680795</v>
      </c>
      <c r="AO1192">
        <v>2.9003813943615401E-2</v>
      </c>
      <c r="AP1192">
        <v>2.9003813943615401E-2</v>
      </c>
      <c r="AQ1192">
        <v>2</v>
      </c>
      <c r="AR1192">
        <v>6</v>
      </c>
      <c r="AS1192">
        <v>0</v>
      </c>
      <c r="AT1192">
        <v>3</v>
      </c>
      <c r="AU1192">
        <v>17</v>
      </c>
      <c r="AV1192">
        <v>90</v>
      </c>
      <c r="AW1192">
        <v>2</v>
      </c>
      <c r="AX1192">
        <v>1</v>
      </c>
      <c r="AZ1192">
        <v>6.8</v>
      </c>
      <c r="BA1192">
        <v>19.899999999999999</v>
      </c>
      <c r="BB1192">
        <v>564</v>
      </c>
      <c r="BC1192">
        <v>68</v>
      </c>
      <c r="BD1192">
        <v>1.5</v>
      </c>
      <c r="BE1192">
        <v>135</v>
      </c>
      <c r="BF1192">
        <v>0.8</v>
      </c>
      <c r="BG1192">
        <v>162</v>
      </c>
      <c r="BH1192">
        <v>9.1</v>
      </c>
      <c r="BI1192">
        <v>9.1999999999999993</v>
      </c>
      <c r="BJ1192">
        <v>18.3</v>
      </c>
      <c r="BK1192">
        <v>0.34</v>
      </c>
      <c r="BL1192">
        <v>7.3</v>
      </c>
      <c r="BM1192">
        <v>0.9</v>
      </c>
      <c r="BN1192">
        <v>7.5</v>
      </c>
      <c r="BO1192">
        <v>2.9</v>
      </c>
      <c r="BP1192">
        <f t="shared" si="36"/>
        <v>6.5846459180198327</v>
      </c>
      <c r="BQ1192">
        <f t="shared" si="37"/>
        <v>19.591901926179613</v>
      </c>
    </row>
    <row r="1193" spans="1:69" hidden="1" x14ac:dyDescent="0.2">
      <c r="A1193" t="s">
        <v>3615</v>
      </c>
      <c r="B1193" t="s">
        <v>68</v>
      </c>
      <c r="C1193" t="s">
        <v>3294</v>
      </c>
      <c r="D1193" t="s">
        <v>70</v>
      </c>
      <c r="E1193" t="s">
        <v>1309</v>
      </c>
      <c r="F1193">
        <v>4</v>
      </c>
      <c r="G1193">
        <v>27.4</v>
      </c>
      <c r="H1193">
        <v>1</v>
      </c>
      <c r="I1193">
        <v>1</v>
      </c>
      <c r="J1193">
        <v>0</v>
      </c>
      <c r="K1193" t="s">
        <v>110</v>
      </c>
      <c r="L1193" t="s">
        <v>111</v>
      </c>
      <c r="M1193" s="4">
        <v>280000000</v>
      </c>
      <c r="N1193">
        <v>0</v>
      </c>
      <c r="O1193">
        <v>4.6441999999999997</v>
      </c>
      <c r="P1193">
        <v>-74.054150000000007</v>
      </c>
      <c r="Q1193" t="s">
        <v>3616</v>
      </c>
      <c r="R1193">
        <v>10218978.1</v>
      </c>
      <c r="S1193">
        <v>0</v>
      </c>
      <c r="T1193" t="s">
        <v>126</v>
      </c>
      <c r="U1193" t="s">
        <v>127</v>
      </c>
      <c r="V1193" t="s">
        <v>77</v>
      </c>
      <c r="W1193" t="s">
        <v>128</v>
      </c>
      <c r="X1193" t="s">
        <v>129</v>
      </c>
      <c r="Y1193">
        <v>2.5231929581694099</v>
      </c>
      <c r="Z1193">
        <v>2523.1929581694098</v>
      </c>
      <c r="AA1193">
        <v>4.6254861111111101</v>
      </c>
      <c r="AB1193">
        <v>-74.066980555555503</v>
      </c>
      <c r="AC1193">
        <v>2621</v>
      </c>
      <c r="AD1193">
        <v>15</v>
      </c>
      <c r="AE1193" t="s">
        <v>80</v>
      </c>
      <c r="AF1193" t="s">
        <v>81</v>
      </c>
      <c r="AG1193" t="s">
        <v>82</v>
      </c>
      <c r="AH1193" t="s">
        <v>83</v>
      </c>
      <c r="AI1193" t="s">
        <v>130</v>
      </c>
      <c r="AJ1193">
        <v>1.2763206417194599</v>
      </c>
      <c r="AK1193">
        <v>7.6833166125395605E-2</v>
      </c>
      <c r="AL1193">
        <v>0.64643170480862</v>
      </c>
      <c r="AM1193">
        <v>0.27087838865604302</v>
      </c>
      <c r="AN1193">
        <v>0.550306536010431</v>
      </c>
      <c r="AO1193">
        <v>0.40545503965880197</v>
      </c>
      <c r="AP1193">
        <v>0.40545503965880197</v>
      </c>
      <c r="AQ1193">
        <v>0</v>
      </c>
      <c r="AR1193">
        <v>0</v>
      </c>
      <c r="AS1193">
        <v>22</v>
      </c>
      <c r="AT1193">
        <v>58</v>
      </c>
      <c r="AU1193">
        <v>4</v>
      </c>
      <c r="AV1193">
        <v>19</v>
      </c>
      <c r="AW1193">
        <v>1</v>
      </c>
      <c r="AX1193">
        <v>0</v>
      </c>
      <c r="AZ1193">
        <v>6.8</v>
      </c>
      <c r="BA1193">
        <v>19.899999999999999</v>
      </c>
      <c r="BB1193">
        <v>564</v>
      </c>
      <c r="BC1193">
        <v>68</v>
      </c>
      <c r="BD1193">
        <v>1.5</v>
      </c>
      <c r="BE1193">
        <v>135</v>
      </c>
      <c r="BF1193">
        <v>0.8</v>
      </c>
      <c r="BG1193">
        <v>162</v>
      </c>
      <c r="BH1193">
        <v>9.1</v>
      </c>
      <c r="BI1193">
        <v>9.1999999999999993</v>
      </c>
      <c r="BJ1193">
        <v>18.3</v>
      </c>
      <c r="BK1193">
        <v>0.34</v>
      </c>
      <c r="BL1193">
        <v>7.3</v>
      </c>
      <c r="BM1193">
        <v>0.9</v>
      </c>
      <c r="BN1193">
        <v>7.5</v>
      </c>
      <c r="BO1193">
        <v>2.9</v>
      </c>
      <c r="BP1193">
        <f t="shared" si="36"/>
        <v>6.0015907599869003</v>
      </c>
      <c r="BQ1193">
        <f t="shared" si="37"/>
        <v>18.730685236068481</v>
      </c>
    </row>
    <row r="1194" spans="1:69" hidden="1" x14ac:dyDescent="0.2">
      <c r="A1194" t="s">
        <v>3437</v>
      </c>
      <c r="B1194" t="s">
        <v>68</v>
      </c>
      <c r="C1194" t="s">
        <v>3294</v>
      </c>
      <c r="D1194" t="s">
        <v>70</v>
      </c>
      <c r="E1194" t="s">
        <v>1291</v>
      </c>
      <c r="F1194">
        <v>4</v>
      </c>
      <c r="G1194">
        <v>27.4</v>
      </c>
      <c r="H1194">
        <v>1</v>
      </c>
      <c r="I1194">
        <v>1</v>
      </c>
      <c r="J1194">
        <v>0</v>
      </c>
      <c r="K1194" t="s">
        <v>110</v>
      </c>
      <c r="L1194" t="s">
        <v>111</v>
      </c>
      <c r="M1194" s="4">
        <v>275000000</v>
      </c>
      <c r="N1194">
        <v>0</v>
      </c>
      <c r="O1194">
        <v>4.6444099999999997</v>
      </c>
      <c r="P1194">
        <v>-74.054789999999997</v>
      </c>
      <c r="Q1194" t="s">
        <v>3438</v>
      </c>
      <c r="R1194">
        <v>10036496.35</v>
      </c>
      <c r="S1194">
        <v>0</v>
      </c>
      <c r="T1194" t="s">
        <v>126</v>
      </c>
      <c r="U1194" t="s">
        <v>127</v>
      </c>
      <c r="V1194" t="s">
        <v>77</v>
      </c>
      <c r="W1194" t="s">
        <v>128</v>
      </c>
      <c r="X1194" t="s">
        <v>129</v>
      </c>
      <c r="Y1194">
        <v>2.5034583567811999</v>
      </c>
      <c r="Z1194">
        <v>2503.4583567812001</v>
      </c>
      <c r="AA1194">
        <v>4.6254861111111101</v>
      </c>
      <c r="AB1194">
        <v>-74.066980555555503</v>
      </c>
      <c r="AC1194">
        <v>2621</v>
      </c>
      <c r="AD1194">
        <v>15</v>
      </c>
      <c r="AE1194" t="s">
        <v>80</v>
      </c>
      <c r="AF1194" t="s">
        <v>81</v>
      </c>
      <c r="AG1194" t="s">
        <v>82</v>
      </c>
      <c r="AH1194" t="s">
        <v>83</v>
      </c>
      <c r="AI1194" t="s">
        <v>130</v>
      </c>
      <c r="AJ1194">
        <v>1.2017817000808899</v>
      </c>
      <c r="AK1194">
        <v>0.15041522717057601</v>
      </c>
      <c r="AL1194">
        <v>0.58559663119874805</v>
      </c>
      <c r="AM1194">
        <v>0.252845426258689</v>
      </c>
      <c r="AN1194">
        <v>0.50492234318658502</v>
      </c>
      <c r="AO1194">
        <v>0.33080019019658502</v>
      </c>
      <c r="AP1194">
        <v>0.33080019019658502</v>
      </c>
      <c r="AQ1194">
        <v>0</v>
      </c>
      <c r="AR1194">
        <v>0</v>
      </c>
      <c r="AS1194">
        <v>18</v>
      </c>
      <c r="AT1194">
        <v>56</v>
      </c>
      <c r="AU1194">
        <v>5</v>
      </c>
      <c r="AV1194">
        <v>23</v>
      </c>
      <c r="AW1194">
        <v>1</v>
      </c>
      <c r="AX1194">
        <v>0</v>
      </c>
      <c r="AZ1194">
        <v>6.8</v>
      </c>
      <c r="BA1194">
        <v>19.899999999999999</v>
      </c>
      <c r="BB1194">
        <v>564</v>
      </c>
      <c r="BC1194">
        <v>68</v>
      </c>
      <c r="BD1194">
        <v>1.5</v>
      </c>
      <c r="BE1194">
        <v>135</v>
      </c>
      <c r="BF1194">
        <v>0.8</v>
      </c>
      <c r="BG1194">
        <v>162</v>
      </c>
      <c r="BH1194">
        <v>9.1</v>
      </c>
      <c r="BI1194">
        <v>9.1999999999999993</v>
      </c>
      <c r="BJ1194">
        <v>18.3</v>
      </c>
      <c r="BK1194">
        <v>0.34</v>
      </c>
      <c r="BL1194">
        <v>7.3</v>
      </c>
      <c r="BM1194">
        <v>0.9</v>
      </c>
      <c r="BN1194">
        <v>7.5</v>
      </c>
      <c r="BO1194">
        <v>2.9</v>
      </c>
      <c r="BP1194">
        <f t="shared" si="36"/>
        <v>6.0074563550276681</v>
      </c>
      <c r="BQ1194">
        <f t="shared" si="37"/>
        <v>18.739558759852745</v>
      </c>
    </row>
    <row r="1195" spans="1:69" hidden="1" x14ac:dyDescent="0.2">
      <c r="A1195" t="s">
        <v>3565</v>
      </c>
      <c r="B1195" t="s">
        <v>68</v>
      </c>
      <c r="C1195" t="s">
        <v>3294</v>
      </c>
      <c r="D1195" t="s">
        <v>70</v>
      </c>
      <c r="E1195" t="s">
        <v>3566</v>
      </c>
      <c r="F1195">
        <v>3</v>
      </c>
      <c r="G1195">
        <v>27.23</v>
      </c>
      <c r="H1195">
        <v>1</v>
      </c>
      <c r="I1195">
        <v>1</v>
      </c>
      <c r="J1195">
        <v>0</v>
      </c>
      <c r="K1195" t="s">
        <v>110</v>
      </c>
      <c r="L1195" t="s">
        <v>111</v>
      </c>
      <c r="M1195" s="4">
        <v>362000000</v>
      </c>
      <c r="N1195">
        <v>0</v>
      </c>
      <c r="O1195">
        <v>4.6173599999999997</v>
      </c>
      <c r="P1195">
        <v>-74.070430000000002</v>
      </c>
      <c r="Q1195" t="s">
        <v>3567</v>
      </c>
      <c r="R1195">
        <v>13294160.85</v>
      </c>
      <c r="S1195">
        <v>0</v>
      </c>
      <c r="T1195" t="s">
        <v>126</v>
      </c>
      <c r="U1195" t="s">
        <v>127</v>
      </c>
      <c r="V1195" t="s">
        <v>77</v>
      </c>
      <c r="W1195" t="s">
        <v>128</v>
      </c>
      <c r="X1195" t="s">
        <v>129</v>
      </c>
      <c r="Y1195">
        <v>0.98223353801940205</v>
      </c>
      <c r="Z1195">
        <v>982.23353801940198</v>
      </c>
      <c r="AA1195">
        <v>4.6254861111111101</v>
      </c>
      <c r="AB1195">
        <v>-74.066980555555503</v>
      </c>
      <c r="AC1195">
        <v>2621</v>
      </c>
      <c r="AD1195">
        <v>15</v>
      </c>
      <c r="AE1195" t="s">
        <v>80</v>
      </c>
      <c r="AF1195" t="s">
        <v>81</v>
      </c>
      <c r="AG1195" t="s">
        <v>82</v>
      </c>
      <c r="AH1195" t="s">
        <v>83</v>
      </c>
      <c r="AI1195" t="s">
        <v>138</v>
      </c>
      <c r="AJ1195">
        <v>0.20704464562475</v>
      </c>
      <c r="AK1195">
        <v>0.78742712534808401</v>
      </c>
      <c r="AL1195">
        <v>0.26393443088864899</v>
      </c>
      <c r="AM1195">
        <v>8.3380222805574999E-2</v>
      </c>
      <c r="AN1195">
        <v>0.50594680052449104</v>
      </c>
      <c r="AO1195">
        <v>0.17837450320187501</v>
      </c>
      <c r="AP1195">
        <v>0.17837450320187501</v>
      </c>
      <c r="AQ1195">
        <v>3</v>
      </c>
      <c r="AR1195">
        <v>7</v>
      </c>
      <c r="AS1195">
        <v>0</v>
      </c>
      <c r="AT1195">
        <v>1</v>
      </c>
      <c r="AU1195">
        <v>12</v>
      </c>
      <c r="AV1195">
        <v>70</v>
      </c>
      <c r="AW1195">
        <v>1</v>
      </c>
      <c r="AX1195">
        <v>5</v>
      </c>
      <c r="AZ1195">
        <v>6.8</v>
      </c>
      <c r="BA1195">
        <v>19.899999999999999</v>
      </c>
      <c r="BB1195">
        <v>564</v>
      </c>
      <c r="BC1195">
        <v>68</v>
      </c>
      <c r="BD1195">
        <v>1.5</v>
      </c>
      <c r="BE1195">
        <v>135</v>
      </c>
      <c r="BF1195">
        <v>0.8</v>
      </c>
      <c r="BG1195">
        <v>162</v>
      </c>
      <c r="BH1195">
        <v>9.1</v>
      </c>
      <c r="BI1195">
        <v>9.1999999999999993</v>
      </c>
      <c r="BJ1195">
        <v>18.3</v>
      </c>
      <c r="BK1195">
        <v>0.34</v>
      </c>
      <c r="BL1195">
        <v>7.3</v>
      </c>
      <c r="BM1195">
        <v>0.9</v>
      </c>
      <c r="BN1195">
        <v>7.5</v>
      </c>
      <c r="BO1195">
        <v>2.9</v>
      </c>
      <c r="BP1195">
        <f t="shared" si="36"/>
        <v>6.4772889573934629</v>
      </c>
      <c r="BQ1195">
        <f t="shared" si="37"/>
        <v>19.436371430840833</v>
      </c>
    </row>
    <row r="1196" spans="1:69" hidden="1" x14ac:dyDescent="0.2">
      <c r="A1196" t="s">
        <v>3753</v>
      </c>
      <c r="B1196" t="s">
        <v>68</v>
      </c>
      <c r="C1196" t="s">
        <v>3294</v>
      </c>
      <c r="D1196" t="s">
        <v>70</v>
      </c>
      <c r="E1196" t="s">
        <v>84</v>
      </c>
      <c r="F1196">
        <v>4</v>
      </c>
      <c r="G1196">
        <v>27.21</v>
      </c>
      <c r="H1196">
        <v>1</v>
      </c>
      <c r="I1196">
        <v>1</v>
      </c>
      <c r="J1196">
        <v>0</v>
      </c>
      <c r="K1196" t="s">
        <v>110</v>
      </c>
      <c r="L1196" t="s">
        <v>111</v>
      </c>
      <c r="M1196" s="4">
        <v>360000000</v>
      </c>
      <c r="N1196">
        <v>0</v>
      </c>
      <c r="O1196">
        <v>4.61761</v>
      </c>
      <c r="P1196">
        <v>-74.071899999999999</v>
      </c>
      <c r="Q1196" t="s">
        <v>3754</v>
      </c>
      <c r="R1196">
        <v>13230429.99</v>
      </c>
      <c r="S1196">
        <v>0</v>
      </c>
      <c r="T1196" t="s">
        <v>126</v>
      </c>
      <c r="U1196" t="s">
        <v>127</v>
      </c>
      <c r="V1196" t="s">
        <v>77</v>
      </c>
      <c r="W1196" t="s">
        <v>128</v>
      </c>
      <c r="X1196" t="s">
        <v>129</v>
      </c>
      <c r="Y1196">
        <v>1.0327961996380799</v>
      </c>
      <c r="Z1196">
        <v>1032.79619963808</v>
      </c>
      <c r="AA1196">
        <v>4.6254861111111101</v>
      </c>
      <c r="AB1196">
        <v>-74.066980555555503</v>
      </c>
      <c r="AC1196">
        <v>2621</v>
      </c>
      <c r="AD1196">
        <v>15</v>
      </c>
      <c r="AE1196" t="s">
        <v>80</v>
      </c>
      <c r="AF1196" t="s">
        <v>81</v>
      </c>
      <c r="AG1196" t="s">
        <v>82</v>
      </c>
      <c r="AH1196" t="s">
        <v>83</v>
      </c>
      <c r="AI1196" t="s">
        <v>84</v>
      </c>
      <c r="AJ1196">
        <v>0.10972985600465</v>
      </c>
      <c r="AK1196">
        <v>0.94828536010518805</v>
      </c>
      <c r="AL1196">
        <v>0.37155732940323399</v>
      </c>
      <c r="AM1196">
        <v>9.3474478767834698E-2</v>
      </c>
      <c r="AN1196">
        <v>0.66558124828017395</v>
      </c>
      <c r="AO1196">
        <v>0.32126983629466899</v>
      </c>
      <c r="AP1196">
        <v>0.32126983629466899</v>
      </c>
      <c r="AQ1196">
        <v>2</v>
      </c>
      <c r="AR1196">
        <v>7</v>
      </c>
      <c r="AS1196">
        <v>0</v>
      </c>
      <c r="AT1196">
        <v>1</v>
      </c>
      <c r="AU1196">
        <v>13</v>
      </c>
      <c r="AV1196">
        <v>71</v>
      </c>
      <c r="AW1196">
        <v>1</v>
      </c>
      <c r="AX1196">
        <v>3</v>
      </c>
      <c r="AZ1196">
        <v>6.8</v>
      </c>
      <c r="BA1196">
        <v>19.899999999999999</v>
      </c>
      <c r="BB1196">
        <v>564</v>
      </c>
      <c r="BC1196">
        <v>68</v>
      </c>
      <c r="BD1196">
        <v>1.5</v>
      </c>
      <c r="BE1196">
        <v>135</v>
      </c>
      <c r="BF1196">
        <v>0.8</v>
      </c>
      <c r="BG1196">
        <v>162</v>
      </c>
      <c r="BH1196">
        <v>9.1</v>
      </c>
      <c r="BI1196">
        <v>9.1999999999999993</v>
      </c>
      <c r="BJ1196">
        <v>18.3</v>
      </c>
      <c r="BK1196">
        <v>0.34</v>
      </c>
      <c r="BL1196">
        <v>7.3</v>
      </c>
      <c r="BM1196">
        <v>0.9</v>
      </c>
      <c r="BN1196">
        <v>7.5</v>
      </c>
      <c r="BO1196">
        <v>2.9</v>
      </c>
      <c r="BP1196">
        <f t="shared" si="36"/>
        <v>6.4610975342085988</v>
      </c>
      <c r="BQ1196">
        <f t="shared" si="37"/>
        <v>19.412799623851015</v>
      </c>
    </row>
    <row r="1197" spans="1:69" hidden="1" x14ac:dyDescent="0.2">
      <c r="A1197" t="s">
        <v>4416</v>
      </c>
      <c r="B1197" t="s">
        <v>68</v>
      </c>
      <c r="C1197" t="s">
        <v>3294</v>
      </c>
      <c r="D1197" t="s">
        <v>70</v>
      </c>
      <c r="E1197" t="s">
        <v>3559</v>
      </c>
      <c r="F1197">
        <v>3</v>
      </c>
      <c r="G1197">
        <v>27.13</v>
      </c>
      <c r="H1197">
        <v>1</v>
      </c>
      <c r="I1197">
        <v>1</v>
      </c>
      <c r="J1197">
        <v>0</v>
      </c>
      <c r="K1197" t="s">
        <v>110</v>
      </c>
      <c r="L1197" t="s">
        <v>111</v>
      </c>
      <c r="M1197" s="4">
        <v>330000000</v>
      </c>
      <c r="N1197">
        <v>0</v>
      </c>
      <c r="O1197">
        <v>4.6195500000000003</v>
      </c>
      <c r="P1197">
        <v>-74.069429999999997</v>
      </c>
      <c r="Q1197" t="s">
        <v>4417</v>
      </c>
      <c r="R1197">
        <v>12163656.470000001</v>
      </c>
      <c r="S1197">
        <v>0</v>
      </c>
      <c r="T1197" t="s">
        <v>126</v>
      </c>
      <c r="U1197" t="s">
        <v>127</v>
      </c>
      <c r="V1197" t="s">
        <v>77</v>
      </c>
      <c r="W1197" t="s">
        <v>128</v>
      </c>
      <c r="X1197" t="s">
        <v>129</v>
      </c>
      <c r="Y1197">
        <v>0.71451354539833001</v>
      </c>
      <c r="Z1197">
        <v>714.51354539833005</v>
      </c>
      <c r="AA1197">
        <v>4.6254861111111101</v>
      </c>
      <c r="AB1197">
        <v>-74.066980555555503</v>
      </c>
      <c r="AC1197">
        <v>2621</v>
      </c>
      <c r="AD1197">
        <v>15</v>
      </c>
      <c r="AE1197" t="s">
        <v>80</v>
      </c>
      <c r="AF1197" t="s">
        <v>81</v>
      </c>
      <c r="AG1197" t="s">
        <v>82</v>
      </c>
      <c r="AH1197" t="s">
        <v>83</v>
      </c>
      <c r="AI1197" t="s">
        <v>138</v>
      </c>
      <c r="AJ1197">
        <v>0.226129041416258</v>
      </c>
      <c r="AK1197">
        <v>0.79521948094735695</v>
      </c>
      <c r="AL1197">
        <v>0.393892350464079</v>
      </c>
      <c r="AM1197">
        <v>0.113901348766456</v>
      </c>
      <c r="AN1197">
        <v>0.58134267016077101</v>
      </c>
      <c r="AO1197">
        <v>1.76685858881161E-3</v>
      </c>
      <c r="AP1197">
        <v>1.76685858881161E-3</v>
      </c>
      <c r="AQ1197">
        <v>3</v>
      </c>
      <c r="AR1197">
        <v>7</v>
      </c>
      <c r="AS1197">
        <v>0</v>
      </c>
      <c r="AT1197">
        <v>3</v>
      </c>
      <c r="AU1197">
        <v>13</v>
      </c>
      <c r="AV1197">
        <v>83</v>
      </c>
      <c r="AW1197">
        <v>2</v>
      </c>
      <c r="AX1197">
        <v>2</v>
      </c>
      <c r="AZ1197">
        <v>6.8</v>
      </c>
      <c r="BA1197">
        <v>19.899999999999999</v>
      </c>
      <c r="BB1197">
        <v>564</v>
      </c>
      <c r="BC1197">
        <v>68</v>
      </c>
      <c r="BD1197">
        <v>1.5</v>
      </c>
      <c r="BE1197">
        <v>135</v>
      </c>
      <c r="BF1197">
        <v>0.8</v>
      </c>
      <c r="BG1197">
        <v>162</v>
      </c>
      <c r="BH1197">
        <v>9.1</v>
      </c>
      <c r="BI1197">
        <v>9.1999999999999993</v>
      </c>
      <c r="BJ1197">
        <v>18.3</v>
      </c>
      <c r="BK1197">
        <v>0.34</v>
      </c>
      <c r="BL1197">
        <v>7.3</v>
      </c>
      <c r="BM1197">
        <v>0.9</v>
      </c>
      <c r="BN1197">
        <v>7.5</v>
      </c>
      <c r="BO1197">
        <v>2.9</v>
      </c>
      <c r="BP1197">
        <f t="shared" si="36"/>
        <v>6.5636981840907769</v>
      </c>
      <c r="BQ1197">
        <f t="shared" si="37"/>
        <v>19.561657624423496</v>
      </c>
    </row>
    <row r="1198" spans="1:69" hidden="1" x14ac:dyDescent="0.2">
      <c r="A1198" t="s">
        <v>3431</v>
      </c>
      <c r="B1198" t="s">
        <v>68</v>
      </c>
      <c r="C1198" t="s">
        <v>3294</v>
      </c>
      <c r="D1198" t="s">
        <v>70</v>
      </c>
      <c r="E1198" t="s">
        <v>130</v>
      </c>
      <c r="F1198">
        <v>5</v>
      </c>
      <c r="G1198">
        <v>27</v>
      </c>
      <c r="H1198">
        <v>1</v>
      </c>
      <c r="I1198">
        <v>1</v>
      </c>
      <c r="J1198">
        <v>0</v>
      </c>
      <c r="K1198" t="s">
        <v>110</v>
      </c>
      <c r="L1198" t="s">
        <v>111</v>
      </c>
      <c r="M1198" s="4">
        <v>320000000</v>
      </c>
      <c r="N1198">
        <v>0</v>
      </c>
      <c r="O1198">
        <v>4.6421945999999998</v>
      </c>
      <c r="P1198">
        <v>-74.062605500000004</v>
      </c>
      <c r="Q1198" t="s">
        <v>3432</v>
      </c>
      <c r="R1198">
        <v>11851851.85</v>
      </c>
      <c r="S1198">
        <v>0</v>
      </c>
      <c r="T1198" t="s">
        <v>126</v>
      </c>
      <c r="U1198" t="s">
        <v>127</v>
      </c>
      <c r="V1198" t="s">
        <v>77</v>
      </c>
      <c r="W1198" t="s">
        <v>128</v>
      </c>
      <c r="X1198" t="s">
        <v>129</v>
      </c>
      <c r="Y1198">
        <v>1.92228418014633</v>
      </c>
      <c r="Z1198">
        <v>1922.2841801463301</v>
      </c>
      <c r="AA1198">
        <v>4.6254861111111101</v>
      </c>
      <c r="AB1198">
        <v>-74.066980555555503</v>
      </c>
      <c r="AC1198">
        <v>2621</v>
      </c>
      <c r="AD1198">
        <v>15</v>
      </c>
      <c r="AE1198" t="s">
        <v>80</v>
      </c>
      <c r="AF1198" t="s">
        <v>81</v>
      </c>
      <c r="AG1198" t="s">
        <v>82</v>
      </c>
      <c r="AH1198" t="s">
        <v>83</v>
      </c>
      <c r="AI1198" t="s">
        <v>130</v>
      </c>
      <c r="AJ1198">
        <v>0.36779400701085901</v>
      </c>
      <c r="AK1198">
        <v>0.57747214030441896</v>
      </c>
      <c r="AL1198">
        <v>0.39778000992044699</v>
      </c>
      <c r="AM1198">
        <v>5.1588213277125997E-2</v>
      </c>
      <c r="AN1198">
        <v>0.47181267144988998</v>
      </c>
      <c r="AO1198">
        <v>0.25807732996056598</v>
      </c>
      <c r="AP1198">
        <v>0.25807732996056598</v>
      </c>
      <c r="AQ1198">
        <v>1</v>
      </c>
      <c r="AR1198">
        <v>4</v>
      </c>
      <c r="AS1198">
        <v>0</v>
      </c>
      <c r="AT1198">
        <v>21</v>
      </c>
      <c r="AU1198">
        <v>6</v>
      </c>
      <c r="AV1198">
        <v>131</v>
      </c>
      <c r="AW1198">
        <v>1</v>
      </c>
      <c r="AX1198">
        <v>0</v>
      </c>
      <c r="AZ1198">
        <v>6.8</v>
      </c>
      <c r="BA1198">
        <v>19.899999999999999</v>
      </c>
      <c r="BB1198">
        <v>564</v>
      </c>
      <c r="BC1198">
        <v>68</v>
      </c>
      <c r="BD1198">
        <v>1.5</v>
      </c>
      <c r="BE1198">
        <v>135</v>
      </c>
      <c r="BF1198">
        <v>0.8</v>
      </c>
      <c r="BG1198">
        <v>162</v>
      </c>
      <c r="BH1198">
        <v>9.1</v>
      </c>
      <c r="BI1198">
        <v>9.1999999999999993</v>
      </c>
      <c r="BJ1198">
        <v>18.3</v>
      </c>
      <c r="BK1198">
        <v>0.34</v>
      </c>
      <c r="BL1198">
        <v>7.3</v>
      </c>
      <c r="BM1198">
        <v>0.9</v>
      </c>
      <c r="BN1198">
        <v>7.5</v>
      </c>
      <c r="BO1198">
        <v>2.9</v>
      </c>
      <c r="BP1198">
        <f t="shared" si="36"/>
        <v>6.1827895014215564</v>
      </c>
      <c r="BQ1198">
        <f t="shared" si="37"/>
        <v>19.00277291489331</v>
      </c>
    </row>
    <row r="1199" spans="1:69" hidden="1" x14ac:dyDescent="0.2">
      <c r="A1199" t="s">
        <v>3597</v>
      </c>
      <c r="B1199" t="s">
        <v>68</v>
      </c>
      <c r="C1199" t="s">
        <v>3294</v>
      </c>
      <c r="D1199" t="s">
        <v>70</v>
      </c>
      <c r="E1199" t="s">
        <v>684</v>
      </c>
      <c r="F1199">
        <v>4</v>
      </c>
      <c r="G1199">
        <v>27</v>
      </c>
      <c r="H1199">
        <v>1</v>
      </c>
      <c r="I1199">
        <v>1</v>
      </c>
      <c r="J1199">
        <v>0</v>
      </c>
      <c r="K1199" t="s">
        <v>110</v>
      </c>
      <c r="L1199" t="s">
        <v>111</v>
      </c>
      <c r="M1199" s="4">
        <v>315000000</v>
      </c>
      <c r="N1199">
        <v>0</v>
      </c>
      <c r="O1199">
        <v>4.6819591520000001</v>
      </c>
      <c r="P1199">
        <v>-74.060119630000003</v>
      </c>
      <c r="Q1199" t="s">
        <v>3598</v>
      </c>
      <c r="R1199">
        <v>11666666.67</v>
      </c>
      <c r="S1199">
        <v>0</v>
      </c>
      <c r="T1199" t="s">
        <v>75</v>
      </c>
      <c r="U1199" t="s">
        <v>76</v>
      </c>
      <c r="V1199" t="s">
        <v>77</v>
      </c>
      <c r="W1199" t="s">
        <v>78</v>
      </c>
      <c r="X1199" t="s">
        <v>79</v>
      </c>
      <c r="Y1199">
        <v>3.7201502736668299</v>
      </c>
      <c r="Z1199">
        <v>3720.1502736668299</v>
      </c>
      <c r="AA1199">
        <v>4.6584666666666701</v>
      </c>
      <c r="AB1199">
        <v>-74.083966666666697</v>
      </c>
      <c r="AC1199">
        <v>2552</v>
      </c>
      <c r="AD1199">
        <v>0</v>
      </c>
      <c r="AE1199" t="s">
        <v>80</v>
      </c>
      <c r="AF1199" t="s">
        <v>81</v>
      </c>
      <c r="AG1199" t="s">
        <v>82</v>
      </c>
      <c r="AH1199" t="s">
        <v>83</v>
      </c>
      <c r="AI1199" t="s">
        <v>342</v>
      </c>
      <c r="AJ1199">
        <v>0.34587266877892497</v>
      </c>
      <c r="AK1199">
        <v>2.4024577575369901</v>
      </c>
      <c r="AL1199">
        <v>0.35207398162009501</v>
      </c>
      <c r="AM1199">
        <v>4.72882752515634E-2</v>
      </c>
      <c r="AN1199">
        <v>2.5734506220957098</v>
      </c>
      <c r="AO1199">
        <v>0.15216010680202099</v>
      </c>
      <c r="AP1199">
        <v>0.15216010680202099</v>
      </c>
      <c r="AQ1199">
        <v>2</v>
      </c>
      <c r="AR1199">
        <v>7</v>
      </c>
      <c r="AS1199">
        <v>0</v>
      </c>
      <c r="AT1199">
        <v>0</v>
      </c>
      <c r="AU1199">
        <v>2</v>
      </c>
      <c r="AV1199">
        <v>204</v>
      </c>
      <c r="AW1199">
        <v>0</v>
      </c>
      <c r="AX1199">
        <v>0</v>
      </c>
      <c r="AZ1199">
        <v>6.8</v>
      </c>
      <c r="BA1199">
        <v>19.899999999999999</v>
      </c>
      <c r="BB1199">
        <v>564</v>
      </c>
      <c r="BC1199">
        <v>68</v>
      </c>
      <c r="BD1199">
        <v>1.5</v>
      </c>
      <c r="BE1199">
        <v>135</v>
      </c>
      <c r="BF1199">
        <v>0.8</v>
      </c>
      <c r="BG1199">
        <v>162</v>
      </c>
      <c r="BH1199">
        <v>9.1</v>
      </c>
      <c r="BI1199">
        <v>9.1999999999999993</v>
      </c>
      <c r="BJ1199">
        <v>18.3</v>
      </c>
      <c r="BK1199">
        <v>0.34</v>
      </c>
      <c r="BL1199">
        <v>7.3</v>
      </c>
      <c r="BM1199">
        <v>0.9</v>
      </c>
      <c r="BN1199">
        <v>7.5</v>
      </c>
      <c r="BO1199">
        <v>2.9</v>
      </c>
      <c r="BP1199">
        <f t="shared" si="36"/>
        <v>5.6563294435476204</v>
      </c>
      <c r="BQ1199">
        <f t="shared" si="37"/>
        <v>18.200264467571909</v>
      </c>
    </row>
    <row r="1200" spans="1:69" hidden="1" x14ac:dyDescent="0.2">
      <c r="A1200" t="s">
        <v>4483</v>
      </c>
      <c r="B1200" t="s">
        <v>68</v>
      </c>
      <c r="C1200" t="s">
        <v>3294</v>
      </c>
      <c r="D1200" t="s">
        <v>70</v>
      </c>
      <c r="E1200" t="s">
        <v>3573</v>
      </c>
      <c r="F1200">
        <v>3</v>
      </c>
      <c r="G1200">
        <v>27</v>
      </c>
      <c r="H1200">
        <v>1</v>
      </c>
      <c r="I1200">
        <v>1</v>
      </c>
      <c r="J1200">
        <v>0</v>
      </c>
      <c r="K1200" t="s">
        <v>110</v>
      </c>
      <c r="L1200" t="s">
        <v>111</v>
      </c>
      <c r="M1200" s="4">
        <v>290000000</v>
      </c>
      <c r="N1200">
        <v>2150000</v>
      </c>
      <c r="O1200">
        <v>4.6024799999999999</v>
      </c>
      <c r="P1200">
        <v>-74.068950000000001</v>
      </c>
      <c r="Q1200" t="s">
        <v>4484</v>
      </c>
      <c r="R1200">
        <v>10740740.74</v>
      </c>
      <c r="S1200">
        <v>79629.629629999996</v>
      </c>
      <c r="T1200" t="s">
        <v>126</v>
      </c>
      <c r="U1200" t="s">
        <v>127</v>
      </c>
      <c r="V1200" t="s">
        <v>77</v>
      </c>
      <c r="W1200" t="s">
        <v>128</v>
      </c>
      <c r="X1200" t="s">
        <v>129</v>
      </c>
      <c r="Y1200">
        <v>2.5703348875502599</v>
      </c>
      <c r="Z1200">
        <v>2570.3348875502602</v>
      </c>
      <c r="AA1200">
        <v>4.6254861111111101</v>
      </c>
      <c r="AB1200">
        <v>-74.066980555555503</v>
      </c>
      <c r="AC1200">
        <v>2621</v>
      </c>
      <c r="AD1200">
        <v>15</v>
      </c>
      <c r="AE1200" t="s">
        <v>80</v>
      </c>
      <c r="AF1200" t="s">
        <v>81</v>
      </c>
      <c r="AG1200" t="s">
        <v>82</v>
      </c>
      <c r="AH1200" t="s">
        <v>83</v>
      </c>
      <c r="AI1200" t="s">
        <v>138</v>
      </c>
      <c r="AJ1200">
        <v>6.1822755343333403E-2</v>
      </c>
      <c r="AK1200">
        <v>0.56536290912041898</v>
      </c>
      <c r="AL1200">
        <v>0.118797344164446</v>
      </c>
      <c r="AM1200">
        <v>0.13251561716663801</v>
      </c>
      <c r="AN1200">
        <v>1.4436557314135201</v>
      </c>
      <c r="AO1200">
        <v>0.21116693836901401</v>
      </c>
      <c r="AP1200">
        <v>0.21116693836901401</v>
      </c>
      <c r="AQ1200">
        <v>3</v>
      </c>
      <c r="AR1200">
        <v>6</v>
      </c>
      <c r="AS1200">
        <v>0</v>
      </c>
      <c r="AT1200">
        <v>56</v>
      </c>
      <c r="AU1200">
        <v>13</v>
      </c>
      <c r="AV1200">
        <v>49</v>
      </c>
      <c r="AW1200">
        <v>0</v>
      </c>
      <c r="AX1200">
        <v>8</v>
      </c>
      <c r="AZ1200">
        <v>6.8</v>
      </c>
      <c r="BA1200">
        <v>19.899999999999999</v>
      </c>
      <c r="BB1200">
        <v>564</v>
      </c>
      <c r="BC1200">
        <v>68</v>
      </c>
      <c r="BD1200">
        <v>1.5</v>
      </c>
      <c r="BE1200">
        <v>135</v>
      </c>
      <c r="BF1200">
        <v>0.8</v>
      </c>
      <c r="BG1200">
        <v>162</v>
      </c>
      <c r="BH1200">
        <v>9.1</v>
      </c>
      <c r="BI1200">
        <v>9.1999999999999993</v>
      </c>
      <c r="BJ1200">
        <v>18.3</v>
      </c>
      <c r="BK1200">
        <v>0.34</v>
      </c>
      <c r="BL1200">
        <v>7.3</v>
      </c>
      <c r="BM1200">
        <v>0.9</v>
      </c>
      <c r="BN1200">
        <v>7.5</v>
      </c>
      <c r="BO1200">
        <v>2.9</v>
      </c>
      <c r="BP1200">
        <f t="shared" si="36"/>
        <v>5.9876022225339405</v>
      </c>
      <c r="BQ1200">
        <f t="shared" si="37"/>
        <v>18.709505204562735</v>
      </c>
    </row>
    <row r="1201" spans="1:69" hidden="1" x14ac:dyDescent="0.2">
      <c r="A1201" t="s">
        <v>3351</v>
      </c>
      <c r="B1201" t="s">
        <v>68</v>
      </c>
      <c r="C1201" t="s">
        <v>3294</v>
      </c>
      <c r="D1201" t="s">
        <v>70</v>
      </c>
      <c r="E1201" t="s">
        <v>1309</v>
      </c>
      <c r="F1201">
        <v>4</v>
      </c>
      <c r="G1201">
        <v>27</v>
      </c>
      <c r="H1201">
        <v>1</v>
      </c>
      <c r="I1201">
        <v>1</v>
      </c>
      <c r="J1201">
        <v>0</v>
      </c>
      <c r="K1201" t="s">
        <v>110</v>
      </c>
      <c r="L1201" t="s">
        <v>111</v>
      </c>
      <c r="M1201" s="4">
        <v>280000000</v>
      </c>
      <c r="N1201">
        <v>0</v>
      </c>
      <c r="O1201">
        <v>4.6444407229999998</v>
      </c>
      <c r="P1201">
        <v>-74.0547811</v>
      </c>
      <c r="Q1201" t="s">
        <v>3352</v>
      </c>
      <c r="R1201">
        <v>10370370.369999999</v>
      </c>
      <c r="S1201">
        <v>0</v>
      </c>
      <c r="T1201" t="s">
        <v>126</v>
      </c>
      <c r="U1201" t="s">
        <v>127</v>
      </c>
      <c r="V1201" t="s">
        <v>77</v>
      </c>
      <c r="W1201" t="s">
        <v>128</v>
      </c>
      <c r="X1201" t="s">
        <v>129</v>
      </c>
      <c r="Y1201">
        <v>2.5068699937411298</v>
      </c>
      <c r="Z1201">
        <v>2506.8699937411302</v>
      </c>
      <c r="AA1201">
        <v>4.6254861111111101</v>
      </c>
      <c r="AB1201">
        <v>-74.066980555555503</v>
      </c>
      <c r="AC1201">
        <v>2621</v>
      </c>
      <c r="AD1201">
        <v>15</v>
      </c>
      <c r="AE1201" t="s">
        <v>80</v>
      </c>
      <c r="AF1201" t="s">
        <v>81</v>
      </c>
      <c r="AG1201" t="s">
        <v>82</v>
      </c>
      <c r="AH1201" t="s">
        <v>83</v>
      </c>
      <c r="AI1201" t="s">
        <v>130</v>
      </c>
      <c r="AJ1201">
        <v>1.20145776476549</v>
      </c>
      <c r="AK1201">
        <v>0.15014501464350699</v>
      </c>
      <c r="AL1201">
        <v>0.58435946466575495</v>
      </c>
      <c r="AM1201">
        <v>0.25634907655609701</v>
      </c>
      <c r="AN1201">
        <v>0.507785624587762</v>
      </c>
      <c r="AO1201">
        <v>0.33063547817967298</v>
      </c>
      <c r="AP1201">
        <v>0.33063547817967298</v>
      </c>
      <c r="AQ1201">
        <v>0</v>
      </c>
      <c r="AR1201">
        <v>0</v>
      </c>
      <c r="AS1201">
        <v>19</v>
      </c>
      <c r="AT1201">
        <v>56</v>
      </c>
      <c r="AU1201">
        <v>5</v>
      </c>
      <c r="AV1201">
        <v>23</v>
      </c>
      <c r="AW1201">
        <v>1</v>
      </c>
      <c r="AX1201">
        <v>0</v>
      </c>
      <c r="AZ1201">
        <v>6.8</v>
      </c>
      <c r="BA1201">
        <v>19.899999999999999</v>
      </c>
      <c r="BB1201">
        <v>564</v>
      </c>
      <c r="BC1201">
        <v>68</v>
      </c>
      <c r="BD1201">
        <v>1.5</v>
      </c>
      <c r="BE1201">
        <v>135</v>
      </c>
      <c r="BF1201">
        <v>0.8</v>
      </c>
      <c r="BG1201">
        <v>162</v>
      </c>
      <c r="BH1201">
        <v>9.1</v>
      </c>
      <c r="BI1201">
        <v>9.1999999999999993</v>
      </c>
      <c r="BJ1201">
        <v>18.3</v>
      </c>
      <c r="BK1201">
        <v>0.34</v>
      </c>
      <c r="BL1201">
        <v>7.3</v>
      </c>
      <c r="BM1201">
        <v>0.9</v>
      </c>
      <c r="BN1201">
        <v>7.5</v>
      </c>
      <c r="BO1201">
        <v>2.9</v>
      </c>
      <c r="BP1201">
        <f t="shared" si="36"/>
        <v>6.0064419253097787</v>
      </c>
      <c r="BQ1201">
        <f t="shared" si="37"/>
        <v>18.7380244409574</v>
      </c>
    </row>
    <row r="1202" spans="1:69" hidden="1" x14ac:dyDescent="0.2">
      <c r="A1202" t="s">
        <v>4428</v>
      </c>
      <c r="B1202" t="s">
        <v>68</v>
      </c>
      <c r="C1202" t="s">
        <v>3294</v>
      </c>
      <c r="D1202" t="s">
        <v>70</v>
      </c>
      <c r="E1202" t="s">
        <v>4429</v>
      </c>
      <c r="F1202">
        <v>3</v>
      </c>
      <c r="G1202">
        <v>27</v>
      </c>
      <c r="H1202">
        <v>1</v>
      </c>
      <c r="I1202">
        <v>1</v>
      </c>
      <c r="J1202">
        <v>0</v>
      </c>
      <c r="K1202" t="s">
        <v>110</v>
      </c>
      <c r="L1202" t="s">
        <v>111</v>
      </c>
      <c r="M1202" s="4">
        <v>277500000</v>
      </c>
      <c r="N1202">
        <v>0</v>
      </c>
      <c r="O1202">
        <v>4.6025239999999998</v>
      </c>
      <c r="P1202">
        <v>-74.068940100000006</v>
      </c>
      <c r="Q1202" t="s">
        <v>4430</v>
      </c>
      <c r="R1202">
        <v>10277777.779999999</v>
      </c>
      <c r="S1202">
        <v>0</v>
      </c>
      <c r="T1202" t="s">
        <v>126</v>
      </c>
      <c r="U1202" t="s">
        <v>127</v>
      </c>
      <c r="V1202" t="s">
        <v>77</v>
      </c>
      <c r="W1202" t="s">
        <v>128</v>
      </c>
      <c r="X1202" t="s">
        <v>129</v>
      </c>
      <c r="Y1202">
        <v>2.5653612606682401</v>
      </c>
      <c r="Z1202">
        <v>2565.36126066824</v>
      </c>
      <c r="AA1202">
        <v>4.6254861111111101</v>
      </c>
      <c r="AB1202">
        <v>-74.066980555555503</v>
      </c>
      <c r="AC1202">
        <v>2621</v>
      </c>
      <c r="AD1202">
        <v>15</v>
      </c>
      <c r="AE1202" t="s">
        <v>80</v>
      </c>
      <c r="AF1202" t="s">
        <v>81</v>
      </c>
      <c r="AG1202" t="s">
        <v>82</v>
      </c>
      <c r="AH1202" t="s">
        <v>83</v>
      </c>
      <c r="AI1202" t="s">
        <v>138</v>
      </c>
      <c r="AJ1202">
        <v>6.0050996090324098E-2</v>
      </c>
      <c r="AK1202">
        <v>0.56295732149286803</v>
      </c>
      <c r="AL1202">
        <v>0.117346809666504</v>
      </c>
      <c r="AM1202">
        <v>0.127641106683269</v>
      </c>
      <c r="AN1202">
        <v>1.4386720210549999</v>
      </c>
      <c r="AO1202">
        <v>0.21012248847772799</v>
      </c>
      <c r="AP1202">
        <v>0.21012248847772799</v>
      </c>
      <c r="AQ1202">
        <v>3</v>
      </c>
      <c r="AR1202">
        <v>6</v>
      </c>
      <c r="AS1202">
        <v>0</v>
      </c>
      <c r="AT1202">
        <v>56</v>
      </c>
      <c r="AU1202">
        <v>13</v>
      </c>
      <c r="AV1202">
        <v>49</v>
      </c>
      <c r="AW1202">
        <v>0</v>
      </c>
      <c r="AX1202">
        <v>8</v>
      </c>
      <c r="AZ1202">
        <v>6.8</v>
      </c>
      <c r="BA1202">
        <v>19.899999999999999</v>
      </c>
      <c r="BB1202">
        <v>564</v>
      </c>
      <c r="BC1202">
        <v>68</v>
      </c>
      <c r="BD1202">
        <v>1.5</v>
      </c>
      <c r="BE1202">
        <v>135</v>
      </c>
      <c r="BF1202">
        <v>0.8</v>
      </c>
      <c r="BG1202">
        <v>162</v>
      </c>
      <c r="BH1202">
        <v>9.1</v>
      </c>
      <c r="BI1202">
        <v>9.1999999999999993</v>
      </c>
      <c r="BJ1202">
        <v>18.3</v>
      </c>
      <c r="BK1202">
        <v>0.34</v>
      </c>
      <c r="BL1202">
        <v>7.3</v>
      </c>
      <c r="BM1202">
        <v>0.9</v>
      </c>
      <c r="BN1202">
        <v>7.5</v>
      </c>
      <c r="BO1202">
        <v>2.9</v>
      </c>
      <c r="BP1202">
        <f t="shared" si="36"/>
        <v>5.9890765189273036</v>
      </c>
      <c r="BQ1202">
        <f t="shared" si="37"/>
        <v>18.711738636211983</v>
      </c>
    </row>
    <row r="1203" spans="1:69" hidden="1" x14ac:dyDescent="0.2">
      <c r="A1203" t="s">
        <v>3599</v>
      </c>
      <c r="B1203" t="s">
        <v>68</v>
      </c>
      <c r="C1203" t="s">
        <v>3294</v>
      </c>
      <c r="D1203" t="s">
        <v>70</v>
      </c>
      <c r="E1203" t="s">
        <v>130</v>
      </c>
      <c r="F1203">
        <v>4</v>
      </c>
      <c r="G1203">
        <v>27</v>
      </c>
      <c r="H1203">
        <v>1</v>
      </c>
      <c r="I1203">
        <v>1</v>
      </c>
      <c r="J1203">
        <v>0</v>
      </c>
      <c r="K1203" t="s">
        <v>110</v>
      </c>
      <c r="L1203" t="s">
        <v>111</v>
      </c>
      <c r="M1203" s="4">
        <v>265000000</v>
      </c>
      <c r="N1203">
        <v>0</v>
      </c>
      <c r="O1203">
        <v>4.6439271719999997</v>
      </c>
      <c r="P1203">
        <v>-74.054819019999996</v>
      </c>
      <c r="Q1203" t="s">
        <v>3600</v>
      </c>
      <c r="R1203">
        <v>9814814.8149999995</v>
      </c>
      <c r="S1203">
        <v>0</v>
      </c>
      <c r="T1203" t="s">
        <v>126</v>
      </c>
      <c r="U1203" t="s">
        <v>127</v>
      </c>
      <c r="V1203" t="s">
        <v>77</v>
      </c>
      <c r="W1203" t="s">
        <v>128</v>
      </c>
      <c r="X1203" t="s">
        <v>129</v>
      </c>
      <c r="Y1203">
        <v>2.4566322664124001</v>
      </c>
      <c r="Z1203">
        <v>2456.6322664124</v>
      </c>
      <c r="AA1203">
        <v>4.6254861111111101</v>
      </c>
      <c r="AB1203">
        <v>-74.066980555555503</v>
      </c>
      <c r="AC1203">
        <v>2621</v>
      </c>
      <c r="AD1203">
        <v>15</v>
      </c>
      <c r="AE1203" t="s">
        <v>80</v>
      </c>
      <c r="AF1203" t="s">
        <v>81</v>
      </c>
      <c r="AG1203" t="s">
        <v>82</v>
      </c>
      <c r="AH1203" t="s">
        <v>83</v>
      </c>
      <c r="AI1203" t="s">
        <v>130</v>
      </c>
      <c r="AJ1203">
        <v>1.21944510811881</v>
      </c>
      <c r="AK1203">
        <v>0.150148544424757</v>
      </c>
      <c r="AL1203">
        <v>0.58806273918228102</v>
      </c>
      <c r="AM1203">
        <v>0.20365372575238599</v>
      </c>
      <c r="AN1203">
        <v>0.47142862890273701</v>
      </c>
      <c r="AO1203">
        <v>0.349005166854648</v>
      </c>
      <c r="AP1203">
        <v>0.349005166854648</v>
      </c>
      <c r="AQ1203">
        <v>0</v>
      </c>
      <c r="AR1203">
        <v>0</v>
      </c>
      <c r="AS1203">
        <v>19</v>
      </c>
      <c r="AT1203">
        <v>56</v>
      </c>
      <c r="AU1203">
        <v>4</v>
      </c>
      <c r="AV1203">
        <v>22</v>
      </c>
      <c r="AW1203">
        <v>1</v>
      </c>
      <c r="AX1203">
        <v>0</v>
      </c>
      <c r="AZ1203">
        <v>6.8</v>
      </c>
      <c r="BA1203">
        <v>19.899999999999999</v>
      </c>
      <c r="BB1203">
        <v>564</v>
      </c>
      <c r="BC1203">
        <v>68</v>
      </c>
      <c r="BD1203">
        <v>1.5</v>
      </c>
      <c r="BE1203">
        <v>135</v>
      </c>
      <c r="BF1203">
        <v>0.8</v>
      </c>
      <c r="BG1203">
        <v>162</v>
      </c>
      <c r="BH1203">
        <v>9.1</v>
      </c>
      <c r="BI1203">
        <v>9.1999999999999993</v>
      </c>
      <c r="BJ1203">
        <v>18.3</v>
      </c>
      <c r="BK1203">
        <v>0.34</v>
      </c>
      <c r="BL1203">
        <v>7.3</v>
      </c>
      <c r="BM1203">
        <v>0.9</v>
      </c>
      <c r="BN1203">
        <v>7.5</v>
      </c>
      <c r="BO1203">
        <v>2.9</v>
      </c>
      <c r="BP1203">
        <f t="shared" si="36"/>
        <v>6.0213971372575275</v>
      </c>
      <c r="BQ1203">
        <f t="shared" si="37"/>
        <v>18.760630604707345</v>
      </c>
    </row>
    <row r="1204" spans="1:69" hidden="1" x14ac:dyDescent="0.2">
      <c r="A1204" t="s">
        <v>3435</v>
      </c>
      <c r="B1204" t="s">
        <v>68</v>
      </c>
      <c r="C1204" t="s">
        <v>3294</v>
      </c>
      <c r="D1204" t="s">
        <v>70</v>
      </c>
      <c r="E1204" t="s">
        <v>1098</v>
      </c>
      <c r="F1204">
        <v>3</v>
      </c>
      <c r="G1204">
        <v>27</v>
      </c>
      <c r="H1204">
        <v>1</v>
      </c>
      <c r="I1204">
        <v>1</v>
      </c>
      <c r="J1204">
        <v>0</v>
      </c>
      <c r="K1204" t="s">
        <v>110</v>
      </c>
      <c r="L1204" t="s">
        <v>111</v>
      </c>
      <c r="M1204" s="4">
        <v>254000000</v>
      </c>
      <c r="N1204">
        <v>0</v>
      </c>
      <c r="O1204">
        <v>4.6109518999999999</v>
      </c>
      <c r="P1204">
        <v>-74.071258540000002</v>
      </c>
      <c r="Q1204" t="s">
        <v>3436</v>
      </c>
      <c r="R1204">
        <v>9407407.4069999997</v>
      </c>
      <c r="S1204">
        <v>0</v>
      </c>
      <c r="T1204" t="s">
        <v>126</v>
      </c>
      <c r="U1204" t="s">
        <v>127</v>
      </c>
      <c r="V1204" t="s">
        <v>77</v>
      </c>
      <c r="W1204" t="s">
        <v>128</v>
      </c>
      <c r="X1204" t="s">
        <v>129</v>
      </c>
      <c r="Y1204">
        <v>1.6861349831747201</v>
      </c>
      <c r="Z1204">
        <v>1686.13498317472</v>
      </c>
      <c r="AA1204">
        <v>4.6254861111111101</v>
      </c>
      <c r="AB1204">
        <v>-74.066980555555503</v>
      </c>
      <c r="AC1204">
        <v>2621</v>
      </c>
      <c r="AD1204">
        <v>15</v>
      </c>
      <c r="AE1204" t="s">
        <v>80</v>
      </c>
      <c r="AF1204" t="s">
        <v>81</v>
      </c>
      <c r="AG1204" t="s">
        <v>82</v>
      </c>
      <c r="AH1204" t="s">
        <v>83</v>
      </c>
      <c r="AI1204" t="s">
        <v>138</v>
      </c>
      <c r="AJ1204">
        <v>2.7412834686535398E-2</v>
      </c>
      <c r="AK1204">
        <v>0.75273406931437203</v>
      </c>
      <c r="AL1204">
        <v>0.15284068796981101</v>
      </c>
      <c r="AM1204">
        <v>0.33604796087546401</v>
      </c>
      <c r="AN1204">
        <v>0.72366353519718496</v>
      </c>
      <c r="AO1204">
        <v>5.1275955074568502E-2</v>
      </c>
      <c r="AP1204">
        <v>5.1275955074568502E-2</v>
      </c>
      <c r="AQ1204">
        <v>2</v>
      </c>
      <c r="AR1204">
        <v>8</v>
      </c>
      <c r="AS1204">
        <v>0</v>
      </c>
      <c r="AT1204">
        <v>23</v>
      </c>
      <c r="AU1204">
        <v>9</v>
      </c>
      <c r="AV1204">
        <v>64</v>
      </c>
      <c r="AW1204">
        <v>1</v>
      </c>
      <c r="AX1204">
        <v>6</v>
      </c>
      <c r="AZ1204">
        <v>6.8</v>
      </c>
      <c r="BA1204">
        <v>19.899999999999999</v>
      </c>
      <c r="BB1204">
        <v>564</v>
      </c>
      <c r="BC1204">
        <v>68</v>
      </c>
      <c r="BD1204">
        <v>1.5</v>
      </c>
      <c r="BE1204">
        <v>135</v>
      </c>
      <c r="BF1204">
        <v>0.8</v>
      </c>
      <c r="BG1204">
        <v>162</v>
      </c>
      <c r="BH1204">
        <v>9.1</v>
      </c>
      <c r="BI1204">
        <v>9.1999999999999993</v>
      </c>
      <c r="BJ1204">
        <v>18.3</v>
      </c>
      <c r="BK1204">
        <v>0.34</v>
      </c>
      <c r="BL1204">
        <v>7.3</v>
      </c>
      <c r="BM1204">
        <v>0.9</v>
      </c>
      <c r="BN1204">
        <v>7.5</v>
      </c>
      <c r="BO1204">
        <v>2.9</v>
      </c>
      <c r="BP1204">
        <f t="shared" si="36"/>
        <v>6.2554865740824424</v>
      </c>
      <c r="BQ1204">
        <f t="shared" si="37"/>
        <v>19.110778440340731</v>
      </c>
    </row>
    <row r="1205" spans="1:69" hidden="1" x14ac:dyDescent="0.2">
      <c r="A1205" t="s">
        <v>1308</v>
      </c>
      <c r="B1205" t="s">
        <v>68</v>
      </c>
      <c r="C1205" t="s">
        <v>69</v>
      </c>
      <c r="D1205" t="s">
        <v>70</v>
      </c>
      <c r="E1205" t="s">
        <v>1309</v>
      </c>
      <c r="F1205">
        <v>4</v>
      </c>
      <c r="G1205">
        <v>27</v>
      </c>
      <c r="H1205">
        <v>1</v>
      </c>
      <c r="I1205">
        <v>1</v>
      </c>
      <c r="J1205">
        <v>0</v>
      </c>
      <c r="K1205" t="s">
        <v>110</v>
      </c>
      <c r="L1205" t="s">
        <v>111</v>
      </c>
      <c r="M1205" s="4">
        <v>250000000</v>
      </c>
      <c r="N1205">
        <v>0</v>
      </c>
      <c r="O1205">
        <v>4.6444407229999998</v>
      </c>
      <c r="P1205">
        <v>-74.0547811</v>
      </c>
      <c r="Q1205" t="s">
        <v>1310</v>
      </c>
      <c r="R1205">
        <v>9259259.2589999996</v>
      </c>
      <c r="S1205">
        <v>0</v>
      </c>
      <c r="T1205" t="s">
        <v>126</v>
      </c>
      <c r="U1205" t="s">
        <v>127</v>
      </c>
      <c r="V1205" t="s">
        <v>77</v>
      </c>
      <c r="W1205" t="s">
        <v>128</v>
      </c>
      <c r="X1205" t="s">
        <v>129</v>
      </c>
      <c r="Y1205">
        <v>2.5068699937411298</v>
      </c>
      <c r="Z1205">
        <v>2506.8699937411302</v>
      </c>
      <c r="AA1205">
        <v>4.6254861111111101</v>
      </c>
      <c r="AB1205">
        <v>-74.066980555555503</v>
      </c>
      <c r="AC1205">
        <v>2621</v>
      </c>
      <c r="AD1205">
        <v>15</v>
      </c>
      <c r="AE1205" t="s">
        <v>80</v>
      </c>
      <c r="AF1205" t="s">
        <v>81</v>
      </c>
      <c r="AG1205" t="s">
        <v>82</v>
      </c>
      <c r="AH1205" t="s">
        <v>83</v>
      </c>
      <c r="AI1205" t="s">
        <v>130</v>
      </c>
      <c r="AJ1205">
        <v>1.20145776476549</v>
      </c>
      <c r="AK1205">
        <v>0.15014501464350699</v>
      </c>
      <c r="AL1205">
        <v>0.58435946466575495</v>
      </c>
      <c r="AM1205">
        <v>0.25634907655609701</v>
      </c>
      <c r="AN1205">
        <v>0.507785624587762</v>
      </c>
      <c r="AO1205">
        <v>0.33063547817967298</v>
      </c>
      <c r="AP1205">
        <v>0.33063547817967298</v>
      </c>
      <c r="AQ1205">
        <v>0</v>
      </c>
      <c r="AR1205">
        <v>0</v>
      </c>
      <c r="AS1205">
        <v>19</v>
      </c>
      <c r="AT1205">
        <v>56</v>
      </c>
      <c r="AU1205">
        <v>5</v>
      </c>
      <c r="AV1205">
        <v>23</v>
      </c>
      <c r="AW1205">
        <v>1</v>
      </c>
      <c r="AX1205">
        <v>0</v>
      </c>
      <c r="AZ1205">
        <v>6.8</v>
      </c>
      <c r="BA1205">
        <v>19.899999999999999</v>
      </c>
      <c r="BB1205">
        <v>564</v>
      </c>
      <c r="BC1205">
        <v>68</v>
      </c>
      <c r="BD1205">
        <v>1.5</v>
      </c>
      <c r="BE1205">
        <v>135</v>
      </c>
      <c r="BF1205">
        <v>0.8</v>
      </c>
      <c r="BG1205">
        <v>162</v>
      </c>
      <c r="BH1205">
        <v>9.1</v>
      </c>
      <c r="BI1205">
        <v>9.1999999999999993</v>
      </c>
      <c r="BJ1205">
        <v>18.3</v>
      </c>
      <c r="BK1205">
        <v>0.34</v>
      </c>
      <c r="BL1205">
        <v>7.3</v>
      </c>
      <c r="BM1205">
        <v>0.9</v>
      </c>
      <c r="BN1205">
        <v>7.5</v>
      </c>
      <c r="BO1205">
        <v>2.9</v>
      </c>
      <c r="BP1205">
        <f t="shared" si="36"/>
        <v>6.0064419253097787</v>
      </c>
      <c r="BQ1205">
        <f t="shared" si="37"/>
        <v>18.7380244409574</v>
      </c>
    </row>
    <row r="1206" spans="1:69" hidden="1" x14ac:dyDescent="0.2">
      <c r="A1206" t="s">
        <v>4171</v>
      </c>
      <c r="B1206" t="s">
        <v>68</v>
      </c>
      <c r="C1206" t="s">
        <v>3294</v>
      </c>
      <c r="D1206" t="s">
        <v>70</v>
      </c>
      <c r="E1206" t="s">
        <v>1920</v>
      </c>
      <c r="F1206">
        <v>3</v>
      </c>
      <c r="G1206">
        <v>27</v>
      </c>
      <c r="H1206">
        <v>1</v>
      </c>
      <c r="I1206">
        <v>1</v>
      </c>
      <c r="J1206">
        <v>0</v>
      </c>
      <c r="K1206" t="s">
        <v>110</v>
      </c>
      <c r="L1206" t="s">
        <v>133</v>
      </c>
      <c r="M1206" s="4">
        <v>235000000</v>
      </c>
      <c r="N1206">
        <v>0</v>
      </c>
      <c r="O1206">
        <v>4.6410200000000001</v>
      </c>
      <c r="P1206">
        <v>-74.067310000000006</v>
      </c>
      <c r="Q1206" t="s">
        <v>4172</v>
      </c>
      <c r="R1206">
        <v>8703703.7039999999</v>
      </c>
      <c r="S1206">
        <v>0</v>
      </c>
      <c r="T1206" t="s">
        <v>126</v>
      </c>
      <c r="U1206" t="s">
        <v>127</v>
      </c>
      <c r="V1206" t="s">
        <v>77</v>
      </c>
      <c r="W1206" t="s">
        <v>128</v>
      </c>
      <c r="X1206" t="s">
        <v>129</v>
      </c>
      <c r="Y1206">
        <v>1.72961090926757</v>
      </c>
      <c r="Z1206">
        <v>1729.6109092675699</v>
      </c>
      <c r="AA1206">
        <v>4.6254861111111101</v>
      </c>
      <c r="AB1206">
        <v>-74.066980555555503</v>
      </c>
      <c r="AC1206">
        <v>2621</v>
      </c>
      <c r="AD1206">
        <v>15</v>
      </c>
      <c r="AE1206" t="s">
        <v>80</v>
      </c>
      <c r="AF1206" t="s">
        <v>81</v>
      </c>
      <c r="AG1206" t="s">
        <v>82</v>
      </c>
      <c r="AH1206" t="s">
        <v>83</v>
      </c>
      <c r="AI1206" t="s">
        <v>84</v>
      </c>
      <c r="AJ1206">
        <v>0.27201392614980002</v>
      </c>
      <c r="AK1206">
        <v>1.07085652280223</v>
      </c>
      <c r="AL1206">
        <v>0.42150503857328597</v>
      </c>
      <c r="AM1206">
        <v>9.3626563413766295E-2</v>
      </c>
      <c r="AN1206">
        <v>0.99124565131708997</v>
      </c>
      <c r="AO1206">
        <v>0.21464860799265501</v>
      </c>
      <c r="AP1206">
        <v>0.21464860799265501</v>
      </c>
      <c r="AQ1206">
        <v>3</v>
      </c>
      <c r="AR1206">
        <v>4</v>
      </c>
      <c r="AS1206">
        <v>0</v>
      </c>
      <c r="AT1206">
        <v>0</v>
      </c>
      <c r="AU1206">
        <v>10</v>
      </c>
      <c r="AV1206">
        <v>185</v>
      </c>
      <c r="AW1206">
        <v>1</v>
      </c>
      <c r="AX1206">
        <v>0</v>
      </c>
      <c r="AZ1206">
        <v>6.8</v>
      </c>
      <c r="BA1206">
        <v>19.899999999999999</v>
      </c>
      <c r="BB1206">
        <v>564</v>
      </c>
      <c r="BC1206">
        <v>68</v>
      </c>
      <c r="BD1206">
        <v>1.5</v>
      </c>
      <c r="BE1206">
        <v>135</v>
      </c>
      <c r="BF1206">
        <v>0.8</v>
      </c>
      <c r="BG1206">
        <v>162</v>
      </c>
      <c r="BH1206">
        <v>9.1</v>
      </c>
      <c r="BI1206">
        <v>9.1999999999999993</v>
      </c>
      <c r="BJ1206">
        <v>18.3</v>
      </c>
      <c r="BK1206">
        <v>0.34</v>
      </c>
      <c r="BL1206">
        <v>7.3</v>
      </c>
      <c r="BM1206">
        <v>0.9</v>
      </c>
      <c r="BN1206">
        <v>7.5</v>
      </c>
      <c r="BO1206">
        <v>2.9</v>
      </c>
      <c r="BP1206">
        <f t="shared" si="36"/>
        <v>6.2420388773240258</v>
      </c>
      <c r="BQ1206">
        <f t="shared" si="37"/>
        <v>19.090848228976526</v>
      </c>
    </row>
    <row r="1207" spans="1:69" hidden="1" x14ac:dyDescent="0.2">
      <c r="A1207" t="s">
        <v>4134</v>
      </c>
      <c r="B1207" t="s">
        <v>68</v>
      </c>
      <c r="C1207" t="s">
        <v>3294</v>
      </c>
      <c r="D1207" t="s">
        <v>70</v>
      </c>
      <c r="E1207" t="s">
        <v>3573</v>
      </c>
      <c r="F1207">
        <v>3</v>
      </c>
      <c r="G1207">
        <v>27</v>
      </c>
      <c r="H1207">
        <v>1</v>
      </c>
      <c r="I1207">
        <v>1</v>
      </c>
      <c r="J1207">
        <v>0</v>
      </c>
      <c r="K1207" t="s">
        <v>110</v>
      </c>
      <c r="L1207" t="s">
        <v>111</v>
      </c>
      <c r="M1207" s="4">
        <v>215000000</v>
      </c>
      <c r="N1207">
        <v>0</v>
      </c>
      <c r="O1207">
        <v>4.6021799999999997</v>
      </c>
      <c r="P1207">
        <v>-74.07056</v>
      </c>
      <c r="Q1207" t="s">
        <v>4135</v>
      </c>
      <c r="R1207">
        <v>7962962.9630000005</v>
      </c>
      <c r="S1207">
        <v>0</v>
      </c>
      <c r="T1207" t="s">
        <v>126</v>
      </c>
      <c r="U1207" t="s">
        <v>127</v>
      </c>
      <c r="V1207" t="s">
        <v>77</v>
      </c>
      <c r="W1207" t="s">
        <v>128</v>
      </c>
      <c r="X1207" t="s">
        <v>129</v>
      </c>
      <c r="Y1207">
        <v>2.62464905266684</v>
      </c>
      <c r="Z1207">
        <v>2624.6490526668399</v>
      </c>
      <c r="AA1207">
        <v>4.6254861111111101</v>
      </c>
      <c r="AB1207">
        <v>-74.066980555555503</v>
      </c>
      <c r="AC1207">
        <v>2621</v>
      </c>
      <c r="AD1207">
        <v>15</v>
      </c>
      <c r="AE1207" t="s">
        <v>80</v>
      </c>
      <c r="AF1207" t="s">
        <v>81</v>
      </c>
      <c r="AG1207" t="s">
        <v>82</v>
      </c>
      <c r="AH1207" t="s">
        <v>83</v>
      </c>
      <c r="AI1207" t="s">
        <v>138</v>
      </c>
      <c r="AJ1207">
        <v>0.24341301346566699</v>
      </c>
      <c r="AK1207">
        <v>0.746241704632153</v>
      </c>
      <c r="AL1207">
        <v>0.30009552510182502</v>
      </c>
      <c r="AM1207">
        <v>0.13673465698249901</v>
      </c>
      <c r="AN1207">
        <v>1.5076131548542</v>
      </c>
      <c r="AO1207">
        <v>6.1467964696571203E-2</v>
      </c>
      <c r="AP1207">
        <v>6.1467964696571203E-2</v>
      </c>
      <c r="AQ1207">
        <v>3</v>
      </c>
      <c r="AR1207">
        <v>8</v>
      </c>
      <c r="AS1207">
        <v>0</v>
      </c>
      <c r="AT1207">
        <v>41</v>
      </c>
      <c r="AU1207">
        <v>15</v>
      </c>
      <c r="AV1207">
        <v>50</v>
      </c>
      <c r="AW1207">
        <v>0</v>
      </c>
      <c r="AX1207">
        <v>8</v>
      </c>
      <c r="AZ1207">
        <v>6.8</v>
      </c>
      <c r="BA1207">
        <v>19.899999999999999</v>
      </c>
      <c r="BB1207">
        <v>564</v>
      </c>
      <c r="BC1207">
        <v>68</v>
      </c>
      <c r="BD1207">
        <v>1.5</v>
      </c>
      <c r="BE1207">
        <v>135</v>
      </c>
      <c r="BF1207">
        <v>0.8</v>
      </c>
      <c r="BG1207">
        <v>162</v>
      </c>
      <c r="BH1207">
        <v>9.1</v>
      </c>
      <c r="BI1207">
        <v>9.1999999999999993</v>
      </c>
      <c r="BJ1207">
        <v>18.3</v>
      </c>
      <c r="BK1207">
        <v>0.34</v>
      </c>
      <c r="BL1207">
        <v>7.3</v>
      </c>
      <c r="BM1207">
        <v>0.9</v>
      </c>
      <c r="BN1207">
        <v>7.5</v>
      </c>
      <c r="BO1207">
        <v>2.9</v>
      </c>
      <c r="BP1207">
        <f t="shared" si="36"/>
        <v>5.9715258682877383</v>
      </c>
      <c r="BQ1207">
        <f t="shared" si="37"/>
        <v>18.685132505689111</v>
      </c>
    </row>
    <row r="1208" spans="1:69" hidden="1" x14ac:dyDescent="0.2">
      <c r="A1208" t="s">
        <v>4375</v>
      </c>
      <c r="B1208" t="s">
        <v>68</v>
      </c>
      <c r="C1208" t="s">
        <v>3294</v>
      </c>
      <c r="D1208" t="s">
        <v>70</v>
      </c>
      <c r="E1208" t="s">
        <v>4376</v>
      </c>
      <c r="F1208">
        <v>3</v>
      </c>
      <c r="G1208">
        <v>27</v>
      </c>
      <c r="H1208">
        <v>1</v>
      </c>
      <c r="I1208">
        <v>1</v>
      </c>
      <c r="J1208">
        <v>0</v>
      </c>
      <c r="K1208" t="s">
        <v>110</v>
      </c>
      <c r="L1208" t="s">
        <v>111</v>
      </c>
      <c r="M1208" s="4">
        <v>198000000</v>
      </c>
      <c r="N1208">
        <v>0</v>
      </c>
      <c r="O1208">
        <v>4.6753315930000001</v>
      </c>
      <c r="P1208">
        <v>-74.081169130000006</v>
      </c>
      <c r="Q1208" t="s">
        <v>4377</v>
      </c>
      <c r="R1208">
        <v>7333333.3329999996</v>
      </c>
      <c r="S1208">
        <v>0</v>
      </c>
      <c r="T1208" t="s">
        <v>75</v>
      </c>
      <c r="U1208" t="s">
        <v>76</v>
      </c>
      <c r="V1208" t="s">
        <v>77</v>
      </c>
      <c r="W1208" t="s">
        <v>78</v>
      </c>
      <c r="X1208" t="s">
        <v>79</v>
      </c>
      <c r="Y1208">
        <v>1.90288009435997</v>
      </c>
      <c r="Z1208">
        <v>1902.8800943599699</v>
      </c>
      <c r="AA1208">
        <v>4.6584666666666701</v>
      </c>
      <c r="AB1208">
        <v>-74.083966666666697</v>
      </c>
      <c r="AC1208">
        <v>2552</v>
      </c>
      <c r="AD1208">
        <v>0</v>
      </c>
      <c r="AE1208" t="s">
        <v>80</v>
      </c>
      <c r="AF1208" t="s">
        <v>81</v>
      </c>
      <c r="AG1208" t="s">
        <v>82</v>
      </c>
      <c r="AH1208" t="s">
        <v>83</v>
      </c>
      <c r="AI1208" t="s">
        <v>342</v>
      </c>
      <c r="AJ1208">
        <v>0.82730567763525797</v>
      </c>
      <c r="AK1208">
        <v>4.1603634542597803</v>
      </c>
      <c r="AL1208">
        <v>1.4336426087470699</v>
      </c>
      <c r="AM1208">
        <v>0.16715372192469299</v>
      </c>
      <c r="AN1208">
        <v>0.184664163074373</v>
      </c>
      <c r="AO1208">
        <v>8.1272822290410301E-2</v>
      </c>
      <c r="AP1208">
        <v>8.1272822290410301E-2</v>
      </c>
      <c r="AQ1208">
        <v>0</v>
      </c>
      <c r="AR1208">
        <v>2</v>
      </c>
      <c r="AS1208">
        <v>0</v>
      </c>
      <c r="AT1208">
        <v>0</v>
      </c>
      <c r="AU1208">
        <v>0</v>
      </c>
      <c r="AV1208">
        <v>15</v>
      </c>
      <c r="AW1208">
        <v>1</v>
      </c>
      <c r="AX1208">
        <v>0</v>
      </c>
      <c r="AZ1208">
        <v>6.8</v>
      </c>
      <c r="BA1208">
        <v>19.899999999999999</v>
      </c>
      <c r="BB1208">
        <v>564</v>
      </c>
      <c r="BC1208">
        <v>68</v>
      </c>
      <c r="BD1208">
        <v>1.5</v>
      </c>
      <c r="BE1208">
        <v>135</v>
      </c>
      <c r="BF1208">
        <v>0.8</v>
      </c>
      <c r="BG1208">
        <v>162</v>
      </c>
      <c r="BH1208">
        <v>9.1</v>
      </c>
      <c r="BI1208">
        <v>9.1999999999999993</v>
      </c>
      <c r="BJ1208">
        <v>18.3</v>
      </c>
      <c r="BK1208">
        <v>0.34</v>
      </c>
      <c r="BL1208">
        <v>7.3</v>
      </c>
      <c r="BM1208">
        <v>0.9</v>
      </c>
      <c r="BN1208">
        <v>7.5</v>
      </c>
      <c r="BO1208">
        <v>2.9</v>
      </c>
      <c r="BP1208">
        <f t="shared" si="36"/>
        <v>6.1887309375514379</v>
      </c>
      <c r="BQ1208">
        <f t="shared" si="37"/>
        <v>19.011624530283051</v>
      </c>
    </row>
    <row r="1209" spans="1:69" hidden="1" x14ac:dyDescent="0.2">
      <c r="A1209" t="s">
        <v>4579</v>
      </c>
      <c r="B1209" t="s">
        <v>68</v>
      </c>
      <c r="C1209" t="s">
        <v>3294</v>
      </c>
      <c r="D1209" t="s">
        <v>70</v>
      </c>
      <c r="E1209" t="s">
        <v>3918</v>
      </c>
      <c r="F1209">
        <v>4</v>
      </c>
      <c r="G1209">
        <v>26.8</v>
      </c>
      <c r="H1209">
        <v>1</v>
      </c>
      <c r="I1209">
        <v>1</v>
      </c>
      <c r="J1209">
        <v>0</v>
      </c>
      <c r="K1209" t="s">
        <v>110</v>
      </c>
      <c r="L1209" t="s">
        <v>162</v>
      </c>
      <c r="M1209" s="4">
        <v>240000000</v>
      </c>
      <c r="N1209">
        <v>0</v>
      </c>
      <c r="O1209">
        <v>4.6438531879999996</v>
      </c>
      <c r="P1209">
        <v>-74.075881960000004</v>
      </c>
      <c r="Q1209" t="s">
        <v>4580</v>
      </c>
      <c r="R1209">
        <v>8955223.8809999991</v>
      </c>
      <c r="S1209">
        <v>0</v>
      </c>
      <c r="T1209" t="s">
        <v>75</v>
      </c>
      <c r="U1209" t="s">
        <v>76</v>
      </c>
      <c r="V1209" t="s">
        <v>77</v>
      </c>
      <c r="W1209" t="s">
        <v>78</v>
      </c>
      <c r="X1209" t="s">
        <v>79</v>
      </c>
      <c r="Y1209">
        <v>1.85769002628036</v>
      </c>
      <c r="Z1209">
        <v>1857.6900262803599</v>
      </c>
      <c r="AA1209">
        <v>4.6584666666666701</v>
      </c>
      <c r="AB1209">
        <v>-74.083966666666697</v>
      </c>
      <c r="AC1209">
        <v>2552</v>
      </c>
      <c r="AD1209">
        <v>0</v>
      </c>
      <c r="AE1209" t="s">
        <v>80</v>
      </c>
      <c r="AF1209" t="s">
        <v>81</v>
      </c>
      <c r="AG1209" t="s">
        <v>82</v>
      </c>
      <c r="AH1209" t="s">
        <v>83</v>
      </c>
      <c r="AI1209" t="s">
        <v>84</v>
      </c>
      <c r="AJ1209">
        <v>0.35703850497298001</v>
      </c>
      <c r="AK1209">
        <v>2.05453812574887</v>
      </c>
      <c r="AL1209">
        <v>0.45553833342630601</v>
      </c>
      <c r="AM1209">
        <v>4.7928314638535599E-2</v>
      </c>
      <c r="AN1209">
        <v>1.95533872860935</v>
      </c>
      <c r="AO1209">
        <v>0.70500320790027804</v>
      </c>
      <c r="AP1209">
        <v>0.70500320790027804</v>
      </c>
      <c r="AQ1209">
        <v>1</v>
      </c>
      <c r="AR1209">
        <v>3</v>
      </c>
      <c r="AS1209">
        <v>0</v>
      </c>
      <c r="AT1209">
        <v>0</v>
      </c>
      <c r="AU1209">
        <v>6</v>
      </c>
      <c r="AV1209">
        <v>92</v>
      </c>
      <c r="AW1209">
        <v>0</v>
      </c>
      <c r="AX1209">
        <v>0</v>
      </c>
      <c r="AZ1209">
        <v>6.8</v>
      </c>
      <c r="BA1209">
        <v>19.899999999999999</v>
      </c>
      <c r="BB1209">
        <v>564</v>
      </c>
      <c r="BC1209">
        <v>68</v>
      </c>
      <c r="BD1209">
        <v>1.5</v>
      </c>
      <c r="BE1209">
        <v>135</v>
      </c>
      <c r="BF1209">
        <v>0.8</v>
      </c>
      <c r="BG1209">
        <v>162</v>
      </c>
      <c r="BH1209">
        <v>9.1</v>
      </c>
      <c r="BI1209">
        <v>9.1999999999999993</v>
      </c>
      <c r="BJ1209">
        <v>18.3</v>
      </c>
      <c r="BK1209">
        <v>0.34</v>
      </c>
      <c r="BL1209">
        <v>7.3</v>
      </c>
      <c r="BM1209">
        <v>0.9</v>
      </c>
      <c r="BN1209">
        <v>7.5</v>
      </c>
      <c r="BO1209">
        <v>2.9</v>
      </c>
      <c r="BP1209">
        <f t="shared" si="36"/>
        <v>6.2025900565956782</v>
      </c>
      <c r="BQ1209">
        <f t="shared" si="37"/>
        <v>19.032254994329552</v>
      </c>
    </row>
    <row r="1210" spans="1:69" hidden="1" x14ac:dyDescent="0.2">
      <c r="A1210" t="s">
        <v>3787</v>
      </c>
      <c r="B1210" t="s">
        <v>68</v>
      </c>
      <c r="C1210" t="s">
        <v>3294</v>
      </c>
      <c r="D1210" t="s">
        <v>70</v>
      </c>
      <c r="E1210" t="s">
        <v>3559</v>
      </c>
      <c r="F1210">
        <v>4</v>
      </c>
      <c r="G1210">
        <v>26.6</v>
      </c>
      <c r="H1210">
        <v>1</v>
      </c>
      <c r="I1210">
        <v>1</v>
      </c>
      <c r="J1210">
        <v>1</v>
      </c>
      <c r="K1210" t="s">
        <v>110</v>
      </c>
      <c r="L1210" t="s">
        <v>111</v>
      </c>
      <c r="M1210" s="4">
        <v>400000000</v>
      </c>
      <c r="N1210">
        <v>0</v>
      </c>
      <c r="O1210">
        <v>4.6175800000000002</v>
      </c>
      <c r="P1210">
        <v>-74.071889999999996</v>
      </c>
      <c r="Q1210" t="s">
        <v>3788</v>
      </c>
      <c r="R1210">
        <v>15037593.98</v>
      </c>
      <c r="S1210">
        <v>0</v>
      </c>
      <c r="T1210" t="s">
        <v>126</v>
      </c>
      <c r="U1210" t="s">
        <v>127</v>
      </c>
      <c r="V1210" t="s">
        <v>77</v>
      </c>
      <c r="W1210" t="s">
        <v>128</v>
      </c>
      <c r="X1210" t="s">
        <v>129</v>
      </c>
      <c r="Y1210">
        <v>1.0350483678901501</v>
      </c>
      <c r="Z1210">
        <v>1035.0483678901501</v>
      </c>
      <c r="AA1210">
        <v>4.6254861111111101</v>
      </c>
      <c r="AB1210">
        <v>-74.066980555555503</v>
      </c>
      <c r="AC1210">
        <v>2621</v>
      </c>
      <c r="AD1210">
        <v>15</v>
      </c>
      <c r="AE1210" t="s">
        <v>80</v>
      </c>
      <c r="AF1210" t="s">
        <v>81</v>
      </c>
      <c r="AG1210" t="s">
        <v>82</v>
      </c>
      <c r="AH1210" t="s">
        <v>83</v>
      </c>
      <c r="AI1210" t="s">
        <v>84</v>
      </c>
      <c r="AJ1210">
        <v>0.10683676434970001</v>
      </c>
      <c r="AK1210">
        <v>0.946029473851972</v>
      </c>
      <c r="AL1210">
        <v>0.375050983051466</v>
      </c>
      <c r="AM1210">
        <v>9.6961456818564204E-2</v>
      </c>
      <c r="AN1210">
        <v>0.66328270760684704</v>
      </c>
      <c r="AO1210">
        <v>0.32144997734523201</v>
      </c>
      <c r="AP1210">
        <v>0.32144997734523201</v>
      </c>
      <c r="AQ1210">
        <v>2</v>
      </c>
      <c r="AR1210">
        <v>7</v>
      </c>
      <c r="AS1210">
        <v>0</v>
      </c>
      <c r="AT1210">
        <v>1</v>
      </c>
      <c r="AU1210">
        <v>13</v>
      </c>
      <c r="AV1210">
        <v>71</v>
      </c>
      <c r="AW1210">
        <v>1</v>
      </c>
      <c r="AX1210">
        <v>3</v>
      </c>
      <c r="AZ1210">
        <v>6.8</v>
      </c>
      <c r="BA1210">
        <v>19.899999999999999</v>
      </c>
      <c r="BB1210">
        <v>564</v>
      </c>
      <c r="BC1210">
        <v>68</v>
      </c>
      <c r="BD1210">
        <v>1.5</v>
      </c>
      <c r="BE1210">
        <v>135</v>
      </c>
      <c r="BF1210">
        <v>0.8</v>
      </c>
      <c r="BG1210">
        <v>162</v>
      </c>
      <c r="BH1210">
        <v>9.1</v>
      </c>
      <c r="BI1210">
        <v>9.1999999999999993</v>
      </c>
      <c r="BJ1210">
        <v>18.3</v>
      </c>
      <c r="BK1210">
        <v>0.34</v>
      </c>
      <c r="BL1210">
        <v>7.3</v>
      </c>
      <c r="BM1210">
        <v>0.9</v>
      </c>
      <c r="BN1210">
        <v>7.5</v>
      </c>
      <c r="BO1210">
        <v>2.9</v>
      </c>
      <c r="BP1210">
        <f t="shared" si="36"/>
        <v>6.4603772761597336</v>
      </c>
      <c r="BQ1210">
        <f t="shared" si="37"/>
        <v>19.411750350825024</v>
      </c>
    </row>
    <row r="1211" spans="1:69" hidden="1" x14ac:dyDescent="0.2">
      <c r="A1211" t="s">
        <v>3622</v>
      </c>
      <c r="B1211" t="s">
        <v>68</v>
      </c>
      <c r="C1211" t="s">
        <v>3294</v>
      </c>
      <c r="D1211" t="s">
        <v>70</v>
      </c>
      <c r="E1211" t="s">
        <v>123</v>
      </c>
      <c r="F1211">
        <v>4</v>
      </c>
      <c r="G1211">
        <v>26.27</v>
      </c>
      <c r="H1211">
        <v>1</v>
      </c>
      <c r="I1211">
        <v>1</v>
      </c>
      <c r="J1211">
        <v>0</v>
      </c>
      <c r="K1211" t="s">
        <v>110</v>
      </c>
      <c r="L1211" t="s">
        <v>111</v>
      </c>
      <c r="M1211" s="4">
        <v>290000000</v>
      </c>
      <c r="N1211">
        <v>0</v>
      </c>
      <c r="O1211">
        <v>4.6436099999999998</v>
      </c>
      <c r="P1211">
        <v>-74.062870000000004</v>
      </c>
      <c r="Q1211" t="s">
        <v>3623</v>
      </c>
      <c r="R1211">
        <v>11039208.220000001</v>
      </c>
      <c r="S1211">
        <v>0</v>
      </c>
      <c r="T1211" t="s">
        <v>126</v>
      </c>
      <c r="U1211" t="s">
        <v>127</v>
      </c>
      <c r="V1211" t="s">
        <v>77</v>
      </c>
      <c r="W1211" t="s">
        <v>128</v>
      </c>
      <c r="X1211" t="s">
        <v>129</v>
      </c>
      <c r="Y1211">
        <v>2.0684518483558998</v>
      </c>
      <c r="Z1211">
        <v>2068.4518483559</v>
      </c>
      <c r="AA1211">
        <v>4.6254861111111101</v>
      </c>
      <c r="AB1211">
        <v>-74.066980555555503</v>
      </c>
      <c r="AC1211">
        <v>2621</v>
      </c>
      <c r="AD1211">
        <v>15</v>
      </c>
      <c r="AE1211" t="s">
        <v>80</v>
      </c>
      <c r="AF1211" t="s">
        <v>81</v>
      </c>
      <c r="AG1211" t="s">
        <v>82</v>
      </c>
      <c r="AH1211" t="s">
        <v>83</v>
      </c>
      <c r="AI1211" t="s">
        <v>130</v>
      </c>
      <c r="AJ1211">
        <v>0.33530205799346802</v>
      </c>
      <c r="AK1211">
        <v>0.662089042632513</v>
      </c>
      <c r="AL1211">
        <v>0.33522814157397501</v>
      </c>
      <c r="AM1211">
        <v>0.14840382070050101</v>
      </c>
      <c r="AN1211">
        <v>0.54357095421907098</v>
      </c>
      <c r="AO1211">
        <v>0.33356605628388297</v>
      </c>
      <c r="AP1211">
        <v>0.33356605628388297</v>
      </c>
      <c r="AQ1211">
        <v>1</v>
      </c>
      <c r="AR1211">
        <v>4</v>
      </c>
      <c r="AS1211">
        <v>0</v>
      </c>
      <c r="AT1211">
        <v>14</v>
      </c>
      <c r="AU1211">
        <v>12</v>
      </c>
      <c r="AV1211">
        <v>141</v>
      </c>
      <c r="AW1211">
        <v>1</v>
      </c>
      <c r="AX1211">
        <v>0</v>
      </c>
      <c r="AZ1211">
        <v>6.8</v>
      </c>
      <c r="BA1211">
        <v>19.899999999999999</v>
      </c>
      <c r="BB1211">
        <v>564</v>
      </c>
      <c r="BC1211">
        <v>68</v>
      </c>
      <c r="BD1211">
        <v>1.5</v>
      </c>
      <c r="BE1211">
        <v>135</v>
      </c>
      <c r="BF1211">
        <v>0.8</v>
      </c>
      <c r="BG1211">
        <v>162</v>
      </c>
      <c r="BH1211">
        <v>9.1</v>
      </c>
      <c r="BI1211">
        <v>9.1999999999999993</v>
      </c>
      <c r="BJ1211">
        <v>18.3</v>
      </c>
      <c r="BK1211">
        <v>0.34</v>
      </c>
      <c r="BL1211">
        <v>7.3</v>
      </c>
      <c r="BM1211">
        <v>0.9</v>
      </c>
      <c r="BN1211">
        <v>7.5</v>
      </c>
      <c r="BO1211">
        <v>2.9</v>
      </c>
      <c r="BP1211">
        <f t="shared" si="36"/>
        <v>6.1382166107171594</v>
      </c>
      <c r="BQ1211">
        <f t="shared" si="37"/>
        <v>18.936227520402941</v>
      </c>
    </row>
    <row r="1212" spans="1:69" hidden="1" x14ac:dyDescent="0.2">
      <c r="A1212" t="s">
        <v>4110</v>
      </c>
      <c r="B1212" t="s">
        <v>68</v>
      </c>
      <c r="C1212" t="s">
        <v>3294</v>
      </c>
      <c r="D1212" t="s">
        <v>70</v>
      </c>
      <c r="E1212" t="s">
        <v>404</v>
      </c>
      <c r="F1212">
        <v>6</v>
      </c>
      <c r="G1212">
        <v>26</v>
      </c>
      <c r="H1212">
        <v>1</v>
      </c>
      <c r="I1212">
        <v>1</v>
      </c>
      <c r="J1212">
        <v>0</v>
      </c>
      <c r="K1212" t="s">
        <v>110</v>
      </c>
      <c r="L1212" t="s">
        <v>111</v>
      </c>
      <c r="M1212" s="4">
        <v>470000000</v>
      </c>
      <c r="N1212">
        <v>0</v>
      </c>
      <c r="O1212">
        <v>4.6713709000000003</v>
      </c>
      <c r="P1212">
        <v>-74.056571000000005</v>
      </c>
      <c r="Q1212" t="s">
        <v>4111</v>
      </c>
      <c r="R1212">
        <v>18076923.079999998</v>
      </c>
      <c r="S1212">
        <v>0</v>
      </c>
      <c r="T1212" t="s">
        <v>75</v>
      </c>
      <c r="U1212" t="s">
        <v>76</v>
      </c>
      <c r="V1212" t="s">
        <v>77</v>
      </c>
      <c r="W1212" t="s">
        <v>78</v>
      </c>
      <c r="X1212" t="s">
        <v>79</v>
      </c>
      <c r="Y1212">
        <v>3.3619179468485099</v>
      </c>
      <c r="Z1212">
        <v>3361.9179468485099</v>
      </c>
      <c r="AA1212">
        <v>4.6584666666666701</v>
      </c>
      <c r="AB1212">
        <v>-74.083966666666697</v>
      </c>
      <c r="AC1212">
        <v>2552</v>
      </c>
      <c r="AD1212">
        <v>0</v>
      </c>
      <c r="AE1212" t="s">
        <v>80</v>
      </c>
      <c r="AF1212" t="s">
        <v>81</v>
      </c>
      <c r="AG1212" t="s">
        <v>82</v>
      </c>
      <c r="AH1212" t="s">
        <v>83</v>
      </c>
      <c r="AI1212" t="s">
        <v>130</v>
      </c>
      <c r="AJ1212">
        <v>0.356246175288847</v>
      </c>
      <c r="AK1212">
        <v>1.4655885442219101</v>
      </c>
      <c r="AL1212">
        <v>0.44132073827891299</v>
      </c>
      <c r="AM1212">
        <v>3.84293402236459E-2</v>
      </c>
      <c r="AN1212">
        <v>2.8172518378374001</v>
      </c>
      <c r="AO1212">
        <v>0.84417667437911703</v>
      </c>
      <c r="AP1212">
        <v>0.84417667437911703</v>
      </c>
      <c r="AQ1212">
        <v>1</v>
      </c>
      <c r="AR1212">
        <v>5</v>
      </c>
      <c r="AS1212">
        <v>0</v>
      </c>
      <c r="AT1212">
        <v>0</v>
      </c>
      <c r="AU1212">
        <v>7</v>
      </c>
      <c r="AV1212">
        <v>285</v>
      </c>
      <c r="AW1212">
        <v>0</v>
      </c>
      <c r="AX1212">
        <v>0</v>
      </c>
      <c r="AZ1212">
        <v>6.8</v>
      </c>
      <c r="BA1212">
        <v>19.899999999999999</v>
      </c>
      <c r="BB1212">
        <v>564</v>
      </c>
      <c r="BC1212">
        <v>68</v>
      </c>
      <c r="BD1212">
        <v>1.5</v>
      </c>
      <c r="BE1212">
        <v>135</v>
      </c>
      <c r="BF1212">
        <v>0.8</v>
      </c>
      <c r="BG1212">
        <v>162</v>
      </c>
      <c r="BH1212">
        <v>9.1</v>
      </c>
      <c r="BI1212">
        <v>9.1999999999999993</v>
      </c>
      <c r="BJ1212">
        <v>18.3</v>
      </c>
      <c r="BK1212">
        <v>0.34</v>
      </c>
      <c r="BL1212">
        <v>7.3</v>
      </c>
      <c r="BM1212">
        <v>0.9</v>
      </c>
      <c r="BN1212">
        <v>7.5</v>
      </c>
      <c r="BO1212">
        <v>2.9</v>
      </c>
      <c r="BP1212">
        <f t="shared" si="36"/>
        <v>5.7575248787890549</v>
      </c>
      <c r="BQ1212">
        <f t="shared" si="37"/>
        <v>18.35741722002264</v>
      </c>
    </row>
    <row r="1213" spans="1:69" hidden="1" x14ac:dyDescent="0.2">
      <c r="A1213" t="s">
        <v>4212</v>
      </c>
      <c r="B1213" t="s">
        <v>68</v>
      </c>
      <c r="C1213" t="s">
        <v>3294</v>
      </c>
      <c r="D1213" t="s">
        <v>70</v>
      </c>
      <c r="E1213" t="s">
        <v>3486</v>
      </c>
      <c r="F1213">
        <v>4</v>
      </c>
      <c r="G1213">
        <v>26</v>
      </c>
      <c r="H1213">
        <v>1</v>
      </c>
      <c r="I1213">
        <v>1</v>
      </c>
      <c r="J1213">
        <v>0</v>
      </c>
      <c r="K1213" t="s">
        <v>110</v>
      </c>
      <c r="L1213" t="s">
        <v>111</v>
      </c>
      <c r="M1213" s="4">
        <v>365000000</v>
      </c>
      <c r="N1213">
        <v>0</v>
      </c>
      <c r="O1213">
        <v>4.6286144260000004</v>
      </c>
      <c r="P1213">
        <v>-74.085868840000003</v>
      </c>
      <c r="Q1213" t="s">
        <v>4213</v>
      </c>
      <c r="R1213">
        <v>14038461.539999999</v>
      </c>
      <c r="S1213">
        <v>0</v>
      </c>
      <c r="T1213" t="s">
        <v>126</v>
      </c>
      <c r="U1213" t="s">
        <v>127</v>
      </c>
      <c r="V1213" t="s">
        <v>77</v>
      </c>
      <c r="W1213" t="s">
        <v>128</v>
      </c>
      <c r="X1213" t="s">
        <v>129</v>
      </c>
      <c r="Y1213">
        <v>2.1245171124844502</v>
      </c>
      <c r="Z1213">
        <v>2124.5171124844501</v>
      </c>
      <c r="AA1213">
        <v>4.6254861111111101</v>
      </c>
      <c r="AB1213">
        <v>-74.066980555555503</v>
      </c>
      <c r="AC1213">
        <v>2621</v>
      </c>
      <c r="AD1213">
        <v>15</v>
      </c>
      <c r="AE1213" t="s">
        <v>80</v>
      </c>
      <c r="AF1213" t="s">
        <v>81</v>
      </c>
      <c r="AG1213" t="s">
        <v>82</v>
      </c>
      <c r="AH1213" t="s">
        <v>83</v>
      </c>
      <c r="AI1213" t="s">
        <v>84</v>
      </c>
      <c r="AJ1213">
        <v>0.36035865627563901</v>
      </c>
      <c r="AK1213">
        <v>2.7637126742206899</v>
      </c>
      <c r="AL1213">
        <v>0.685125481214933</v>
      </c>
      <c r="AM1213">
        <v>0.267194372774544</v>
      </c>
      <c r="AN1213">
        <v>2.1354241146323498</v>
      </c>
      <c r="AO1213">
        <v>3.09214848177491E-2</v>
      </c>
      <c r="AP1213">
        <v>3.09214848177491E-2</v>
      </c>
      <c r="AQ1213">
        <v>1</v>
      </c>
      <c r="AR1213">
        <v>5</v>
      </c>
      <c r="AS1213">
        <v>0</v>
      </c>
      <c r="AT1213">
        <v>0</v>
      </c>
      <c r="AU1213">
        <v>2</v>
      </c>
      <c r="AV1213">
        <v>27</v>
      </c>
      <c r="AW1213">
        <v>0</v>
      </c>
      <c r="AX1213">
        <v>0</v>
      </c>
      <c r="AZ1213">
        <v>6.8</v>
      </c>
      <c r="BA1213">
        <v>19.899999999999999</v>
      </c>
      <c r="BB1213">
        <v>564</v>
      </c>
      <c r="BC1213">
        <v>68</v>
      </c>
      <c r="BD1213">
        <v>1.5</v>
      </c>
      <c r="BE1213">
        <v>135</v>
      </c>
      <c r="BF1213">
        <v>0.8</v>
      </c>
      <c r="BG1213">
        <v>162</v>
      </c>
      <c r="BH1213">
        <v>9.1</v>
      </c>
      <c r="BI1213">
        <v>9.1999999999999993</v>
      </c>
      <c r="BJ1213">
        <v>18.3</v>
      </c>
      <c r="BK1213">
        <v>0.34</v>
      </c>
      <c r="BL1213">
        <v>7.3</v>
      </c>
      <c r="BM1213">
        <v>0.9</v>
      </c>
      <c r="BN1213">
        <v>7.5</v>
      </c>
      <c r="BO1213">
        <v>2.9</v>
      </c>
      <c r="BP1213">
        <f t="shared" si="36"/>
        <v>6.1212052604350555</v>
      </c>
      <c r="BQ1213">
        <f t="shared" si="37"/>
        <v>18.91076470485778</v>
      </c>
    </row>
    <row r="1214" spans="1:69" hidden="1" x14ac:dyDescent="0.2">
      <c r="A1214" t="s">
        <v>3665</v>
      </c>
      <c r="B1214" t="s">
        <v>68</v>
      </c>
      <c r="C1214" t="s">
        <v>3294</v>
      </c>
      <c r="D1214" t="s">
        <v>70</v>
      </c>
      <c r="E1214" t="s">
        <v>84</v>
      </c>
      <c r="F1214">
        <v>4</v>
      </c>
      <c r="G1214">
        <v>26</v>
      </c>
      <c r="H1214">
        <v>1</v>
      </c>
      <c r="I1214">
        <v>1</v>
      </c>
      <c r="J1214">
        <v>0</v>
      </c>
      <c r="K1214" t="s">
        <v>110</v>
      </c>
      <c r="L1214" t="s">
        <v>111</v>
      </c>
      <c r="M1214" s="4">
        <v>365000000</v>
      </c>
      <c r="N1214">
        <v>0</v>
      </c>
      <c r="O1214">
        <v>4.6286145999999997</v>
      </c>
      <c r="P1214">
        <v>-74.085868500000004</v>
      </c>
      <c r="Q1214" t="s">
        <v>3666</v>
      </c>
      <c r="R1214">
        <v>14038461.539999999</v>
      </c>
      <c r="S1214">
        <v>0</v>
      </c>
      <c r="T1214" t="s">
        <v>126</v>
      </c>
      <c r="U1214" t="s">
        <v>127</v>
      </c>
      <c r="V1214" t="s">
        <v>77</v>
      </c>
      <c r="W1214" t="s">
        <v>128</v>
      </c>
      <c r="X1214" t="s">
        <v>129</v>
      </c>
      <c r="Y1214">
        <v>2.1244830723541299</v>
      </c>
      <c r="Z1214">
        <v>2124.4830723541299</v>
      </c>
      <c r="AA1214">
        <v>4.6254861111111101</v>
      </c>
      <c r="AB1214">
        <v>-74.066980555555503</v>
      </c>
      <c r="AC1214">
        <v>2621</v>
      </c>
      <c r="AD1214">
        <v>15</v>
      </c>
      <c r="AE1214" t="s">
        <v>80</v>
      </c>
      <c r="AF1214" t="s">
        <v>81</v>
      </c>
      <c r="AG1214" t="s">
        <v>82</v>
      </c>
      <c r="AH1214" t="s">
        <v>83</v>
      </c>
      <c r="AI1214" t="s">
        <v>84</v>
      </c>
      <c r="AJ1214">
        <v>0.36031815609449702</v>
      </c>
      <c r="AK1214">
        <v>2.7636747069971102</v>
      </c>
      <c r="AL1214">
        <v>0.68508382233137</v>
      </c>
      <c r="AM1214">
        <v>0.26717786838521002</v>
      </c>
      <c r="AN1214">
        <v>2.1353875826469602</v>
      </c>
      <c r="AO1214">
        <v>3.0917512207096199E-2</v>
      </c>
      <c r="AP1214">
        <v>3.0917512207096199E-2</v>
      </c>
      <c r="AQ1214">
        <v>1</v>
      </c>
      <c r="AR1214">
        <v>5</v>
      </c>
      <c r="AS1214">
        <v>0</v>
      </c>
      <c r="AT1214">
        <v>0</v>
      </c>
      <c r="AU1214">
        <v>2</v>
      </c>
      <c r="AV1214">
        <v>27</v>
      </c>
      <c r="AW1214">
        <v>0</v>
      </c>
      <c r="AX1214">
        <v>0</v>
      </c>
      <c r="AZ1214">
        <v>6.8</v>
      </c>
      <c r="BA1214">
        <v>19.899999999999999</v>
      </c>
      <c r="BB1214">
        <v>564</v>
      </c>
      <c r="BC1214">
        <v>68</v>
      </c>
      <c r="BD1214">
        <v>1.5</v>
      </c>
      <c r="BE1214">
        <v>135</v>
      </c>
      <c r="BF1214">
        <v>0.8</v>
      </c>
      <c r="BG1214">
        <v>162</v>
      </c>
      <c r="BH1214">
        <v>9.1</v>
      </c>
      <c r="BI1214">
        <v>9.1999999999999993</v>
      </c>
      <c r="BJ1214">
        <v>18.3</v>
      </c>
      <c r="BK1214">
        <v>0.34</v>
      </c>
      <c r="BL1214">
        <v>7.3</v>
      </c>
      <c r="BM1214">
        <v>0.9</v>
      </c>
      <c r="BN1214">
        <v>7.5</v>
      </c>
      <c r="BO1214">
        <v>2.9</v>
      </c>
      <c r="BP1214">
        <f t="shared" si="36"/>
        <v>6.1212155745916723</v>
      </c>
      <c r="BQ1214">
        <f t="shared" si="37"/>
        <v>18.910780154261573</v>
      </c>
    </row>
    <row r="1215" spans="1:69" hidden="1" x14ac:dyDescent="0.2">
      <c r="A1215" t="s">
        <v>4005</v>
      </c>
      <c r="B1215" t="s">
        <v>68</v>
      </c>
      <c r="C1215" t="s">
        <v>3294</v>
      </c>
      <c r="D1215" t="s">
        <v>70</v>
      </c>
      <c r="E1215" t="s">
        <v>684</v>
      </c>
      <c r="F1215">
        <v>4</v>
      </c>
      <c r="G1215">
        <v>26</v>
      </c>
      <c r="H1215">
        <v>1</v>
      </c>
      <c r="I1215">
        <v>1</v>
      </c>
      <c r="J1215">
        <v>0</v>
      </c>
      <c r="K1215" t="s">
        <v>110</v>
      </c>
      <c r="L1215" t="s">
        <v>111</v>
      </c>
      <c r="M1215" s="4">
        <v>340000000</v>
      </c>
      <c r="N1215">
        <v>0</v>
      </c>
      <c r="O1215">
        <v>4.6807599069999997</v>
      </c>
      <c r="P1215">
        <v>-74.061386110000001</v>
      </c>
      <c r="Q1215" t="s">
        <v>4006</v>
      </c>
      <c r="R1215">
        <v>13076923.08</v>
      </c>
      <c r="S1215">
        <v>0</v>
      </c>
      <c r="T1215" t="s">
        <v>75</v>
      </c>
      <c r="U1215" t="s">
        <v>76</v>
      </c>
      <c r="V1215" t="s">
        <v>77</v>
      </c>
      <c r="W1215" t="s">
        <v>78</v>
      </c>
      <c r="X1215" t="s">
        <v>79</v>
      </c>
      <c r="Y1215">
        <v>3.52637027985087</v>
      </c>
      <c r="Z1215">
        <v>3526.3702798508698</v>
      </c>
      <c r="AA1215">
        <v>4.6584666666666701</v>
      </c>
      <c r="AB1215">
        <v>-74.083966666666697</v>
      </c>
      <c r="AC1215">
        <v>2552</v>
      </c>
      <c r="AD1215">
        <v>0</v>
      </c>
      <c r="AE1215" t="s">
        <v>80</v>
      </c>
      <c r="AF1215" t="s">
        <v>81</v>
      </c>
      <c r="AG1215" t="s">
        <v>82</v>
      </c>
      <c r="AH1215" t="s">
        <v>83</v>
      </c>
      <c r="AI1215" t="s">
        <v>342</v>
      </c>
      <c r="AJ1215">
        <v>0.38305319544269301</v>
      </c>
      <c r="AK1215">
        <v>2.4369043302477298</v>
      </c>
      <c r="AL1215">
        <v>0.18021716224250001</v>
      </c>
      <c r="AM1215">
        <v>4.3686383777035598E-2</v>
      </c>
      <c r="AN1215">
        <v>2.39670484363169</v>
      </c>
      <c r="AO1215">
        <v>1.7184752842940799E-3</v>
      </c>
      <c r="AP1215">
        <v>1.7184752842940799E-3</v>
      </c>
      <c r="AQ1215">
        <v>2</v>
      </c>
      <c r="AR1215">
        <v>8</v>
      </c>
      <c r="AS1215">
        <v>0</v>
      </c>
      <c r="AT1215">
        <v>0</v>
      </c>
      <c r="AU1215">
        <v>1</v>
      </c>
      <c r="AV1215">
        <v>182</v>
      </c>
      <c r="AW1215">
        <v>0</v>
      </c>
      <c r="AX1215">
        <v>0</v>
      </c>
      <c r="AZ1215">
        <v>6.8</v>
      </c>
      <c r="BA1215">
        <v>19.899999999999999</v>
      </c>
      <c r="BB1215">
        <v>564</v>
      </c>
      <c r="BC1215">
        <v>68</v>
      </c>
      <c r="BD1215">
        <v>1.5</v>
      </c>
      <c r="BE1215">
        <v>135</v>
      </c>
      <c r="BF1215">
        <v>0.8</v>
      </c>
      <c r="BG1215">
        <v>162</v>
      </c>
      <c r="BH1215">
        <v>9.1</v>
      </c>
      <c r="BI1215">
        <v>9.1999999999999993</v>
      </c>
      <c r="BJ1215">
        <v>18.3</v>
      </c>
      <c r="BK1215">
        <v>0.34</v>
      </c>
      <c r="BL1215">
        <v>7.3</v>
      </c>
      <c r="BM1215">
        <v>0.9</v>
      </c>
      <c r="BN1215">
        <v>7.5</v>
      </c>
      <c r="BO1215">
        <v>2.9</v>
      </c>
      <c r="BP1215">
        <f t="shared" si="36"/>
        <v>5.7108466254259511</v>
      </c>
      <c r="BQ1215">
        <f t="shared" si="37"/>
        <v>18.285105932857732</v>
      </c>
    </row>
    <row r="1216" spans="1:69" hidden="1" x14ac:dyDescent="0.2">
      <c r="A1216" t="s">
        <v>1116</v>
      </c>
      <c r="B1216" t="s">
        <v>68</v>
      </c>
      <c r="C1216" t="s">
        <v>69</v>
      </c>
      <c r="D1216" t="s">
        <v>70</v>
      </c>
      <c r="E1216" t="s">
        <v>1117</v>
      </c>
      <c r="F1216">
        <v>4</v>
      </c>
      <c r="G1216">
        <v>26</v>
      </c>
      <c r="H1216">
        <v>1</v>
      </c>
      <c r="I1216">
        <v>1</v>
      </c>
      <c r="J1216">
        <v>0</v>
      </c>
      <c r="K1216" t="s">
        <v>110</v>
      </c>
      <c r="L1216" t="s">
        <v>111</v>
      </c>
      <c r="M1216" s="4">
        <v>309000000</v>
      </c>
      <c r="N1216">
        <v>0</v>
      </c>
      <c r="O1216">
        <v>4.6687190000000003</v>
      </c>
      <c r="P1216">
        <v>-74.084360000000004</v>
      </c>
      <c r="Q1216" t="s">
        <v>1118</v>
      </c>
      <c r="R1216">
        <v>11884615.380000001</v>
      </c>
      <c r="S1216">
        <v>0</v>
      </c>
      <c r="T1216" t="s">
        <v>75</v>
      </c>
      <c r="U1216" t="s">
        <v>76</v>
      </c>
      <c r="V1216" t="s">
        <v>77</v>
      </c>
      <c r="W1216" t="s">
        <v>78</v>
      </c>
      <c r="X1216" t="s">
        <v>79</v>
      </c>
      <c r="Y1216">
        <v>1.14211859300779</v>
      </c>
      <c r="Z1216">
        <v>1142.11859300779</v>
      </c>
      <c r="AA1216">
        <v>4.6584666666666701</v>
      </c>
      <c r="AB1216">
        <v>-74.083966666666697</v>
      </c>
      <c r="AC1216">
        <v>2552</v>
      </c>
      <c r="AD1216">
        <v>0</v>
      </c>
      <c r="AE1216" t="s">
        <v>80</v>
      </c>
      <c r="AF1216" t="s">
        <v>81</v>
      </c>
      <c r="AG1216" t="s">
        <v>82</v>
      </c>
      <c r="AH1216" t="s">
        <v>83</v>
      </c>
      <c r="AI1216" t="s">
        <v>342</v>
      </c>
      <c r="AJ1216">
        <v>1.1161159963620999</v>
      </c>
      <c r="AK1216">
        <v>4.2634285887281598</v>
      </c>
      <c r="AL1216">
        <v>2.0753380285105099</v>
      </c>
      <c r="AM1216">
        <v>0.10233111284253001</v>
      </c>
      <c r="AN1216">
        <v>0.62731643505730805</v>
      </c>
      <c r="AO1216">
        <v>0.22177523993720399</v>
      </c>
      <c r="AP1216">
        <v>0.22177523993720399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19</v>
      </c>
      <c r="AW1216">
        <v>1</v>
      </c>
      <c r="AX1216">
        <v>0</v>
      </c>
      <c r="AZ1216">
        <v>6.8</v>
      </c>
      <c r="BA1216">
        <v>19.899999999999999</v>
      </c>
      <c r="BB1216">
        <v>564</v>
      </c>
      <c r="BC1216">
        <v>68</v>
      </c>
      <c r="BD1216">
        <v>1.5</v>
      </c>
      <c r="BE1216">
        <v>135</v>
      </c>
      <c r="BF1216">
        <v>0.8</v>
      </c>
      <c r="BG1216">
        <v>162</v>
      </c>
      <c r="BH1216">
        <v>9.1</v>
      </c>
      <c r="BI1216">
        <v>9.1999999999999993</v>
      </c>
      <c r="BJ1216">
        <v>18.3</v>
      </c>
      <c r="BK1216">
        <v>0.34</v>
      </c>
      <c r="BL1216">
        <v>7.3</v>
      </c>
      <c r="BM1216">
        <v>0.9</v>
      </c>
      <c r="BN1216">
        <v>7.5</v>
      </c>
      <c r="BO1216">
        <v>2.9</v>
      </c>
      <c r="BP1216">
        <f t="shared" si="36"/>
        <v>6.4262280058152808</v>
      </c>
      <c r="BQ1216">
        <f t="shared" si="37"/>
        <v>19.361932295084131</v>
      </c>
    </row>
    <row r="1217" spans="1:69" hidden="1" x14ac:dyDescent="0.2">
      <c r="A1217" t="s">
        <v>4063</v>
      </c>
      <c r="B1217" t="s">
        <v>68</v>
      </c>
      <c r="C1217" t="s">
        <v>3294</v>
      </c>
      <c r="D1217" t="s">
        <v>70</v>
      </c>
      <c r="E1217" t="s">
        <v>123</v>
      </c>
      <c r="F1217">
        <v>3</v>
      </c>
      <c r="G1217">
        <v>26</v>
      </c>
      <c r="H1217">
        <v>1</v>
      </c>
      <c r="I1217">
        <v>1</v>
      </c>
      <c r="J1217">
        <v>0</v>
      </c>
      <c r="K1217" t="s">
        <v>110</v>
      </c>
      <c r="L1217" t="s">
        <v>111</v>
      </c>
      <c r="M1217" s="4">
        <v>300000000</v>
      </c>
      <c r="N1217">
        <v>0</v>
      </c>
      <c r="O1217">
        <v>4.6422100000000004</v>
      </c>
      <c r="P1217">
        <v>-74.062619999999995</v>
      </c>
      <c r="Q1217" t="s">
        <v>4064</v>
      </c>
      <c r="R1217">
        <v>11538461.539999999</v>
      </c>
      <c r="S1217">
        <v>0</v>
      </c>
      <c r="T1217" t="s">
        <v>126</v>
      </c>
      <c r="U1217" t="s">
        <v>127</v>
      </c>
      <c r="V1217" t="s">
        <v>77</v>
      </c>
      <c r="W1217" t="s">
        <v>128</v>
      </c>
      <c r="X1217" t="s">
        <v>129</v>
      </c>
      <c r="Y1217">
        <v>1.9235376779331499</v>
      </c>
      <c r="Z1217">
        <v>1923.53767793315</v>
      </c>
      <c r="AA1217">
        <v>4.6254861111111101</v>
      </c>
      <c r="AB1217">
        <v>-74.066980555555503</v>
      </c>
      <c r="AC1217">
        <v>2621</v>
      </c>
      <c r="AD1217">
        <v>15</v>
      </c>
      <c r="AE1217" t="s">
        <v>80</v>
      </c>
      <c r="AF1217" t="s">
        <v>81</v>
      </c>
      <c r="AG1217" t="s">
        <v>82</v>
      </c>
      <c r="AH1217" t="s">
        <v>83</v>
      </c>
      <c r="AI1217" t="s">
        <v>130</v>
      </c>
      <c r="AJ1217">
        <v>0.3658315017971</v>
      </c>
      <c r="AK1217">
        <v>0.57947659648408401</v>
      </c>
      <c r="AL1217">
        <v>0.397727470249298</v>
      </c>
      <c r="AM1217">
        <v>5.3784284060380598E-2</v>
      </c>
      <c r="AN1217">
        <v>0.47363975998431801</v>
      </c>
      <c r="AO1217">
        <v>0.26013448866688299</v>
      </c>
      <c r="AP1217">
        <v>0.26013448866688299</v>
      </c>
      <c r="AQ1217">
        <v>1</v>
      </c>
      <c r="AR1217">
        <v>4</v>
      </c>
      <c r="AS1217">
        <v>0</v>
      </c>
      <c r="AT1217">
        <v>21</v>
      </c>
      <c r="AU1217">
        <v>6</v>
      </c>
      <c r="AV1217">
        <v>131</v>
      </c>
      <c r="AW1217">
        <v>1</v>
      </c>
      <c r="AX1217">
        <v>0</v>
      </c>
      <c r="AZ1217">
        <v>6.8</v>
      </c>
      <c r="BA1217">
        <v>19.899999999999999</v>
      </c>
      <c r="BB1217">
        <v>564</v>
      </c>
      <c r="BC1217">
        <v>68</v>
      </c>
      <c r="BD1217">
        <v>1.5</v>
      </c>
      <c r="BE1217">
        <v>135</v>
      </c>
      <c r="BF1217">
        <v>0.8</v>
      </c>
      <c r="BG1217">
        <v>162</v>
      </c>
      <c r="BH1217">
        <v>9.1</v>
      </c>
      <c r="BI1217">
        <v>9.1999999999999993</v>
      </c>
      <c r="BJ1217">
        <v>18.3</v>
      </c>
      <c r="BK1217">
        <v>0.34</v>
      </c>
      <c r="BL1217">
        <v>7.3</v>
      </c>
      <c r="BM1217">
        <v>0.9</v>
      </c>
      <c r="BN1217">
        <v>7.5</v>
      </c>
      <c r="BO1217">
        <v>2.9</v>
      </c>
      <c r="BP1217">
        <f t="shared" si="36"/>
        <v>6.1824058827317501</v>
      </c>
      <c r="BQ1217">
        <f t="shared" si="37"/>
        <v>19.00220124508138</v>
      </c>
    </row>
    <row r="1218" spans="1:69" hidden="1" x14ac:dyDescent="0.2">
      <c r="A1218" t="s">
        <v>4138</v>
      </c>
      <c r="B1218" t="s">
        <v>68</v>
      </c>
      <c r="C1218" t="s">
        <v>3294</v>
      </c>
      <c r="D1218" t="s">
        <v>70</v>
      </c>
      <c r="E1218" t="s">
        <v>4139</v>
      </c>
      <c r="F1218">
        <v>4</v>
      </c>
      <c r="G1218">
        <v>26</v>
      </c>
      <c r="H1218">
        <v>1</v>
      </c>
      <c r="I1218">
        <v>1</v>
      </c>
      <c r="J1218">
        <v>0</v>
      </c>
      <c r="K1218" t="s">
        <v>110</v>
      </c>
      <c r="L1218" t="s">
        <v>111</v>
      </c>
      <c r="M1218" s="4">
        <v>270000000</v>
      </c>
      <c r="N1218">
        <v>0</v>
      </c>
      <c r="O1218">
        <v>4.6674036980000002</v>
      </c>
      <c r="P1218">
        <v>-74.105834959999996</v>
      </c>
      <c r="Q1218" t="s">
        <v>4140</v>
      </c>
      <c r="R1218">
        <v>10384615.380000001</v>
      </c>
      <c r="S1218">
        <v>0</v>
      </c>
      <c r="T1218" t="s">
        <v>75</v>
      </c>
      <c r="U1218" t="s">
        <v>76</v>
      </c>
      <c r="V1218" t="s">
        <v>77</v>
      </c>
      <c r="W1218" t="s">
        <v>78</v>
      </c>
      <c r="X1218" t="s">
        <v>79</v>
      </c>
      <c r="Y1218">
        <v>2.62235351966258</v>
      </c>
      <c r="Z1218">
        <v>2622.3535196625799</v>
      </c>
      <c r="AA1218">
        <v>4.6584666666666701</v>
      </c>
      <c r="AB1218">
        <v>-74.083966666666697</v>
      </c>
      <c r="AC1218">
        <v>2552</v>
      </c>
      <c r="AD1218">
        <v>0</v>
      </c>
      <c r="AE1218" t="s">
        <v>80</v>
      </c>
      <c r="AF1218" t="s">
        <v>81</v>
      </c>
      <c r="AG1218" t="s">
        <v>82</v>
      </c>
      <c r="AH1218" t="s">
        <v>83</v>
      </c>
      <c r="AI1218" t="s">
        <v>412</v>
      </c>
      <c r="AJ1218">
        <v>0.68561119276312998</v>
      </c>
      <c r="AK1218">
        <v>5.7550437962749204</v>
      </c>
      <c r="AL1218">
        <v>1.06239528642328</v>
      </c>
      <c r="AM1218">
        <v>4.62978219053055E-2</v>
      </c>
      <c r="AN1218">
        <v>2.0410903838011598</v>
      </c>
      <c r="AO1218">
        <v>0.115361400758654</v>
      </c>
      <c r="AP1218">
        <v>0.115361400758654</v>
      </c>
      <c r="AQ1218">
        <v>0</v>
      </c>
      <c r="AR1218">
        <v>2</v>
      </c>
      <c r="AS1218">
        <v>0</v>
      </c>
      <c r="AT1218">
        <v>0</v>
      </c>
      <c r="AU1218">
        <v>0</v>
      </c>
      <c r="AV1218">
        <v>35</v>
      </c>
      <c r="AW1218">
        <v>0</v>
      </c>
      <c r="AX1218">
        <v>0</v>
      </c>
      <c r="AZ1218">
        <v>6.8</v>
      </c>
      <c r="BA1218">
        <v>19.899999999999999</v>
      </c>
      <c r="BB1218">
        <v>564</v>
      </c>
      <c r="BC1218">
        <v>68</v>
      </c>
      <c r="BD1218">
        <v>1.5</v>
      </c>
      <c r="BE1218">
        <v>135</v>
      </c>
      <c r="BF1218">
        <v>0.8</v>
      </c>
      <c r="BG1218">
        <v>162</v>
      </c>
      <c r="BH1218">
        <v>9.1</v>
      </c>
      <c r="BI1218">
        <v>9.1999999999999993</v>
      </c>
      <c r="BJ1218">
        <v>18.3</v>
      </c>
      <c r="BK1218">
        <v>0.34</v>
      </c>
      <c r="BL1218">
        <v>7.3</v>
      </c>
      <c r="BM1218">
        <v>0.9</v>
      </c>
      <c r="BN1218">
        <v>7.5</v>
      </c>
      <c r="BO1218">
        <v>2.9</v>
      </c>
      <c r="BP1218">
        <f t="shared" ref="BP1218:BP1281" si="38">+AZ1218*EXP(-0.0495*Y1218)</f>
        <v>5.972204444658411</v>
      </c>
      <c r="BQ1218">
        <f t="shared" ref="BQ1218:BQ1281" si="39">+BA1218*EXP(-0.024*Y1218)</f>
        <v>18.686161950166873</v>
      </c>
    </row>
    <row r="1219" spans="1:69" hidden="1" x14ac:dyDescent="0.2">
      <c r="A1219" t="s">
        <v>4222</v>
      </c>
      <c r="B1219" t="s">
        <v>68</v>
      </c>
      <c r="C1219" t="s">
        <v>3294</v>
      </c>
      <c r="D1219" t="s">
        <v>70</v>
      </c>
      <c r="E1219" t="s">
        <v>84</v>
      </c>
      <c r="F1219">
        <v>4</v>
      </c>
      <c r="G1219">
        <v>25.51</v>
      </c>
      <c r="H1219">
        <v>1</v>
      </c>
      <c r="I1219">
        <v>1</v>
      </c>
      <c r="J1219">
        <v>0</v>
      </c>
      <c r="K1219" t="s">
        <v>110</v>
      </c>
      <c r="L1219" t="s">
        <v>133</v>
      </c>
      <c r="M1219" s="4">
        <v>215000000</v>
      </c>
      <c r="N1219">
        <v>0</v>
      </c>
      <c r="O1219">
        <v>4.6459200000000003</v>
      </c>
      <c r="P1219">
        <v>-74.067700000000002</v>
      </c>
      <c r="Q1219" t="s">
        <v>4223</v>
      </c>
      <c r="R1219">
        <v>8428067.4250000007</v>
      </c>
      <c r="S1219">
        <v>0</v>
      </c>
      <c r="T1219" t="s">
        <v>126</v>
      </c>
      <c r="U1219" t="s">
        <v>127</v>
      </c>
      <c r="V1219" t="s">
        <v>77</v>
      </c>
      <c r="W1219" t="s">
        <v>128</v>
      </c>
      <c r="X1219" t="s">
        <v>129</v>
      </c>
      <c r="Y1219">
        <v>2.2760903541483399</v>
      </c>
      <c r="Z1219">
        <v>2276.0903541483399</v>
      </c>
      <c r="AA1219">
        <v>4.6254861111111101</v>
      </c>
      <c r="AB1219">
        <v>-74.066980555555503</v>
      </c>
      <c r="AC1219">
        <v>2621</v>
      </c>
      <c r="AD1219">
        <v>15</v>
      </c>
      <c r="AE1219" t="s">
        <v>80</v>
      </c>
      <c r="AF1219" t="s">
        <v>81</v>
      </c>
      <c r="AG1219" t="s">
        <v>82</v>
      </c>
      <c r="AH1219" t="s">
        <v>83</v>
      </c>
      <c r="AI1219" t="s">
        <v>84</v>
      </c>
      <c r="AJ1219">
        <v>0.38538946676830899</v>
      </c>
      <c r="AK1219">
        <v>1.25528167344812</v>
      </c>
      <c r="AL1219">
        <v>0.186291535031544</v>
      </c>
      <c r="AM1219">
        <v>9.4762817240844996E-2</v>
      </c>
      <c r="AN1219">
        <v>1.1367817844250401</v>
      </c>
      <c r="AO1219">
        <v>7.5816493733713394E-2</v>
      </c>
      <c r="AP1219">
        <v>7.5816493733713394E-2</v>
      </c>
      <c r="AQ1219">
        <v>2</v>
      </c>
      <c r="AR1219">
        <v>4</v>
      </c>
      <c r="AS1219">
        <v>0</v>
      </c>
      <c r="AT1219">
        <v>0</v>
      </c>
      <c r="AU1219">
        <v>13</v>
      </c>
      <c r="AV1219">
        <v>121</v>
      </c>
      <c r="AW1219">
        <v>0</v>
      </c>
      <c r="AX1219">
        <v>0</v>
      </c>
      <c r="AZ1219">
        <v>6.8</v>
      </c>
      <c r="BA1219">
        <v>19.899999999999999</v>
      </c>
      <c r="BB1219">
        <v>564</v>
      </c>
      <c r="BC1219">
        <v>68</v>
      </c>
      <c r="BD1219">
        <v>1.5</v>
      </c>
      <c r="BE1219">
        <v>135</v>
      </c>
      <c r="BF1219">
        <v>0.8</v>
      </c>
      <c r="BG1219">
        <v>162</v>
      </c>
      <c r="BH1219">
        <v>9.1</v>
      </c>
      <c r="BI1219">
        <v>9.1999999999999993</v>
      </c>
      <c r="BJ1219">
        <v>18.3</v>
      </c>
      <c r="BK1219">
        <v>0.34</v>
      </c>
      <c r="BL1219">
        <v>7.3</v>
      </c>
      <c r="BM1219">
        <v>0.9</v>
      </c>
      <c r="BN1219">
        <v>7.5</v>
      </c>
      <c r="BO1219">
        <v>2.9</v>
      </c>
      <c r="BP1219">
        <f t="shared" si="38"/>
        <v>6.0754504805339744</v>
      </c>
      <c r="BQ1219">
        <f t="shared" si="39"/>
        <v>18.842096897201454</v>
      </c>
    </row>
    <row r="1220" spans="1:69" hidden="1" x14ac:dyDescent="0.2">
      <c r="A1220" t="s">
        <v>4371</v>
      </c>
      <c r="B1220" t="s">
        <v>68</v>
      </c>
      <c r="C1220" t="s">
        <v>3294</v>
      </c>
      <c r="D1220" t="s">
        <v>70</v>
      </c>
      <c r="E1220" t="s">
        <v>210</v>
      </c>
      <c r="F1220">
        <v>6</v>
      </c>
      <c r="G1220">
        <v>25.24</v>
      </c>
      <c r="H1220">
        <v>1</v>
      </c>
      <c r="I1220">
        <v>1</v>
      </c>
      <c r="J1220">
        <v>1</v>
      </c>
      <c r="K1220" t="s">
        <v>110</v>
      </c>
      <c r="L1220" t="s">
        <v>111</v>
      </c>
      <c r="M1220" s="4">
        <v>343667840</v>
      </c>
      <c r="N1220">
        <v>0</v>
      </c>
      <c r="O1220">
        <v>4.6691599999999998</v>
      </c>
      <c r="P1220">
        <v>-74.050190000000001</v>
      </c>
      <c r="Q1220" t="s">
        <v>4372</v>
      </c>
      <c r="R1220">
        <v>13616000</v>
      </c>
      <c r="S1220">
        <v>0</v>
      </c>
      <c r="T1220" t="s">
        <v>75</v>
      </c>
      <c r="U1220" t="s">
        <v>76</v>
      </c>
      <c r="V1220" t="s">
        <v>77</v>
      </c>
      <c r="W1220" t="s">
        <v>78</v>
      </c>
      <c r="X1220" t="s">
        <v>79</v>
      </c>
      <c r="Y1220">
        <v>3.9320656164146</v>
      </c>
      <c r="Z1220">
        <v>3932.0656164145998</v>
      </c>
      <c r="AA1220">
        <v>4.6584666666666701</v>
      </c>
      <c r="AB1220">
        <v>-74.083966666666697</v>
      </c>
      <c r="AC1220">
        <v>2552</v>
      </c>
      <c r="AD1220">
        <v>0</v>
      </c>
      <c r="AE1220" t="s">
        <v>80</v>
      </c>
      <c r="AF1220" t="s">
        <v>81</v>
      </c>
      <c r="AG1220" t="s">
        <v>82</v>
      </c>
      <c r="AH1220" t="s">
        <v>83</v>
      </c>
      <c r="AI1220" t="s">
        <v>130</v>
      </c>
      <c r="AJ1220">
        <v>1.1046287965158099</v>
      </c>
      <c r="AK1220">
        <v>0.74562746672478897</v>
      </c>
      <c r="AL1220">
        <v>0.61572356531893102</v>
      </c>
      <c r="AM1220">
        <v>0.35597664226380299</v>
      </c>
      <c r="AN1220">
        <v>3.1771980375543198</v>
      </c>
      <c r="AO1220">
        <v>0.31263290836796498</v>
      </c>
      <c r="AP1220">
        <v>0.31263290836796498</v>
      </c>
      <c r="AQ1220">
        <v>0</v>
      </c>
      <c r="AR1220">
        <v>0</v>
      </c>
      <c r="AS1220">
        <v>0</v>
      </c>
      <c r="AT1220">
        <v>19</v>
      </c>
      <c r="AU1220">
        <v>5</v>
      </c>
      <c r="AV1220">
        <v>200</v>
      </c>
      <c r="AW1220">
        <v>0</v>
      </c>
      <c r="AX1220">
        <v>0</v>
      </c>
      <c r="AZ1220">
        <v>6.8</v>
      </c>
      <c r="BA1220">
        <v>19.899999999999999</v>
      </c>
      <c r="BB1220">
        <v>564</v>
      </c>
      <c r="BC1220">
        <v>68</v>
      </c>
      <c r="BD1220">
        <v>1.5</v>
      </c>
      <c r="BE1220">
        <v>135</v>
      </c>
      <c r="BF1220">
        <v>0.8</v>
      </c>
      <c r="BG1220">
        <v>162</v>
      </c>
      <c r="BH1220">
        <v>9.1</v>
      </c>
      <c r="BI1220">
        <v>9.1999999999999993</v>
      </c>
      <c r="BJ1220">
        <v>18.3</v>
      </c>
      <c r="BK1220">
        <v>0.34</v>
      </c>
      <c r="BL1220">
        <v>7.3</v>
      </c>
      <c r="BM1220">
        <v>0.9</v>
      </c>
      <c r="BN1220">
        <v>7.5</v>
      </c>
      <c r="BO1220">
        <v>2.9</v>
      </c>
      <c r="BP1220">
        <f t="shared" si="38"/>
        <v>5.5973057403353312</v>
      </c>
      <c r="BQ1220">
        <f t="shared" si="39"/>
        <v>18.107933496007416</v>
      </c>
    </row>
    <row r="1221" spans="1:69" hidden="1" x14ac:dyDescent="0.2">
      <c r="A1221" t="s">
        <v>3917</v>
      </c>
      <c r="B1221" t="s">
        <v>68</v>
      </c>
      <c r="C1221" t="s">
        <v>3294</v>
      </c>
      <c r="D1221" t="s">
        <v>70</v>
      </c>
      <c r="E1221" t="s">
        <v>3918</v>
      </c>
      <c r="F1221">
        <v>3</v>
      </c>
      <c r="G1221">
        <v>25.2</v>
      </c>
      <c r="H1221">
        <v>1</v>
      </c>
      <c r="I1221">
        <v>1</v>
      </c>
      <c r="J1221">
        <v>0</v>
      </c>
      <c r="K1221" t="s">
        <v>110</v>
      </c>
      <c r="L1221" t="s">
        <v>111</v>
      </c>
      <c r="M1221" s="4">
        <v>249500000</v>
      </c>
      <c r="N1221">
        <v>0</v>
      </c>
      <c r="O1221">
        <v>4.6406459809999996</v>
      </c>
      <c r="P1221">
        <v>-74.072708129999995</v>
      </c>
      <c r="Q1221" t="s">
        <v>3919</v>
      </c>
      <c r="R1221">
        <v>9900793.6510000005</v>
      </c>
      <c r="S1221">
        <v>0</v>
      </c>
      <c r="T1221" t="s">
        <v>126</v>
      </c>
      <c r="U1221" t="s">
        <v>127</v>
      </c>
      <c r="V1221" t="s">
        <v>77</v>
      </c>
      <c r="W1221" t="s">
        <v>128</v>
      </c>
      <c r="X1221" t="s">
        <v>129</v>
      </c>
      <c r="Y1221">
        <v>1.8032820478801099</v>
      </c>
      <c r="Z1221">
        <v>1803.28204788011</v>
      </c>
      <c r="AA1221">
        <v>4.6254861111111101</v>
      </c>
      <c r="AB1221">
        <v>-74.066980555555503</v>
      </c>
      <c r="AC1221">
        <v>2621</v>
      </c>
      <c r="AD1221">
        <v>15</v>
      </c>
      <c r="AE1221" t="s">
        <v>80</v>
      </c>
      <c r="AF1221" t="s">
        <v>81</v>
      </c>
      <c r="AG1221" t="s">
        <v>82</v>
      </c>
      <c r="AH1221" t="s">
        <v>83</v>
      </c>
      <c r="AI1221" t="s">
        <v>84</v>
      </c>
      <c r="AJ1221">
        <v>0.73982396616865598</v>
      </c>
      <c r="AK1221">
        <v>1.61363396553261</v>
      </c>
      <c r="AL1221">
        <v>6.3616362337869603E-2</v>
      </c>
      <c r="AM1221">
        <v>9.3025974772218203E-2</v>
      </c>
      <c r="AN1221">
        <v>1.59125488242741</v>
      </c>
      <c r="AO1221">
        <v>0.29193096675896901</v>
      </c>
      <c r="AP1221">
        <v>0.29193096675896901</v>
      </c>
      <c r="AQ1221">
        <v>0</v>
      </c>
      <c r="AR1221">
        <v>5</v>
      </c>
      <c r="AS1221">
        <v>0</v>
      </c>
      <c r="AT1221">
        <v>0</v>
      </c>
      <c r="AU1221">
        <v>8</v>
      </c>
      <c r="AV1221">
        <v>149</v>
      </c>
      <c r="AW1221">
        <v>0</v>
      </c>
      <c r="AX1221">
        <v>0</v>
      </c>
      <c r="AZ1221">
        <v>6.8</v>
      </c>
      <c r="BA1221">
        <v>19.899999999999999</v>
      </c>
      <c r="BB1221">
        <v>564</v>
      </c>
      <c r="BC1221">
        <v>68</v>
      </c>
      <c r="BD1221">
        <v>1.5</v>
      </c>
      <c r="BE1221">
        <v>135</v>
      </c>
      <c r="BF1221">
        <v>0.8</v>
      </c>
      <c r="BG1221">
        <v>162</v>
      </c>
      <c r="BH1221">
        <v>9.1</v>
      </c>
      <c r="BI1221">
        <v>9.1999999999999993</v>
      </c>
      <c r="BJ1221">
        <v>18.3</v>
      </c>
      <c r="BK1221">
        <v>0.34</v>
      </c>
      <c r="BL1221">
        <v>7.3</v>
      </c>
      <c r="BM1221">
        <v>0.9</v>
      </c>
      <c r="BN1221">
        <v>7.5</v>
      </c>
      <c r="BO1221">
        <v>2.9</v>
      </c>
      <c r="BP1221">
        <f t="shared" si="38"/>
        <v>6.2193173555216728</v>
      </c>
      <c r="BQ1221">
        <f t="shared" si="39"/>
        <v>19.057123383708838</v>
      </c>
    </row>
    <row r="1222" spans="1:69" hidden="1" x14ac:dyDescent="0.2">
      <c r="A1222" t="s">
        <v>4462</v>
      </c>
      <c r="B1222" t="s">
        <v>68</v>
      </c>
      <c r="C1222" t="s">
        <v>3294</v>
      </c>
      <c r="D1222" t="s">
        <v>70</v>
      </c>
      <c r="E1222" t="s">
        <v>1486</v>
      </c>
      <c r="F1222">
        <v>6</v>
      </c>
      <c r="G1222">
        <v>25</v>
      </c>
      <c r="H1222">
        <v>1</v>
      </c>
      <c r="I1222">
        <v>1</v>
      </c>
      <c r="J1222">
        <v>1</v>
      </c>
      <c r="K1222" t="s">
        <v>110</v>
      </c>
      <c r="L1222" t="s">
        <v>111</v>
      </c>
      <c r="M1222" s="4">
        <v>490000000</v>
      </c>
      <c r="N1222">
        <v>0</v>
      </c>
      <c r="O1222">
        <v>4.6815619999999996</v>
      </c>
      <c r="P1222">
        <v>-74.055980000000005</v>
      </c>
      <c r="Q1222" t="s">
        <v>4463</v>
      </c>
      <c r="R1222">
        <v>19600000</v>
      </c>
      <c r="S1222">
        <v>0</v>
      </c>
      <c r="T1222" t="s">
        <v>75</v>
      </c>
      <c r="U1222" t="s">
        <v>76</v>
      </c>
      <c r="V1222" t="s">
        <v>77</v>
      </c>
      <c r="W1222" t="s">
        <v>78</v>
      </c>
      <c r="X1222" t="s">
        <v>79</v>
      </c>
      <c r="Y1222">
        <v>4.0313273645067902</v>
      </c>
      <c r="Z1222">
        <v>4031.3273645067902</v>
      </c>
      <c r="AA1222">
        <v>4.6584666666666701</v>
      </c>
      <c r="AB1222">
        <v>-74.083966666666697</v>
      </c>
      <c r="AC1222">
        <v>2552</v>
      </c>
      <c r="AD1222">
        <v>0</v>
      </c>
      <c r="AE1222" t="s">
        <v>80</v>
      </c>
      <c r="AF1222" t="s">
        <v>81</v>
      </c>
      <c r="AG1222" t="s">
        <v>82</v>
      </c>
      <c r="AH1222" t="s">
        <v>83</v>
      </c>
      <c r="AI1222" t="s">
        <v>130</v>
      </c>
      <c r="AJ1222">
        <v>0.32635223880348302</v>
      </c>
      <c r="AK1222">
        <v>2.0077617162312298</v>
      </c>
      <c r="AL1222">
        <v>0.58209682029158705</v>
      </c>
      <c r="AM1222">
        <v>5.5270754368578999E-2</v>
      </c>
      <c r="AN1222">
        <v>2.9948939577273599</v>
      </c>
      <c r="AO1222">
        <v>0.33609746580022998</v>
      </c>
      <c r="AP1222">
        <v>0.33609746580022998</v>
      </c>
      <c r="AQ1222">
        <v>1</v>
      </c>
      <c r="AR1222">
        <v>4</v>
      </c>
      <c r="AS1222">
        <v>0</v>
      </c>
      <c r="AT1222">
        <v>0</v>
      </c>
      <c r="AU1222">
        <v>5</v>
      </c>
      <c r="AV1222">
        <v>247</v>
      </c>
      <c r="AW1222">
        <v>0</v>
      </c>
      <c r="AX1222">
        <v>0</v>
      </c>
      <c r="AZ1222">
        <v>6.8</v>
      </c>
      <c r="BA1222">
        <v>19.899999999999999</v>
      </c>
      <c r="BB1222">
        <v>564</v>
      </c>
      <c r="BC1222">
        <v>68</v>
      </c>
      <c r="BD1222">
        <v>1.5</v>
      </c>
      <c r="BE1222">
        <v>135</v>
      </c>
      <c r="BF1222">
        <v>0.8</v>
      </c>
      <c r="BG1222">
        <v>162</v>
      </c>
      <c r="BH1222">
        <v>9.1</v>
      </c>
      <c r="BI1222">
        <v>9.1999999999999993</v>
      </c>
      <c r="BJ1222">
        <v>18.3</v>
      </c>
      <c r="BK1222">
        <v>0.34</v>
      </c>
      <c r="BL1222">
        <v>7.3</v>
      </c>
      <c r="BM1222">
        <v>0.9</v>
      </c>
      <c r="BN1222">
        <v>7.5</v>
      </c>
      <c r="BO1222">
        <v>2.9</v>
      </c>
      <c r="BP1222">
        <f t="shared" si="38"/>
        <v>5.569871076599842</v>
      </c>
      <c r="BQ1222">
        <f t="shared" si="39"/>
        <v>18.064846635714119</v>
      </c>
    </row>
    <row r="1223" spans="1:69" hidden="1" x14ac:dyDescent="0.2">
      <c r="A1223" t="s">
        <v>4194</v>
      </c>
      <c r="B1223" t="s">
        <v>68</v>
      </c>
      <c r="C1223" t="s">
        <v>3294</v>
      </c>
      <c r="D1223" t="s">
        <v>70</v>
      </c>
      <c r="E1223" t="s">
        <v>1291</v>
      </c>
      <c r="F1223">
        <v>4</v>
      </c>
      <c r="G1223">
        <v>25</v>
      </c>
      <c r="H1223">
        <v>1</v>
      </c>
      <c r="I1223">
        <v>1</v>
      </c>
      <c r="J1223">
        <v>1</v>
      </c>
      <c r="K1223" t="s">
        <v>110</v>
      </c>
      <c r="L1223" t="s">
        <v>124</v>
      </c>
      <c r="M1223" s="4">
        <v>290000000</v>
      </c>
      <c r="N1223">
        <v>0</v>
      </c>
      <c r="O1223">
        <v>4.6448499999999999</v>
      </c>
      <c r="P1223">
        <v>-74.057839999999999</v>
      </c>
      <c r="Q1223" t="s">
        <v>4195</v>
      </c>
      <c r="R1223">
        <v>11600000</v>
      </c>
      <c r="S1223">
        <v>0</v>
      </c>
      <c r="T1223" t="s">
        <v>126</v>
      </c>
      <c r="U1223" t="s">
        <v>127</v>
      </c>
      <c r="V1223" t="s">
        <v>77</v>
      </c>
      <c r="W1223" t="s">
        <v>128</v>
      </c>
      <c r="X1223" t="s">
        <v>129</v>
      </c>
      <c r="Y1223">
        <v>2.3822483826109999</v>
      </c>
      <c r="Z1223">
        <v>2382.2483826110001</v>
      </c>
      <c r="AA1223">
        <v>4.6254861111111101</v>
      </c>
      <c r="AB1223">
        <v>-74.066980555555503</v>
      </c>
      <c r="AC1223">
        <v>2621</v>
      </c>
      <c r="AD1223">
        <v>15</v>
      </c>
      <c r="AE1223" t="s">
        <v>80</v>
      </c>
      <c r="AF1223" t="s">
        <v>81</v>
      </c>
      <c r="AG1223" t="s">
        <v>82</v>
      </c>
      <c r="AH1223" t="s">
        <v>83</v>
      </c>
      <c r="AI1223" t="s">
        <v>130</v>
      </c>
      <c r="AJ1223">
        <v>0.87293665833164102</v>
      </c>
      <c r="AK1223">
        <v>0.373561712984118</v>
      </c>
      <c r="AL1223">
        <v>0.24665453344621999</v>
      </c>
      <c r="AM1223">
        <v>0.31034860357746302</v>
      </c>
      <c r="AN1223">
        <v>0.36292751033870801</v>
      </c>
      <c r="AO1223">
        <v>3.5812313934279499E-2</v>
      </c>
      <c r="AP1223">
        <v>3.5812313934279499E-2</v>
      </c>
      <c r="AQ1223">
        <v>0</v>
      </c>
      <c r="AR1223">
        <v>2</v>
      </c>
      <c r="AS1223">
        <v>7</v>
      </c>
      <c r="AT1223">
        <v>47</v>
      </c>
      <c r="AU1223">
        <v>8</v>
      </c>
      <c r="AV1223">
        <v>55</v>
      </c>
      <c r="AW1223">
        <v>1</v>
      </c>
      <c r="AX1223">
        <v>0</v>
      </c>
      <c r="AZ1223">
        <v>6.8</v>
      </c>
      <c r="BA1223">
        <v>19.899999999999999</v>
      </c>
      <c r="BB1223">
        <v>564</v>
      </c>
      <c r="BC1223">
        <v>68</v>
      </c>
      <c r="BD1223">
        <v>1.5</v>
      </c>
      <c r="BE1223">
        <v>135</v>
      </c>
      <c r="BF1223">
        <v>0.8</v>
      </c>
      <c r="BG1223">
        <v>162</v>
      </c>
      <c r="BH1223">
        <v>9.1</v>
      </c>
      <c r="BI1223">
        <v>9.1999999999999993</v>
      </c>
      <c r="BJ1223">
        <v>18.3</v>
      </c>
      <c r="BK1223">
        <v>0.34</v>
      </c>
      <c r="BL1223">
        <v>7.3</v>
      </c>
      <c r="BM1223">
        <v>0.9</v>
      </c>
      <c r="BN1223">
        <v>7.5</v>
      </c>
      <c r="BO1223">
        <v>2.9</v>
      </c>
      <c r="BP1223">
        <f t="shared" si="38"/>
        <v>6.0436088016592793</v>
      </c>
      <c r="BQ1223">
        <f t="shared" si="39"/>
        <v>18.794152243047005</v>
      </c>
    </row>
    <row r="1224" spans="1:69" hidden="1" x14ac:dyDescent="0.2">
      <c r="A1224" t="s">
        <v>3316</v>
      </c>
      <c r="B1224" t="s">
        <v>68</v>
      </c>
      <c r="C1224" t="s">
        <v>3294</v>
      </c>
      <c r="D1224" t="s">
        <v>70</v>
      </c>
      <c r="E1224" t="s">
        <v>1098</v>
      </c>
      <c r="F1224">
        <v>3</v>
      </c>
      <c r="G1224">
        <v>25</v>
      </c>
      <c r="H1224">
        <v>1</v>
      </c>
      <c r="I1224">
        <v>1</v>
      </c>
      <c r="J1224">
        <v>0</v>
      </c>
      <c r="K1224" t="s">
        <v>110</v>
      </c>
      <c r="L1224" t="s">
        <v>111</v>
      </c>
      <c r="M1224" s="4">
        <v>280000000</v>
      </c>
      <c r="N1224">
        <v>0</v>
      </c>
      <c r="O1224">
        <v>4.606325</v>
      </c>
      <c r="P1224">
        <v>-74.069785999999993</v>
      </c>
      <c r="Q1224" t="s">
        <v>3317</v>
      </c>
      <c r="R1224">
        <v>11200000</v>
      </c>
      <c r="S1224">
        <v>0</v>
      </c>
      <c r="T1224" t="s">
        <v>126</v>
      </c>
      <c r="U1224" t="s">
        <v>127</v>
      </c>
      <c r="V1224" t="s">
        <v>77</v>
      </c>
      <c r="W1224" t="s">
        <v>128</v>
      </c>
      <c r="X1224" t="s">
        <v>129</v>
      </c>
      <c r="Y1224">
        <v>2.15559990230989</v>
      </c>
      <c r="Z1224">
        <v>2155.5999023098898</v>
      </c>
      <c r="AA1224">
        <v>4.6254861111111101</v>
      </c>
      <c r="AB1224">
        <v>-74.066980555555503</v>
      </c>
      <c r="AC1224">
        <v>2621</v>
      </c>
      <c r="AD1224">
        <v>15</v>
      </c>
      <c r="AE1224" t="s">
        <v>80</v>
      </c>
      <c r="AF1224" t="s">
        <v>81</v>
      </c>
      <c r="AG1224" t="s">
        <v>82</v>
      </c>
      <c r="AH1224" t="s">
        <v>83</v>
      </c>
      <c r="AI1224" t="s">
        <v>138</v>
      </c>
      <c r="AJ1224">
        <v>0.33083711099997498</v>
      </c>
      <c r="AK1224">
        <v>0.57033346622468895</v>
      </c>
      <c r="AL1224">
        <v>4.7641768634069097E-2</v>
      </c>
      <c r="AM1224">
        <v>0.11329758364767201</v>
      </c>
      <c r="AN1224">
        <v>1.06020597776718</v>
      </c>
      <c r="AO1224">
        <v>3.6060868880168698E-2</v>
      </c>
      <c r="AP1224">
        <v>3.6060868880168698E-2</v>
      </c>
      <c r="AQ1224">
        <v>2</v>
      </c>
      <c r="AR1224">
        <v>8</v>
      </c>
      <c r="AS1224">
        <v>0</v>
      </c>
      <c r="AT1224">
        <v>28</v>
      </c>
      <c r="AU1224">
        <v>13</v>
      </c>
      <c r="AV1224">
        <v>52</v>
      </c>
      <c r="AW1224">
        <v>0</v>
      </c>
      <c r="AX1224">
        <v>9</v>
      </c>
      <c r="AZ1224">
        <v>6.8</v>
      </c>
      <c r="BA1224">
        <v>19.899999999999999</v>
      </c>
      <c r="BB1224">
        <v>564</v>
      </c>
      <c r="BC1224">
        <v>68</v>
      </c>
      <c r="BD1224">
        <v>1.5</v>
      </c>
      <c r="BE1224">
        <v>135</v>
      </c>
      <c r="BF1224">
        <v>0.8</v>
      </c>
      <c r="BG1224">
        <v>162</v>
      </c>
      <c r="BH1224">
        <v>9.1</v>
      </c>
      <c r="BI1224">
        <v>9.1999999999999993</v>
      </c>
      <c r="BJ1224">
        <v>18.3</v>
      </c>
      <c r="BK1224">
        <v>0.34</v>
      </c>
      <c r="BL1224">
        <v>7.3</v>
      </c>
      <c r="BM1224">
        <v>0.9</v>
      </c>
      <c r="BN1224">
        <v>7.5</v>
      </c>
      <c r="BO1224">
        <v>2.9</v>
      </c>
      <c r="BP1224">
        <f t="shared" si="38"/>
        <v>6.1117944272754272</v>
      </c>
      <c r="BQ1224">
        <f t="shared" si="39"/>
        <v>18.896662781642913</v>
      </c>
    </row>
    <row r="1225" spans="1:69" hidden="1" x14ac:dyDescent="0.2">
      <c r="A1225" t="s">
        <v>4120</v>
      </c>
      <c r="B1225" t="s">
        <v>68</v>
      </c>
      <c r="C1225" t="s">
        <v>3294</v>
      </c>
      <c r="D1225" t="s">
        <v>70</v>
      </c>
      <c r="E1225" t="s">
        <v>136</v>
      </c>
      <c r="F1225">
        <v>4</v>
      </c>
      <c r="G1225">
        <v>25</v>
      </c>
      <c r="H1225">
        <v>1</v>
      </c>
      <c r="I1225">
        <v>1</v>
      </c>
      <c r="J1225">
        <v>0</v>
      </c>
      <c r="K1225" t="s">
        <v>110</v>
      </c>
      <c r="L1225" t="s">
        <v>111</v>
      </c>
      <c r="M1225" s="4">
        <v>280000000</v>
      </c>
      <c r="N1225">
        <v>0</v>
      </c>
      <c r="O1225">
        <v>4.620581627</v>
      </c>
      <c r="P1225">
        <v>-74.069885249999999</v>
      </c>
      <c r="Q1225" t="s">
        <v>4121</v>
      </c>
      <c r="R1225">
        <v>11200000</v>
      </c>
      <c r="S1225">
        <v>0</v>
      </c>
      <c r="T1225" t="s">
        <v>126</v>
      </c>
      <c r="U1225" t="s">
        <v>127</v>
      </c>
      <c r="V1225" t="s">
        <v>77</v>
      </c>
      <c r="W1225" t="s">
        <v>128</v>
      </c>
      <c r="X1225" t="s">
        <v>129</v>
      </c>
      <c r="Y1225">
        <v>0.633997516669768</v>
      </c>
      <c r="Z1225">
        <v>633.99751666976795</v>
      </c>
      <c r="AA1225">
        <v>4.6254861111111101</v>
      </c>
      <c r="AB1225">
        <v>-74.066980555555503</v>
      </c>
      <c r="AC1225">
        <v>2621</v>
      </c>
      <c r="AD1225">
        <v>15</v>
      </c>
      <c r="AE1225" t="s">
        <v>80</v>
      </c>
      <c r="AF1225" t="s">
        <v>81</v>
      </c>
      <c r="AG1225" t="s">
        <v>82</v>
      </c>
      <c r="AH1225" t="s">
        <v>83</v>
      </c>
      <c r="AI1225" t="s">
        <v>138</v>
      </c>
      <c r="AJ1225">
        <v>0.11136946779222399</v>
      </c>
      <c r="AK1225">
        <v>0.89949815752611095</v>
      </c>
      <c r="AL1225">
        <v>0.31405967624686398</v>
      </c>
      <c r="AM1225">
        <v>3.8130556448605898E-2</v>
      </c>
      <c r="AN1225">
        <v>0.70381445224444295</v>
      </c>
      <c r="AO1225">
        <v>3.9668829955487601E-2</v>
      </c>
      <c r="AP1225">
        <v>3.9668829955487601E-2</v>
      </c>
      <c r="AQ1225">
        <v>1</v>
      </c>
      <c r="AR1225">
        <v>6</v>
      </c>
      <c r="AS1225">
        <v>0</v>
      </c>
      <c r="AT1225">
        <v>3</v>
      </c>
      <c r="AU1225">
        <v>17</v>
      </c>
      <c r="AV1225">
        <v>91</v>
      </c>
      <c r="AW1225">
        <v>2</v>
      </c>
      <c r="AX1225">
        <v>1</v>
      </c>
      <c r="AZ1225">
        <v>6.8</v>
      </c>
      <c r="BA1225">
        <v>19.899999999999999</v>
      </c>
      <c r="BB1225">
        <v>564</v>
      </c>
      <c r="BC1225">
        <v>68</v>
      </c>
      <c r="BD1225">
        <v>1.5</v>
      </c>
      <c r="BE1225">
        <v>135</v>
      </c>
      <c r="BF1225">
        <v>0.8</v>
      </c>
      <c r="BG1225">
        <v>162</v>
      </c>
      <c r="BH1225">
        <v>9.1</v>
      </c>
      <c r="BI1225">
        <v>9.1999999999999993</v>
      </c>
      <c r="BJ1225">
        <v>18.3</v>
      </c>
      <c r="BK1225">
        <v>0.34</v>
      </c>
      <c r="BL1225">
        <v>7.3</v>
      </c>
      <c r="BM1225">
        <v>0.9</v>
      </c>
      <c r="BN1225">
        <v>7.5</v>
      </c>
      <c r="BO1225">
        <v>2.9</v>
      </c>
      <c r="BP1225">
        <f t="shared" si="38"/>
        <v>6.5899102882551626</v>
      </c>
      <c r="BQ1225">
        <f t="shared" si="39"/>
        <v>19.599494818350987</v>
      </c>
    </row>
    <row r="1226" spans="1:69" hidden="1" x14ac:dyDescent="0.2">
      <c r="A1226" t="s">
        <v>4618</v>
      </c>
      <c r="B1226" t="s">
        <v>68</v>
      </c>
      <c r="C1226" t="s">
        <v>3294</v>
      </c>
      <c r="D1226" t="s">
        <v>70</v>
      </c>
      <c r="E1226" t="s">
        <v>123</v>
      </c>
      <c r="F1226">
        <v>3</v>
      </c>
      <c r="G1226">
        <v>25</v>
      </c>
      <c r="H1226">
        <v>1</v>
      </c>
      <c r="I1226">
        <v>1</v>
      </c>
      <c r="J1226">
        <v>0</v>
      </c>
      <c r="K1226" t="s">
        <v>110</v>
      </c>
      <c r="L1226" t="s">
        <v>133</v>
      </c>
      <c r="M1226" s="4">
        <v>270000000</v>
      </c>
      <c r="N1226">
        <v>0</v>
      </c>
      <c r="O1226">
        <v>4.6464999999999996</v>
      </c>
      <c r="P1226">
        <v>-74.063469999999995</v>
      </c>
      <c r="Q1226" t="s">
        <v>4619</v>
      </c>
      <c r="R1226">
        <v>10800000</v>
      </c>
      <c r="S1226">
        <v>0</v>
      </c>
      <c r="T1226" t="s">
        <v>126</v>
      </c>
      <c r="U1226" t="s">
        <v>127</v>
      </c>
      <c r="V1226" t="s">
        <v>77</v>
      </c>
      <c r="W1226" t="s">
        <v>128</v>
      </c>
      <c r="X1226" t="s">
        <v>129</v>
      </c>
      <c r="Y1226">
        <v>2.37146317184982</v>
      </c>
      <c r="Z1226">
        <v>2371.4631718498199</v>
      </c>
      <c r="AA1226">
        <v>4.6254861111111101</v>
      </c>
      <c r="AB1226">
        <v>-74.066980555555503</v>
      </c>
      <c r="AC1226">
        <v>2621</v>
      </c>
      <c r="AD1226">
        <v>15</v>
      </c>
      <c r="AE1226" t="s">
        <v>80</v>
      </c>
      <c r="AF1226" t="s">
        <v>81</v>
      </c>
      <c r="AG1226" t="s">
        <v>82</v>
      </c>
      <c r="AH1226" t="s">
        <v>83</v>
      </c>
      <c r="AI1226" t="s">
        <v>130</v>
      </c>
      <c r="AJ1226">
        <v>0.26151723306835001</v>
      </c>
      <c r="AK1226">
        <v>0.89967510615742996</v>
      </c>
      <c r="AL1226">
        <v>0.112534194314791</v>
      </c>
      <c r="AM1226">
        <v>9.3035540393287999E-2</v>
      </c>
      <c r="AN1226">
        <v>0.78037631739024504</v>
      </c>
      <c r="AO1226">
        <v>0.429959190734721</v>
      </c>
      <c r="AP1226">
        <v>0.429959190734721</v>
      </c>
      <c r="AQ1226">
        <v>2</v>
      </c>
      <c r="AR1226">
        <v>3</v>
      </c>
      <c r="AS1226">
        <v>0</v>
      </c>
      <c r="AT1226">
        <v>7</v>
      </c>
      <c r="AU1226">
        <v>14</v>
      </c>
      <c r="AV1226">
        <v>91</v>
      </c>
      <c r="AW1226">
        <v>1</v>
      </c>
      <c r="AX1226">
        <v>0</v>
      </c>
      <c r="AZ1226">
        <v>6.8</v>
      </c>
      <c r="BA1226">
        <v>19.899999999999999</v>
      </c>
      <c r="BB1226">
        <v>564</v>
      </c>
      <c r="BC1226">
        <v>68</v>
      </c>
      <c r="BD1226">
        <v>1.5</v>
      </c>
      <c r="BE1226">
        <v>135</v>
      </c>
      <c r="BF1226">
        <v>0.8</v>
      </c>
      <c r="BG1226">
        <v>162</v>
      </c>
      <c r="BH1226">
        <v>9.1</v>
      </c>
      <c r="BI1226">
        <v>9.1999999999999993</v>
      </c>
      <c r="BJ1226">
        <v>18.3</v>
      </c>
      <c r="BK1226">
        <v>0.34</v>
      </c>
      <c r="BL1226">
        <v>7.3</v>
      </c>
      <c r="BM1226">
        <v>0.9</v>
      </c>
      <c r="BN1226">
        <v>7.5</v>
      </c>
      <c r="BO1226">
        <v>2.9</v>
      </c>
      <c r="BP1226">
        <f t="shared" si="38"/>
        <v>6.0468361520089138</v>
      </c>
      <c r="BQ1226">
        <f t="shared" si="39"/>
        <v>18.799017646145067</v>
      </c>
    </row>
    <row r="1227" spans="1:69" hidden="1" x14ac:dyDescent="0.2">
      <c r="A1227" t="s">
        <v>3399</v>
      </c>
      <c r="B1227" t="s">
        <v>68</v>
      </c>
      <c r="C1227" t="s">
        <v>3294</v>
      </c>
      <c r="D1227" t="s">
        <v>70</v>
      </c>
      <c r="E1227" t="s">
        <v>943</v>
      </c>
      <c r="F1227">
        <v>3</v>
      </c>
      <c r="G1227">
        <v>25</v>
      </c>
      <c r="H1227">
        <v>1</v>
      </c>
      <c r="I1227">
        <v>1</v>
      </c>
      <c r="J1227">
        <v>1</v>
      </c>
      <c r="K1227" t="s">
        <v>110</v>
      </c>
      <c r="L1227" t="s">
        <v>111</v>
      </c>
      <c r="M1227" s="4">
        <v>255000000</v>
      </c>
      <c r="N1227">
        <v>0</v>
      </c>
      <c r="O1227">
        <v>4.6359009740000001</v>
      </c>
      <c r="P1227">
        <v>-74.068252560000005</v>
      </c>
      <c r="Q1227" t="s">
        <v>3400</v>
      </c>
      <c r="R1227">
        <v>10200000</v>
      </c>
      <c r="S1227">
        <v>0</v>
      </c>
      <c r="T1227" t="s">
        <v>126</v>
      </c>
      <c r="U1227" t="s">
        <v>127</v>
      </c>
      <c r="V1227" t="s">
        <v>77</v>
      </c>
      <c r="W1227" t="s">
        <v>128</v>
      </c>
      <c r="X1227" t="s">
        <v>129</v>
      </c>
      <c r="Y1227">
        <v>1.16793626999635</v>
      </c>
      <c r="Z1227">
        <v>1167.9362699963499</v>
      </c>
      <c r="AA1227">
        <v>4.6254861111111101</v>
      </c>
      <c r="AB1227">
        <v>-74.066980555555503</v>
      </c>
      <c r="AC1227">
        <v>2621</v>
      </c>
      <c r="AD1227">
        <v>15</v>
      </c>
      <c r="AE1227" t="s">
        <v>80</v>
      </c>
      <c r="AF1227" t="s">
        <v>81</v>
      </c>
      <c r="AG1227" t="s">
        <v>82</v>
      </c>
      <c r="AH1227" t="s">
        <v>83</v>
      </c>
      <c r="AI1227" t="s">
        <v>84</v>
      </c>
      <c r="AJ1227">
        <v>0.24485113734802</v>
      </c>
      <c r="AK1227">
        <v>0.95301414223717396</v>
      </c>
      <c r="AL1227">
        <v>0.22444898269028499</v>
      </c>
      <c r="AM1227">
        <v>8.4978859820698693E-2</v>
      </c>
      <c r="AN1227">
        <v>0.94530156415634203</v>
      </c>
      <c r="AO1227">
        <v>8.46197906658952E-2</v>
      </c>
      <c r="AP1227">
        <v>8.46197906658952E-2</v>
      </c>
      <c r="AQ1227">
        <v>3</v>
      </c>
      <c r="AR1227">
        <v>5</v>
      </c>
      <c r="AS1227">
        <v>0</v>
      </c>
      <c r="AT1227">
        <v>2</v>
      </c>
      <c r="AU1227">
        <v>16</v>
      </c>
      <c r="AV1227">
        <v>192</v>
      </c>
      <c r="AW1227">
        <v>1</v>
      </c>
      <c r="AX1227">
        <v>0</v>
      </c>
      <c r="AZ1227">
        <v>6.8</v>
      </c>
      <c r="BA1227">
        <v>19.899999999999999</v>
      </c>
      <c r="BB1227">
        <v>564</v>
      </c>
      <c r="BC1227">
        <v>68</v>
      </c>
      <c r="BD1227">
        <v>1.5</v>
      </c>
      <c r="BE1227">
        <v>135</v>
      </c>
      <c r="BF1227">
        <v>0.8</v>
      </c>
      <c r="BG1227">
        <v>162</v>
      </c>
      <c r="BH1227">
        <v>9.1</v>
      </c>
      <c r="BI1227">
        <v>9.1999999999999993</v>
      </c>
      <c r="BJ1227">
        <v>18.3</v>
      </c>
      <c r="BK1227">
        <v>0.34</v>
      </c>
      <c r="BL1227">
        <v>7.3</v>
      </c>
      <c r="BM1227">
        <v>0.9</v>
      </c>
      <c r="BN1227">
        <v>7.5</v>
      </c>
      <c r="BO1227">
        <v>2.9</v>
      </c>
      <c r="BP1227">
        <f t="shared" si="38"/>
        <v>6.41802069249698</v>
      </c>
      <c r="BQ1227">
        <f t="shared" si="39"/>
        <v>19.349938888437787</v>
      </c>
    </row>
    <row r="1228" spans="1:69" hidden="1" x14ac:dyDescent="0.2">
      <c r="A1228" t="s">
        <v>3994</v>
      </c>
      <c r="B1228" t="s">
        <v>68</v>
      </c>
      <c r="C1228" t="s">
        <v>3294</v>
      </c>
      <c r="D1228" t="s">
        <v>70</v>
      </c>
      <c r="E1228" t="s">
        <v>381</v>
      </c>
      <c r="F1228">
        <v>3</v>
      </c>
      <c r="G1228">
        <v>25</v>
      </c>
      <c r="H1228">
        <v>1</v>
      </c>
      <c r="I1228">
        <v>1</v>
      </c>
      <c r="J1228">
        <v>1</v>
      </c>
      <c r="K1228" t="s">
        <v>110</v>
      </c>
      <c r="L1228" t="s">
        <v>111</v>
      </c>
      <c r="M1228" s="4">
        <v>250000000</v>
      </c>
      <c r="N1228">
        <v>0</v>
      </c>
      <c r="O1228">
        <v>4.6034359929999997</v>
      </c>
      <c r="P1228">
        <v>-74.070587160000002</v>
      </c>
      <c r="Q1228" t="s">
        <v>3995</v>
      </c>
      <c r="R1228">
        <v>10000000</v>
      </c>
      <c r="S1228">
        <v>0</v>
      </c>
      <c r="T1228" t="s">
        <v>126</v>
      </c>
      <c r="U1228" t="s">
        <v>127</v>
      </c>
      <c r="V1228" t="s">
        <v>77</v>
      </c>
      <c r="W1228" t="s">
        <v>128</v>
      </c>
      <c r="X1228" t="s">
        <v>129</v>
      </c>
      <c r="Y1228">
        <v>2.4870157360071601</v>
      </c>
      <c r="Z1228">
        <v>2487.0157360071598</v>
      </c>
      <c r="AA1228">
        <v>4.6254861111111101</v>
      </c>
      <c r="AB1228">
        <v>-74.066980555555503</v>
      </c>
      <c r="AC1228">
        <v>2621</v>
      </c>
      <c r="AD1228">
        <v>15</v>
      </c>
      <c r="AE1228" t="s">
        <v>80</v>
      </c>
      <c r="AF1228" t="s">
        <v>81</v>
      </c>
      <c r="AG1228" t="s">
        <v>82</v>
      </c>
      <c r="AH1228" t="s">
        <v>83</v>
      </c>
      <c r="AI1228" t="s">
        <v>138</v>
      </c>
      <c r="AJ1228">
        <v>0.26019778211197703</v>
      </c>
      <c r="AK1228">
        <v>0.71719197003132695</v>
      </c>
      <c r="AL1228">
        <v>0.27265349916713999</v>
      </c>
      <c r="AM1228">
        <v>0.148350790558503</v>
      </c>
      <c r="AN1228">
        <v>1.39047703005228</v>
      </c>
      <c r="AO1228">
        <v>2.0198310500012498E-3</v>
      </c>
      <c r="AP1228">
        <v>2.0198310500012498E-3</v>
      </c>
      <c r="AQ1228">
        <v>3</v>
      </c>
      <c r="AR1228">
        <v>9</v>
      </c>
      <c r="AS1228">
        <v>0</v>
      </c>
      <c r="AT1228">
        <v>37</v>
      </c>
      <c r="AU1228">
        <v>14</v>
      </c>
      <c r="AV1228">
        <v>51</v>
      </c>
      <c r="AW1228">
        <v>0</v>
      </c>
      <c r="AX1228">
        <v>8</v>
      </c>
      <c r="AZ1228">
        <v>6.8</v>
      </c>
      <c r="BA1228">
        <v>19.899999999999999</v>
      </c>
      <c r="BB1228">
        <v>564</v>
      </c>
      <c r="BC1228">
        <v>68</v>
      </c>
      <c r="BD1228">
        <v>1.5</v>
      </c>
      <c r="BE1228">
        <v>135</v>
      </c>
      <c r="BF1228">
        <v>0.8</v>
      </c>
      <c r="BG1228">
        <v>162</v>
      </c>
      <c r="BH1228">
        <v>9.1</v>
      </c>
      <c r="BI1228">
        <v>9.1999999999999993</v>
      </c>
      <c r="BJ1228">
        <v>18.3</v>
      </c>
      <c r="BK1228">
        <v>0.34</v>
      </c>
      <c r="BL1228">
        <v>7.3</v>
      </c>
      <c r="BM1228">
        <v>0.9</v>
      </c>
      <c r="BN1228">
        <v>7.5</v>
      </c>
      <c r="BO1228">
        <v>2.9</v>
      </c>
      <c r="BP1228">
        <f t="shared" si="38"/>
        <v>6.0123478725542707</v>
      </c>
      <c r="BQ1228">
        <f t="shared" si="39"/>
        <v>18.746955278170372</v>
      </c>
    </row>
    <row r="1229" spans="1:69" hidden="1" x14ac:dyDescent="0.2">
      <c r="A1229" t="s">
        <v>4244</v>
      </c>
      <c r="B1229" t="s">
        <v>68</v>
      </c>
      <c r="C1229" t="s">
        <v>3294</v>
      </c>
      <c r="D1229" t="s">
        <v>70</v>
      </c>
      <c r="E1229" t="s">
        <v>3573</v>
      </c>
      <c r="F1229">
        <v>3</v>
      </c>
      <c r="G1229">
        <v>25</v>
      </c>
      <c r="H1229">
        <v>1</v>
      </c>
      <c r="I1229">
        <v>1</v>
      </c>
      <c r="J1229">
        <v>0</v>
      </c>
      <c r="K1229" t="s">
        <v>110</v>
      </c>
      <c r="L1229" t="s">
        <v>111</v>
      </c>
      <c r="M1229" s="4">
        <v>245000000</v>
      </c>
      <c r="N1229">
        <v>0</v>
      </c>
      <c r="O1229">
        <v>4.6021847999999999</v>
      </c>
      <c r="P1229">
        <v>-74.070556499999995</v>
      </c>
      <c r="Q1229" t="s">
        <v>4245</v>
      </c>
      <c r="R1229">
        <v>9800000</v>
      </c>
      <c r="S1229">
        <v>0</v>
      </c>
      <c r="T1229" t="s">
        <v>126</v>
      </c>
      <c r="U1229" t="s">
        <v>127</v>
      </c>
      <c r="V1229" t="s">
        <v>77</v>
      </c>
      <c r="W1229" t="s">
        <v>128</v>
      </c>
      <c r="X1229" t="s">
        <v>129</v>
      </c>
      <c r="Y1229">
        <v>2.6240621223404399</v>
      </c>
      <c r="Z1229">
        <v>2624.0621223404401</v>
      </c>
      <c r="AA1229">
        <v>4.6254861111111101</v>
      </c>
      <c r="AB1229">
        <v>-74.066980555555503</v>
      </c>
      <c r="AC1229">
        <v>2621</v>
      </c>
      <c r="AD1229">
        <v>15</v>
      </c>
      <c r="AE1229" t="s">
        <v>80</v>
      </c>
      <c r="AF1229" t="s">
        <v>81</v>
      </c>
      <c r="AG1229" t="s">
        <v>82</v>
      </c>
      <c r="AH1229" t="s">
        <v>83</v>
      </c>
      <c r="AI1229" t="s">
        <v>138</v>
      </c>
      <c r="AJ1229">
        <v>0.242935475309699</v>
      </c>
      <c r="AK1229">
        <v>0.74573008834368204</v>
      </c>
      <c r="AL1229">
        <v>0.299633824424683</v>
      </c>
      <c r="AM1229">
        <v>0.13738486181380999</v>
      </c>
      <c r="AN1229">
        <v>1.5082701443297699</v>
      </c>
      <c r="AO1229">
        <v>6.1567708524427202E-2</v>
      </c>
      <c r="AP1229">
        <v>6.1567708524427202E-2</v>
      </c>
      <c r="AQ1229">
        <v>3</v>
      </c>
      <c r="AR1229">
        <v>8</v>
      </c>
      <c r="AS1229">
        <v>0</v>
      </c>
      <c r="AT1229">
        <v>41</v>
      </c>
      <c r="AU1229">
        <v>15</v>
      </c>
      <c r="AV1229">
        <v>50</v>
      </c>
      <c r="AW1229">
        <v>0</v>
      </c>
      <c r="AX1229">
        <v>8</v>
      </c>
      <c r="AZ1229">
        <v>6.8</v>
      </c>
      <c r="BA1229">
        <v>19.899999999999999</v>
      </c>
      <c r="BB1229">
        <v>564</v>
      </c>
      <c r="BC1229">
        <v>68</v>
      </c>
      <c r="BD1229">
        <v>1.5</v>
      </c>
      <c r="BE1229">
        <v>135</v>
      </c>
      <c r="BF1229">
        <v>0.8</v>
      </c>
      <c r="BG1229">
        <v>162</v>
      </c>
      <c r="BH1229">
        <v>9.1</v>
      </c>
      <c r="BI1229">
        <v>9.1999999999999993</v>
      </c>
      <c r="BJ1229">
        <v>18.3</v>
      </c>
      <c r="BK1229">
        <v>0.34</v>
      </c>
      <c r="BL1229">
        <v>7.3</v>
      </c>
      <c r="BM1229">
        <v>0.9</v>
      </c>
      <c r="BN1229">
        <v>7.5</v>
      </c>
      <c r="BO1229">
        <v>2.9</v>
      </c>
      <c r="BP1229">
        <f t="shared" si="38"/>
        <v>5.9716993618545215</v>
      </c>
      <c r="BQ1229">
        <f t="shared" si="39"/>
        <v>18.685395712445001</v>
      </c>
    </row>
    <row r="1230" spans="1:69" hidden="1" x14ac:dyDescent="0.2">
      <c r="A1230" t="s">
        <v>3841</v>
      </c>
      <c r="B1230" t="s">
        <v>68</v>
      </c>
      <c r="C1230" t="s">
        <v>3294</v>
      </c>
      <c r="D1230" t="s">
        <v>70</v>
      </c>
      <c r="E1230" t="s">
        <v>381</v>
      </c>
      <c r="F1230">
        <v>4</v>
      </c>
      <c r="G1230">
        <v>24.8</v>
      </c>
      <c r="H1230">
        <v>1</v>
      </c>
      <c r="I1230">
        <v>1</v>
      </c>
      <c r="J1230">
        <v>1</v>
      </c>
      <c r="K1230" t="s">
        <v>110</v>
      </c>
      <c r="L1230" t="s">
        <v>111</v>
      </c>
      <c r="M1230" s="4">
        <v>289000000</v>
      </c>
      <c r="N1230">
        <v>0</v>
      </c>
      <c r="O1230">
        <v>4.6024427000000001</v>
      </c>
      <c r="P1230">
        <v>-74.068849999999998</v>
      </c>
      <c r="Q1230" t="s">
        <v>3842</v>
      </c>
      <c r="R1230">
        <v>11653225.810000001</v>
      </c>
      <c r="S1230">
        <v>0</v>
      </c>
      <c r="T1230" t="s">
        <v>126</v>
      </c>
      <c r="U1230" t="s">
        <v>127</v>
      </c>
      <c r="V1230" t="s">
        <v>77</v>
      </c>
      <c r="W1230" t="s">
        <v>128</v>
      </c>
      <c r="X1230" t="s">
        <v>129</v>
      </c>
      <c r="Y1230">
        <v>2.5735540000680799</v>
      </c>
      <c r="Z1230">
        <v>2573.5540000680799</v>
      </c>
      <c r="AA1230">
        <v>4.6254861111111101</v>
      </c>
      <c r="AB1230">
        <v>-74.066980555555503</v>
      </c>
      <c r="AC1230">
        <v>2621</v>
      </c>
      <c r="AD1230">
        <v>15</v>
      </c>
      <c r="AE1230" t="s">
        <v>80</v>
      </c>
      <c r="AF1230" t="s">
        <v>81</v>
      </c>
      <c r="AG1230" t="s">
        <v>82</v>
      </c>
      <c r="AH1230" t="s">
        <v>83</v>
      </c>
      <c r="AI1230" t="s">
        <v>138</v>
      </c>
      <c r="AJ1230">
        <v>5.1997441834960599E-2</v>
      </c>
      <c r="AK1230">
        <v>0.55592774135858503</v>
      </c>
      <c r="AL1230">
        <v>0.108262435122189</v>
      </c>
      <c r="AM1230">
        <v>0.13217973203905101</v>
      </c>
      <c r="AN1230">
        <v>1.44554014759113</v>
      </c>
      <c r="AO1230">
        <v>0.222967570278648</v>
      </c>
      <c r="AP1230">
        <v>0.222967570278648</v>
      </c>
      <c r="AQ1230">
        <v>3</v>
      </c>
      <c r="AR1230">
        <v>6</v>
      </c>
      <c r="AS1230">
        <v>0</v>
      </c>
      <c r="AT1230">
        <v>57</v>
      </c>
      <c r="AU1230">
        <v>13</v>
      </c>
      <c r="AV1230">
        <v>49</v>
      </c>
      <c r="AW1230">
        <v>0</v>
      </c>
      <c r="AX1230">
        <v>8</v>
      </c>
      <c r="AZ1230">
        <v>6.8</v>
      </c>
      <c r="BA1230">
        <v>19.899999999999999</v>
      </c>
      <c r="BB1230">
        <v>564</v>
      </c>
      <c r="BC1230">
        <v>68</v>
      </c>
      <c r="BD1230">
        <v>1.5</v>
      </c>
      <c r="BE1230">
        <v>135</v>
      </c>
      <c r="BF1230">
        <v>0.8</v>
      </c>
      <c r="BG1230">
        <v>162</v>
      </c>
      <c r="BH1230">
        <v>9.1</v>
      </c>
      <c r="BI1230">
        <v>9.1999999999999993</v>
      </c>
      <c r="BJ1230">
        <v>18.3</v>
      </c>
      <c r="BK1230">
        <v>0.34</v>
      </c>
      <c r="BL1230">
        <v>7.3</v>
      </c>
      <c r="BM1230">
        <v>0.9</v>
      </c>
      <c r="BN1230">
        <v>7.5</v>
      </c>
      <c r="BO1230">
        <v>2.9</v>
      </c>
      <c r="BP1230">
        <f t="shared" si="38"/>
        <v>5.9866481976653354</v>
      </c>
      <c r="BQ1230">
        <f t="shared" si="39"/>
        <v>18.708059788341192</v>
      </c>
    </row>
    <row r="1231" spans="1:69" hidden="1" x14ac:dyDescent="0.2">
      <c r="A1231" t="s">
        <v>3441</v>
      </c>
      <c r="B1231" t="s">
        <v>68</v>
      </c>
      <c r="C1231" t="s">
        <v>3294</v>
      </c>
      <c r="D1231" t="s">
        <v>70</v>
      </c>
      <c r="E1231" t="s">
        <v>535</v>
      </c>
      <c r="F1231">
        <v>3</v>
      </c>
      <c r="G1231">
        <v>24.8</v>
      </c>
      <c r="H1231">
        <v>1</v>
      </c>
      <c r="I1231">
        <v>1</v>
      </c>
      <c r="J1231">
        <v>0</v>
      </c>
      <c r="K1231" t="s">
        <v>110</v>
      </c>
      <c r="L1231" t="s">
        <v>111</v>
      </c>
      <c r="M1231" s="4">
        <v>275000000</v>
      </c>
      <c r="N1231">
        <v>0</v>
      </c>
      <c r="O1231">
        <v>4.6007800000000003</v>
      </c>
      <c r="P1231">
        <v>-74.066310000000001</v>
      </c>
      <c r="Q1231" t="s">
        <v>3442</v>
      </c>
      <c r="R1231">
        <v>11088709.68</v>
      </c>
      <c r="S1231">
        <v>0</v>
      </c>
      <c r="T1231" t="s">
        <v>126</v>
      </c>
      <c r="U1231" t="s">
        <v>127</v>
      </c>
      <c r="V1231" t="s">
        <v>77</v>
      </c>
      <c r="W1231" t="s">
        <v>128</v>
      </c>
      <c r="X1231" t="s">
        <v>129</v>
      </c>
      <c r="Y1231">
        <v>2.7512779644538101</v>
      </c>
      <c r="Z1231">
        <v>2751.27796445381</v>
      </c>
      <c r="AA1231">
        <v>4.6254861111111101</v>
      </c>
      <c r="AB1231">
        <v>-74.066980555555503</v>
      </c>
      <c r="AC1231">
        <v>2621</v>
      </c>
      <c r="AD1231">
        <v>15</v>
      </c>
      <c r="AE1231" t="s">
        <v>80</v>
      </c>
      <c r="AF1231" t="s">
        <v>81</v>
      </c>
      <c r="AG1231" t="s">
        <v>82</v>
      </c>
      <c r="AH1231" t="s">
        <v>83</v>
      </c>
      <c r="AI1231" t="s">
        <v>537</v>
      </c>
      <c r="AJ1231">
        <v>0.305531208289678</v>
      </c>
      <c r="AK1231">
        <v>0.39784365829118001</v>
      </c>
      <c r="AL1231">
        <v>7.9185190584535298E-2</v>
      </c>
      <c r="AM1231">
        <v>1.0232339963942599E-2</v>
      </c>
      <c r="AN1231">
        <v>1.6027684621848499</v>
      </c>
      <c r="AO1231">
        <v>0.27667010738283898</v>
      </c>
      <c r="AP1231">
        <v>0.27667010738283898</v>
      </c>
      <c r="AQ1231">
        <v>2</v>
      </c>
      <c r="AR1231">
        <v>3</v>
      </c>
      <c r="AS1231">
        <v>7</v>
      </c>
      <c r="AT1231">
        <v>68</v>
      </c>
      <c r="AU1231">
        <v>12</v>
      </c>
      <c r="AV1231">
        <v>35</v>
      </c>
      <c r="AW1231">
        <v>0</v>
      </c>
      <c r="AX1231">
        <v>6</v>
      </c>
      <c r="AZ1231">
        <v>6.8</v>
      </c>
      <c r="BA1231">
        <v>19.899999999999999</v>
      </c>
      <c r="BB1231">
        <v>564</v>
      </c>
      <c r="BC1231">
        <v>68</v>
      </c>
      <c r="BD1231">
        <v>1.5</v>
      </c>
      <c r="BE1231">
        <v>135</v>
      </c>
      <c r="BF1231">
        <v>0.8</v>
      </c>
      <c r="BG1231">
        <v>162</v>
      </c>
      <c r="BH1231">
        <v>9.1</v>
      </c>
      <c r="BI1231">
        <v>9.1999999999999993</v>
      </c>
      <c r="BJ1231">
        <v>18.3</v>
      </c>
      <c r="BK1231">
        <v>0.34</v>
      </c>
      <c r="BL1231">
        <v>7.3</v>
      </c>
      <c r="BM1231">
        <v>0.9</v>
      </c>
      <c r="BN1231">
        <v>7.5</v>
      </c>
      <c r="BO1231">
        <v>2.9</v>
      </c>
      <c r="BP1231">
        <f t="shared" si="38"/>
        <v>5.9342126253962633</v>
      </c>
      <c r="BQ1231">
        <f t="shared" si="39"/>
        <v>18.628432835241213</v>
      </c>
    </row>
    <row r="1232" spans="1:69" hidden="1" x14ac:dyDescent="0.2">
      <c r="A1232" t="s">
        <v>3815</v>
      </c>
      <c r="B1232" t="s">
        <v>68</v>
      </c>
      <c r="C1232" t="s">
        <v>3294</v>
      </c>
      <c r="D1232" t="s">
        <v>70</v>
      </c>
      <c r="E1232" t="s">
        <v>3816</v>
      </c>
      <c r="F1232">
        <v>3</v>
      </c>
      <c r="G1232">
        <v>24.55</v>
      </c>
      <c r="H1232">
        <v>1</v>
      </c>
      <c r="I1232">
        <v>1</v>
      </c>
      <c r="J1232">
        <v>1</v>
      </c>
      <c r="K1232" t="s">
        <v>110</v>
      </c>
      <c r="L1232" t="s">
        <v>111</v>
      </c>
      <c r="M1232" s="4">
        <v>290000000</v>
      </c>
      <c r="N1232">
        <v>0</v>
      </c>
      <c r="O1232">
        <v>4.6808471679999997</v>
      </c>
      <c r="P1232">
        <v>-74.099945070000004</v>
      </c>
      <c r="Q1232" t="s">
        <v>3817</v>
      </c>
      <c r="R1232">
        <v>11812627.289999999</v>
      </c>
      <c r="S1232">
        <v>0</v>
      </c>
      <c r="T1232" t="s">
        <v>75</v>
      </c>
      <c r="U1232" t="s">
        <v>76</v>
      </c>
      <c r="V1232" t="s">
        <v>77</v>
      </c>
      <c r="W1232" t="s">
        <v>78</v>
      </c>
      <c r="X1232" t="s">
        <v>79</v>
      </c>
      <c r="Y1232">
        <v>3.0577502606458502</v>
      </c>
      <c r="Z1232">
        <v>3057.7502606458502</v>
      </c>
      <c r="AA1232">
        <v>4.6584666666666701</v>
      </c>
      <c r="AB1232">
        <v>-74.083966666666697</v>
      </c>
      <c r="AC1232">
        <v>2552</v>
      </c>
      <c r="AD1232">
        <v>0</v>
      </c>
      <c r="AE1232" t="s">
        <v>80</v>
      </c>
      <c r="AF1232" t="s">
        <v>81</v>
      </c>
      <c r="AG1232" t="s">
        <v>82</v>
      </c>
      <c r="AH1232" t="s">
        <v>83</v>
      </c>
      <c r="AI1232" t="s">
        <v>412</v>
      </c>
      <c r="AJ1232">
        <v>1.9743430482305699</v>
      </c>
      <c r="AK1232">
        <v>5.6648396755157702</v>
      </c>
      <c r="AL1232">
        <v>1.5607590487982299</v>
      </c>
      <c r="AM1232">
        <v>0.40100051359361299</v>
      </c>
      <c r="AN1232">
        <v>1.05703014522988</v>
      </c>
      <c r="AO1232">
        <v>0.32491516194720499</v>
      </c>
      <c r="AP1232">
        <v>0.32491516194720499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17</v>
      </c>
      <c r="AW1232">
        <v>0</v>
      </c>
      <c r="AX1232">
        <v>0</v>
      </c>
      <c r="AZ1232">
        <v>6.8</v>
      </c>
      <c r="BA1232">
        <v>19.899999999999999</v>
      </c>
      <c r="BB1232">
        <v>564</v>
      </c>
      <c r="BC1232">
        <v>68</v>
      </c>
      <c r="BD1232">
        <v>1.5</v>
      </c>
      <c r="BE1232">
        <v>135</v>
      </c>
      <c r="BF1232">
        <v>0.8</v>
      </c>
      <c r="BG1232">
        <v>162</v>
      </c>
      <c r="BH1232">
        <v>9.1</v>
      </c>
      <c r="BI1232">
        <v>9.1999999999999993</v>
      </c>
      <c r="BJ1232">
        <v>18.3</v>
      </c>
      <c r="BK1232">
        <v>0.34</v>
      </c>
      <c r="BL1232">
        <v>7.3</v>
      </c>
      <c r="BM1232">
        <v>0.9</v>
      </c>
      <c r="BN1232">
        <v>7.5</v>
      </c>
      <c r="BO1232">
        <v>2.9</v>
      </c>
      <c r="BP1232">
        <f t="shared" si="38"/>
        <v>5.8448677838315817</v>
      </c>
      <c r="BQ1232">
        <f t="shared" si="39"/>
        <v>18.491917143986729</v>
      </c>
    </row>
    <row r="1233" spans="1:69" hidden="1" x14ac:dyDescent="0.2">
      <c r="A1233" t="s">
        <v>3361</v>
      </c>
      <c r="B1233" t="s">
        <v>68</v>
      </c>
      <c r="C1233" t="s">
        <v>3294</v>
      </c>
      <c r="D1233" t="s">
        <v>70</v>
      </c>
      <c r="E1233" t="s">
        <v>1098</v>
      </c>
      <c r="F1233">
        <v>3</v>
      </c>
      <c r="G1233">
        <v>24.43</v>
      </c>
      <c r="H1233">
        <v>1</v>
      </c>
      <c r="I1233">
        <v>1</v>
      </c>
      <c r="J1233">
        <v>0</v>
      </c>
      <c r="K1233" t="s">
        <v>110</v>
      </c>
      <c r="L1233" t="s">
        <v>133</v>
      </c>
      <c r="M1233" s="4">
        <v>282000000</v>
      </c>
      <c r="N1233">
        <v>0</v>
      </c>
      <c r="O1233">
        <v>4.6062200000000004</v>
      </c>
      <c r="P1233">
        <v>-74.069820000000007</v>
      </c>
      <c r="Q1233" t="s">
        <v>3362</v>
      </c>
      <c r="R1233">
        <v>11543184.609999999</v>
      </c>
      <c r="S1233">
        <v>0</v>
      </c>
      <c r="T1233" t="s">
        <v>126</v>
      </c>
      <c r="U1233" t="s">
        <v>127</v>
      </c>
      <c r="V1233" t="s">
        <v>77</v>
      </c>
      <c r="W1233" t="s">
        <v>128</v>
      </c>
      <c r="X1233" t="s">
        <v>129</v>
      </c>
      <c r="Y1233">
        <v>2.1677116937923602</v>
      </c>
      <c r="Z1233">
        <v>2167.7116937923602</v>
      </c>
      <c r="AA1233">
        <v>4.6254861111111101</v>
      </c>
      <c r="AB1233">
        <v>-74.066980555555503</v>
      </c>
      <c r="AC1233">
        <v>2621</v>
      </c>
      <c r="AD1233">
        <v>15</v>
      </c>
      <c r="AE1233" t="s">
        <v>80</v>
      </c>
      <c r="AF1233" t="s">
        <v>81</v>
      </c>
      <c r="AG1233" t="s">
        <v>82</v>
      </c>
      <c r="AH1233" t="s">
        <v>83</v>
      </c>
      <c r="AI1233" t="s">
        <v>138</v>
      </c>
      <c r="AJ1233">
        <v>0.32766150302208003</v>
      </c>
      <c r="AK1233">
        <v>0.57751539072407199</v>
      </c>
      <c r="AL1233">
        <v>5.4107842473486101E-2</v>
      </c>
      <c r="AM1233">
        <v>0.11934251047179401</v>
      </c>
      <c r="AN1233">
        <v>1.0723907097282901</v>
      </c>
      <c r="AO1233">
        <v>3.5437666742283103E-2</v>
      </c>
      <c r="AP1233">
        <v>3.5437666742283103E-2</v>
      </c>
      <c r="AQ1233">
        <v>2</v>
      </c>
      <c r="AR1233">
        <v>7</v>
      </c>
      <c r="AS1233">
        <v>0</v>
      </c>
      <c r="AT1233">
        <v>28</v>
      </c>
      <c r="AU1233">
        <v>14</v>
      </c>
      <c r="AV1233">
        <v>52</v>
      </c>
      <c r="AW1233">
        <v>0</v>
      </c>
      <c r="AX1233">
        <v>9</v>
      </c>
      <c r="AZ1233">
        <v>6.8</v>
      </c>
      <c r="BA1233">
        <v>19.899999999999999</v>
      </c>
      <c r="BB1233">
        <v>564</v>
      </c>
      <c r="BC1233">
        <v>68</v>
      </c>
      <c r="BD1233">
        <v>1.5</v>
      </c>
      <c r="BE1233">
        <v>135</v>
      </c>
      <c r="BF1233">
        <v>0.8</v>
      </c>
      <c r="BG1233">
        <v>162</v>
      </c>
      <c r="BH1233">
        <v>9.1</v>
      </c>
      <c r="BI1233">
        <v>9.1999999999999993</v>
      </c>
      <c r="BJ1233">
        <v>18.3</v>
      </c>
      <c r="BK1233">
        <v>0.34</v>
      </c>
      <c r="BL1233">
        <v>7.3</v>
      </c>
      <c r="BM1233">
        <v>0.9</v>
      </c>
      <c r="BN1233">
        <v>7.5</v>
      </c>
      <c r="BO1233">
        <v>2.9</v>
      </c>
      <c r="BP1233">
        <f t="shared" si="38"/>
        <v>6.1081312988750716</v>
      </c>
      <c r="BQ1233">
        <f t="shared" si="39"/>
        <v>18.891170641373659</v>
      </c>
    </row>
    <row r="1234" spans="1:69" hidden="1" x14ac:dyDescent="0.2">
      <c r="A1234" t="s">
        <v>3992</v>
      </c>
      <c r="B1234" t="s">
        <v>68</v>
      </c>
      <c r="C1234" t="s">
        <v>3294</v>
      </c>
      <c r="D1234" t="s">
        <v>70</v>
      </c>
      <c r="E1234" t="s">
        <v>2521</v>
      </c>
      <c r="F1234">
        <v>4</v>
      </c>
      <c r="G1234">
        <v>24.41</v>
      </c>
      <c r="H1234">
        <v>1</v>
      </c>
      <c r="I1234">
        <v>1</v>
      </c>
      <c r="J1234">
        <v>0</v>
      </c>
      <c r="K1234" t="s">
        <v>110</v>
      </c>
      <c r="L1234" t="s">
        <v>111</v>
      </c>
      <c r="M1234" s="4">
        <v>320000000</v>
      </c>
      <c r="N1234">
        <v>0</v>
      </c>
      <c r="O1234">
        <v>4.6772203450000003</v>
      </c>
      <c r="P1234">
        <v>-74.06018066</v>
      </c>
      <c r="Q1234" t="s">
        <v>3993</v>
      </c>
      <c r="R1234">
        <v>13109381.4</v>
      </c>
      <c r="S1234">
        <v>0</v>
      </c>
      <c r="T1234" t="s">
        <v>75</v>
      </c>
      <c r="U1234" t="s">
        <v>76</v>
      </c>
      <c r="V1234" t="s">
        <v>77</v>
      </c>
      <c r="W1234" t="s">
        <v>78</v>
      </c>
      <c r="X1234" t="s">
        <v>79</v>
      </c>
      <c r="Y1234">
        <v>3.3649576479637302</v>
      </c>
      <c r="Z1234">
        <v>3364.9576479637299</v>
      </c>
      <c r="AA1234">
        <v>4.6584666666666701</v>
      </c>
      <c r="AB1234">
        <v>-74.083966666666697</v>
      </c>
      <c r="AC1234">
        <v>2552</v>
      </c>
      <c r="AD1234">
        <v>0</v>
      </c>
      <c r="AE1234" t="s">
        <v>80</v>
      </c>
      <c r="AF1234" t="s">
        <v>81</v>
      </c>
      <c r="AG1234" t="s">
        <v>82</v>
      </c>
      <c r="AH1234" t="s">
        <v>83</v>
      </c>
      <c r="AI1234" t="s">
        <v>342</v>
      </c>
      <c r="AJ1234">
        <v>0.18666236193882199</v>
      </c>
      <c r="AK1234">
        <v>2.1213873185806902</v>
      </c>
      <c r="AL1234">
        <v>0.26495790860548102</v>
      </c>
      <c r="AM1234">
        <v>4.3995384828933302E-2</v>
      </c>
      <c r="AN1234">
        <v>2.4333779814297101</v>
      </c>
      <c r="AO1234">
        <v>0.365335066187019</v>
      </c>
      <c r="AP1234">
        <v>0.365335066187019</v>
      </c>
      <c r="AQ1234">
        <v>1</v>
      </c>
      <c r="AR1234">
        <v>8</v>
      </c>
      <c r="AS1234">
        <v>0</v>
      </c>
      <c r="AT1234">
        <v>0</v>
      </c>
      <c r="AU1234">
        <v>1</v>
      </c>
      <c r="AV1234">
        <v>287</v>
      </c>
      <c r="AW1234">
        <v>0</v>
      </c>
      <c r="AX1234">
        <v>0</v>
      </c>
      <c r="AZ1234">
        <v>6.8</v>
      </c>
      <c r="BA1234">
        <v>19.899999999999999</v>
      </c>
      <c r="BB1234">
        <v>564</v>
      </c>
      <c r="BC1234">
        <v>68</v>
      </c>
      <c r="BD1234">
        <v>1.5</v>
      </c>
      <c r="BE1234">
        <v>135</v>
      </c>
      <c r="BF1234">
        <v>0.8</v>
      </c>
      <c r="BG1234">
        <v>162</v>
      </c>
      <c r="BH1234">
        <v>9.1</v>
      </c>
      <c r="BI1234">
        <v>9.1999999999999993</v>
      </c>
      <c r="BJ1234">
        <v>18.3</v>
      </c>
      <c r="BK1234">
        <v>0.34</v>
      </c>
      <c r="BL1234">
        <v>7.3</v>
      </c>
      <c r="BM1234">
        <v>0.9</v>
      </c>
      <c r="BN1234">
        <v>7.5</v>
      </c>
      <c r="BO1234">
        <v>2.9</v>
      </c>
      <c r="BP1234">
        <f t="shared" si="38"/>
        <v>5.7566586367979777</v>
      </c>
      <c r="BQ1234">
        <f t="shared" si="39"/>
        <v>18.356078043393286</v>
      </c>
    </row>
    <row r="1235" spans="1:69" hidden="1" x14ac:dyDescent="0.2">
      <c r="A1235" t="s">
        <v>4460</v>
      </c>
      <c r="B1235" t="s">
        <v>68</v>
      </c>
      <c r="C1235" t="s">
        <v>3294</v>
      </c>
      <c r="D1235" t="s">
        <v>70</v>
      </c>
      <c r="E1235" t="s">
        <v>1486</v>
      </c>
      <c r="F1235">
        <v>6</v>
      </c>
      <c r="G1235">
        <v>24.27</v>
      </c>
      <c r="H1235">
        <v>1</v>
      </c>
      <c r="I1235">
        <v>1</v>
      </c>
      <c r="J1235">
        <v>1</v>
      </c>
      <c r="K1235" t="s">
        <v>110</v>
      </c>
      <c r="L1235" t="s">
        <v>111</v>
      </c>
      <c r="M1235" s="4">
        <v>450000000</v>
      </c>
      <c r="N1235">
        <v>0</v>
      </c>
      <c r="O1235">
        <v>4.6815619999999996</v>
      </c>
      <c r="P1235">
        <v>-74.055980000000005</v>
      </c>
      <c r="Q1235" t="s">
        <v>4461</v>
      </c>
      <c r="R1235">
        <v>18541409.149999999</v>
      </c>
      <c r="S1235">
        <v>0</v>
      </c>
      <c r="T1235" t="s">
        <v>75</v>
      </c>
      <c r="U1235" t="s">
        <v>76</v>
      </c>
      <c r="V1235" t="s">
        <v>77</v>
      </c>
      <c r="W1235" t="s">
        <v>78</v>
      </c>
      <c r="X1235" t="s">
        <v>79</v>
      </c>
      <c r="Y1235">
        <v>4.0313273645067902</v>
      </c>
      <c r="Z1235">
        <v>4031.3273645067902</v>
      </c>
      <c r="AA1235">
        <v>4.6584666666666701</v>
      </c>
      <c r="AB1235">
        <v>-74.083966666666697</v>
      </c>
      <c r="AC1235">
        <v>2552</v>
      </c>
      <c r="AD1235">
        <v>0</v>
      </c>
      <c r="AE1235" t="s">
        <v>80</v>
      </c>
      <c r="AF1235" t="s">
        <v>81</v>
      </c>
      <c r="AG1235" t="s">
        <v>82</v>
      </c>
      <c r="AH1235" t="s">
        <v>83</v>
      </c>
      <c r="AI1235" t="s">
        <v>130</v>
      </c>
      <c r="AJ1235">
        <v>0.32635223880348302</v>
      </c>
      <c r="AK1235">
        <v>2.0077617162312298</v>
      </c>
      <c r="AL1235">
        <v>0.58209682029158705</v>
      </c>
      <c r="AM1235">
        <v>5.5270754368578999E-2</v>
      </c>
      <c r="AN1235">
        <v>2.9948939577273599</v>
      </c>
      <c r="AO1235">
        <v>0.33609746580022998</v>
      </c>
      <c r="AP1235">
        <v>0.33609746580022998</v>
      </c>
      <c r="AQ1235">
        <v>1</v>
      </c>
      <c r="AR1235">
        <v>4</v>
      </c>
      <c r="AS1235">
        <v>0</v>
      </c>
      <c r="AT1235">
        <v>0</v>
      </c>
      <c r="AU1235">
        <v>5</v>
      </c>
      <c r="AV1235">
        <v>247</v>
      </c>
      <c r="AW1235">
        <v>0</v>
      </c>
      <c r="AX1235">
        <v>0</v>
      </c>
      <c r="AZ1235">
        <v>6.8</v>
      </c>
      <c r="BA1235">
        <v>19.899999999999999</v>
      </c>
      <c r="BB1235">
        <v>564</v>
      </c>
      <c r="BC1235">
        <v>68</v>
      </c>
      <c r="BD1235">
        <v>1.5</v>
      </c>
      <c r="BE1235">
        <v>135</v>
      </c>
      <c r="BF1235">
        <v>0.8</v>
      </c>
      <c r="BG1235">
        <v>162</v>
      </c>
      <c r="BH1235">
        <v>9.1</v>
      </c>
      <c r="BI1235">
        <v>9.1999999999999993</v>
      </c>
      <c r="BJ1235">
        <v>18.3</v>
      </c>
      <c r="BK1235">
        <v>0.34</v>
      </c>
      <c r="BL1235">
        <v>7.3</v>
      </c>
      <c r="BM1235">
        <v>0.9</v>
      </c>
      <c r="BN1235">
        <v>7.5</v>
      </c>
      <c r="BO1235">
        <v>2.9</v>
      </c>
      <c r="BP1235">
        <f t="shared" si="38"/>
        <v>5.569871076599842</v>
      </c>
      <c r="BQ1235">
        <f t="shared" si="39"/>
        <v>18.064846635714119</v>
      </c>
    </row>
    <row r="1236" spans="1:69" hidden="1" x14ac:dyDescent="0.2">
      <c r="A1236" t="s">
        <v>3479</v>
      </c>
      <c r="B1236" t="s">
        <v>68</v>
      </c>
      <c r="C1236" t="s">
        <v>3294</v>
      </c>
      <c r="D1236" t="s">
        <v>70</v>
      </c>
      <c r="E1236" t="s">
        <v>1074</v>
      </c>
      <c r="F1236">
        <v>6</v>
      </c>
      <c r="G1236">
        <v>24.27</v>
      </c>
      <c r="H1236">
        <v>1</v>
      </c>
      <c r="I1236">
        <v>1</v>
      </c>
      <c r="J1236">
        <v>1</v>
      </c>
      <c r="K1236" t="s">
        <v>110</v>
      </c>
      <c r="L1236" t="s">
        <v>111</v>
      </c>
      <c r="M1236" s="4">
        <v>415000000</v>
      </c>
      <c r="N1236">
        <v>0</v>
      </c>
      <c r="O1236">
        <v>4.6810836790000003</v>
      </c>
      <c r="P1236">
        <v>-74.056152339999997</v>
      </c>
      <c r="Q1236" t="s">
        <v>3480</v>
      </c>
      <c r="R1236">
        <v>17099299.550000001</v>
      </c>
      <c r="S1236">
        <v>0</v>
      </c>
      <c r="T1236" t="s">
        <v>75</v>
      </c>
      <c r="U1236" t="s">
        <v>76</v>
      </c>
      <c r="V1236" t="s">
        <v>77</v>
      </c>
      <c r="W1236" t="s">
        <v>78</v>
      </c>
      <c r="X1236" t="s">
        <v>79</v>
      </c>
      <c r="Y1236">
        <v>3.9827467818729398</v>
      </c>
      <c r="Z1236">
        <v>3982.7467818729401</v>
      </c>
      <c r="AA1236">
        <v>4.6584666666666701</v>
      </c>
      <c r="AB1236">
        <v>-74.083966666666697</v>
      </c>
      <c r="AC1236">
        <v>2552</v>
      </c>
      <c r="AD1236">
        <v>0</v>
      </c>
      <c r="AE1236" t="s">
        <v>80</v>
      </c>
      <c r="AF1236" t="s">
        <v>81</v>
      </c>
      <c r="AG1236" t="s">
        <v>82</v>
      </c>
      <c r="AH1236" t="s">
        <v>83</v>
      </c>
      <c r="AI1236" t="s">
        <v>130</v>
      </c>
      <c r="AJ1236">
        <v>0.360856776985711</v>
      </c>
      <c r="AK1236">
        <v>2.0032291778344402</v>
      </c>
      <c r="AL1236">
        <v>0.63598338431257795</v>
      </c>
      <c r="AM1236">
        <v>0.111184446616394</v>
      </c>
      <c r="AN1236">
        <v>2.96181154617737</v>
      </c>
      <c r="AO1236">
        <v>0.30435811307343502</v>
      </c>
      <c r="AP1236">
        <v>0.30435811307343502</v>
      </c>
      <c r="AQ1236">
        <v>1</v>
      </c>
      <c r="AR1236">
        <v>4</v>
      </c>
      <c r="AS1236">
        <v>0</v>
      </c>
      <c r="AT1236">
        <v>0</v>
      </c>
      <c r="AU1236">
        <v>5</v>
      </c>
      <c r="AV1236">
        <v>247</v>
      </c>
      <c r="AW1236">
        <v>0</v>
      </c>
      <c r="AX1236">
        <v>0</v>
      </c>
      <c r="AZ1236">
        <v>6.8</v>
      </c>
      <c r="BA1236">
        <v>19.899999999999999</v>
      </c>
      <c r="BB1236">
        <v>564</v>
      </c>
      <c r="BC1236">
        <v>68</v>
      </c>
      <c r="BD1236">
        <v>1.5</v>
      </c>
      <c r="BE1236">
        <v>135</v>
      </c>
      <c r="BF1236">
        <v>0.8</v>
      </c>
      <c r="BG1236">
        <v>162</v>
      </c>
      <c r="BH1236">
        <v>9.1</v>
      </c>
      <c r="BI1236">
        <v>9.1999999999999993</v>
      </c>
      <c r="BJ1236">
        <v>18.3</v>
      </c>
      <c r="BK1236">
        <v>0.34</v>
      </c>
      <c r="BL1236">
        <v>7.3</v>
      </c>
      <c r="BM1236">
        <v>0.9</v>
      </c>
      <c r="BN1236">
        <v>7.5</v>
      </c>
      <c r="BO1236">
        <v>2.9</v>
      </c>
      <c r="BP1236">
        <f t="shared" si="38"/>
        <v>5.5832812794691336</v>
      </c>
      <c r="BQ1236">
        <f t="shared" si="39"/>
        <v>18.085921337776462</v>
      </c>
    </row>
    <row r="1237" spans="1:69" hidden="1" x14ac:dyDescent="0.2">
      <c r="A1237" t="s">
        <v>1102</v>
      </c>
      <c r="B1237" t="s">
        <v>68</v>
      </c>
      <c r="C1237" t="s">
        <v>69</v>
      </c>
      <c r="D1237" t="s">
        <v>70</v>
      </c>
      <c r="E1237" t="s">
        <v>1103</v>
      </c>
      <c r="F1237">
        <v>3</v>
      </c>
      <c r="G1237">
        <v>24.17</v>
      </c>
      <c r="H1237">
        <v>1</v>
      </c>
      <c r="I1237">
        <v>1</v>
      </c>
      <c r="J1237">
        <v>1</v>
      </c>
      <c r="K1237" t="s">
        <v>110</v>
      </c>
      <c r="L1237" t="s">
        <v>111</v>
      </c>
      <c r="M1237" s="4">
        <v>220000000</v>
      </c>
      <c r="N1237">
        <v>0</v>
      </c>
      <c r="O1237">
        <v>4.7038092999999996</v>
      </c>
      <c r="P1237">
        <v>-74.105580000000003</v>
      </c>
      <c r="Q1237" t="s">
        <v>1104</v>
      </c>
      <c r="R1237">
        <v>9102192.8010000009</v>
      </c>
      <c r="S1237">
        <v>0</v>
      </c>
      <c r="T1237" t="s">
        <v>419</v>
      </c>
      <c r="U1237" t="s">
        <v>420</v>
      </c>
      <c r="V1237" t="s">
        <v>77</v>
      </c>
      <c r="W1237" t="s">
        <v>78</v>
      </c>
      <c r="X1237" t="s">
        <v>421</v>
      </c>
      <c r="Y1237">
        <v>4.2146135911231202</v>
      </c>
      <c r="Z1237">
        <v>4214.6135911231204</v>
      </c>
      <c r="AA1237">
        <v>4.7358055555555598</v>
      </c>
      <c r="AB1237">
        <v>-74.125888888888895</v>
      </c>
      <c r="AC1237">
        <v>2574</v>
      </c>
      <c r="AD1237">
        <v>0</v>
      </c>
      <c r="AE1237" t="s">
        <v>154</v>
      </c>
      <c r="AF1237" t="s">
        <v>107</v>
      </c>
      <c r="AG1237" t="s">
        <v>82</v>
      </c>
      <c r="AH1237" t="s">
        <v>83</v>
      </c>
      <c r="AI1237" t="s">
        <v>412</v>
      </c>
      <c r="AJ1237">
        <v>0.146656258557992</v>
      </c>
      <c r="AK1237">
        <v>3.2702964462407502</v>
      </c>
      <c r="AL1237">
        <v>1.27831896229301</v>
      </c>
      <c r="AM1237">
        <v>0.16255256440057</v>
      </c>
      <c r="AN1237">
        <v>1.5585274524953101</v>
      </c>
      <c r="AO1237">
        <v>6.55564522270723E-3</v>
      </c>
      <c r="AP1237">
        <v>6.55564522270723E-3</v>
      </c>
      <c r="AQ1237">
        <v>2</v>
      </c>
      <c r="AR1237">
        <v>4</v>
      </c>
      <c r="AS1237">
        <v>0</v>
      </c>
      <c r="AT1237">
        <v>0</v>
      </c>
      <c r="AU1237">
        <v>0</v>
      </c>
      <c r="AV1237">
        <v>32</v>
      </c>
      <c r="AW1237">
        <v>0</v>
      </c>
      <c r="AX1237">
        <v>0</v>
      </c>
      <c r="AZ1237">
        <v>6.8</v>
      </c>
      <c r="BA1237">
        <v>19.899999999999999</v>
      </c>
      <c r="BB1237">
        <v>564</v>
      </c>
      <c r="BC1237">
        <v>68</v>
      </c>
      <c r="BD1237">
        <v>1.5</v>
      </c>
      <c r="BE1237">
        <v>135</v>
      </c>
      <c r="BF1237">
        <v>0.8</v>
      </c>
      <c r="BG1237">
        <v>162</v>
      </c>
      <c r="BH1237">
        <v>9.1</v>
      </c>
      <c r="BI1237">
        <v>9.1999999999999993</v>
      </c>
      <c r="BJ1237">
        <v>18.3</v>
      </c>
      <c r="BK1237">
        <v>0.34</v>
      </c>
      <c r="BL1237">
        <v>7.3</v>
      </c>
      <c r="BM1237">
        <v>0.9</v>
      </c>
      <c r="BN1237">
        <v>7.5</v>
      </c>
      <c r="BO1237">
        <v>2.9</v>
      </c>
      <c r="BP1237">
        <f t="shared" si="38"/>
        <v>5.5195660298709708</v>
      </c>
      <c r="BQ1237">
        <f t="shared" si="39"/>
        <v>17.985556255802347</v>
      </c>
    </row>
    <row r="1238" spans="1:69" hidden="1" x14ac:dyDescent="0.2">
      <c r="A1238" t="s">
        <v>4227</v>
      </c>
      <c r="B1238" t="s">
        <v>68</v>
      </c>
      <c r="C1238" t="s">
        <v>3294</v>
      </c>
      <c r="D1238" t="s">
        <v>70</v>
      </c>
      <c r="E1238" t="s">
        <v>132</v>
      </c>
      <c r="F1238">
        <v>6</v>
      </c>
      <c r="G1238">
        <v>24</v>
      </c>
      <c r="H1238">
        <v>1</v>
      </c>
      <c r="I1238">
        <v>1</v>
      </c>
      <c r="J1238">
        <v>1</v>
      </c>
      <c r="K1238" t="s">
        <v>110</v>
      </c>
      <c r="L1238" t="s">
        <v>111</v>
      </c>
      <c r="M1238" s="4">
        <v>399000000</v>
      </c>
      <c r="N1238">
        <v>0</v>
      </c>
      <c r="O1238">
        <v>4.6820930829999998</v>
      </c>
      <c r="P1238">
        <v>-74.055160169999994</v>
      </c>
      <c r="Q1238" t="s">
        <v>4228</v>
      </c>
      <c r="R1238">
        <v>16625000</v>
      </c>
      <c r="S1238">
        <v>0</v>
      </c>
      <c r="T1238" t="s">
        <v>75</v>
      </c>
      <c r="U1238" t="s">
        <v>76</v>
      </c>
      <c r="V1238" t="s">
        <v>77</v>
      </c>
      <c r="W1238" t="s">
        <v>78</v>
      </c>
      <c r="X1238" t="s">
        <v>79</v>
      </c>
      <c r="Y1238">
        <v>4.1391104047324596</v>
      </c>
      <c r="Z1238">
        <v>4139.1104047324598</v>
      </c>
      <c r="AA1238">
        <v>4.6584666666666701</v>
      </c>
      <c r="AB1238">
        <v>-74.083966666666697</v>
      </c>
      <c r="AC1238">
        <v>2552</v>
      </c>
      <c r="AD1238">
        <v>0</v>
      </c>
      <c r="AE1238" t="s">
        <v>80</v>
      </c>
      <c r="AF1238" t="s">
        <v>81</v>
      </c>
      <c r="AG1238" t="s">
        <v>82</v>
      </c>
      <c r="AH1238" t="s">
        <v>83</v>
      </c>
      <c r="AI1238" t="s">
        <v>130</v>
      </c>
      <c r="AJ1238">
        <v>0.34952045579506102</v>
      </c>
      <c r="AK1238">
        <v>1.9528243218344501</v>
      </c>
      <c r="AL1238">
        <v>0.48182820651527503</v>
      </c>
      <c r="AM1238">
        <v>6.5544088265223205E-2</v>
      </c>
      <c r="AN1238">
        <v>3.0989321064638302</v>
      </c>
      <c r="AO1238">
        <v>0.37797882782603198</v>
      </c>
      <c r="AP1238">
        <v>0.37797882782603198</v>
      </c>
      <c r="AQ1238">
        <v>1</v>
      </c>
      <c r="AR1238">
        <v>3</v>
      </c>
      <c r="AS1238">
        <v>0</v>
      </c>
      <c r="AT1238">
        <v>0</v>
      </c>
      <c r="AU1238">
        <v>5</v>
      </c>
      <c r="AV1238">
        <v>243</v>
      </c>
      <c r="AW1238">
        <v>0</v>
      </c>
      <c r="AX1238">
        <v>0</v>
      </c>
      <c r="AZ1238">
        <v>6.8</v>
      </c>
      <c r="BA1238">
        <v>19.899999999999999</v>
      </c>
      <c r="BB1238">
        <v>564</v>
      </c>
      <c r="BC1238">
        <v>68</v>
      </c>
      <c r="BD1238">
        <v>1.5</v>
      </c>
      <c r="BE1238">
        <v>135</v>
      </c>
      <c r="BF1238">
        <v>0.8</v>
      </c>
      <c r="BG1238">
        <v>162</v>
      </c>
      <c r="BH1238">
        <v>9.1</v>
      </c>
      <c r="BI1238">
        <v>9.1999999999999993</v>
      </c>
      <c r="BJ1238">
        <v>18.3</v>
      </c>
      <c r="BK1238">
        <v>0.34</v>
      </c>
      <c r="BL1238">
        <v>7.3</v>
      </c>
      <c r="BM1238">
        <v>0.9</v>
      </c>
      <c r="BN1238">
        <v>7.5</v>
      </c>
      <c r="BO1238">
        <v>2.9</v>
      </c>
      <c r="BP1238">
        <f t="shared" si="38"/>
        <v>5.5402334959133794</v>
      </c>
      <c r="BQ1238">
        <f t="shared" si="39"/>
        <v>18.018177005874758</v>
      </c>
    </row>
    <row r="1239" spans="1:69" hidden="1" x14ac:dyDescent="0.2">
      <c r="A1239" t="s">
        <v>4116</v>
      </c>
      <c r="B1239" t="s">
        <v>68</v>
      </c>
      <c r="C1239" t="s">
        <v>3294</v>
      </c>
      <c r="D1239" t="s">
        <v>70</v>
      </c>
      <c r="E1239" t="s">
        <v>136</v>
      </c>
      <c r="F1239">
        <v>4</v>
      </c>
      <c r="G1239">
        <v>24</v>
      </c>
      <c r="H1239">
        <v>1</v>
      </c>
      <c r="I1239">
        <v>1</v>
      </c>
      <c r="J1239">
        <v>0</v>
      </c>
      <c r="K1239" t="s">
        <v>110</v>
      </c>
      <c r="L1239" t="s">
        <v>111</v>
      </c>
      <c r="M1239" s="4">
        <v>355000000</v>
      </c>
      <c r="N1239">
        <v>0</v>
      </c>
      <c r="O1239">
        <v>4.620581627</v>
      </c>
      <c r="P1239">
        <v>-74.069885249999999</v>
      </c>
      <c r="Q1239" t="s">
        <v>4117</v>
      </c>
      <c r="R1239">
        <v>14791666.67</v>
      </c>
      <c r="S1239">
        <v>0</v>
      </c>
      <c r="T1239" t="s">
        <v>126</v>
      </c>
      <c r="U1239" t="s">
        <v>127</v>
      </c>
      <c r="V1239" t="s">
        <v>77</v>
      </c>
      <c r="W1239" t="s">
        <v>128</v>
      </c>
      <c r="X1239" t="s">
        <v>129</v>
      </c>
      <c r="Y1239">
        <v>0.633997516669768</v>
      </c>
      <c r="Z1239">
        <v>633.99751666976795</v>
      </c>
      <c r="AA1239">
        <v>4.6254861111111101</v>
      </c>
      <c r="AB1239">
        <v>-74.066980555555503</v>
      </c>
      <c r="AC1239">
        <v>2621</v>
      </c>
      <c r="AD1239">
        <v>15</v>
      </c>
      <c r="AE1239" t="s">
        <v>80</v>
      </c>
      <c r="AF1239" t="s">
        <v>81</v>
      </c>
      <c r="AG1239" t="s">
        <v>82</v>
      </c>
      <c r="AH1239" t="s">
        <v>83</v>
      </c>
      <c r="AI1239" t="s">
        <v>138</v>
      </c>
      <c r="AJ1239">
        <v>0.11136946779222399</v>
      </c>
      <c r="AK1239">
        <v>0.89949815752611095</v>
      </c>
      <c r="AL1239">
        <v>0.31405967624686398</v>
      </c>
      <c r="AM1239">
        <v>3.8130556448605898E-2</v>
      </c>
      <c r="AN1239">
        <v>0.70381445224444295</v>
      </c>
      <c r="AO1239">
        <v>3.9668829955487601E-2</v>
      </c>
      <c r="AP1239">
        <v>3.9668829955487601E-2</v>
      </c>
      <c r="AQ1239">
        <v>1</v>
      </c>
      <c r="AR1239">
        <v>6</v>
      </c>
      <c r="AS1239">
        <v>0</v>
      </c>
      <c r="AT1239">
        <v>3</v>
      </c>
      <c r="AU1239">
        <v>17</v>
      </c>
      <c r="AV1239">
        <v>91</v>
      </c>
      <c r="AW1239">
        <v>2</v>
      </c>
      <c r="AX1239">
        <v>1</v>
      </c>
      <c r="AZ1239">
        <v>6.8</v>
      </c>
      <c r="BA1239">
        <v>19.899999999999999</v>
      </c>
      <c r="BB1239">
        <v>564</v>
      </c>
      <c r="BC1239">
        <v>68</v>
      </c>
      <c r="BD1239">
        <v>1.5</v>
      </c>
      <c r="BE1239">
        <v>135</v>
      </c>
      <c r="BF1239">
        <v>0.8</v>
      </c>
      <c r="BG1239">
        <v>162</v>
      </c>
      <c r="BH1239">
        <v>9.1</v>
      </c>
      <c r="BI1239">
        <v>9.1999999999999993</v>
      </c>
      <c r="BJ1239">
        <v>18.3</v>
      </c>
      <c r="BK1239">
        <v>0.34</v>
      </c>
      <c r="BL1239">
        <v>7.3</v>
      </c>
      <c r="BM1239">
        <v>0.9</v>
      </c>
      <c r="BN1239">
        <v>7.5</v>
      </c>
      <c r="BO1239">
        <v>2.9</v>
      </c>
      <c r="BP1239">
        <f t="shared" si="38"/>
        <v>6.5899102882551626</v>
      </c>
      <c r="BQ1239">
        <f t="shared" si="39"/>
        <v>19.599494818350987</v>
      </c>
    </row>
    <row r="1240" spans="1:69" hidden="1" x14ac:dyDescent="0.2">
      <c r="A1240" t="s">
        <v>3337</v>
      </c>
      <c r="B1240" t="s">
        <v>68</v>
      </c>
      <c r="C1240" t="s">
        <v>3294</v>
      </c>
      <c r="D1240" t="s">
        <v>70</v>
      </c>
      <c r="E1240" t="s">
        <v>684</v>
      </c>
      <c r="F1240">
        <v>4</v>
      </c>
      <c r="G1240">
        <v>24</v>
      </c>
      <c r="H1240">
        <v>1</v>
      </c>
      <c r="I1240">
        <v>1</v>
      </c>
      <c r="J1240">
        <v>0</v>
      </c>
      <c r="K1240" t="s">
        <v>110</v>
      </c>
      <c r="L1240" t="s">
        <v>111</v>
      </c>
      <c r="M1240" s="4">
        <v>309999000</v>
      </c>
      <c r="N1240">
        <v>0</v>
      </c>
      <c r="O1240">
        <v>4.6807599069999997</v>
      </c>
      <c r="P1240">
        <v>-74.061386110000001</v>
      </c>
      <c r="Q1240" t="s">
        <v>3338</v>
      </c>
      <c r="R1240">
        <v>12916625</v>
      </c>
      <c r="S1240">
        <v>0</v>
      </c>
      <c r="T1240" t="s">
        <v>75</v>
      </c>
      <c r="U1240" t="s">
        <v>76</v>
      </c>
      <c r="V1240" t="s">
        <v>77</v>
      </c>
      <c r="W1240" t="s">
        <v>78</v>
      </c>
      <c r="X1240" t="s">
        <v>79</v>
      </c>
      <c r="Y1240">
        <v>3.52637027985087</v>
      </c>
      <c r="Z1240">
        <v>3526.3702798508698</v>
      </c>
      <c r="AA1240">
        <v>4.6584666666666701</v>
      </c>
      <c r="AB1240">
        <v>-74.083966666666697</v>
      </c>
      <c r="AC1240">
        <v>2552</v>
      </c>
      <c r="AD1240">
        <v>0</v>
      </c>
      <c r="AE1240" t="s">
        <v>80</v>
      </c>
      <c r="AF1240" t="s">
        <v>81</v>
      </c>
      <c r="AG1240" t="s">
        <v>82</v>
      </c>
      <c r="AH1240" t="s">
        <v>83</v>
      </c>
      <c r="AI1240" t="s">
        <v>342</v>
      </c>
      <c r="AJ1240">
        <v>0.38305319544269301</v>
      </c>
      <c r="AK1240">
        <v>2.4369043302477298</v>
      </c>
      <c r="AL1240">
        <v>0.18021716224250001</v>
      </c>
      <c r="AM1240">
        <v>4.3686383777035598E-2</v>
      </c>
      <c r="AN1240">
        <v>2.39670484363169</v>
      </c>
      <c r="AO1240">
        <v>1.7184752842940799E-3</v>
      </c>
      <c r="AP1240">
        <v>1.7184752842940799E-3</v>
      </c>
      <c r="AQ1240">
        <v>2</v>
      </c>
      <c r="AR1240">
        <v>8</v>
      </c>
      <c r="AS1240">
        <v>0</v>
      </c>
      <c r="AT1240">
        <v>0</v>
      </c>
      <c r="AU1240">
        <v>1</v>
      </c>
      <c r="AV1240">
        <v>182</v>
      </c>
      <c r="AW1240">
        <v>0</v>
      </c>
      <c r="AX1240">
        <v>0</v>
      </c>
      <c r="AZ1240">
        <v>6.8</v>
      </c>
      <c r="BA1240">
        <v>19.899999999999999</v>
      </c>
      <c r="BB1240">
        <v>564</v>
      </c>
      <c r="BC1240">
        <v>68</v>
      </c>
      <c r="BD1240">
        <v>1.5</v>
      </c>
      <c r="BE1240">
        <v>135</v>
      </c>
      <c r="BF1240">
        <v>0.8</v>
      </c>
      <c r="BG1240">
        <v>162</v>
      </c>
      <c r="BH1240">
        <v>9.1</v>
      </c>
      <c r="BI1240">
        <v>9.1999999999999993</v>
      </c>
      <c r="BJ1240">
        <v>18.3</v>
      </c>
      <c r="BK1240">
        <v>0.34</v>
      </c>
      <c r="BL1240">
        <v>7.3</v>
      </c>
      <c r="BM1240">
        <v>0.9</v>
      </c>
      <c r="BN1240">
        <v>7.5</v>
      </c>
      <c r="BO1240">
        <v>2.9</v>
      </c>
      <c r="BP1240">
        <f t="shared" si="38"/>
        <v>5.7108466254259511</v>
      </c>
      <c r="BQ1240">
        <f t="shared" si="39"/>
        <v>18.285105932857732</v>
      </c>
    </row>
    <row r="1241" spans="1:69" hidden="1" x14ac:dyDescent="0.2">
      <c r="A1241" t="s">
        <v>3502</v>
      </c>
      <c r="B1241" t="s">
        <v>68</v>
      </c>
      <c r="C1241" t="s">
        <v>3294</v>
      </c>
      <c r="D1241" t="s">
        <v>70</v>
      </c>
      <c r="E1241" t="s">
        <v>3503</v>
      </c>
      <c r="F1241">
        <v>4</v>
      </c>
      <c r="G1241">
        <v>23.63</v>
      </c>
      <c r="H1241">
        <v>1</v>
      </c>
      <c r="I1241">
        <v>1</v>
      </c>
      <c r="J1241">
        <v>0</v>
      </c>
      <c r="K1241" t="s">
        <v>110</v>
      </c>
      <c r="L1241" t="s">
        <v>111</v>
      </c>
      <c r="M1241" s="4">
        <v>340000000</v>
      </c>
      <c r="N1241">
        <v>0</v>
      </c>
      <c r="O1241">
        <v>4.6771519000000001</v>
      </c>
      <c r="P1241">
        <v>-74.060214000000002</v>
      </c>
      <c r="Q1241" t="s">
        <v>3504</v>
      </c>
      <c r="R1241">
        <v>14388489.210000001</v>
      </c>
      <c r="S1241">
        <v>0</v>
      </c>
      <c r="T1241" t="s">
        <v>75</v>
      </c>
      <c r="U1241" t="s">
        <v>76</v>
      </c>
      <c r="V1241" t="s">
        <v>77</v>
      </c>
      <c r="W1241" t="s">
        <v>78</v>
      </c>
      <c r="X1241" t="s">
        <v>79</v>
      </c>
      <c r="Y1241">
        <v>3.3573315973640199</v>
      </c>
      <c r="Z1241">
        <v>3357.3315973640201</v>
      </c>
      <c r="AA1241">
        <v>4.6584666666666701</v>
      </c>
      <c r="AB1241">
        <v>-74.083966666666697</v>
      </c>
      <c r="AC1241">
        <v>2552</v>
      </c>
      <c r="AD1241">
        <v>0</v>
      </c>
      <c r="AE1241" t="s">
        <v>80</v>
      </c>
      <c r="AF1241" t="s">
        <v>81</v>
      </c>
      <c r="AG1241" t="s">
        <v>82</v>
      </c>
      <c r="AH1241" t="s">
        <v>83</v>
      </c>
      <c r="AI1241" t="s">
        <v>342</v>
      </c>
      <c r="AJ1241">
        <v>0.18390496831758801</v>
      </c>
      <c r="AK1241">
        <v>2.1212043692505298</v>
      </c>
      <c r="AL1241">
        <v>0.26892565002343699</v>
      </c>
      <c r="AM1241">
        <v>3.8302756007817497E-2</v>
      </c>
      <c r="AN1241">
        <v>2.4285648165394802</v>
      </c>
      <c r="AO1241">
        <v>0.373405176783773</v>
      </c>
      <c r="AP1241">
        <v>0.373405176783773</v>
      </c>
      <c r="AQ1241">
        <v>2</v>
      </c>
      <c r="AR1241">
        <v>9</v>
      </c>
      <c r="AS1241">
        <v>0</v>
      </c>
      <c r="AT1241">
        <v>0</v>
      </c>
      <c r="AU1241">
        <v>1</v>
      </c>
      <c r="AV1241">
        <v>299</v>
      </c>
      <c r="AW1241">
        <v>0</v>
      </c>
      <c r="AX1241">
        <v>0</v>
      </c>
      <c r="AZ1241">
        <v>6.8</v>
      </c>
      <c r="BA1241">
        <v>19.899999999999999</v>
      </c>
      <c r="BB1241">
        <v>564</v>
      </c>
      <c r="BC1241">
        <v>68</v>
      </c>
      <c r="BD1241">
        <v>1.5</v>
      </c>
      <c r="BE1241">
        <v>135</v>
      </c>
      <c r="BF1241">
        <v>0.8</v>
      </c>
      <c r="BG1241">
        <v>162</v>
      </c>
      <c r="BH1241">
        <v>9.1</v>
      </c>
      <c r="BI1241">
        <v>9.1999999999999993</v>
      </c>
      <c r="BJ1241">
        <v>18.3</v>
      </c>
      <c r="BK1241">
        <v>0.34</v>
      </c>
      <c r="BL1241">
        <v>7.3</v>
      </c>
      <c r="BM1241">
        <v>0.9</v>
      </c>
      <c r="BN1241">
        <v>7.5</v>
      </c>
      <c r="BO1241">
        <v>2.9</v>
      </c>
      <c r="BP1241">
        <f t="shared" si="38"/>
        <v>5.758832125224151</v>
      </c>
      <c r="BQ1241">
        <f t="shared" si="39"/>
        <v>18.3594379759794</v>
      </c>
    </row>
    <row r="1242" spans="1:69" hidden="1" x14ac:dyDescent="0.2">
      <c r="A1242" t="s">
        <v>4567</v>
      </c>
      <c r="B1242" t="s">
        <v>68</v>
      </c>
      <c r="C1242" t="s">
        <v>3294</v>
      </c>
      <c r="D1242" t="s">
        <v>70</v>
      </c>
      <c r="E1242" t="s">
        <v>3661</v>
      </c>
      <c r="F1242">
        <v>4</v>
      </c>
      <c r="G1242">
        <v>23.57</v>
      </c>
      <c r="H1242">
        <v>1</v>
      </c>
      <c r="I1242">
        <v>1</v>
      </c>
      <c r="J1242">
        <v>1</v>
      </c>
      <c r="K1242" t="s">
        <v>110</v>
      </c>
      <c r="L1242" t="s">
        <v>124</v>
      </c>
      <c r="M1242" s="4">
        <v>240000000</v>
      </c>
      <c r="N1242">
        <v>0</v>
      </c>
      <c r="O1242">
        <v>4.6407220000000002</v>
      </c>
      <c r="P1242">
        <v>-74.076965000000001</v>
      </c>
      <c r="Q1242" t="s">
        <v>4568</v>
      </c>
      <c r="R1242">
        <v>10182435.300000001</v>
      </c>
      <c r="S1242">
        <v>0</v>
      </c>
      <c r="T1242" t="s">
        <v>126</v>
      </c>
      <c r="U1242" t="s">
        <v>127</v>
      </c>
      <c r="V1242" t="s">
        <v>77</v>
      </c>
      <c r="W1242" t="s">
        <v>128</v>
      </c>
      <c r="X1242" t="s">
        <v>129</v>
      </c>
      <c r="Y1242">
        <v>2.0258037390933299</v>
      </c>
      <c r="Z1242">
        <v>2025.80373909333</v>
      </c>
      <c r="AA1242">
        <v>4.6254861111111101</v>
      </c>
      <c r="AB1242">
        <v>-74.066980555555503</v>
      </c>
      <c r="AC1242">
        <v>2621</v>
      </c>
      <c r="AD1242">
        <v>15</v>
      </c>
      <c r="AE1242" t="s">
        <v>80</v>
      </c>
      <c r="AF1242" t="s">
        <v>81</v>
      </c>
      <c r="AG1242" t="s">
        <v>82</v>
      </c>
      <c r="AH1242" t="s">
        <v>83</v>
      </c>
      <c r="AI1242" t="s">
        <v>84</v>
      </c>
      <c r="AJ1242">
        <v>0.47635917318577597</v>
      </c>
      <c r="AK1242">
        <v>2.04269533531928</v>
      </c>
      <c r="AL1242">
        <v>0.40849676899442799</v>
      </c>
      <c r="AM1242">
        <v>9.38199735423077E-2</v>
      </c>
      <c r="AN1242">
        <v>1.8559985871824201</v>
      </c>
      <c r="AO1242">
        <v>0.60156720201375602</v>
      </c>
      <c r="AP1242">
        <v>0.60156720201375602</v>
      </c>
      <c r="AQ1242">
        <v>1</v>
      </c>
      <c r="AR1242">
        <v>2</v>
      </c>
      <c r="AS1242">
        <v>0</v>
      </c>
      <c r="AT1242">
        <v>0</v>
      </c>
      <c r="AU1242">
        <v>5</v>
      </c>
      <c r="AV1242">
        <v>93</v>
      </c>
      <c r="AW1242">
        <v>0</v>
      </c>
      <c r="AX1242">
        <v>0</v>
      </c>
      <c r="AZ1242">
        <v>6.8</v>
      </c>
      <c r="BA1242">
        <v>19.899999999999999</v>
      </c>
      <c r="BB1242">
        <v>564</v>
      </c>
      <c r="BC1242">
        <v>68</v>
      </c>
      <c r="BD1242">
        <v>1.5</v>
      </c>
      <c r="BE1242">
        <v>135</v>
      </c>
      <c r="BF1242">
        <v>0.8</v>
      </c>
      <c r="BG1242">
        <v>162</v>
      </c>
      <c r="BH1242">
        <v>9.1</v>
      </c>
      <c r="BI1242">
        <v>9.1999999999999993</v>
      </c>
      <c r="BJ1242">
        <v>18.3</v>
      </c>
      <c r="BK1242">
        <v>0.34</v>
      </c>
      <c r="BL1242">
        <v>7.3</v>
      </c>
      <c r="BM1242">
        <v>0.9</v>
      </c>
      <c r="BN1242">
        <v>7.5</v>
      </c>
      <c r="BO1242">
        <v>2.9</v>
      </c>
      <c r="BP1242">
        <f t="shared" si="38"/>
        <v>6.1511885733022558</v>
      </c>
      <c r="BQ1242">
        <f t="shared" si="39"/>
        <v>18.955619706398167</v>
      </c>
    </row>
    <row r="1243" spans="1:69" hidden="1" x14ac:dyDescent="0.2">
      <c r="A1243" t="s">
        <v>3363</v>
      </c>
      <c r="B1243" t="s">
        <v>68</v>
      </c>
      <c r="C1243" t="s">
        <v>3294</v>
      </c>
      <c r="D1243" t="s">
        <v>70</v>
      </c>
      <c r="E1243" t="s">
        <v>684</v>
      </c>
      <c r="F1243">
        <v>5</v>
      </c>
      <c r="G1243">
        <v>23.16</v>
      </c>
      <c r="H1243">
        <v>1</v>
      </c>
      <c r="I1243">
        <v>1</v>
      </c>
      <c r="J1243">
        <v>0</v>
      </c>
      <c r="K1243" t="s">
        <v>110</v>
      </c>
      <c r="L1243" t="s">
        <v>111</v>
      </c>
      <c r="M1243" s="4">
        <v>270000000</v>
      </c>
      <c r="N1243">
        <v>0</v>
      </c>
      <c r="O1243">
        <v>4.6831173899999996</v>
      </c>
      <c r="P1243">
        <v>-74.058715820000003</v>
      </c>
      <c r="Q1243" t="s">
        <v>3364</v>
      </c>
      <c r="R1243">
        <v>11658031.09</v>
      </c>
      <c r="S1243">
        <v>0</v>
      </c>
      <c r="T1243" t="s">
        <v>75</v>
      </c>
      <c r="U1243" t="s">
        <v>76</v>
      </c>
      <c r="V1243" t="s">
        <v>77</v>
      </c>
      <c r="W1243" t="s">
        <v>78</v>
      </c>
      <c r="X1243" t="s">
        <v>79</v>
      </c>
      <c r="Y1243">
        <v>3.9216001784430801</v>
      </c>
      <c r="Z1243">
        <v>3921.60017844308</v>
      </c>
      <c r="AA1243">
        <v>4.6584666666666701</v>
      </c>
      <c r="AB1243">
        <v>-74.083966666666697</v>
      </c>
      <c r="AC1243">
        <v>2552</v>
      </c>
      <c r="AD1243">
        <v>0</v>
      </c>
      <c r="AE1243" t="s">
        <v>80</v>
      </c>
      <c r="AF1243" t="s">
        <v>81</v>
      </c>
      <c r="AG1243" t="s">
        <v>82</v>
      </c>
      <c r="AH1243" t="s">
        <v>83</v>
      </c>
      <c r="AI1243" t="s">
        <v>342</v>
      </c>
      <c r="AJ1243">
        <v>0.144347729410463</v>
      </c>
      <c r="AK1243">
        <v>2.3556136911233501</v>
      </c>
      <c r="AL1243">
        <v>0.54362910705743595</v>
      </c>
      <c r="AM1243">
        <v>2.5952434875749799E-2</v>
      </c>
      <c r="AN1243">
        <v>2.76482497928406</v>
      </c>
      <c r="AO1243">
        <v>6.3530221483573401E-2</v>
      </c>
      <c r="AP1243">
        <v>6.3530221483573401E-2</v>
      </c>
      <c r="AQ1243">
        <v>1</v>
      </c>
      <c r="AR1243">
        <v>5</v>
      </c>
      <c r="AS1243">
        <v>0</v>
      </c>
      <c r="AT1243">
        <v>0</v>
      </c>
      <c r="AU1243">
        <v>3</v>
      </c>
      <c r="AV1243">
        <v>225</v>
      </c>
      <c r="AW1243">
        <v>0</v>
      </c>
      <c r="AX1243">
        <v>0</v>
      </c>
      <c r="AZ1243">
        <v>6.8</v>
      </c>
      <c r="BA1243">
        <v>19.899999999999999</v>
      </c>
      <c r="BB1243">
        <v>564</v>
      </c>
      <c r="BC1243">
        <v>68</v>
      </c>
      <c r="BD1243">
        <v>1.5</v>
      </c>
      <c r="BE1243">
        <v>135</v>
      </c>
      <c r="BF1243">
        <v>0.8</v>
      </c>
      <c r="BG1243">
        <v>162</v>
      </c>
      <c r="BH1243">
        <v>9.1</v>
      </c>
      <c r="BI1243">
        <v>9.1999999999999993</v>
      </c>
      <c r="BJ1243">
        <v>18.3</v>
      </c>
      <c r="BK1243">
        <v>0.34</v>
      </c>
      <c r="BL1243">
        <v>7.3</v>
      </c>
      <c r="BM1243">
        <v>0.9</v>
      </c>
      <c r="BN1243">
        <v>7.5</v>
      </c>
      <c r="BO1243">
        <v>2.9</v>
      </c>
      <c r="BP1243">
        <f t="shared" si="38"/>
        <v>5.6002061151980147</v>
      </c>
      <c r="BQ1243">
        <f t="shared" si="39"/>
        <v>18.112482246154531</v>
      </c>
    </row>
    <row r="1244" spans="1:69" hidden="1" x14ac:dyDescent="0.2">
      <c r="A1244" t="s">
        <v>3843</v>
      </c>
      <c r="B1244" t="s">
        <v>68</v>
      </c>
      <c r="C1244" t="s">
        <v>3294</v>
      </c>
      <c r="D1244" t="s">
        <v>70</v>
      </c>
      <c r="E1244" t="s">
        <v>684</v>
      </c>
      <c r="F1244">
        <v>4</v>
      </c>
      <c r="G1244">
        <v>23.1</v>
      </c>
      <c r="H1244">
        <v>1</v>
      </c>
      <c r="I1244">
        <v>1</v>
      </c>
      <c r="J1244">
        <v>0</v>
      </c>
      <c r="K1244" t="s">
        <v>110</v>
      </c>
      <c r="L1244" t="s">
        <v>111</v>
      </c>
      <c r="M1244" s="4">
        <v>310000000</v>
      </c>
      <c r="N1244">
        <v>0</v>
      </c>
      <c r="O1244">
        <v>4.6819563000000004</v>
      </c>
      <c r="P1244">
        <v>-74.060019999999994</v>
      </c>
      <c r="Q1244" t="s">
        <v>3844</v>
      </c>
      <c r="R1244">
        <v>13419913.42</v>
      </c>
      <c r="S1244">
        <v>0</v>
      </c>
      <c r="T1244" t="s">
        <v>75</v>
      </c>
      <c r="U1244" t="s">
        <v>76</v>
      </c>
      <c r="V1244" t="s">
        <v>77</v>
      </c>
      <c r="W1244" t="s">
        <v>78</v>
      </c>
      <c r="X1244" t="s">
        <v>79</v>
      </c>
      <c r="Y1244">
        <v>3.7277973962307001</v>
      </c>
      <c r="Z1244">
        <v>3727.7973962307001</v>
      </c>
      <c r="AA1244">
        <v>4.6584666666666701</v>
      </c>
      <c r="AB1244">
        <v>-74.083966666666697</v>
      </c>
      <c r="AC1244">
        <v>2552</v>
      </c>
      <c r="AD1244">
        <v>0</v>
      </c>
      <c r="AE1244" t="s">
        <v>80</v>
      </c>
      <c r="AF1244" t="s">
        <v>81</v>
      </c>
      <c r="AG1244" t="s">
        <v>82</v>
      </c>
      <c r="AH1244" t="s">
        <v>83</v>
      </c>
      <c r="AI1244" t="s">
        <v>342</v>
      </c>
      <c r="AJ1244">
        <v>0.33762582942427699</v>
      </c>
      <c r="AK1244">
        <v>2.3936414096724801</v>
      </c>
      <c r="AL1244">
        <v>0.357106286872443</v>
      </c>
      <c r="AM1244">
        <v>4.1589750879099503E-2</v>
      </c>
      <c r="AN1244">
        <v>2.5836926307057402</v>
      </c>
      <c r="AO1244">
        <v>0.153696801008535</v>
      </c>
      <c r="AP1244">
        <v>0.153696801008535</v>
      </c>
      <c r="AQ1244">
        <v>2</v>
      </c>
      <c r="AR1244">
        <v>6</v>
      </c>
      <c r="AS1244">
        <v>0</v>
      </c>
      <c r="AT1244">
        <v>0</v>
      </c>
      <c r="AU1244">
        <v>2</v>
      </c>
      <c r="AV1244">
        <v>204</v>
      </c>
      <c r="AW1244">
        <v>0</v>
      </c>
      <c r="AX1244">
        <v>0</v>
      </c>
      <c r="AZ1244">
        <v>6.8</v>
      </c>
      <c r="BA1244">
        <v>19.899999999999999</v>
      </c>
      <c r="BB1244">
        <v>564</v>
      </c>
      <c r="BC1244">
        <v>68</v>
      </c>
      <c r="BD1244">
        <v>1.5</v>
      </c>
      <c r="BE1244">
        <v>135</v>
      </c>
      <c r="BF1244">
        <v>0.8</v>
      </c>
      <c r="BG1244">
        <v>162</v>
      </c>
      <c r="BH1244">
        <v>9.1</v>
      </c>
      <c r="BI1244">
        <v>9.1999999999999993</v>
      </c>
      <c r="BJ1244">
        <v>18.3</v>
      </c>
      <c r="BK1244">
        <v>0.34</v>
      </c>
      <c r="BL1244">
        <v>7.3</v>
      </c>
      <c r="BM1244">
        <v>0.9</v>
      </c>
      <c r="BN1244">
        <v>7.5</v>
      </c>
      <c r="BO1244">
        <v>2.9</v>
      </c>
      <c r="BP1244">
        <f t="shared" si="38"/>
        <v>5.654188743831897</v>
      </c>
      <c r="BQ1244">
        <f t="shared" si="39"/>
        <v>18.196924462404549</v>
      </c>
    </row>
    <row r="1245" spans="1:69" hidden="1" x14ac:dyDescent="0.2">
      <c r="A1245" t="s">
        <v>4126</v>
      </c>
      <c r="B1245" t="s">
        <v>68</v>
      </c>
      <c r="C1245" t="s">
        <v>3294</v>
      </c>
      <c r="D1245" t="s">
        <v>70</v>
      </c>
      <c r="E1245" t="s">
        <v>1291</v>
      </c>
      <c r="F1245">
        <v>4</v>
      </c>
      <c r="G1245">
        <v>23</v>
      </c>
      <c r="H1245">
        <v>1</v>
      </c>
      <c r="I1245">
        <v>1</v>
      </c>
      <c r="J1245">
        <v>0</v>
      </c>
      <c r="K1245" t="s">
        <v>110</v>
      </c>
      <c r="L1245" t="s">
        <v>162</v>
      </c>
      <c r="M1245" s="4">
        <v>328350000</v>
      </c>
      <c r="N1245">
        <v>0</v>
      </c>
      <c r="O1245">
        <v>4.6475200000000001</v>
      </c>
      <c r="P1245">
        <v>-74.059820000000002</v>
      </c>
      <c r="Q1245" t="s">
        <v>4127</v>
      </c>
      <c r="R1245">
        <v>14276086.960000001</v>
      </c>
      <c r="S1245">
        <v>0</v>
      </c>
      <c r="T1245" t="s">
        <v>126</v>
      </c>
      <c r="U1245" t="s">
        <v>127</v>
      </c>
      <c r="V1245" t="s">
        <v>77</v>
      </c>
      <c r="W1245" t="s">
        <v>128</v>
      </c>
      <c r="X1245" t="s">
        <v>129</v>
      </c>
      <c r="Y1245">
        <v>2.57826800060251</v>
      </c>
      <c r="Z1245">
        <v>2578.2680006025098</v>
      </c>
      <c r="AA1245">
        <v>4.6254861111111101</v>
      </c>
      <c r="AB1245">
        <v>-74.066980555555503</v>
      </c>
      <c r="AC1245">
        <v>2621</v>
      </c>
      <c r="AD1245">
        <v>15</v>
      </c>
      <c r="AE1245" t="s">
        <v>80</v>
      </c>
      <c r="AF1245" t="s">
        <v>81</v>
      </c>
      <c r="AG1245" t="s">
        <v>82</v>
      </c>
      <c r="AH1245" t="s">
        <v>83</v>
      </c>
      <c r="AI1245" t="s">
        <v>130</v>
      </c>
      <c r="AJ1245">
        <v>0.56849067648222895</v>
      </c>
      <c r="AK1245">
        <v>0.73734148311672199</v>
      </c>
      <c r="AL1245">
        <v>0.192841274729603</v>
      </c>
      <c r="AM1245">
        <v>0.16255868724338701</v>
      </c>
      <c r="AN1245">
        <v>0.67180115101908999</v>
      </c>
      <c r="AO1245">
        <v>0.25058642058473601</v>
      </c>
      <c r="AP1245">
        <v>0.25058642058473601</v>
      </c>
      <c r="AQ1245">
        <v>0</v>
      </c>
      <c r="AR1245">
        <v>3</v>
      </c>
      <c r="AS1245">
        <v>0</v>
      </c>
      <c r="AT1245">
        <v>16</v>
      </c>
      <c r="AU1245">
        <v>13</v>
      </c>
      <c r="AV1245">
        <v>72</v>
      </c>
      <c r="AW1245">
        <v>1</v>
      </c>
      <c r="AX1245">
        <v>0</v>
      </c>
      <c r="AZ1245">
        <v>6.8</v>
      </c>
      <c r="BA1245">
        <v>19.899999999999999</v>
      </c>
      <c r="BB1245">
        <v>564</v>
      </c>
      <c r="BC1245">
        <v>68</v>
      </c>
      <c r="BD1245">
        <v>1.5</v>
      </c>
      <c r="BE1245">
        <v>135</v>
      </c>
      <c r="BF1245">
        <v>0.8</v>
      </c>
      <c r="BG1245">
        <v>162</v>
      </c>
      <c r="BH1245">
        <v>9.1</v>
      </c>
      <c r="BI1245">
        <v>9.1999999999999993</v>
      </c>
      <c r="BJ1245">
        <v>18.3</v>
      </c>
      <c r="BK1245">
        <v>0.34</v>
      </c>
      <c r="BL1245">
        <v>7.3</v>
      </c>
      <c r="BM1245">
        <v>0.9</v>
      </c>
      <c r="BN1245">
        <v>7.5</v>
      </c>
      <c r="BO1245">
        <v>2.9</v>
      </c>
      <c r="BP1245">
        <f t="shared" si="38"/>
        <v>5.9852514180273069</v>
      </c>
      <c r="BQ1245">
        <f t="shared" si="39"/>
        <v>18.705943352773822</v>
      </c>
    </row>
    <row r="1246" spans="1:69" hidden="1" x14ac:dyDescent="0.2">
      <c r="A1246" t="s">
        <v>4445</v>
      </c>
      <c r="B1246" t="s">
        <v>68</v>
      </c>
      <c r="C1246" t="s">
        <v>3294</v>
      </c>
      <c r="D1246" t="s">
        <v>70</v>
      </c>
      <c r="E1246" t="s">
        <v>1291</v>
      </c>
      <c r="F1246">
        <v>4</v>
      </c>
      <c r="G1246">
        <v>23</v>
      </c>
      <c r="H1246">
        <v>1</v>
      </c>
      <c r="I1246">
        <v>1</v>
      </c>
      <c r="J1246">
        <v>0</v>
      </c>
      <c r="K1246" t="s">
        <v>110</v>
      </c>
      <c r="L1246" t="s">
        <v>162</v>
      </c>
      <c r="M1246" s="4">
        <v>328350000</v>
      </c>
      <c r="N1246">
        <v>0</v>
      </c>
      <c r="O1246">
        <v>4.6475200000000001</v>
      </c>
      <c r="P1246">
        <v>-74.059820000000002</v>
      </c>
      <c r="Q1246" t="s">
        <v>4446</v>
      </c>
      <c r="R1246">
        <v>14276086.960000001</v>
      </c>
      <c r="S1246">
        <v>0</v>
      </c>
      <c r="T1246" t="s">
        <v>126</v>
      </c>
      <c r="U1246" t="s">
        <v>127</v>
      </c>
      <c r="V1246" t="s">
        <v>77</v>
      </c>
      <c r="W1246" t="s">
        <v>128</v>
      </c>
      <c r="X1246" t="s">
        <v>129</v>
      </c>
      <c r="Y1246">
        <v>2.57826800060251</v>
      </c>
      <c r="Z1246">
        <v>2578.2680006025098</v>
      </c>
      <c r="AA1246">
        <v>4.6254861111111101</v>
      </c>
      <c r="AB1246">
        <v>-74.066980555555503</v>
      </c>
      <c r="AC1246">
        <v>2621</v>
      </c>
      <c r="AD1246">
        <v>15</v>
      </c>
      <c r="AE1246" t="s">
        <v>80</v>
      </c>
      <c r="AF1246" t="s">
        <v>81</v>
      </c>
      <c r="AG1246" t="s">
        <v>82</v>
      </c>
      <c r="AH1246" t="s">
        <v>83</v>
      </c>
      <c r="AI1246" t="s">
        <v>130</v>
      </c>
      <c r="AJ1246">
        <v>0.56849067648222895</v>
      </c>
      <c r="AK1246">
        <v>0.73734148311672199</v>
      </c>
      <c r="AL1246">
        <v>0.192841274729603</v>
      </c>
      <c r="AM1246">
        <v>0.16255868724338701</v>
      </c>
      <c r="AN1246">
        <v>0.67180115101908999</v>
      </c>
      <c r="AO1246">
        <v>0.25058642058473601</v>
      </c>
      <c r="AP1246">
        <v>0.25058642058473601</v>
      </c>
      <c r="AQ1246">
        <v>0</v>
      </c>
      <c r="AR1246">
        <v>3</v>
      </c>
      <c r="AS1246">
        <v>0</v>
      </c>
      <c r="AT1246">
        <v>16</v>
      </c>
      <c r="AU1246">
        <v>13</v>
      </c>
      <c r="AV1246">
        <v>72</v>
      </c>
      <c r="AW1246">
        <v>1</v>
      </c>
      <c r="AX1246">
        <v>0</v>
      </c>
      <c r="AZ1246">
        <v>6.8</v>
      </c>
      <c r="BA1246">
        <v>19.899999999999999</v>
      </c>
      <c r="BB1246">
        <v>564</v>
      </c>
      <c r="BC1246">
        <v>68</v>
      </c>
      <c r="BD1246">
        <v>1.5</v>
      </c>
      <c r="BE1246">
        <v>135</v>
      </c>
      <c r="BF1246">
        <v>0.8</v>
      </c>
      <c r="BG1246">
        <v>162</v>
      </c>
      <c r="BH1246">
        <v>9.1</v>
      </c>
      <c r="BI1246">
        <v>9.1999999999999993</v>
      </c>
      <c r="BJ1246">
        <v>18.3</v>
      </c>
      <c r="BK1246">
        <v>0.34</v>
      </c>
      <c r="BL1246">
        <v>7.3</v>
      </c>
      <c r="BM1246">
        <v>0.9</v>
      </c>
      <c r="BN1246">
        <v>7.5</v>
      </c>
      <c r="BO1246">
        <v>2.9</v>
      </c>
      <c r="BP1246">
        <f t="shared" si="38"/>
        <v>5.9852514180273069</v>
      </c>
      <c r="BQ1246">
        <f t="shared" si="39"/>
        <v>18.705943352773822</v>
      </c>
    </row>
    <row r="1247" spans="1:69" hidden="1" x14ac:dyDescent="0.2">
      <c r="A1247" t="s">
        <v>3407</v>
      </c>
      <c r="B1247" t="s">
        <v>68</v>
      </c>
      <c r="C1247" t="s">
        <v>3294</v>
      </c>
      <c r="D1247" t="s">
        <v>70</v>
      </c>
      <c r="E1247" t="s">
        <v>1098</v>
      </c>
      <c r="F1247">
        <v>4</v>
      </c>
      <c r="G1247">
        <v>23</v>
      </c>
      <c r="H1247">
        <v>1</v>
      </c>
      <c r="I1247">
        <v>1</v>
      </c>
      <c r="J1247">
        <v>0</v>
      </c>
      <c r="K1247" t="s">
        <v>110</v>
      </c>
      <c r="L1247" t="s">
        <v>111</v>
      </c>
      <c r="M1247" s="4">
        <v>315000000</v>
      </c>
      <c r="N1247">
        <v>0</v>
      </c>
      <c r="O1247">
        <v>4.6060538290000004</v>
      </c>
      <c r="P1247">
        <v>-74.069725039999994</v>
      </c>
      <c r="Q1247" t="s">
        <v>3408</v>
      </c>
      <c r="R1247">
        <v>13695652.17</v>
      </c>
      <c r="S1247">
        <v>0</v>
      </c>
      <c r="T1247" t="s">
        <v>126</v>
      </c>
      <c r="U1247" t="s">
        <v>127</v>
      </c>
      <c r="V1247" t="s">
        <v>77</v>
      </c>
      <c r="W1247" t="s">
        <v>128</v>
      </c>
      <c r="X1247" t="s">
        <v>129</v>
      </c>
      <c r="Y1247">
        <v>2.1845212890418302</v>
      </c>
      <c r="Z1247">
        <v>2184.5212890418302</v>
      </c>
      <c r="AA1247">
        <v>4.6254861111111101</v>
      </c>
      <c r="AB1247">
        <v>-74.066980555555503</v>
      </c>
      <c r="AC1247">
        <v>2621</v>
      </c>
      <c r="AD1247">
        <v>15</v>
      </c>
      <c r="AE1247" t="s">
        <v>80</v>
      </c>
      <c r="AF1247" t="s">
        <v>81</v>
      </c>
      <c r="AG1247" t="s">
        <v>82</v>
      </c>
      <c r="AH1247" t="s">
        <v>83</v>
      </c>
      <c r="AI1247" t="s">
        <v>138</v>
      </c>
      <c r="AJ1247">
        <v>0.309150458607376</v>
      </c>
      <c r="AK1247">
        <v>0.57375024022630405</v>
      </c>
      <c r="AL1247">
        <v>5.45109002503281E-2</v>
      </c>
      <c r="AM1247">
        <v>0.118541547148973</v>
      </c>
      <c r="AN1247">
        <v>1.0859024720341901</v>
      </c>
      <c r="AO1247">
        <v>1.9208926471276099E-2</v>
      </c>
      <c r="AP1247">
        <v>1.9208926471276099E-2</v>
      </c>
      <c r="AQ1247">
        <v>2</v>
      </c>
      <c r="AR1247">
        <v>7</v>
      </c>
      <c r="AS1247">
        <v>0</v>
      </c>
      <c r="AT1247">
        <v>28</v>
      </c>
      <c r="AU1247">
        <v>13</v>
      </c>
      <c r="AV1247">
        <v>53</v>
      </c>
      <c r="AW1247">
        <v>0</v>
      </c>
      <c r="AX1247">
        <v>9</v>
      </c>
      <c r="AZ1247">
        <v>6.8</v>
      </c>
      <c r="BA1247">
        <v>19.899999999999999</v>
      </c>
      <c r="BB1247">
        <v>564</v>
      </c>
      <c r="BC1247">
        <v>68</v>
      </c>
      <c r="BD1247">
        <v>1.5</v>
      </c>
      <c r="BE1247">
        <v>135</v>
      </c>
      <c r="BF1247">
        <v>0.8</v>
      </c>
      <c r="BG1247">
        <v>162</v>
      </c>
      <c r="BH1247">
        <v>9.1</v>
      </c>
      <c r="BI1247">
        <v>9.1999999999999993</v>
      </c>
      <c r="BJ1247">
        <v>18.3</v>
      </c>
      <c r="BK1247">
        <v>0.34</v>
      </c>
      <c r="BL1247">
        <v>7.3</v>
      </c>
      <c r="BM1247">
        <v>0.9</v>
      </c>
      <c r="BN1247">
        <v>7.5</v>
      </c>
      <c r="BO1247">
        <v>2.9</v>
      </c>
      <c r="BP1247">
        <f t="shared" si="38"/>
        <v>6.1030509896314484</v>
      </c>
      <c r="BQ1247">
        <f t="shared" si="39"/>
        <v>18.883550908118103</v>
      </c>
    </row>
    <row r="1248" spans="1:69" hidden="1" x14ac:dyDescent="0.2">
      <c r="A1248" t="s">
        <v>4477</v>
      </c>
      <c r="B1248" t="s">
        <v>68</v>
      </c>
      <c r="C1248" t="s">
        <v>3294</v>
      </c>
      <c r="D1248" t="s">
        <v>70</v>
      </c>
      <c r="E1248" t="s">
        <v>404</v>
      </c>
      <c r="F1248">
        <v>5</v>
      </c>
      <c r="G1248">
        <v>23</v>
      </c>
      <c r="H1248">
        <v>1</v>
      </c>
      <c r="I1248">
        <v>1</v>
      </c>
      <c r="J1248">
        <v>0</v>
      </c>
      <c r="K1248" t="s">
        <v>110</v>
      </c>
      <c r="L1248" t="s">
        <v>162</v>
      </c>
      <c r="M1248" s="4">
        <v>295000000</v>
      </c>
      <c r="N1248">
        <v>0</v>
      </c>
      <c r="O1248">
        <v>4.6723833079999997</v>
      </c>
      <c r="P1248">
        <v>-74.055007930000002</v>
      </c>
      <c r="Q1248" t="s">
        <v>4478</v>
      </c>
      <c r="R1248">
        <v>12826086.960000001</v>
      </c>
      <c r="S1248">
        <v>0</v>
      </c>
      <c r="T1248" t="s">
        <v>75</v>
      </c>
      <c r="U1248" t="s">
        <v>76</v>
      </c>
      <c r="V1248" t="s">
        <v>77</v>
      </c>
      <c r="W1248" t="s">
        <v>78</v>
      </c>
      <c r="X1248" t="s">
        <v>79</v>
      </c>
      <c r="Y1248">
        <v>3.5669748057475701</v>
      </c>
      <c r="Z1248">
        <v>3566.9748057475699</v>
      </c>
      <c r="AA1248">
        <v>4.6584666666666701</v>
      </c>
      <c r="AB1248">
        <v>-74.083966666666697</v>
      </c>
      <c r="AC1248">
        <v>2552</v>
      </c>
      <c r="AD1248">
        <v>0</v>
      </c>
      <c r="AE1248" t="s">
        <v>80</v>
      </c>
      <c r="AF1248" t="s">
        <v>81</v>
      </c>
      <c r="AG1248" t="s">
        <v>82</v>
      </c>
      <c r="AH1248" t="s">
        <v>83</v>
      </c>
      <c r="AI1248" t="s">
        <v>130</v>
      </c>
      <c r="AJ1248">
        <v>0.51407552541633506</v>
      </c>
      <c r="AK1248">
        <v>1.3822814256259199</v>
      </c>
      <c r="AL1248">
        <v>0.630061913876658</v>
      </c>
      <c r="AM1248">
        <v>6.0493863616744803E-2</v>
      </c>
      <c r="AN1248">
        <v>2.9818031503236102</v>
      </c>
      <c r="AO1248">
        <v>0.916883423742482</v>
      </c>
      <c r="AP1248">
        <v>0.916883423742482</v>
      </c>
      <c r="AQ1248">
        <v>0</v>
      </c>
      <c r="AR1248">
        <v>3</v>
      </c>
      <c r="AS1248">
        <v>0</v>
      </c>
      <c r="AT1248">
        <v>0</v>
      </c>
      <c r="AU1248">
        <v>5</v>
      </c>
      <c r="AV1248">
        <v>285</v>
      </c>
      <c r="AW1248">
        <v>0</v>
      </c>
      <c r="AX1248">
        <v>0</v>
      </c>
      <c r="AZ1248">
        <v>6.8</v>
      </c>
      <c r="BA1248">
        <v>19.899999999999999</v>
      </c>
      <c r="BB1248">
        <v>564</v>
      </c>
      <c r="BC1248">
        <v>68</v>
      </c>
      <c r="BD1248">
        <v>1.5</v>
      </c>
      <c r="BE1248">
        <v>135</v>
      </c>
      <c r="BF1248">
        <v>0.8</v>
      </c>
      <c r="BG1248">
        <v>162</v>
      </c>
      <c r="BH1248">
        <v>9.1</v>
      </c>
      <c r="BI1248">
        <v>9.1999999999999993</v>
      </c>
      <c r="BJ1248">
        <v>18.3</v>
      </c>
      <c r="BK1248">
        <v>0.34</v>
      </c>
      <c r="BL1248">
        <v>7.3</v>
      </c>
      <c r="BM1248">
        <v>0.9</v>
      </c>
      <c r="BN1248">
        <v>7.5</v>
      </c>
      <c r="BO1248">
        <v>2.9</v>
      </c>
      <c r="BP1248">
        <f t="shared" si="38"/>
        <v>5.699379785150315</v>
      </c>
      <c r="BQ1248">
        <f t="shared" si="39"/>
        <v>18.267295619042411</v>
      </c>
    </row>
    <row r="1249" spans="1:69" hidden="1" x14ac:dyDescent="0.2">
      <c r="A1249" t="s">
        <v>4671</v>
      </c>
      <c r="B1249" t="s">
        <v>68</v>
      </c>
      <c r="C1249" t="s">
        <v>3294</v>
      </c>
      <c r="D1249" t="s">
        <v>70</v>
      </c>
      <c r="E1249" t="s">
        <v>3486</v>
      </c>
      <c r="F1249">
        <v>4</v>
      </c>
      <c r="G1249">
        <v>23</v>
      </c>
      <c r="H1249">
        <v>1</v>
      </c>
      <c r="I1249">
        <v>1</v>
      </c>
      <c r="J1249">
        <v>0</v>
      </c>
      <c r="K1249" t="s">
        <v>110</v>
      </c>
      <c r="L1249" t="s">
        <v>111</v>
      </c>
      <c r="M1249" s="4">
        <v>270000000</v>
      </c>
      <c r="N1249">
        <v>0</v>
      </c>
      <c r="O1249">
        <v>4.6317969999999997</v>
      </c>
      <c r="P1249">
        <v>-74.086129999999997</v>
      </c>
      <c r="Q1249" t="s">
        <v>4672</v>
      </c>
      <c r="R1249">
        <v>11739130.43</v>
      </c>
      <c r="S1249">
        <v>0</v>
      </c>
      <c r="T1249" t="s">
        <v>126</v>
      </c>
      <c r="U1249" t="s">
        <v>127</v>
      </c>
      <c r="V1249" t="s">
        <v>77</v>
      </c>
      <c r="W1249" t="s">
        <v>128</v>
      </c>
      <c r="X1249" t="s">
        <v>129</v>
      </c>
      <c r="Y1249">
        <v>2.23788329910716</v>
      </c>
      <c r="Z1249">
        <v>2237.8832991071599</v>
      </c>
      <c r="AA1249">
        <v>4.6254861111111101</v>
      </c>
      <c r="AB1249">
        <v>-74.066980555555503</v>
      </c>
      <c r="AC1249">
        <v>2621</v>
      </c>
      <c r="AD1249">
        <v>15</v>
      </c>
      <c r="AE1249" t="s">
        <v>80</v>
      </c>
      <c r="AF1249" t="s">
        <v>81</v>
      </c>
      <c r="AG1249" t="s">
        <v>82</v>
      </c>
      <c r="AH1249" t="s">
        <v>83</v>
      </c>
      <c r="AI1249" t="s">
        <v>84</v>
      </c>
      <c r="AJ1249">
        <v>0.30606153672196101</v>
      </c>
      <c r="AK1249">
        <v>2.8099068817131201</v>
      </c>
      <c r="AL1249">
        <v>0.57815216408686798</v>
      </c>
      <c r="AM1249">
        <v>0.223766768590833</v>
      </c>
      <c r="AN1249">
        <v>2.2123742768141299</v>
      </c>
      <c r="AO1249">
        <v>0.30913910343202999</v>
      </c>
      <c r="AP1249">
        <v>0.30913910343202999</v>
      </c>
      <c r="AQ1249">
        <v>2</v>
      </c>
      <c r="AR1249">
        <v>6</v>
      </c>
      <c r="AS1249">
        <v>0</v>
      </c>
      <c r="AT1249">
        <v>0</v>
      </c>
      <c r="AU1249">
        <v>3</v>
      </c>
      <c r="AV1249">
        <v>26</v>
      </c>
      <c r="AW1249">
        <v>0</v>
      </c>
      <c r="AX1249">
        <v>0</v>
      </c>
      <c r="AZ1249">
        <v>6.8</v>
      </c>
      <c r="BA1249">
        <v>19.899999999999999</v>
      </c>
      <c r="BB1249">
        <v>564</v>
      </c>
      <c r="BC1249">
        <v>68</v>
      </c>
      <c r="BD1249">
        <v>1.5</v>
      </c>
      <c r="BE1249">
        <v>135</v>
      </c>
      <c r="BF1249">
        <v>0.8</v>
      </c>
      <c r="BG1249">
        <v>162</v>
      </c>
      <c r="BH1249">
        <v>9.1</v>
      </c>
      <c r="BI1249">
        <v>9.1999999999999993</v>
      </c>
      <c r="BJ1249">
        <v>18.3</v>
      </c>
      <c r="BK1249">
        <v>0.34</v>
      </c>
      <c r="BL1249">
        <v>7.3</v>
      </c>
      <c r="BM1249">
        <v>0.9</v>
      </c>
      <c r="BN1249">
        <v>7.5</v>
      </c>
      <c r="BO1249">
        <v>2.9</v>
      </c>
      <c r="BP1249">
        <f t="shared" si="38"/>
        <v>6.0869515438043953</v>
      </c>
      <c r="BQ1249">
        <f t="shared" si="39"/>
        <v>18.859382445947038</v>
      </c>
    </row>
    <row r="1250" spans="1:69" hidden="1" x14ac:dyDescent="0.2">
      <c r="A1250" t="s">
        <v>4185</v>
      </c>
      <c r="B1250" t="s">
        <v>68</v>
      </c>
      <c r="C1250" t="s">
        <v>3294</v>
      </c>
      <c r="D1250" t="s">
        <v>70</v>
      </c>
      <c r="E1250" t="s">
        <v>1098</v>
      </c>
      <c r="F1250">
        <v>3</v>
      </c>
      <c r="G1250">
        <v>23</v>
      </c>
      <c r="H1250">
        <v>1</v>
      </c>
      <c r="I1250">
        <v>1</v>
      </c>
      <c r="J1250">
        <v>0</v>
      </c>
      <c r="K1250" t="s">
        <v>110</v>
      </c>
      <c r="L1250" t="s">
        <v>111</v>
      </c>
      <c r="M1250" s="4">
        <v>269000000</v>
      </c>
      <c r="N1250">
        <v>0</v>
      </c>
      <c r="O1250">
        <v>4.6046938900000001</v>
      </c>
      <c r="P1250">
        <v>-74.068534850000006</v>
      </c>
      <c r="Q1250" t="s">
        <v>4186</v>
      </c>
      <c r="R1250">
        <v>11695652.17</v>
      </c>
      <c r="S1250">
        <v>0</v>
      </c>
      <c r="T1250" t="s">
        <v>126</v>
      </c>
      <c r="U1250" t="s">
        <v>127</v>
      </c>
      <c r="V1250" t="s">
        <v>77</v>
      </c>
      <c r="W1250" t="s">
        <v>128</v>
      </c>
      <c r="X1250" t="s">
        <v>129</v>
      </c>
      <c r="Y1250">
        <v>2.3209957655014701</v>
      </c>
      <c r="Z1250">
        <v>2320.99576550147</v>
      </c>
      <c r="AA1250">
        <v>4.6254861111111101</v>
      </c>
      <c r="AB1250">
        <v>-74.066980555555503</v>
      </c>
      <c r="AC1250">
        <v>2621</v>
      </c>
      <c r="AD1250">
        <v>15</v>
      </c>
      <c r="AE1250" t="s">
        <v>80</v>
      </c>
      <c r="AF1250" t="s">
        <v>81</v>
      </c>
      <c r="AG1250" t="s">
        <v>82</v>
      </c>
      <c r="AH1250" t="s">
        <v>83</v>
      </c>
      <c r="AI1250" t="s">
        <v>138</v>
      </c>
      <c r="AJ1250">
        <v>0.13528166779224801</v>
      </c>
      <c r="AK1250">
        <v>0.461732041308486</v>
      </c>
      <c r="AL1250">
        <v>0.20808888811000101</v>
      </c>
      <c r="AM1250">
        <v>0.124483104886039</v>
      </c>
      <c r="AN1250">
        <v>1.19472959618415</v>
      </c>
      <c r="AO1250">
        <v>0.15748752239664501</v>
      </c>
      <c r="AP1250">
        <v>0.15748752239664501</v>
      </c>
      <c r="AQ1250">
        <v>2</v>
      </c>
      <c r="AR1250">
        <v>7</v>
      </c>
      <c r="AS1250">
        <v>4</v>
      </c>
      <c r="AT1250">
        <v>37</v>
      </c>
      <c r="AU1250">
        <v>12</v>
      </c>
      <c r="AV1250">
        <v>50</v>
      </c>
      <c r="AW1250">
        <v>0</v>
      </c>
      <c r="AX1250">
        <v>8</v>
      </c>
      <c r="AZ1250">
        <v>6.8</v>
      </c>
      <c r="BA1250">
        <v>19.899999999999999</v>
      </c>
      <c r="BB1250">
        <v>564</v>
      </c>
      <c r="BC1250">
        <v>68</v>
      </c>
      <c r="BD1250">
        <v>1.5</v>
      </c>
      <c r="BE1250">
        <v>135</v>
      </c>
      <c r="BF1250">
        <v>0.8</v>
      </c>
      <c r="BG1250">
        <v>162</v>
      </c>
      <c r="BH1250">
        <v>9.1</v>
      </c>
      <c r="BI1250">
        <v>9.1999999999999993</v>
      </c>
      <c r="BJ1250">
        <v>18.3</v>
      </c>
      <c r="BK1250">
        <v>0.34</v>
      </c>
      <c r="BL1250">
        <v>7.3</v>
      </c>
      <c r="BM1250">
        <v>0.9</v>
      </c>
      <c r="BN1250">
        <v>7.5</v>
      </c>
      <c r="BO1250">
        <v>2.9</v>
      </c>
      <c r="BP1250">
        <f t="shared" si="38"/>
        <v>6.0619608587266818</v>
      </c>
      <c r="BQ1250">
        <f t="shared" si="39"/>
        <v>18.821801145148868</v>
      </c>
    </row>
    <row r="1251" spans="1:69" hidden="1" x14ac:dyDescent="0.2">
      <c r="A1251" t="s">
        <v>4407</v>
      </c>
      <c r="B1251" t="s">
        <v>68</v>
      </c>
      <c r="C1251" t="s">
        <v>3294</v>
      </c>
      <c r="D1251" t="s">
        <v>70</v>
      </c>
      <c r="E1251" t="s">
        <v>943</v>
      </c>
      <c r="F1251">
        <v>3</v>
      </c>
      <c r="G1251">
        <v>23</v>
      </c>
      <c r="H1251">
        <v>1</v>
      </c>
      <c r="I1251">
        <v>1</v>
      </c>
      <c r="J1251">
        <v>0</v>
      </c>
      <c r="K1251" t="s">
        <v>110</v>
      </c>
      <c r="L1251" t="s">
        <v>111</v>
      </c>
      <c r="M1251" s="4">
        <v>265000000</v>
      </c>
      <c r="N1251">
        <v>0</v>
      </c>
      <c r="O1251">
        <v>4.6359009740000001</v>
      </c>
      <c r="P1251">
        <v>-74.068252560000005</v>
      </c>
      <c r="Q1251" t="s">
        <v>4408</v>
      </c>
      <c r="R1251">
        <v>11521739.130000001</v>
      </c>
      <c r="S1251">
        <v>0</v>
      </c>
      <c r="T1251" t="s">
        <v>126</v>
      </c>
      <c r="U1251" t="s">
        <v>127</v>
      </c>
      <c r="V1251" t="s">
        <v>77</v>
      </c>
      <c r="W1251" t="s">
        <v>128</v>
      </c>
      <c r="X1251" t="s">
        <v>129</v>
      </c>
      <c r="Y1251">
        <v>1.16793626999635</v>
      </c>
      <c r="Z1251">
        <v>1167.9362699963499</v>
      </c>
      <c r="AA1251">
        <v>4.6254861111111101</v>
      </c>
      <c r="AB1251">
        <v>-74.066980555555503</v>
      </c>
      <c r="AC1251">
        <v>2621</v>
      </c>
      <c r="AD1251">
        <v>15</v>
      </c>
      <c r="AE1251" t="s">
        <v>80</v>
      </c>
      <c r="AF1251" t="s">
        <v>81</v>
      </c>
      <c r="AG1251" t="s">
        <v>82</v>
      </c>
      <c r="AH1251" t="s">
        <v>83</v>
      </c>
      <c r="AI1251" t="s">
        <v>84</v>
      </c>
      <c r="AJ1251">
        <v>0.24485113734802</v>
      </c>
      <c r="AK1251">
        <v>0.95301414223717396</v>
      </c>
      <c r="AL1251">
        <v>0.22444898269028499</v>
      </c>
      <c r="AM1251">
        <v>8.4978859820698693E-2</v>
      </c>
      <c r="AN1251">
        <v>0.94530156415634203</v>
      </c>
      <c r="AO1251">
        <v>8.46197906658952E-2</v>
      </c>
      <c r="AP1251">
        <v>8.46197906658952E-2</v>
      </c>
      <c r="AQ1251">
        <v>3</v>
      </c>
      <c r="AR1251">
        <v>5</v>
      </c>
      <c r="AS1251">
        <v>0</v>
      </c>
      <c r="AT1251">
        <v>2</v>
      </c>
      <c r="AU1251">
        <v>16</v>
      </c>
      <c r="AV1251">
        <v>192</v>
      </c>
      <c r="AW1251">
        <v>1</v>
      </c>
      <c r="AX1251">
        <v>0</v>
      </c>
      <c r="AZ1251">
        <v>6.8</v>
      </c>
      <c r="BA1251">
        <v>19.899999999999999</v>
      </c>
      <c r="BB1251">
        <v>564</v>
      </c>
      <c r="BC1251">
        <v>68</v>
      </c>
      <c r="BD1251">
        <v>1.5</v>
      </c>
      <c r="BE1251">
        <v>135</v>
      </c>
      <c r="BF1251">
        <v>0.8</v>
      </c>
      <c r="BG1251">
        <v>162</v>
      </c>
      <c r="BH1251">
        <v>9.1</v>
      </c>
      <c r="BI1251">
        <v>9.1999999999999993</v>
      </c>
      <c r="BJ1251">
        <v>18.3</v>
      </c>
      <c r="BK1251">
        <v>0.34</v>
      </c>
      <c r="BL1251">
        <v>7.3</v>
      </c>
      <c r="BM1251">
        <v>0.9</v>
      </c>
      <c r="BN1251">
        <v>7.5</v>
      </c>
      <c r="BO1251">
        <v>2.9</v>
      </c>
      <c r="BP1251">
        <f t="shared" si="38"/>
        <v>6.41802069249698</v>
      </c>
      <c r="BQ1251">
        <f t="shared" si="39"/>
        <v>19.349938888437787</v>
      </c>
    </row>
    <row r="1252" spans="1:69" hidden="1" x14ac:dyDescent="0.2">
      <c r="A1252" t="s">
        <v>669</v>
      </c>
      <c r="B1252" t="s">
        <v>68</v>
      </c>
      <c r="C1252" t="s">
        <v>69</v>
      </c>
      <c r="D1252" t="s">
        <v>70</v>
      </c>
      <c r="E1252" t="s">
        <v>670</v>
      </c>
      <c r="F1252">
        <v>3</v>
      </c>
      <c r="G1252">
        <v>23</v>
      </c>
      <c r="H1252">
        <v>1</v>
      </c>
      <c r="I1252">
        <v>1</v>
      </c>
      <c r="J1252">
        <v>0</v>
      </c>
      <c r="K1252" t="s">
        <v>110</v>
      </c>
      <c r="L1252" t="s">
        <v>124</v>
      </c>
      <c r="M1252" s="4">
        <v>210000000</v>
      </c>
      <c r="N1252">
        <v>0</v>
      </c>
      <c r="O1252">
        <v>4.6449527740000001</v>
      </c>
      <c r="P1252">
        <v>-74.067253109999996</v>
      </c>
      <c r="Q1252" t="s">
        <v>671</v>
      </c>
      <c r="R1252">
        <v>9130434.7829999998</v>
      </c>
      <c r="S1252">
        <v>0</v>
      </c>
      <c r="T1252" t="s">
        <v>126</v>
      </c>
      <c r="U1252" t="s">
        <v>127</v>
      </c>
      <c r="V1252" t="s">
        <v>77</v>
      </c>
      <c r="W1252" t="s">
        <v>128</v>
      </c>
      <c r="X1252" t="s">
        <v>129</v>
      </c>
      <c r="Y1252">
        <v>2.1672300037196699</v>
      </c>
      <c r="Z1252">
        <v>2167.2300037196701</v>
      </c>
      <c r="AA1252">
        <v>4.6254861111111101</v>
      </c>
      <c r="AB1252">
        <v>-74.066980555555503</v>
      </c>
      <c r="AC1252">
        <v>2621</v>
      </c>
      <c r="AD1252">
        <v>15</v>
      </c>
      <c r="AE1252" t="s">
        <v>80</v>
      </c>
      <c r="AF1252" t="s">
        <v>81</v>
      </c>
      <c r="AG1252" t="s">
        <v>82</v>
      </c>
      <c r="AH1252" t="s">
        <v>83</v>
      </c>
      <c r="AI1252" t="s">
        <v>84</v>
      </c>
      <c r="AJ1252">
        <v>0.26910192274734901</v>
      </c>
      <c r="AK1252">
        <v>1.16567712574927</v>
      </c>
      <c r="AL1252">
        <v>8.7134386405661596E-2</v>
      </c>
      <c r="AM1252">
        <v>8.2074021732649993E-2</v>
      </c>
      <c r="AN1252">
        <v>1.0498008948105699</v>
      </c>
      <c r="AO1252">
        <v>0.14401266900655099</v>
      </c>
      <c r="AP1252">
        <v>0.14401266900655099</v>
      </c>
      <c r="AQ1252">
        <v>2</v>
      </c>
      <c r="AR1252">
        <v>4</v>
      </c>
      <c r="AS1252">
        <v>0</v>
      </c>
      <c r="AT1252">
        <v>0</v>
      </c>
      <c r="AU1252">
        <v>14</v>
      </c>
      <c r="AV1252">
        <v>153</v>
      </c>
      <c r="AW1252">
        <v>0</v>
      </c>
      <c r="AX1252">
        <v>0</v>
      </c>
      <c r="AZ1252">
        <v>6.8</v>
      </c>
      <c r="BA1252">
        <v>19.899999999999999</v>
      </c>
      <c r="BB1252">
        <v>564</v>
      </c>
      <c r="BC1252">
        <v>68</v>
      </c>
      <c r="BD1252">
        <v>1.5</v>
      </c>
      <c r="BE1252">
        <v>135</v>
      </c>
      <c r="BF1252">
        <v>0.8</v>
      </c>
      <c r="BG1252">
        <v>162</v>
      </c>
      <c r="BH1252">
        <v>9.1</v>
      </c>
      <c r="BI1252">
        <v>9.1999999999999993</v>
      </c>
      <c r="BJ1252">
        <v>18.3</v>
      </c>
      <c r="BK1252">
        <v>0.34</v>
      </c>
      <c r="BL1252">
        <v>7.3</v>
      </c>
      <c r="BM1252">
        <v>0.9</v>
      </c>
      <c r="BN1252">
        <v>7.5</v>
      </c>
      <c r="BO1252">
        <v>2.9</v>
      </c>
      <c r="BP1252">
        <f t="shared" si="38"/>
        <v>6.1082769408087465</v>
      </c>
      <c r="BQ1252">
        <f t="shared" si="39"/>
        <v>18.891389035180659</v>
      </c>
    </row>
    <row r="1253" spans="1:69" hidden="1" x14ac:dyDescent="0.2">
      <c r="A1253" t="s">
        <v>3703</v>
      </c>
      <c r="B1253" t="s">
        <v>68</v>
      </c>
      <c r="C1253" t="s">
        <v>3294</v>
      </c>
      <c r="D1253" t="s">
        <v>70</v>
      </c>
      <c r="E1253" t="s">
        <v>3704</v>
      </c>
      <c r="F1253">
        <v>3</v>
      </c>
      <c r="G1253">
        <v>23</v>
      </c>
      <c r="H1253">
        <v>1</v>
      </c>
      <c r="I1253">
        <v>1</v>
      </c>
      <c r="J1253">
        <v>0</v>
      </c>
      <c r="K1253" t="s">
        <v>110</v>
      </c>
      <c r="L1253" t="s">
        <v>111</v>
      </c>
      <c r="M1253" s="4">
        <v>180000000</v>
      </c>
      <c r="N1253">
        <v>0</v>
      </c>
      <c r="O1253">
        <v>4.6227939999999998</v>
      </c>
      <c r="P1253">
        <v>-74.090960199999998</v>
      </c>
      <c r="Q1253" t="s">
        <v>3705</v>
      </c>
      <c r="R1253">
        <v>7826086.9570000004</v>
      </c>
      <c r="S1253">
        <v>0</v>
      </c>
      <c r="T1253" t="s">
        <v>126</v>
      </c>
      <c r="U1253" t="s">
        <v>127</v>
      </c>
      <c r="V1253" t="s">
        <v>77</v>
      </c>
      <c r="W1253" t="s">
        <v>128</v>
      </c>
      <c r="X1253" t="s">
        <v>129</v>
      </c>
      <c r="Y1253">
        <v>2.6775369153745001</v>
      </c>
      <c r="Z1253">
        <v>2677.5369153745</v>
      </c>
      <c r="AA1253">
        <v>4.6254861111111101</v>
      </c>
      <c r="AB1253">
        <v>-74.066980555555503</v>
      </c>
      <c r="AC1253">
        <v>2621</v>
      </c>
      <c r="AD1253">
        <v>15</v>
      </c>
      <c r="AE1253" t="s">
        <v>80</v>
      </c>
      <c r="AF1253" t="s">
        <v>81</v>
      </c>
      <c r="AG1253" t="s">
        <v>82</v>
      </c>
      <c r="AH1253" t="s">
        <v>83</v>
      </c>
      <c r="AI1253" t="s">
        <v>288</v>
      </c>
      <c r="AJ1253">
        <v>0.66743251898662503</v>
      </c>
      <c r="AK1253">
        <v>3.1337604789985098</v>
      </c>
      <c r="AL1253">
        <v>1.5332800914459901</v>
      </c>
      <c r="AM1253">
        <v>6.5377647119212901E-2</v>
      </c>
      <c r="AN1253">
        <v>1.4308107403660699</v>
      </c>
      <c r="AO1253">
        <v>0.54905754830896403</v>
      </c>
      <c r="AP1253">
        <v>0.54905754830896403</v>
      </c>
      <c r="AQ1253">
        <v>0</v>
      </c>
      <c r="AR1253">
        <v>4</v>
      </c>
      <c r="AS1253">
        <v>0</v>
      </c>
      <c r="AT1253">
        <v>0</v>
      </c>
      <c r="AU1253">
        <v>0</v>
      </c>
      <c r="AV1253">
        <v>16</v>
      </c>
      <c r="AW1253">
        <v>0</v>
      </c>
      <c r="AX1253">
        <v>0</v>
      </c>
      <c r="AZ1253">
        <v>6.8</v>
      </c>
      <c r="BA1253">
        <v>19.899999999999999</v>
      </c>
      <c r="BB1253">
        <v>564</v>
      </c>
      <c r="BC1253">
        <v>68</v>
      </c>
      <c r="BD1253">
        <v>1.5</v>
      </c>
      <c r="BE1253">
        <v>135</v>
      </c>
      <c r="BF1253">
        <v>0.8</v>
      </c>
      <c r="BG1253">
        <v>162</v>
      </c>
      <c r="BH1253">
        <v>9.1</v>
      </c>
      <c r="BI1253">
        <v>9.1999999999999993</v>
      </c>
      <c r="BJ1253">
        <v>18.3</v>
      </c>
      <c r="BK1253">
        <v>0.34</v>
      </c>
      <c r="BL1253">
        <v>7.3</v>
      </c>
      <c r="BM1253">
        <v>0.9</v>
      </c>
      <c r="BN1253">
        <v>7.5</v>
      </c>
      <c r="BO1253">
        <v>2.9</v>
      </c>
      <c r="BP1253">
        <f t="shared" si="38"/>
        <v>5.9559131624464419</v>
      </c>
      <c r="BQ1253">
        <f t="shared" si="39"/>
        <v>18.661430350204302</v>
      </c>
    </row>
    <row r="1254" spans="1:69" hidden="1" x14ac:dyDescent="0.2">
      <c r="A1254" t="s">
        <v>3922</v>
      </c>
      <c r="B1254" t="s">
        <v>68</v>
      </c>
      <c r="C1254" t="s">
        <v>3294</v>
      </c>
      <c r="D1254" t="s">
        <v>70</v>
      </c>
      <c r="E1254" t="s">
        <v>3923</v>
      </c>
      <c r="F1254">
        <v>3</v>
      </c>
      <c r="G1254">
        <v>23</v>
      </c>
      <c r="H1254">
        <v>1</v>
      </c>
      <c r="I1254">
        <v>1</v>
      </c>
      <c r="J1254">
        <v>0</v>
      </c>
      <c r="K1254" t="s">
        <v>110</v>
      </c>
      <c r="L1254" t="s">
        <v>133</v>
      </c>
      <c r="M1254" s="4">
        <v>160000000</v>
      </c>
      <c r="N1254">
        <v>0</v>
      </c>
      <c r="O1254">
        <v>4.61287</v>
      </c>
      <c r="P1254">
        <v>-74.080240000000003</v>
      </c>
      <c r="Q1254" t="s">
        <v>3924</v>
      </c>
      <c r="R1254">
        <v>6956521.7390000001</v>
      </c>
      <c r="S1254">
        <v>0</v>
      </c>
      <c r="T1254" t="s">
        <v>126</v>
      </c>
      <c r="U1254" t="s">
        <v>127</v>
      </c>
      <c r="V1254" t="s">
        <v>77</v>
      </c>
      <c r="W1254" t="s">
        <v>128</v>
      </c>
      <c r="X1254" t="s">
        <v>129</v>
      </c>
      <c r="Y1254">
        <v>2.0339472089305901</v>
      </c>
      <c r="Z1254">
        <v>2033.94720893059</v>
      </c>
      <c r="AA1254">
        <v>4.6254861111111101</v>
      </c>
      <c r="AB1254">
        <v>-74.066980555555503</v>
      </c>
      <c r="AC1254">
        <v>2621</v>
      </c>
      <c r="AD1254">
        <v>15</v>
      </c>
      <c r="AE1254" t="s">
        <v>80</v>
      </c>
      <c r="AF1254" t="s">
        <v>81</v>
      </c>
      <c r="AG1254" t="s">
        <v>82</v>
      </c>
      <c r="AH1254" t="s">
        <v>83</v>
      </c>
      <c r="AI1254" t="s">
        <v>308</v>
      </c>
      <c r="AJ1254">
        <v>0.60659383238164499</v>
      </c>
      <c r="AK1254">
        <v>1.7695509000582601</v>
      </c>
      <c r="AL1254">
        <v>0.72262726111753095</v>
      </c>
      <c r="AM1254">
        <v>0.376136633019789</v>
      </c>
      <c r="AN1254">
        <v>1.0269624189848501</v>
      </c>
      <c r="AO1254">
        <v>0.15734608048496901</v>
      </c>
      <c r="AP1254">
        <v>0.15734608048496901</v>
      </c>
      <c r="AQ1254">
        <v>0</v>
      </c>
      <c r="AR1254">
        <v>8</v>
      </c>
      <c r="AS1254">
        <v>0</v>
      </c>
      <c r="AT1254">
        <v>0</v>
      </c>
      <c r="AU1254">
        <v>3</v>
      </c>
      <c r="AV1254">
        <v>27</v>
      </c>
      <c r="AW1254">
        <v>0</v>
      </c>
      <c r="AX1254">
        <v>1</v>
      </c>
      <c r="AZ1254">
        <v>6.8</v>
      </c>
      <c r="BA1254">
        <v>19.899999999999999</v>
      </c>
      <c r="BB1254">
        <v>564</v>
      </c>
      <c r="BC1254">
        <v>68</v>
      </c>
      <c r="BD1254">
        <v>1.5</v>
      </c>
      <c r="BE1254">
        <v>135</v>
      </c>
      <c r="BF1254">
        <v>0.8</v>
      </c>
      <c r="BG1254">
        <v>162</v>
      </c>
      <c r="BH1254">
        <v>9.1</v>
      </c>
      <c r="BI1254">
        <v>9.1999999999999993</v>
      </c>
      <c r="BJ1254">
        <v>18.3</v>
      </c>
      <c r="BK1254">
        <v>0.34</v>
      </c>
      <c r="BL1254">
        <v>7.3</v>
      </c>
      <c r="BM1254">
        <v>0.9</v>
      </c>
      <c r="BN1254">
        <v>7.5</v>
      </c>
      <c r="BO1254">
        <v>2.9</v>
      </c>
      <c r="BP1254">
        <f t="shared" si="38"/>
        <v>6.1487095180703903</v>
      </c>
      <c r="BQ1254">
        <f t="shared" si="39"/>
        <v>18.951915319992853</v>
      </c>
    </row>
    <row r="1255" spans="1:69" hidden="1" x14ac:dyDescent="0.2">
      <c r="A1255" t="s">
        <v>4649</v>
      </c>
      <c r="B1255" t="s">
        <v>68</v>
      </c>
      <c r="C1255" t="s">
        <v>3294</v>
      </c>
      <c r="D1255" t="s">
        <v>70</v>
      </c>
      <c r="E1255" t="s">
        <v>414</v>
      </c>
      <c r="F1255">
        <v>4</v>
      </c>
      <c r="G1255">
        <v>22.91</v>
      </c>
      <c r="H1255">
        <v>1</v>
      </c>
      <c r="I1255">
        <v>1</v>
      </c>
      <c r="J1255">
        <v>0</v>
      </c>
      <c r="K1255" t="s">
        <v>110</v>
      </c>
      <c r="L1255" t="s">
        <v>133</v>
      </c>
      <c r="M1255" s="4">
        <v>245000000</v>
      </c>
      <c r="N1255">
        <v>0</v>
      </c>
      <c r="O1255">
        <v>4.6443399999999997</v>
      </c>
      <c r="P1255">
        <v>-74.081569999999999</v>
      </c>
      <c r="Q1255" t="s">
        <v>4650</v>
      </c>
      <c r="R1255">
        <v>10694020.08</v>
      </c>
      <c r="S1255">
        <v>0</v>
      </c>
      <c r="T1255" t="s">
        <v>75</v>
      </c>
      <c r="U1255" t="s">
        <v>76</v>
      </c>
      <c r="V1255" t="s">
        <v>77</v>
      </c>
      <c r="W1255" t="s">
        <v>78</v>
      </c>
      <c r="X1255" t="s">
        <v>79</v>
      </c>
      <c r="Y1255">
        <v>1.5948977318444699</v>
      </c>
      <c r="Z1255">
        <v>1594.8977318444699</v>
      </c>
      <c r="AA1255">
        <v>4.6584666666666701</v>
      </c>
      <c r="AB1255">
        <v>-74.083966666666697</v>
      </c>
      <c r="AC1255">
        <v>2552</v>
      </c>
      <c r="AD1255">
        <v>0</v>
      </c>
      <c r="AE1255" t="s">
        <v>80</v>
      </c>
      <c r="AF1255" t="s">
        <v>81</v>
      </c>
      <c r="AG1255" t="s">
        <v>82</v>
      </c>
      <c r="AH1255" t="s">
        <v>83</v>
      </c>
      <c r="AI1255" t="s">
        <v>84</v>
      </c>
      <c r="AJ1255">
        <v>0.33797841998342898</v>
      </c>
      <c r="AK1255">
        <v>2.6737176327353702</v>
      </c>
      <c r="AL1255">
        <v>0.63797330420961595</v>
      </c>
      <c r="AM1255">
        <v>0.158212711531694</v>
      </c>
      <c r="AN1255">
        <v>2.4905062520697001</v>
      </c>
      <c r="AO1255">
        <v>0.30592762985852301</v>
      </c>
      <c r="AP1255">
        <v>0.30592762985852301</v>
      </c>
      <c r="AQ1255">
        <v>1</v>
      </c>
      <c r="AR1255">
        <v>3</v>
      </c>
      <c r="AS1255">
        <v>0</v>
      </c>
      <c r="AT1255">
        <v>0</v>
      </c>
      <c r="AU1255">
        <v>2</v>
      </c>
      <c r="AV1255">
        <v>40</v>
      </c>
      <c r="AW1255">
        <v>0</v>
      </c>
      <c r="AX1255">
        <v>0</v>
      </c>
      <c r="AZ1255">
        <v>6.8</v>
      </c>
      <c r="BA1255">
        <v>19.899999999999999</v>
      </c>
      <c r="BB1255">
        <v>564</v>
      </c>
      <c r="BC1255">
        <v>68</v>
      </c>
      <c r="BD1255">
        <v>1.5</v>
      </c>
      <c r="BE1255">
        <v>135</v>
      </c>
      <c r="BF1255">
        <v>0.8</v>
      </c>
      <c r="BG1255">
        <v>162</v>
      </c>
      <c r="BH1255">
        <v>9.1</v>
      </c>
      <c r="BI1255">
        <v>9.1999999999999993</v>
      </c>
      <c r="BJ1255">
        <v>18.3</v>
      </c>
      <c r="BK1255">
        <v>0.34</v>
      </c>
      <c r="BL1255">
        <v>7.3</v>
      </c>
      <c r="BM1255">
        <v>0.9</v>
      </c>
      <c r="BN1255">
        <v>7.5</v>
      </c>
      <c r="BO1255">
        <v>2.9</v>
      </c>
      <c r="BP1255">
        <f t="shared" si="38"/>
        <v>6.2838017684547438</v>
      </c>
      <c r="BQ1255">
        <f t="shared" si="39"/>
        <v>19.152671047093751</v>
      </c>
    </row>
    <row r="1256" spans="1:69" hidden="1" x14ac:dyDescent="0.2">
      <c r="A1256" t="s">
        <v>4653</v>
      </c>
      <c r="B1256" t="s">
        <v>68</v>
      </c>
      <c r="C1256" t="s">
        <v>3294</v>
      </c>
      <c r="D1256" t="s">
        <v>70</v>
      </c>
      <c r="E1256" t="s">
        <v>535</v>
      </c>
      <c r="F1256">
        <v>3</v>
      </c>
      <c r="G1256">
        <v>22.35</v>
      </c>
      <c r="H1256">
        <v>1</v>
      </c>
      <c r="I1256">
        <v>1</v>
      </c>
      <c r="J1256">
        <v>0</v>
      </c>
      <c r="K1256" t="s">
        <v>110</v>
      </c>
      <c r="L1256" t="s">
        <v>111</v>
      </c>
      <c r="M1256" s="4">
        <v>213000000</v>
      </c>
      <c r="N1256">
        <v>0</v>
      </c>
      <c r="O1256">
        <v>4.6034100000000002</v>
      </c>
      <c r="P1256">
        <v>-74.070329999999998</v>
      </c>
      <c r="Q1256" t="s">
        <v>4654</v>
      </c>
      <c r="R1256">
        <v>9530201.3420000002</v>
      </c>
      <c r="S1256">
        <v>0</v>
      </c>
      <c r="T1256" t="s">
        <v>126</v>
      </c>
      <c r="U1256" t="s">
        <v>127</v>
      </c>
      <c r="V1256" t="s">
        <v>77</v>
      </c>
      <c r="W1256" t="s">
        <v>128</v>
      </c>
      <c r="X1256" t="s">
        <v>129</v>
      </c>
      <c r="Y1256">
        <v>2.4854450291560601</v>
      </c>
      <c r="Z1256">
        <v>2485.4450291560602</v>
      </c>
      <c r="AA1256">
        <v>4.6254861111111101</v>
      </c>
      <c r="AB1256">
        <v>-74.066980555555503</v>
      </c>
      <c r="AC1256">
        <v>2621</v>
      </c>
      <c r="AD1256">
        <v>15</v>
      </c>
      <c r="AE1256" t="s">
        <v>80</v>
      </c>
      <c r="AF1256" t="s">
        <v>81</v>
      </c>
      <c r="AG1256" t="s">
        <v>82</v>
      </c>
      <c r="AH1256" t="s">
        <v>83</v>
      </c>
      <c r="AI1256" t="s">
        <v>138</v>
      </c>
      <c r="AJ1256">
        <v>0.232715620400365</v>
      </c>
      <c r="AK1256">
        <v>0.68952211062925695</v>
      </c>
      <c r="AL1256">
        <v>0.28486902560330002</v>
      </c>
      <c r="AM1256">
        <v>0.139331049189412</v>
      </c>
      <c r="AN1256">
        <v>1.3838566972041</v>
      </c>
      <c r="AO1256">
        <v>2.8911522294463299E-2</v>
      </c>
      <c r="AP1256">
        <v>2.8911522294463299E-2</v>
      </c>
      <c r="AQ1256">
        <v>3</v>
      </c>
      <c r="AR1256">
        <v>9</v>
      </c>
      <c r="AS1256">
        <v>0</v>
      </c>
      <c r="AT1256">
        <v>38</v>
      </c>
      <c r="AU1256">
        <v>14</v>
      </c>
      <c r="AV1256">
        <v>50</v>
      </c>
      <c r="AW1256">
        <v>0</v>
      </c>
      <c r="AX1256">
        <v>8</v>
      </c>
      <c r="AZ1256">
        <v>6.8</v>
      </c>
      <c r="BA1256">
        <v>19.899999999999999</v>
      </c>
      <c r="BB1256">
        <v>564</v>
      </c>
      <c r="BC1256">
        <v>68</v>
      </c>
      <c r="BD1256">
        <v>1.5</v>
      </c>
      <c r="BE1256">
        <v>135</v>
      </c>
      <c r="BF1256">
        <v>0.8</v>
      </c>
      <c r="BG1256">
        <v>162</v>
      </c>
      <c r="BH1256">
        <v>9.1</v>
      </c>
      <c r="BI1256">
        <v>9.1999999999999993</v>
      </c>
      <c r="BJ1256">
        <v>18.3</v>
      </c>
      <c r="BK1256">
        <v>0.34</v>
      </c>
      <c r="BL1256">
        <v>7.3</v>
      </c>
      <c r="BM1256">
        <v>0.9</v>
      </c>
      <c r="BN1256">
        <v>7.5</v>
      </c>
      <c r="BO1256">
        <v>2.9</v>
      </c>
      <c r="BP1256">
        <f t="shared" si="38"/>
        <v>6.0128153507089799</v>
      </c>
      <c r="BQ1256">
        <f t="shared" si="39"/>
        <v>18.747661994797049</v>
      </c>
    </row>
    <row r="1257" spans="1:69" hidden="1" x14ac:dyDescent="0.2">
      <c r="A1257" t="s">
        <v>4457</v>
      </c>
      <c r="B1257" t="s">
        <v>68</v>
      </c>
      <c r="C1257" t="s">
        <v>3294</v>
      </c>
      <c r="D1257" t="s">
        <v>70</v>
      </c>
      <c r="E1257" t="s">
        <v>4458</v>
      </c>
      <c r="F1257">
        <v>5</v>
      </c>
      <c r="G1257">
        <v>22</v>
      </c>
      <c r="H1257">
        <v>1</v>
      </c>
      <c r="I1257">
        <v>1</v>
      </c>
      <c r="J1257">
        <v>4</v>
      </c>
      <c r="K1257" t="s">
        <v>110</v>
      </c>
      <c r="L1257" t="s">
        <v>111</v>
      </c>
      <c r="M1257" s="4">
        <v>289000000</v>
      </c>
      <c r="N1257">
        <v>0</v>
      </c>
      <c r="O1257">
        <v>4.6655920000000002</v>
      </c>
      <c r="P1257">
        <v>-74.060050000000004</v>
      </c>
      <c r="Q1257" t="s">
        <v>4459</v>
      </c>
      <c r="R1257">
        <v>13136363.640000001</v>
      </c>
      <c r="S1257">
        <v>0</v>
      </c>
      <c r="T1257" t="s">
        <v>75</v>
      </c>
      <c r="U1257" t="s">
        <v>76</v>
      </c>
      <c r="V1257" t="s">
        <v>77</v>
      </c>
      <c r="W1257" t="s">
        <v>78</v>
      </c>
      <c r="X1257" t="s">
        <v>79</v>
      </c>
      <c r="Y1257">
        <v>2.7695935293308298</v>
      </c>
      <c r="Z1257">
        <v>2769.5935293308298</v>
      </c>
      <c r="AA1257">
        <v>4.6584666666666701</v>
      </c>
      <c r="AB1257">
        <v>-74.083966666666697</v>
      </c>
      <c r="AC1257">
        <v>2552</v>
      </c>
      <c r="AD1257">
        <v>0</v>
      </c>
      <c r="AE1257" t="s">
        <v>80</v>
      </c>
      <c r="AF1257" t="s">
        <v>81</v>
      </c>
      <c r="AG1257" t="s">
        <v>82</v>
      </c>
      <c r="AH1257" t="s">
        <v>83</v>
      </c>
      <c r="AI1257" t="s">
        <v>130</v>
      </c>
      <c r="AJ1257">
        <v>0.282619732160311</v>
      </c>
      <c r="AK1257">
        <v>1.59021988461999</v>
      </c>
      <c r="AL1257">
        <v>0.13070972780849299</v>
      </c>
      <c r="AM1257">
        <v>7.7810784961077295E-2</v>
      </c>
      <c r="AN1257">
        <v>2.5835304752764401</v>
      </c>
      <c r="AO1257">
        <v>0.13117306270036899</v>
      </c>
      <c r="AP1257">
        <v>0.13117306270036899</v>
      </c>
      <c r="AQ1257">
        <v>2</v>
      </c>
      <c r="AR1257">
        <v>5</v>
      </c>
      <c r="AS1257">
        <v>0</v>
      </c>
      <c r="AT1257">
        <v>0</v>
      </c>
      <c r="AU1257">
        <v>19</v>
      </c>
      <c r="AV1257">
        <v>264</v>
      </c>
      <c r="AW1257">
        <v>0</v>
      </c>
      <c r="AX1257">
        <v>0</v>
      </c>
      <c r="AZ1257">
        <v>6.8</v>
      </c>
      <c r="BA1257">
        <v>19.899999999999999</v>
      </c>
      <c r="BB1257">
        <v>564</v>
      </c>
      <c r="BC1257">
        <v>68</v>
      </c>
      <c r="BD1257">
        <v>1.5</v>
      </c>
      <c r="BE1257">
        <v>135</v>
      </c>
      <c r="BF1257">
        <v>0.8</v>
      </c>
      <c r="BG1257">
        <v>162</v>
      </c>
      <c r="BH1257">
        <v>9.1</v>
      </c>
      <c r="BI1257">
        <v>9.1999999999999993</v>
      </c>
      <c r="BJ1257">
        <v>18.3</v>
      </c>
      <c r="BK1257">
        <v>0.34</v>
      </c>
      <c r="BL1257">
        <v>7.3</v>
      </c>
      <c r="BM1257">
        <v>0.9</v>
      </c>
      <c r="BN1257">
        <v>7.5</v>
      </c>
      <c r="BO1257">
        <v>2.9</v>
      </c>
      <c r="BP1257">
        <f t="shared" si="38"/>
        <v>5.928834984915504</v>
      </c>
      <c r="BQ1257">
        <f t="shared" si="39"/>
        <v>18.620246068232561</v>
      </c>
    </row>
    <row r="1258" spans="1:69" hidden="1" x14ac:dyDescent="0.2">
      <c r="A1258" t="s">
        <v>4200</v>
      </c>
      <c r="B1258" t="s">
        <v>68</v>
      </c>
      <c r="C1258" t="s">
        <v>3294</v>
      </c>
      <c r="D1258" t="s">
        <v>70</v>
      </c>
      <c r="E1258" t="s">
        <v>130</v>
      </c>
      <c r="F1258">
        <v>4</v>
      </c>
      <c r="G1258">
        <v>22</v>
      </c>
      <c r="H1258">
        <v>1</v>
      </c>
      <c r="I1258">
        <v>1</v>
      </c>
      <c r="J1258">
        <v>0</v>
      </c>
      <c r="K1258" t="s">
        <v>110</v>
      </c>
      <c r="L1258" t="s">
        <v>133</v>
      </c>
      <c r="M1258" s="4">
        <v>270000000</v>
      </c>
      <c r="N1258">
        <v>0</v>
      </c>
      <c r="O1258">
        <v>4.6227939999999998</v>
      </c>
      <c r="P1258">
        <v>-74.090960199999998</v>
      </c>
      <c r="Q1258" t="s">
        <v>4201</v>
      </c>
      <c r="R1258">
        <v>12272727.27</v>
      </c>
      <c r="S1258">
        <v>0</v>
      </c>
      <c r="T1258" t="s">
        <v>126</v>
      </c>
      <c r="U1258" t="s">
        <v>127</v>
      </c>
      <c r="V1258" t="s">
        <v>77</v>
      </c>
      <c r="W1258" t="s">
        <v>128</v>
      </c>
      <c r="X1258" t="s">
        <v>129</v>
      </c>
      <c r="Y1258">
        <v>2.6775369153745001</v>
      </c>
      <c r="Z1258">
        <v>2677.5369153745</v>
      </c>
      <c r="AA1258">
        <v>4.6254861111111101</v>
      </c>
      <c r="AB1258">
        <v>-74.066980555555503</v>
      </c>
      <c r="AC1258">
        <v>2621</v>
      </c>
      <c r="AD1258">
        <v>15</v>
      </c>
      <c r="AE1258" t="s">
        <v>80</v>
      </c>
      <c r="AF1258" t="s">
        <v>81</v>
      </c>
      <c r="AG1258" t="s">
        <v>82</v>
      </c>
      <c r="AH1258" t="s">
        <v>83</v>
      </c>
      <c r="AI1258" t="s">
        <v>288</v>
      </c>
      <c r="AJ1258">
        <v>0.66743251898662503</v>
      </c>
      <c r="AK1258">
        <v>3.1337604789985098</v>
      </c>
      <c r="AL1258">
        <v>1.5332800914459901</v>
      </c>
      <c r="AM1258">
        <v>6.5377647119212901E-2</v>
      </c>
      <c r="AN1258">
        <v>1.4308107403660699</v>
      </c>
      <c r="AO1258">
        <v>0.54905754830896403</v>
      </c>
      <c r="AP1258">
        <v>0.54905754830896403</v>
      </c>
      <c r="AQ1258">
        <v>0</v>
      </c>
      <c r="AR1258">
        <v>4</v>
      </c>
      <c r="AS1258">
        <v>0</v>
      </c>
      <c r="AT1258">
        <v>0</v>
      </c>
      <c r="AU1258">
        <v>0</v>
      </c>
      <c r="AV1258">
        <v>16</v>
      </c>
      <c r="AW1258">
        <v>0</v>
      </c>
      <c r="AX1258">
        <v>0</v>
      </c>
      <c r="AZ1258">
        <v>6.8</v>
      </c>
      <c r="BA1258">
        <v>19.899999999999999</v>
      </c>
      <c r="BB1258">
        <v>564</v>
      </c>
      <c r="BC1258">
        <v>68</v>
      </c>
      <c r="BD1258">
        <v>1.5</v>
      </c>
      <c r="BE1258">
        <v>135</v>
      </c>
      <c r="BF1258">
        <v>0.8</v>
      </c>
      <c r="BG1258">
        <v>162</v>
      </c>
      <c r="BH1258">
        <v>9.1</v>
      </c>
      <c r="BI1258">
        <v>9.1999999999999993</v>
      </c>
      <c r="BJ1258">
        <v>18.3</v>
      </c>
      <c r="BK1258">
        <v>0.34</v>
      </c>
      <c r="BL1258">
        <v>7.3</v>
      </c>
      <c r="BM1258">
        <v>0.9</v>
      </c>
      <c r="BN1258">
        <v>7.5</v>
      </c>
      <c r="BO1258">
        <v>2.9</v>
      </c>
      <c r="BP1258">
        <f t="shared" si="38"/>
        <v>5.9559131624464419</v>
      </c>
      <c r="BQ1258">
        <f t="shared" si="39"/>
        <v>18.661430350204302</v>
      </c>
    </row>
    <row r="1259" spans="1:69" hidden="1" x14ac:dyDescent="0.2">
      <c r="A1259" t="s">
        <v>4118</v>
      </c>
      <c r="B1259" t="s">
        <v>68</v>
      </c>
      <c r="C1259" t="s">
        <v>3294</v>
      </c>
      <c r="D1259" t="s">
        <v>70</v>
      </c>
      <c r="E1259" t="s">
        <v>3559</v>
      </c>
      <c r="F1259">
        <v>3</v>
      </c>
      <c r="G1259">
        <v>22</v>
      </c>
      <c r="H1259">
        <v>1</v>
      </c>
      <c r="I1259">
        <v>1</v>
      </c>
      <c r="J1259">
        <v>0</v>
      </c>
      <c r="K1259" t="s">
        <v>110</v>
      </c>
      <c r="L1259" t="s">
        <v>111</v>
      </c>
      <c r="M1259" s="4">
        <v>250000000</v>
      </c>
      <c r="N1259">
        <v>0</v>
      </c>
      <c r="O1259">
        <v>4.6023598999999997</v>
      </c>
      <c r="P1259">
        <v>-74.070639999999997</v>
      </c>
      <c r="Q1259" t="s">
        <v>4119</v>
      </c>
      <c r="R1259">
        <v>11363636.359999999</v>
      </c>
      <c r="S1259">
        <v>0</v>
      </c>
      <c r="T1259" t="s">
        <v>126</v>
      </c>
      <c r="U1259" t="s">
        <v>127</v>
      </c>
      <c r="V1259" t="s">
        <v>77</v>
      </c>
      <c r="W1259" t="s">
        <v>128</v>
      </c>
      <c r="X1259" t="s">
        <v>129</v>
      </c>
      <c r="Y1259">
        <v>2.6062232733349902</v>
      </c>
      <c r="Z1259">
        <v>2606.2232733349902</v>
      </c>
      <c r="AA1259">
        <v>4.6254861111111101</v>
      </c>
      <c r="AB1259">
        <v>-74.066980555555503</v>
      </c>
      <c r="AC1259">
        <v>2621</v>
      </c>
      <c r="AD1259">
        <v>15</v>
      </c>
      <c r="AE1259" t="s">
        <v>80</v>
      </c>
      <c r="AF1259" t="s">
        <v>81</v>
      </c>
      <c r="AG1259" t="s">
        <v>82</v>
      </c>
      <c r="AH1259" t="s">
        <v>83</v>
      </c>
      <c r="AI1259" t="s">
        <v>138</v>
      </c>
      <c r="AJ1259">
        <v>0.24942807750848001</v>
      </c>
      <c r="AK1259">
        <v>0.74970684997677395</v>
      </c>
      <c r="AL1259">
        <v>0.30665810133853699</v>
      </c>
      <c r="AM1259">
        <v>0.14606478813190199</v>
      </c>
      <c r="AN1259">
        <v>1.5048204582978899</v>
      </c>
      <c r="AO1259">
        <v>4.4427298027160902E-2</v>
      </c>
      <c r="AP1259">
        <v>4.4427298027160902E-2</v>
      </c>
      <c r="AQ1259">
        <v>3</v>
      </c>
      <c r="AR1259">
        <v>8</v>
      </c>
      <c r="AS1259">
        <v>0</v>
      </c>
      <c r="AT1259">
        <v>39</v>
      </c>
      <c r="AU1259">
        <v>15</v>
      </c>
      <c r="AV1259">
        <v>51</v>
      </c>
      <c r="AW1259">
        <v>0</v>
      </c>
      <c r="AX1259">
        <v>8</v>
      </c>
      <c r="AZ1259">
        <v>6.8</v>
      </c>
      <c r="BA1259">
        <v>19.899999999999999</v>
      </c>
      <c r="BB1259">
        <v>564</v>
      </c>
      <c r="BC1259">
        <v>68</v>
      </c>
      <c r="BD1259">
        <v>1.5</v>
      </c>
      <c r="BE1259">
        <v>135</v>
      </c>
      <c r="BF1259">
        <v>0.8</v>
      </c>
      <c r="BG1259">
        <v>162</v>
      </c>
      <c r="BH1259">
        <v>9.1</v>
      </c>
      <c r="BI1259">
        <v>9.1999999999999993</v>
      </c>
      <c r="BJ1259">
        <v>18.3</v>
      </c>
      <c r="BK1259">
        <v>0.34</v>
      </c>
      <c r="BL1259">
        <v>7.3</v>
      </c>
      <c r="BM1259">
        <v>0.9</v>
      </c>
      <c r="BN1259">
        <v>7.5</v>
      </c>
      <c r="BO1259">
        <v>2.9</v>
      </c>
      <c r="BP1259">
        <f t="shared" si="38"/>
        <v>5.9769748387350052</v>
      </c>
      <c r="BQ1259">
        <f t="shared" si="39"/>
        <v>18.69339724804632</v>
      </c>
    </row>
    <row r="1260" spans="1:69" hidden="1" x14ac:dyDescent="0.2">
      <c r="A1260" t="s">
        <v>4575</v>
      </c>
      <c r="B1260" t="s">
        <v>68</v>
      </c>
      <c r="C1260" t="s">
        <v>3294</v>
      </c>
      <c r="D1260" t="s">
        <v>70</v>
      </c>
      <c r="E1260" t="s">
        <v>381</v>
      </c>
      <c r="F1260">
        <v>3</v>
      </c>
      <c r="G1260">
        <v>22</v>
      </c>
      <c r="H1260">
        <v>1</v>
      </c>
      <c r="I1260">
        <v>1</v>
      </c>
      <c r="J1260">
        <v>0</v>
      </c>
      <c r="K1260" t="s">
        <v>110</v>
      </c>
      <c r="L1260" t="s">
        <v>111</v>
      </c>
      <c r="M1260" s="4">
        <v>240000000</v>
      </c>
      <c r="N1260">
        <v>0</v>
      </c>
      <c r="O1260">
        <v>4.6023100000000001</v>
      </c>
      <c r="P1260">
        <v>-74.070570000000004</v>
      </c>
      <c r="Q1260" t="s">
        <v>4576</v>
      </c>
      <c r="R1260">
        <v>10909090.91</v>
      </c>
      <c r="S1260">
        <v>0</v>
      </c>
      <c r="T1260" t="s">
        <v>126</v>
      </c>
      <c r="U1260" t="s">
        <v>127</v>
      </c>
      <c r="V1260" t="s">
        <v>77</v>
      </c>
      <c r="W1260" t="s">
        <v>128</v>
      </c>
      <c r="X1260" t="s">
        <v>129</v>
      </c>
      <c r="Y1260">
        <v>2.6105141384533401</v>
      </c>
      <c r="Z1260">
        <v>2610.5141384533399</v>
      </c>
      <c r="AA1260">
        <v>4.6254861111111101</v>
      </c>
      <c r="AB1260">
        <v>-74.066980555555503</v>
      </c>
      <c r="AC1260">
        <v>2621</v>
      </c>
      <c r="AD1260">
        <v>15</v>
      </c>
      <c r="AE1260" t="s">
        <v>80</v>
      </c>
      <c r="AF1260" t="s">
        <v>81</v>
      </c>
      <c r="AG1260" t="s">
        <v>82</v>
      </c>
      <c r="AH1260" t="s">
        <v>83</v>
      </c>
      <c r="AI1260" t="s">
        <v>138</v>
      </c>
      <c r="AJ1260">
        <v>0.24232010239257801</v>
      </c>
      <c r="AK1260">
        <v>0.74362181839173902</v>
      </c>
      <c r="AL1260">
        <v>0.29942026530691201</v>
      </c>
      <c r="AM1260">
        <v>0.146583774267697</v>
      </c>
      <c r="AN1260">
        <v>1.5076355751671799</v>
      </c>
      <c r="AO1260">
        <v>5.38582777361361E-2</v>
      </c>
      <c r="AP1260">
        <v>5.38582777361361E-2</v>
      </c>
      <c r="AQ1260">
        <v>3</v>
      </c>
      <c r="AR1260">
        <v>8</v>
      </c>
      <c r="AS1260">
        <v>0</v>
      </c>
      <c r="AT1260">
        <v>41</v>
      </c>
      <c r="AU1260">
        <v>15</v>
      </c>
      <c r="AV1260">
        <v>50</v>
      </c>
      <c r="AW1260">
        <v>0</v>
      </c>
      <c r="AX1260">
        <v>8</v>
      </c>
      <c r="AZ1260">
        <v>6.8</v>
      </c>
      <c r="BA1260">
        <v>19.899999999999999</v>
      </c>
      <c r="BB1260">
        <v>564</v>
      </c>
      <c r="BC1260">
        <v>68</v>
      </c>
      <c r="BD1260">
        <v>1.5</v>
      </c>
      <c r="BE1260">
        <v>135</v>
      </c>
      <c r="BF1260">
        <v>0.8</v>
      </c>
      <c r="BG1260">
        <v>162</v>
      </c>
      <c r="BH1260">
        <v>9.1</v>
      </c>
      <c r="BI1260">
        <v>9.1999999999999993</v>
      </c>
      <c r="BJ1260">
        <v>18.3</v>
      </c>
      <c r="BK1260">
        <v>0.34</v>
      </c>
      <c r="BL1260">
        <v>7.3</v>
      </c>
      <c r="BM1260">
        <v>0.9</v>
      </c>
      <c r="BN1260">
        <v>7.5</v>
      </c>
      <c r="BO1260">
        <v>2.9</v>
      </c>
      <c r="BP1260">
        <f t="shared" si="38"/>
        <v>5.975705477098586</v>
      </c>
      <c r="BQ1260">
        <f t="shared" si="39"/>
        <v>18.691472286856325</v>
      </c>
    </row>
    <row r="1261" spans="1:69" hidden="1" x14ac:dyDescent="0.2">
      <c r="A1261" t="s">
        <v>3805</v>
      </c>
      <c r="B1261" t="s">
        <v>68</v>
      </c>
      <c r="C1261" t="s">
        <v>3294</v>
      </c>
      <c r="D1261" t="s">
        <v>70</v>
      </c>
      <c r="E1261" t="s">
        <v>123</v>
      </c>
      <c r="F1261">
        <v>3</v>
      </c>
      <c r="G1261">
        <v>22</v>
      </c>
      <c r="H1261">
        <v>1</v>
      </c>
      <c r="I1261">
        <v>1</v>
      </c>
      <c r="J1261">
        <v>0</v>
      </c>
      <c r="K1261" t="s">
        <v>110</v>
      </c>
      <c r="L1261" t="s">
        <v>111</v>
      </c>
      <c r="M1261" s="4">
        <v>239000000</v>
      </c>
      <c r="N1261">
        <v>0</v>
      </c>
      <c r="O1261">
        <v>4.6431403160000002</v>
      </c>
      <c r="P1261">
        <v>-74.063018799999995</v>
      </c>
      <c r="Q1261" t="s">
        <v>3806</v>
      </c>
      <c r="R1261">
        <v>10863636.359999999</v>
      </c>
      <c r="S1261">
        <v>0</v>
      </c>
      <c r="T1261" t="s">
        <v>126</v>
      </c>
      <c r="U1261" t="s">
        <v>127</v>
      </c>
      <c r="V1261" t="s">
        <v>77</v>
      </c>
      <c r="W1261" t="s">
        <v>128</v>
      </c>
      <c r="X1261" t="s">
        <v>129</v>
      </c>
      <c r="Y1261">
        <v>2.013818501362</v>
      </c>
      <c r="Z1261">
        <v>2013.818501362</v>
      </c>
      <c r="AA1261">
        <v>4.6254861111111101</v>
      </c>
      <c r="AB1261">
        <v>-74.066980555555503</v>
      </c>
      <c r="AC1261">
        <v>2621</v>
      </c>
      <c r="AD1261">
        <v>15</v>
      </c>
      <c r="AE1261" t="s">
        <v>80</v>
      </c>
      <c r="AF1261" t="s">
        <v>81</v>
      </c>
      <c r="AG1261" t="s">
        <v>82</v>
      </c>
      <c r="AH1261" t="s">
        <v>83</v>
      </c>
      <c r="AI1261" t="s">
        <v>130</v>
      </c>
      <c r="AJ1261">
        <v>0.31202553854340498</v>
      </c>
      <c r="AK1261">
        <v>0.65521729859868905</v>
      </c>
      <c r="AL1261">
        <v>0.37214957130887799</v>
      </c>
      <c r="AM1261">
        <v>0.12685881930291601</v>
      </c>
      <c r="AN1261">
        <v>0.54029111617762804</v>
      </c>
      <c r="AO1261">
        <v>0.33342952983095803</v>
      </c>
      <c r="AP1261">
        <v>0.33342952983095803</v>
      </c>
      <c r="AQ1261">
        <v>1</v>
      </c>
      <c r="AR1261">
        <v>4</v>
      </c>
      <c r="AS1261">
        <v>0</v>
      </c>
      <c r="AT1261">
        <v>17</v>
      </c>
      <c r="AU1261">
        <v>11</v>
      </c>
      <c r="AV1261">
        <v>139</v>
      </c>
      <c r="AW1261">
        <v>1</v>
      </c>
      <c r="AX1261">
        <v>0</v>
      </c>
      <c r="AZ1261">
        <v>6.8</v>
      </c>
      <c r="BA1261">
        <v>19.899999999999999</v>
      </c>
      <c r="BB1261">
        <v>564</v>
      </c>
      <c r="BC1261">
        <v>68</v>
      </c>
      <c r="BD1261">
        <v>1.5</v>
      </c>
      <c r="BE1261">
        <v>135</v>
      </c>
      <c r="BF1261">
        <v>0.8</v>
      </c>
      <c r="BG1261">
        <v>162</v>
      </c>
      <c r="BH1261">
        <v>9.1</v>
      </c>
      <c r="BI1261">
        <v>9.1999999999999993</v>
      </c>
      <c r="BJ1261">
        <v>18.3</v>
      </c>
      <c r="BK1261">
        <v>0.34</v>
      </c>
      <c r="BL1261">
        <v>7.3</v>
      </c>
      <c r="BM1261">
        <v>0.9</v>
      </c>
      <c r="BN1261">
        <v>7.5</v>
      </c>
      <c r="BO1261">
        <v>2.9</v>
      </c>
      <c r="BP1261">
        <f t="shared" si="38"/>
        <v>6.154838967168808</v>
      </c>
      <c r="BQ1261">
        <f t="shared" si="39"/>
        <v>18.961072993272463</v>
      </c>
    </row>
    <row r="1262" spans="1:69" hidden="1" x14ac:dyDescent="0.2">
      <c r="A1262" t="s">
        <v>3972</v>
      </c>
      <c r="B1262" t="s">
        <v>68</v>
      </c>
      <c r="C1262" t="s">
        <v>3294</v>
      </c>
      <c r="D1262" t="s">
        <v>70</v>
      </c>
      <c r="E1262" t="s">
        <v>1098</v>
      </c>
      <c r="F1262">
        <v>3</v>
      </c>
      <c r="G1262">
        <v>22</v>
      </c>
      <c r="H1262">
        <v>1</v>
      </c>
      <c r="I1262">
        <v>1</v>
      </c>
      <c r="J1262">
        <v>0</v>
      </c>
      <c r="K1262" t="s">
        <v>110</v>
      </c>
      <c r="L1262" t="s">
        <v>111</v>
      </c>
      <c r="M1262" s="4">
        <v>235000000</v>
      </c>
      <c r="N1262">
        <v>0</v>
      </c>
      <c r="O1262">
        <v>4.6024000000000003</v>
      </c>
      <c r="P1262">
        <v>-74.070700000000002</v>
      </c>
      <c r="Q1262" t="s">
        <v>3973</v>
      </c>
      <c r="R1262">
        <v>10681818.18</v>
      </c>
      <c r="S1262">
        <v>0</v>
      </c>
      <c r="T1262" t="s">
        <v>126</v>
      </c>
      <c r="U1262" t="s">
        <v>127</v>
      </c>
      <c r="V1262" t="s">
        <v>77</v>
      </c>
      <c r="W1262" t="s">
        <v>128</v>
      </c>
      <c r="X1262" t="s">
        <v>129</v>
      </c>
      <c r="Y1262">
        <v>2.60286126408573</v>
      </c>
      <c r="Z1262">
        <v>2602.86126408573</v>
      </c>
      <c r="AA1262">
        <v>4.6254861111111101</v>
      </c>
      <c r="AB1262">
        <v>-74.066980555555503</v>
      </c>
      <c r="AC1262">
        <v>2621</v>
      </c>
      <c r="AD1262">
        <v>15</v>
      </c>
      <c r="AE1262" t="s">
        <v>80</v>
      </c>
      <c r="AF1262" t="s">
        <v>81</v>
      </c>
      <c r="AG1262" t="s">
        <v>82</v>
      </c>
      <c r="AH1262" t="s">
        <v>83</v>
      </c>
      <c r="AI1262" t="s">
        <v>138</v>
      </c>
      <c r="AJ1262">
        <v>0.25566841087481601</v>
      </c>
      <c r="AK1262">
        <v>0.75499844549339601</v>
      </c>
      <c r="AL1262">
        <v>0.31027728974651397</v>
      </c>
      <c r="AM1262">
        <v>0.14586696380481101</v>
      </c>
      <c r="AN1262">
        <v>1.5027310352068499</v>
      </c>
      <c r="AO1262">
        <v>3.6479756449405397E-2</v>
      </c>
      <c r="AP1262">
        <v>3.6479756449405397E-2</v>
      </c>
      <c r="AQ1262">
        <v>3</v>
      </c>
      <c r="AR1262">
        <v>8</v>
      </c>
      <c r="AS1262">
        <v>0</v>
      </c>
      <c r="AT1262">
        <v>39</v>
      </c>
      <c r="AU1262">
        <v>15</v>
      </c>
      <c r="AV1262">
        <v>51</v>
      </c>
      <c r="AW1262">
        <v>0</v>
      </c>
      <c r="AX1262">
        <v>8</v>
      </c>
      <c r="AZ1262">
        <v>6.8</v>
      </c>
      <c r="BA1262">
        <v>19.899999999999999</v>
      </c>
      <c r="BB1262">
        <v>564</v>
      </c>
      <c r="BC1262">
        <v>68</v>
      </c>
      <c r="BD1262">
        <v>1.5</v>
      </c>
      <c r="BE1262">
        <v>135</v>
      </c>
      <c r="BF1262">
        <v>0.8</v>
      </c>
      <c r="BG1262">
        <v>162</v>
      </c>
      <c r="BH1262">
        <v>9.1</v>
      </c>
      <c r="BI1262">
        <v>9.1999999999999993</v>
      </c>
      <c r="BJ1262">
        <v>18.3</v>
      </c>
      <c r="BK1262">
        <v>0.34</v>
      </c>
      <c r="BL1262">
        <v>7.3</v>
      </c>
      <c r="BM1262">
        <v>0.9</v>
      </c>
      <c r="BN1262">
        <v>7.5</v>
      </c>
      <c r="BO1262">
        <v>2.9</v>
      </c>
      <c r="BP1262">
        <f t="shared" si="38"/>
        <v>5.9779696064192338</v>
      </c>
      <c r="BQ1262">
        <f t="shared" si="39"/>
        <v>18.694905645887225</v>
      </c>
    </row>
    <row r="1263" spans="1:69" hidden="1" x14ac:dyDescent="0.2">
      <c r="A1263" t="s">
        <v>3698</v>
      </c>
      <c r="B1263" t="s">
        <v>68</v>
      </c>
      <c r="C1263" t="s">
        <v>3294</v>
      </c>
      <c r="D1263" t="s">
        <v>70</v>
      </c>
      <c r="E1263" t="s">
        <v>381</v>
      </c>
      <c r="F1263">
        <v>4</v>
      </c>
      <c r="G1263">
        <v>22</v>
      </c>
      <c r="H1263">
        <v>1</v>
      </c>
      <c r="I1263">
        <v>1</v>
      </c>
      <c r="J1263">
        <v>0</v>
      </c>
      <c r="K1263" t="s">
        <v>110</v>
      </c>
      <c r="L1263" t="s">
        <v>133</v>
      </c>
      <c r="M1263" s="4">
        <v>235000000</v>
      </c>
      <c r="N1263">
        <v>0</v>
      </c>
      <c r="O1263">
        <v>4.603298187</v>
      </c>
      <c r="P1263">
        <v>-74.070320129999999</v>
      </c>
      <c r="Q1263" t="s">
        <v>3699</v>
      </c>
      <c r="R1263">
        <v>10681818.18</v>
      </c>
      <c r="S1263">
        <v>0</v>
      </c>
      <c r="T1263" t="s">
        <v>126</v>
      </c>
      <c r="U1263" t="s">
        <v>127</v>
      </c>
      <c r="V1263" t="s">
        <v>77</v>
      </c>
      <c r="W1263" t="s">
        <v>128</v>
      </c>
      <c r="X1263" t="s">
        <v>129</v>
      </c>
      <c r="Y1263">
        <v>2.4975900348759801</v>
      </c>
      <c r="Z1263">
        <v>2497.5900348759801</v>
      </c>
      <c r="AA1263">
        <v>4.6254861111111101</v>
      </c>
      <c r="AB1263">
        <v>-74.066980555555503</v>
      </c>
      <c r="AC1263">
        <v>2621</v>
      </c>
      <c r="AD1263">
        <v>15</v>
      </c>
      <c r="AE1263" t="s">
        <v>80</v>
      </c>
      <c r="AF1263" t="s">
        <v>81</v>
      </c>
      <c r="AG1263" t="s">
        <v>82</v>
      </c>
      <c r="AH1263" t="s">
        <v>83</v>
      </c>
      <c r="AI1263" t="s">
        <v>138</v>
      </c>
      <c r="AJ1263">
        <v>0.22710083708470999</v>
      </c>
      <c r="AK1263">
        <v>0.69062991222598602</v>
      </c>
      <c r="AL1263">
        <v>0.28162759855806302</v>
      </c>
      <c r="AM1263">
        <v>0.15077704553652299</v>
      </c>
      <c r="AN1263">
        <v>1.39523376815168</v>
      </c>
      <c r="AO1263">
        <v>3.5290973381480302E-2</v>
      </c>
      <c r="AP1263">
        <v>3.5290973381480302E-2</v>
      </c>
      <c r="AQ1263">
        <v>3</v>
      </c>
      <c r="AR1263">
        <v>9</v>
      </c>
      <c r="AS1263">
        <v>0</v>
      </c>
      <c r="AT1263">
        <v>38</v>
      </c>
      <c r="AU1263">
        <v>14</v>
      </c>
      <c r="AV1263">
        <v>50</v>
      </c>
      <c r="AW1263">
        <v>0</v>
      </c>
      <c r="AX1263">
        <v>8</v>
      </c>
      <c r="AZ1263">
        <v>6.8</v>
      </c>
      <c r="BA1263">
        <v>19.899999999999999</v>
      </c>
      <c r="BB1263">
        <v>564</v>
      </c>
      <c r="BC1263">
        <v>68</v>
      </c>
      <c r="BD1263">
        <v>1.5</v>
      </c>
      <c r="BE1263">
        <v>135</v>
      </c>
      <c r="BF1263">
        <v>0.8</v>
      </c>
      <c r="BG1263">
        <v>162</v>
      </c>
      <c r="BH1263">
        <v>9.1</v>
      </c>
      <c r="BI1263">
        <v>9.1999999999999993</v>
      </c>
      <c r="BJ1263">
        <v>18.3</v>
      </c>
      <c r="BK1263">
        <v>0.34</v>
      </c>
      <c r="BL1263">
        <v>7.3</v>
      </c>
      <c r="BM1263">
        <v>0.9</v>
      </c>
      <c r="BN1263">
        <v>7.5</v>
      </c>
      <c r="BO1263">
        <v>2.9</v>
      </c>
      <c r="BP1263">
        <f t="shared" si="38"/>
        <v>6.0092016660483374</v>
      </c>
      <c r="BQ1263">
        <f t="shared" si="39"/>
        <v>18.742198220034755</v>
      </c>
    </row>
    <row r="1264" spans="1:69" hidden="1" x14ac:dyDescent="0.2">
      <c r="A1264" t="s">
        <v>3797</v>
      </c>
      <c r="B1264" t="s">
        <v>68</v>
      </c>
      <c r="C1264" t="s">
        <v>3294</v>
      </c>
      <c r="D1264" t="s">
        <v>70</v>
      </c>
      <c r="E1264" t="s">
        <v>3798</v>
      </c>
      <c r="F1264">
        <v>4</v>
      </c>
      <c r="G1264">
        <v>22</v>
      </c>
      <c r="H1264">
        <v>1</v>
      </c>
      <c r="I1264">
        <v>1</v>
      </c>
      <c r="J1264">
        <v>0</v>
      </c>
      <c r="K1264" t="s">
        <v>110</v>
      </c>
      <c r="L1264" t="s">
        <v>111</v>
      </c>
      <c r="M1264" s="4">
        <v>220000000</v>
      </c>
      <c r="N1264">
        <v>0</v>
      </c>
      <c r="O1264">
        <v>4.6414642329999998</v>
      </c>
      <c r="P1264">
        <v>-74.077369689999998</v>
      </c>
      <c r="Q1264" t="s">
        <v>3799</v>
      </c>
      <c r="R1264">
        <v>10000000</v>
      </c>
      <c r="S1264">
        <v>0</v>
      </c>
      <c r="T1264" t="s">
        <v>75</v>
      </c>
      <c r="U1264" t="s">
        <v>76</v>
      </c>
      <c r="V1264" t="s">
        <v>77</v>
      </c>
      <c r="W1264" t="s">
        <v>78</v>
      </c>
      <c r="X1264" t="s">
        <v>79</v>
      </c>
      <c r="Y1264">
        <v>2.0293052681244101</v>
      </c>
      <c r="Z1264">
        <v>2029.3052681244101</v>
      </c>
      <c r="AA1264">
        <v>4.6584666666666701</v>
      </c>
      <c r="AB1264">
        <v>-74.083966666666697</v>
      </c>
      <c r="AC1264">
        <v>2552</v>
      </c>
      <c r="AD1264">
        <v>0</v>
      </c>
      <c r="AE1264" t="s">
        <v>80</v>
      </c>
      <c r="AF1264" t="s">
        <v>81</v>
      </c>
      <c r="AG1264" t="s">
        <v>82</v>
      </c>
      <c r="AH1264" t="s">
        <v>83</v>
      </c>
      <c r="AI1264" t="s">
        <v>84</v>
      </c>
      <c r="AJ1264">
        <v>0.45939211881233299</v>
      </c>
      <c r="AK1264">
        <v>2.1166030800949098</v>
      </c>
      <c r="AL1264">
        <v>0.46190550399672298</v>
      </c>
      <c r="AM1264">
        <v>0.114552875473952</v>
      </c>
      <c r="AN1264">
        <v>1.9483042748042201</v>
      </c>
      <c r="AO1264">
        <v>0.68783720540346505</v>
      </c>
      <c r="AP1264">
        <v>0.68783720540346505</v>
      </c>
      <c r="AQ1264">
        <v>1</v>
      </c>
      <c r="AR1264">
        <v>3</v>
      </c>
      <c r="AS1264">
        <v>0</v>
      </c>
      <c r="AT1264">
        <v>0</v>
      </c>
      <c r="AU1264">
        <v>4</v>
      </c>
      <c r="AV1264">
        <v>90</v>
      </c>
      <c r="AW1264">
        <v>0</v>
      </c>
      <c r="AX1264">
        <v>0</v>
      </c>
      <c r="AZ1264">
        <v>6.8</v>
      </c>
      <c r="BA1264">
        <v>19.899999999999999</v>
      </c>
      <c r="BB1264">
        <v>564</v>
      </c>
      <c r="BC1264">
        <v>68</v>
      </c>
      <c r="BD1264">
        <v>1.5</v>
      </c>
      <c r="BE1264">
        <v>135</v>
      </c>
      <c r="BF1264">
        <v>0.8</v>
      </c>
      <c r="BG1264">
        <v>162</v>
      </c>
      <c r="BH1264">
        <v>9.1</v>
      </c>
      <c r="BI1264">
        <v>9.1999999999999993</v>
      </c>
      <c r="BJ1264">
        <v>18.3</v>
      </c>
      <c r="BK1264">
        <v>0.34</v>
      </c>
      <c r="BL1264">
        <v>7.3</v>
      </c>
      <c r="BM1264">
        <v>0.9</v>
      </c>
      <c r="BN1264">
        <v>7.5</v>
      </c>
      <c r="BO1264">
        <v>2.9</v>
      </c>
      <c r="BP1264">
        <f t="shared" si="38"/>
        <v>6.1501225067077163</v>
      </c>
      <c r="BQ1264">
        <f t="shared" si="39"/>
        <v>18.954026805665265</v>
      </c>
    </row>
    <row r="1265" spans="1:69" hidden="1" x14ac:dyDescent="0.2">
      <c r="A1265" t="s">
        <v>3471</v>
      </c>
      <c r="B1265" t="s">
        <v>68</v>
      </c>
      <c r="C1265" t="s">
        <v>3294</v>
      </c>
      <c r="D1265" t="s">
        <v>70</v>
      </c>
      <c r="E1265" t="s">
        <v>1098</v>
      </c>
      <c r="F1265">
        <v>3</v>
      </c>
      <c r="G1265">
        <v>22</v>
      </c>
      <c r="H1265">
        <v>1</v>
      </c>
      <c r="I1265">
        <v>1</v>
      </c>
      <c r="J1265">
        <v>0</v>
      </c>
      <c r="K1265" t="s">
        <v>110</v>
      </c>
      <c r="L1265" t="s">
        <v>111</v>
      </c>
      <c r="M1265" s="4">
        <v>219000000</v>
      </c>
      <c r="N1265">
        <v>0</v>
      </c>
      <c r="O1265">
        <v>4.6109518999999999</v>
      </c>
      <c r="P1265">
        <v>-74.071258540000002</v>
      </c>
      <c r="Q1265" t="s">
        <v>3472</v>
      </c>
      <c r="R1265">
        <v>9954545.4550000001</v>
      </c>
      <c r="S1265">
        <v>0</v>
      </c>
      <c r="T1265" t="s">
        <v>126</v>
      </c>
      <c r="U1265" t="s">
        <v>127</v>
      </c>
      <c r="V1265" t="s">
        <v>77</v>
      </c>
      <c r="W1265" t="s">
        <v>128</v>
      </c>
      <c r="X1265" t="s">
        <v>129</v>
      </c>
      <c r="Y1265">
        <v>1.6861349831747201</v>
      </c>
      <c r="Z1265">
        <v>1686.13498317472</v>
      </c>
      <c r="AA1265">
        <v>4.6254861111111101</v>
      </c>
      <c r="AB1265">
        <v>-74.066980555555503</v>
      </c>
      <c r="AC1265">
        <v>2621</v>
      </c>
      <c r="AD1265">
        <v>15</v>
      </c>
      <c r="AE1265" t="s">
        <v>80</v>
      </c>
      <c r="AF1265" t="s">
        <v>81</v>
      </c>
      <c r="AG1265" t="s">
        <v>82</v>
      </c>
      <c r="AH1265" t="s">
        <v>83</v>
      </c>
      <c r="AI1265" t="s">
        <v>138</v>
      </c>
      <c r="AJ1265">
        <v>2.7412834686535398E-2</v>
      </c>
      <c r="AK1265">
        <v>0.75273406931437203</v>
      </c>
      <c r="AL1265">
        <v>0.15284068796981101</v>
      </c>
      <c r="AM1265">
        <v>0.33604796087546401</v>
      </c>
      <c r="AN1265">
        <v>0.72366353519718496</v>
      </c>
      <c r="AO1265">
        <v>5.1275955074568502E-2</v>
      </c>
      <c r="AP1265">
        <v>5.1275955074568502E-2</v>
      </c>
      <c r="AQ1265">
        <v>2</v>
      </c>
      <c r="AR1265">
        <v>8</v>
      </c>
      <c r="AS1265">
        <v>0</v>
      </c>
      <c r="AT1265">
        <v>23</v>
      </c>
      <c r="AU1265">
        <v>9</v>
      </c>
      <c r="AV1265">
        <v>64</v>
      </c>
      <c r="AW1265">
        <v>1</v>
      </c>
      <c r="AX1265">
        <v>6</v>
      </c>
      <c r="AZ1265">
        <v>6.8</v>
      </c>
      <c r="BA1265">
        <v>19.899999999999999</v>
      </c>
      <c r="BB1265">
        <v>564</v>
      </c>
      <c r="BC1265">
        <v>68</v>
      </c>
      <c r="BD1265">
        <v>1.5</v>
      </c>
      <c r="BE1265">
        <v>135</v>
      </c>
      <c r="BF1265">
        <v>0.8</v>
      </c>
      <c r="BG1265">
        <v>162</v>
      </c>
      <c r="BH1265">
        <v>9.1</v>
      </c>
      <c r="BI1265">
        <v>9.1999999999999993</v>
      </c>
      <c r="BJ1265">
        <v>18.3</v>
      </c>
      <c r="BK1265">
        <v>0.34</v>
      </c>
      <c r="BL1265">
        <v>7.3</v>
      </c>
      <c r="BM1265">
        <v>0.9</v>
      </c>
      <c r="BN1265">
        <v>7.5</v>
      </c>
      <c r="BO1265">
        <v>2.9</v>
      </c>
      <c r="BP1265">
        <f t="shared" si="38"/>
        <v>6.2554865740824424</v>
      </c>
      <c r="BQ1265">
        <f t="shared" si="39"/>
        <v>19.110778440340731</v>
      </c>
    </row>
    <row r="1266" spans="1:69" hidden="1" x14ac:dyDescent="0.2">
      <c r="A1266" t="s">
        <v>4626</v>
      </c>
      <c r="B1266" t="s">
        <v>68</v>
      </c>
      <c r="C1266" t="s">
        <v>3294</v>
      </c>
      <c r="D1266" t="s">
        <v>70</v>
      </c>
      <c r="E1266" t="s">
        <v>4158</v>
      </c>
      <c r="F1266">
        <v>4</v>
      </c>
      <c r="G1266">
        <v>22</v>
      </c>
      <c r="H1266">
        <v>1</v>
      </c>
      <c r="I1266">
        <v>1</v>
      </c>
      <c r="J1266">
        <v>0</v>
      </c>
      <c r="K1266" t="s">
        <v>110</v>
      </c>
      <c r="L1266" t="s">
        <v>133</v>
      </c>
      <c r="M1266" s="4">
        <v>212000000</v>
      </c>
      <c r="N1266">
        <v>0</v>
      </c>
      <c r="O1266">
        <v>4.6259317400000004</v>
      </c>
      <c r="P1266">
        <v>-74.082664489999999</v>
      </c>
      <c r="Q1266" t="s">
        <v>4627</v>
      </c>
      <c r="R1266">
        <v>9636363.6359999999</v>
      </c>
      <c r="S1266">
        <v>0</v>
      </c>
      <c r="T1266" t="s">
        <v>126</v>
      </c>
      <c r="U1266" t="s">
        <v>127</v>
      </c>
      <c r="V1266" t="s">
        <v>77</v>
      </c>
      <c r="W1266" t="s">
        <v>128</v>
      </c>
      <c r="X1266" t="s">
        <v>129</v>
      </c>
      <c r="Y1266">
        <v>1.7409476531972701</v>
      </c>
      <c r="Z1266">
        <v>1740.94765319727</v>
      </c>
      <c r="AA1266">
        <v>4.6254861111111101</v>
      </c>
      <c r="AB1266">
        <v>-74.066980555555503</v>
      </c>
      <c r="AC1266">
        <v>2621</v>
      </c>
      <c r="AD1266">
        <v>15</v>
      </c>
      <c r="AE1266" t="s">
        <v>80</v>
      </c>
      <c r="AF1266" t="s">
        <v>81</v>
      </c>
      <c r="AG1266" t="s">
        <v>82</v>
      </c>
      <c r="AH1266" t="s">
        <v>83</v>
      </c>
      <c r="AI1266" t="s">
        <v>84</v>
      </c>
      <c r="AJ1266">
        <v>0.26341738498117401</v>
      </c>
      <c r="AK1266">
        <v>2.4066073461787898</v>
      </c>
      <c r="AL1266">
        <v>0.73566211394586301</v>
      </c>
      <c r="AM1266">
        <v>0.11287713828839201</v>
      </c>
      <c r="AN1266">
        <v>1.7849913406456499</v>
      </c>
      <c r="AO1266">
        <v>0.39537927987312299</v>
      </c>
      <c r="AP1266">
        <v>0.39537927987312299</v>
      </c>
      <c r="AQ1266">
        <v>2</v>
      </c>
      <c r="AR1266">
        <v>5</v>
      </c>
      <c r="AS1266">
        <v>0</v>
      </c>
      <c r="AT1266">
        <v>0</v>
      </c>
      <c r="AU1266">
        <v>3</v>
      </c>
      <c r="AV1266">
        <v>36</v>
      </c>
      <c r="AW1266">
        <v>0</v>
      </c>
      <c r="AX1266">
        <v>0</v>
      </c>
      <c r="AZ1266">
        <v>6.8</v>
      </c>
      <c r="BA1266">
        <v>19.899999999999999</v>
      </c>
      <c r="BB1266">
        <v>564</v>
      </c>
      <c r="BC1266">
        <v>68</v>
      </c>
      <c r="BD1266">
        <v>1.5</v>
      </c>
      <c r="BE1266">
        <v>135</v>
      </c>
      <c r="BF1266">
        <v>0.8</v>
      </c>
      <c r="BG1266">
        <v>162</v>
      </c>
      <c r="BH1266">
        <v>9.1</v>
      </c>
      <c r="BI1266">
        <v>9.1999999999999993</v>
      </c>
      <c r="BJ1266">
        <v>18.3</v>
      </c>
      <c r="BK1266">
        <v>0.34</v>
      </c>
      <c r="BL1266">
        <v>7.3</v>
      </c>
      <c r="BM1266">
        <v>0.9</v>
      </c>
      <c r="BN1266">
        <v>7.5</v>
      </c>
      <c r="BO1266">
        <v>2.9</v>
      </c>
      <c r="BP1266">
        <f t="shared" si="38"/>
        <v>6.2385370223624426</v>
      </c>
      <c r="BQ1266">
        <f t="shared" si="39"/>
        <v>19.085654662159666</v>
      </c>
    </row>
    <row r="1267" spans="1:69" hidden="1" x14ac:dyDescent="0.2">
      <c r="A1267" t="s">
        <v>3851</v>
      </c>
      <c r="B1267" t="s">
        <v>68</v>
      </c>
      <c r="C1267" t="s">
        <v>3294</v>
      </c>
      <c r="D1267" t="s">
        <v>70</v>
      </c>
      <c r="E1267" t="s">
        <v>1841</v>
      </c>
      <c r="F1267">
        <v>3</v>
      </c>
      <c r="G1267">
        <v>21.97</v>
      </c>
      <c r="H1267">
        <v>1</v>
      </c>
      <c r="I1267">
        <v>1</v>
      </c>
      <c r="J1267">
        <v>1</v>
      </c>
      <c r="K1267" t="s">
        <v>110</v>
      </c>
      <c r="L1267" t="s">
        <v>111</v>
      </c>
      <c r="M1267" s="4">
        <v>165000000</v>
      </c>
      <c r="N1267">
        <v>0</v>
      </c>
      <c r="O1267">
        <v>4.5830555759999996</v>
      </c>
      <c r="P1267">
        <v>-74.115164280000002</v>
      </c>
      <c r="Q1267" t="s">
        <v>3852</v>
      </c>
      <c r="R1267">
        <v>7510241.2379999999</v>
      </c>
      <c r="S1267">
        <v>0</v>
      </c>
      <c r="T1267" t="s">
        <v>1843</v>
      </c>
      <c r="U1267" t="s">
        <v>1844</v>
      </c>
      <c r="V1267" t="s">
        <v>77</v>
      </c>
      <c r="W1267" t="s">
        <v>1845</v>
      </c>
      <c r="X1267" t="s">
        <v>1846</v>
      </c>
      <c r="Y1267">
        <v>1.9101315583693399</v>
      </c>
      <c r="Z1267">
        <v>1910.1315583693399</v>
      </c>
      <c r="AA1267">
        <v>4.576225</v>
      </c>
      <c r="AB1267">
        <v>-74.130955555555502</v>
      </c>
      <c r="AC1267">
        <v>2589</v>
      </c>
      <c r="AD1267">
        <v>0</v>
      </c>
      <c r="AE1267" t="s">
        <v>80</v>
      </c>
      <c r="AF1267" t="s">
        <v>107</v>
      </c>
      <c r="AG1267" t="s">
        <v>82</v>
      </c>
      <c r="AH1267" t="s">
        <v>83</v>
      </c>
      <c r="AI1267" t="s">
        <v>1847</v>
      </c>
      <c r="AJ1267">
        <v>0.69570392518838298</v>
      </c>
      <c r="AK1267">
        <v>4.5874623971891699</v>
      </c>
      <c r="AL1267">
        <v>1.7714964341094399</v>
      </c>
      <c r="AM1267">
        <v>6.77447119961892E-2</v>
      </c>
      <c r="AN1267">
        <v>0.57210432500850805</v>
      </c>
      <c r="AO1267">
        <v>8.7142304888454605E-2</v>
      </c>
      <c r="AP1267">
        <v>8.7142304888454605E-2</v>
      </c>
      <c r="AQ1267">
        <v>0</v>
      </c>
      <c r="AR1267">
        <v>3</v>
      </c>
      <c r="AS1267">
        <v>0</v>
      </c>
      <c r="AT1267">
        <v>0</v>
      </c>
      <c r="AU1267">
        <v>0</v>
      </c>
      <c r="AV1267">
        <v>29</v>
      </c>
      <c r="AW1267">
        <v>1</v>
      </c>
      <c r="AX1267">
        <v>0</v>
      </c>
      <c r="AZ1267">
        <v>6.8</v>
      </c>
      <c r="BA1267">
        <v>19.899999999999999</v>
      </c>
      <c r="BB1267">
        <v>564</v>
      </c>
      <c r="BC1267">
        <v>68</v>
      </c>
      <c r="BD1267">
        <v>1.5</v>
      </c>
      <c r="BE1267">
        <v>135</v>
      </c>
      <c r="BF1267">
        <v>0.8</v>
      </c>
      <c r="BG1267">
        <v>162</v>
      </c>
      <c r="BH1267">
        <v>9.1</v>
      </c>
      <c r="BI1267">
        <v>9.1999999999999993</v>
      </c>
      <c r="BJ1267">
        <v>18.3</v>
      </c>
      <c r="BK1267">
        <v>0.34</v>
      </c>
      <c r="BL1267">
        <v>7.3</v>
      </c>
      <c r="BM1267">
        <v>0.9</v>
      </c>
      <c r="BN1267">
        <v>7.5</v>
      </c>
      <c r="BO1267">
        <v>2.9</v>
      </c>
      <c r="BP1267">
        <f t="shared" si="38"/>
        <v>6.1865099068889142</v>
      </c>
      <c r="BQ1267">
        <f t="shared" si="39"/>
        <v>19.008316127515585</v>
      </c>
    </row>
    <row r="1268" spans="1:69" hidden="1" x14ac:dyDescent="0.2">
      <c r="A1268" t="s">
        <v>3507</v>
      </c>
      <c r="B1268" t="s">
        <v>68</v>
      </c>
      <c r="C1268" t="s">
        <v>3294</v>
      </c>
      <c r="D1268" t="s">
        <v>70</v>
      </c>
      <c r="E1268" t="s">
        <v>3508</v>
      </c>
      <c r="F1268">
        <v>3</v>
      </c>
      <c r="G1268">
        <v>21.91</v>
      </c>
      <c r="H1268">
        <v>1</v>
      </c>
      <c r="I1268">
        <v>1</v>
      </c>
      <c r="J1268">
        <v>0</v>
      </c>
      <c r="K1268" t="s">
        <v>110</v>
      </c>
      <c r="L1268" t="s">
        <v>133</v>
      </c>
      <c r="M1268" s="4">
        <v>250000000</v>
      </c>
      <c r="N1268">
        <v>0</v>
      </c>
      <c r="O1268">
        <v>4.6023598999999997</v>
      </c>
      <c r="P1268">
        <v>-74.070639999999997</v>
      </c>
      <c r="Q1268" t="s">
        <v>3509</v>
      </c>
      <c r="R1268">
        <v>11410314.92</v>
      </c>
      <c r="S1268">
        <v>0</v>
      </c>
      <c r="T1268" t="s">
        <v>126</v>
      </c>
      <c r="U1268" t="s">
        <v>127</v>
      </c>
      <c r="V1268" t="s">
        <v>77</v>
      </c>
      <c r="W1268" t="s">
        <v>128</v>
      </c>
      <c r="X1268" t="s">
        <v>129</v>
      </c>
      <c r="Y1268">
        <v>2.6062232733349902</v>
      </c>
      <c r="Z1268">
        <v>2606.2232733349902</v>
      </c>
      <c r="AA1268">
        <v>4.6254861111111101</v>
      </c>
      <c r="AB1268">
        <v>-74.066980555555503</v>
      </c>
      <c r="AC1268">
        <v>2621</v>
      </c>
      <c r="AD1268">
        <v>15</v>
      </c>
      <c r="AE1268" t="s">
        <v>80</v>
      </c>
      <c r="AF1268" t="s">
        <v>81</v>
      </c>
      <c r="AG1268" t="s">
        <v>82</v>
      </c>
      <c r="AH1268" t="s">
        <v>83</v>
      </c>
      <c r="AI1268" t="s">
        <v>138</v>
      </c>
      <c r="AJ1268">
        <v>0.24942807750848001</v>
      </c>
      <c r="AK1268">
        <v>0.74970684997677395</v>
      </c>
      <c r="AL1268">
        <v>0.30665810133853699</v>
      </c>
      <c r="AM1268">
        <v>0.14606478813190199</v>
      </c>
      <c r="AN1268">
        <v>1.5048204582978899</v>
      </c>
      <c r="AO1268">
        <v>4.4427298027160902E-2</v>
      </c>
      <c r="AP1268">
        <v>4.4427298027160902E-2</v>
      </c>
      <c r="AQ1268">
        <v>3</v>
      </c>
      <c r="AR1268">
        <v>8</v>
      </c>
      <c r="AS1268">
        <v>0</v>
      </c>
      <c r="AT1268">
        <v>39</v>
      </c>
      <c r="AU1268">
        <v>15</v>
      </c>
      <c r="AV1268">
        <v>51</v>
      </c>
      <c r="AW1268">
        <v>0</v>
      </c>
      <c r="AX1268">
        <v>8</v>
      </c>
      <c r="AZ1268">
        <v>6.8</v>
      </c>
      <c r="BA1268">
        <v>19.899999999999999</v>
      </c>
      <c r="BB1268">
        <v>564</v>
      </c>
      <c r="BC1268">
        <v>68</v>
      </c>
      <c r="BD1268">
        <v>1.5</v>
      </c>
      <c r="BE1268">
        <v>135</v>
      </c>
      <c r="BF1268">
        <v>0.8</v>
      </c>
      <c r="BG1268">
        <v>162</v>
      </c>
      <c r="BH1268">
        <v>9.1</v>
      </c>
      <c r="BI1268">
        <v>9.1999999999999993</v>
      </c>
      <c r="BJ1268">
        <v>18.3</v>
      </c>
      <c r="BK1268">
        <v>0.34</v>
      </c>
      <c r="BL1268">
        <v>7.3</v>
      </c>
      <c r="BM1268">
        <v>0.9</v>
      </c>
      <c r="BN1268">
        <v>7.5</v>
      </c>
      <c r="BO1268">
        <v>2.9</v>
      </c>
      <c r="BP1268">
        <f t="shared" si="38"/>
        <v>5.9769748387350052</v>
      </c>
      <c r="BQ1268">
        <f t="shared" si="39"/>
        <v>18.69339724804632</v>
      </c>
    </row>
    <row r="1269" spans="1:69" hidden="1" x14ac:dyDescent="0.2">
      <c r="A1269" t="s">
        <v>4553</v>
      </c>
      <c r="B1269" t="s">
        <v>68</v>
      </c>
      <c r="C1269" t="s">
        <v>3294</v>
      </c>
      <c r="D1269" t="s">
        <v>70</v>
      </c>
      <c r="E1269" t="s">
        <v>71</v>
      </c>
      <c r="F1269">
        <v>4</v>
      </c>
      <c r="G1269">
        <v>21.88</v>
      </c>
      <c r="H1269">
        <v>1</v>
      </c>
      <c r="I1269">
        <v>1</v>
      </c>
      <c r="J1269">
        <v>0</v>
      </c>
      <c r="K1269" t="s">
        <v>110</v>
      </c>
      <c r="L1269" t="s">
        <v>111</v>
      </c>
      <c r="M1269" s="4">
        <v>300000000</v>
      </c>
      <c r="N1269">
        <v>0</v>
      </c>
      <c r="O1269">
        <v>4.6457829479999999</v>
      </c>
      <c r="P1269">
        <v>-74.073036189999996</v>
      </c>
      <c r="Q1269" t="s">
        <v>4554</v>
      </c>
      <c r="R1269">
        <v>13711151.74</v>
      </c>
      <c r="S1269">
        <v>0</v>
      </c>
      <c r="T1269" t="s">
        <v>75</v>
      </c>
      <c r="U1269" t="s">
        <v>76</v>
      </c>
      <c r="V1269" t="s">
        <v>77</v>
      </c>
      <c r="W1269" t="s">
        <v>78</v>
      </c>
      <c r="X1269" t="s">
        <v>79</v>
      </c>
      <c r="Y1269">
        <v>1.8612875650996601</v>
      </c>
      <c r="Z1269">
        <v>1861.28756509966</v>
      </c>
      <c r="AA1269">
        <v>4.6584666666666701</v>
      </c>
      <c r="AB1269">
        <v>-74.083966666666697</v>
      </c>
      <c r="AC1269">
        <v>2552</v>
      </c>
      <c r="AD1269">
        <v>0</v>
      </c>
      <c r="AE1269" t="s">
        <v>80</v>
      </c>
      <c r="AF1269" t="s">
        <v>81</v>
      </c>
      <c r="AG1269" t="s">
        <v>82</v>
      </c>
      <c r="AH1269" t="s">
        <v>83</v>
      </c>
      <c r="AI1269" t="s">
        <v>84</v>
      </c>
      <c r="AJ1269">
        <v>0.630601776084461</v>
      </c>
      <c r="AK1269">
        <v>1.7994718305256301</v>
      </c>
      <c r="AL1269">
        <v>0.297867475705617</v>
      </c>
      <c r="AM1269">
        <v>0.13985065290252399</v>
      </c>
      <c r="AN1269">
        <v>1.6881616042094401</v>
      </c>
      <c r="AO1269">
        <v>0.433516718364029</v>
      </c>
      <c r="AP1269">
        <v>0.433516718364029</v>
      </c>
      <c r="AQ1269">
        <v>0</v>
      </c>
      <c r="AR1269">
        <v>4</v>
      </c>
      <c r="AS1269">
        <v>0</v>
      </c>
      <c r="AT1269">
        <v>0</v>
      </c>
      <c r="AU1269">
        <v>7</v>
      </c>
      <c r="AV1269">
        <v>87</v>
      </c>
      <c r="AW1269">
        <v>0</v>
      </c>
      <c r="AX1269">
        <v>0</v>
      </c>
      <c r="AZ1269">
        <v>6.8</v>
      </c>
      <c r="BA1269">
        <v>19.899999999999999</v>
      </c>
      <c r="BB1269">
        <v>564</v>
      </c>
      <c r="BC1269">
        <v>68</v>
      </c>
      <c r="BD1269">
        <v>1.5</v>
      </c>
      <c r="BE1269">
        <v>135</v>
      </c>
      <c r="BF1269">
        <v>0.8</v>
      </c>
      <c r="BG1269">
        <v>162</v>
      </c>
      <c r="BH1269">
        <v>9.1</v>
      </c>
      <c r="BI1269">
        <v>9.1999999999999993</v>
      </c>
      <c r="BJ1269">
        <v>18.3</v>
      </c>
      <c r="BK1269">
        <v>0.34</v>
      </c>
      <c r="BL1269">
        <v>7.3</v>
      </c>
      <c r="BM1269">
        <v>0.9</v>
      </c>
      <c r="BN1269">
        <v>7.5</v>
      </c>
      <c r="BO1269">
        <v>2.9</v>
      </c>
      <c r="BP1269">
        <f t="shared" si="38"/>
        <v>6.2014856090414119</v>
      </c>
      <c r="BQ1269">
        <f t="shared" si="39"/>
        <v>19.030611802640063</v>
      </c>
    </row>
    <row r="1270" spans="1:69" hidden="1" x14ac:dyDescent="0.2">
      <c r="A1270" t="s">
        <v>3925</v>
      </c>
      <c r="B1270" t="s">
        <v>68</v>
      </c>
      <c r="C1270" t="s">
        <v>3294</v>
      </c>
      <c r="D1270" t="s">
        <v>70</v>
      </c>
      <c r="E1270" t="s">
        <v>229</v>
      </c>
      <c r="F1270">
        <v>5</v>
      </c>
      <c r="G1270">
        <v>21.77</v>
      </c>
      <c r="H1270">
        <v>1</v>
      </c>
      <c r="I1270">
        <v>1</v>
      </c>
      <c r="J1270">
        <v>1</v>
      </c>
      <c r="K1270" t="s">
        <v>110</v>
      </c>
      <c r="L1270" t="s">
        <v>111</v>
      </c>
      <c r="M1270" s="4">
        <v>399000000</v>
      </c>
      <c r="N1270">
        <v>0</v>
      </c>
      <c r="O1270">
        <v>4.6815899999999999</v>
      </c>
      <c r="P1270">
        <v>-74.055989999999994</v>
      </c>
      <c r="Q1270" t="s">
        <v>3926</v>
      </c>
      <c r="R1270">
        <v>18327974.280000001</v>
      </c>
      <c r="S1270">
        <v>0</v>
      </c>
      <c r="T1270" t="s">
        <v>75</v>
      </c>
      <c r="U1270" t="s">
        <v>76</v>
      </c>
      <c r="V1270" t="s">
        <v>77</v>
      </c>
      <c r="W1270" t="s">
        <v>78</v>
      </c>
      <c r="X1270" t="s">
        <v>79</v>
      </c>
      <c r="Y1270">
        <v>4.0324617441696402</v>
      </c>
      <c r="Z1270">
        <v>4032.46174416964</v>
      </c>
      <c r="AA1270">
        <v>4.6584666666666701</v>
      </c>
      <c r="AB1270">
        <v>-74.083966666666697</v>
      </c>
      <c r="AC1270">
        <v>2552</v>
      </c>
      <c r="AD1270">
        <v>0</v>
      </c>
      <c r="AE1270" t="s">
        <v>80</v>
      </c>
      <c r="AF1270" t="s">
        <v>81</v>
      </c>
      <c r="AG1270" t="s">
        <v>82</v>
      </c>
      <c r="AH1270" t="s">
        <v>83</v>
      </c>
      <c r="AI1270" t="s">
        <v>130</v>
      </c>
      <c r="AJ1270">
        <v>0.32319933540790902</v>
      </c>
      <c r="AK1270">
        <v>2.0100879112365999</v>
      </c>
      <c r="AL1270">
        <v>0.58030753970485704</v>
      </c>
      <c r="AM1270">
        <v>5.3124009551947002E-2</v>
      </c>
      <c r="AN1270">
        <v>2.99471811100479</v>
      </c>
      <c r="AO1270">
        <v>0.33318862318016201</v>
      </c>
      <c r="AP1270">
        <v>0.33318862318016201</v>
      </c>
      <c r="AQ1270">
        <v>1</v>
      </c>
      <c r="AR1270">
        <v>4</v>
      </c>
      <c r="AS1270">
        <v>0</v>
      </c>
      <c r="AT1270">
        <v>0</v>
      </c>
      <c r="AU1270">
        <v>5</v>
      </c>
      <c r="AV1270">
        <v>247</v>
      </c>
      <c r="AW1270">
        <v>0</v>
      </c>
      <c r="AX1270">
        <v>0</v>
      </c>
      <c r="AZ1270">
        <v>6.8</v>
      </c>
      <c r="BA1270">
        <v>19.899999999999999</v>
      </c>
      <c r="BB1270">
        <v>564</v>
      </c>
      <c r="BC1270">
        <v>68</v>
      </c>
      <c r="BD1270">
        <v>1.5</v>
      </c>
      <c r="BE1270">
        <v>135</v>
      </c>
      <c r="BF1270">
        <v>0.8</v>
      </c>
      <c r="BG1270">
        <v>162</v>
      </c>
      <c r="BH1270">
        <v>9.1</v>
      </c>
      <c r="BI1270">
        <v>9.1999999999999993</v>
      </c>
      <c r="BJ1270">
        <v>18.3</v>
      </c>
      <c r="BK1270">
        <v>0.34</v>
      </c>
      <c r="BL1270">
        <v>7.3</v>
      </c>
      <c r="BM1270">
        <v>0.9</v>
      </c>
      <c r="BN1270">
        <v>7.5</v>
      </c>
      <c r="BO1270">
        <v>2.9</v>
      </c>
      <c r="BP1270">
        <f t="shared" si="38"/>
        <v>5.5695583271311842</v>
      </c>
      <c r="BQ1270">
        <f t="shared" si="39"/>
        <v>18.064354824937684</v>
      </c>
    </row>
    <row r="1271" spans="1:69" hidden="1" x14ac:dyDescent="0.2">
      <c r="A1271" t="s">
        <v>3929</v>
      </c>
      <c r="B1271" t="s">
        <v>68</v>
      </c>
      <c r="C1271" t="s">
        <v>3294</v>
      </c>
      <c r="D1271" t="s">
        <v>70</v>
      </c>
      <c r="E1271" t="s">
        <v>1658</v>
      </c>
      <c r="F1271">
        <v>5</v>
      </c>
      <c r="G1271">
        <v>21.77</v>
      </c>
      <c r="H1271">
        <v>1</v>
      </c>
      <c r="I1271">
        <v>1</v>
      </c>
      <c r="J1271">
        <v>1</v>
      </c>
      <c r="K1271" t="s">
        <v>110</v>
      </c>
      <c r="L1271" t="s">
        <v>111</v>
      </c>
      <c r="M1271" s="4">
        <v>399000000</v>
      </c>
      <c r="N1271">
        <v>0</v>
      </c>
      <c r="O1271">
        <v>4.6815899999999999</v>
      </c>
      <c r="P1271">
        <v>-74.055989999999994</v>
      </c>
      <c r="Q1271" t="s">
        <v>3930</v>
      </c>
      <c r="R1271">
        <v>18327974.280000001</v>
      </c>
      <c r="S1271">
        <v>0</v>
      </c>
      <c r="T1271" t="s">
        <v>75</v>
      </c>
      <c r="U1271" t="s">
        <v>76</v>
      </c>
      <c r="V1271" t="s">
        <v>77</v>
      </c>
      <c r="W1271" t="s">
        <v>78</v>
      </c>
      <c r="X1271" t="s">
        <v>79</v>
      </c>
      <c r="Y1271">
        <v>4.0324617441696402</v>
      </c>
      <c r="Z1271">
        <v>4032.46174416964</v>
      </c>
      <c r="AA1271">
        <v>4.6584666666666701</v>
      </c>
      <c r="AB1271">
        <v>-74.083966666666697</v>
      </c>
      <c r="AC1271">
        <v>2552</v>
      </c>
      <c r="AD1271">
        <v>0</v>
      </c>
      <c r="AE1271" t="s">
        <v>80</v>
      </c>
      <c r="AF1271" t="s">
        <v>81</v>
      </c>
      <c r="AG1271" t="s">
        <v>82</v>
      </c>
      <c r="AH1271" t="s">
        <v>83</v>
      </c>
      <c r="AI1271" t="s">
        <v>130</v>
      </c>
      <c r="AJ1271">
        <v>0.32319933540790902</v>
      </c>
      <c r="AK1271">
        <v>2.0100879112365999</v>
      </c>
      <c r="AL1271">
        <v>0.58030753970485704</v>
      </c>
      <c r="AM1271">
        <v>5.3124009551947002E-2</v>
      </c>
      <c r="AN1271">
        <v>2.99471811100479</v>
      </c>
      <c r="AO1271">
        <v>0.33318862318016201</v>
      </c>
      <c r="AP1271">
        <v>0.33318862318016201</v>
      </c>
      <c r="AQ1271">
        <v>1</v>
      </c>
      <c r="AR1271">
        <v>4</v>
      </c>
      <c r="AS1271">
        <v>0</v>
      </c>
      <c r="AT1271">
        <v>0</v>
      </c>
      <c r="AU1271">
        <v>5</v>
      </c>
      <c r="AV1271">
        <v>247</v>
      </c>
      <c r="AW1271">
        <v>0</v>
      </c>
      <c r="AX1271">
        <v>0</v>
      </c>
      <c r="AZ1271">
        <v>6.8</v>
      </c>
      <c r="BA1271">
        <v>19.899999999999999</v>
      </c>
      <c r="BB1271">
        <v>564</v>
      </c>
      <c r="BC1271">
        <v>68</v>
      </c>
      <c r="BD1271">
        <v>1.5</v>
      </c>
      <c r="BE1271">
        <v>135</v>
      </c>
      <c r="BF1271">
        <v>0.8</v>
      </c>
      <c r="BG1271">
        <v>162</v>
      </c>
      <c r="BH1271">
        <v>9.1</v>
      </c>
      <c r="BI1271">
        <v>9.1999999999999993</v>
      </c>
      <c r="BJ1271">
        <v>18.3</v>
      </c>
      <c r="BK1271">
        <v>0.34</v>
      </c>
      <c r="BL1271">
        <v>7.3</v>
      </c>
      <c r="BM1271">
        <v>0.9</v>
      </c>
      <c r="BN1271">
        <v>7.5</v>
      </c>
      <c r="BO1271">
        <v>2.9</v>
      </c>
      <c r="BP1271">
        <f t="shared" si="38"/>
        <v>5.5695583271311842</v>
      </c>
      <c r="BQ1271">
        <f t="shared" si="39"/>
        <v>18.064354824937684</v>
      </c>
    </row>
    <row r="1272" spans="1:69" hidden="1" x14ac:dyDescent="0.2">
      <c r="A1272" t="s">
        <v>3485</v>
      </c>
      <c r="B1272" t="s">
        <v>68</v>
      </c>
      <c r="C1272" t="s">
        <v>3294</v>
      </c>
      <c r="D1272" t="s">
        <v>70</v>
      </c>
      <c r="E1272" t="s">
        <v>3486</v>
      </c>
      <c r="F1272">
        <v>4</v>
      </c>
      <c r="G1272">
        <v>21.75</v>
      </c>
      <c r="H1272">
        <v>1</v>
      </c>
      <c r="I1272">
        <v>1</v>
      </c>
      <c r="J1272">
        <v>0</v>
      </c>
      <c r="K1272" t="s">
        <v>110</v>
      </c>
      <c r="L1272" t="s">
        <v>111</v>
      </c>
      <c r="M1272" s="4">
        <v>290000000</v>
      </c>
      <c r="N1272">
        <v>0</v>
      </c>
      <c r="O1272">
        <v>4.6295042039999998</v>
      </c>
      <c r="P1272">
        <v>-74.085083010000005</v>
      </c>
      <c r="Q1272" t="s">
        <v>3487</v>
      </c>
      <c r="R1272">
        <v>13333333.33</v>
      </c>
      <c r="S1272">
        <v>0</v>
      </c>
      <c r="T1272" t="s">
        <v>126</v>
      </c>
      <c r="U1272" t="s">
        <v>127</v>
      </c>
      <c r="V1272" t="s">
        <v>77</v>
      </c>
      <c r="W1272" t="s">
        <v>128</v>
      </c>
      <c r="X1272" t="s">
        <v>129</v>
      </c>
      <c r="Y1272">
        <v>2.0577882707408501</v>
      </c>
      <c r="Z1272">
        <v>2057.7882707408498</v>
      </c>
      <c r="AA1272">
        <v>4.6254861111111101</v>
      </c>
      <c r="AB1272">
        <v>-74.066980555555503</v>
      </c>
      <c r="AC1272">
        <v>2621</v>
      </c>
      <c r="AD1272">
        <v>15</v>
      </c>
      <c r="AE1272" t="s">
        <v>80</v>
      </c>
      <c r="AF1272" t="s">
        <v>81</v>
      </c>
      <c r="AG1272" t="s">
        <v>82</v>
      </c>
      <c r="AH1272" t="s">
        <v>83</v>
      </c>
      <c r="AI1272" t="s">
        <v>84</v>
      </c>
      <c r="AJ1272">
        <v>0.229623024131731</v>
      </c>
      <c r="AK1272">
        <v>2.6769701253212199</v>
      </c>
      <c r="AL1272">
        <v>0.55686167154329302</v>
      </c>
      <c r="AM1272">
        <v>0.28121819935839398</v>
      </c>
      <c r="AN1272">
        <v>2.0566838905926801</v>
      </c>
      <c r="AO1272">
        <v>6.6124065029777301E-2</v>
      </c>
      <c r="AP1272">
        <v>6.6124065029777301E-2</v>
      </c>
      <c r="AQ1272">
        <v>1</v>
      </c>
      <c r="AR1272">
        <v>5</v>
      </c>
      <c r="AS1272">
        <v>0</v>
      </c>
      <c r="AT1272">
        <v>0</v>
      </c>
      <c r="AU1272">
        <v>2</v>
      </c>
      <c r="AV1272">
        <v>28</v>
      </c>
      <c r="AW1272">
        <v>0</v>
      </c>
      <c r="AX1272">
        <v>0</v>
      </c>
      <c r="AZ1272">
        <v>6.8</v>
      </c>
      <c r="BA1272">
        <v>19.899999999999999</v>
      </c>
      <c r="BB1272">
        <v>564</v>
      </c>
      <c r="BC1272">
        <v>68</v>
      </c>
      <c r="BD1272">
        <v>1.5</v>
      </c>
      <c r="BE1272">
        <v>135</v>
      </c>
      <c r="BF1272">
        <v>0.8</v>
      </c>
      <c r="BG1272">
        <v>162</v>
      </c>
      <c r="BH1272">
        <v>9.1</v>
      </c>
      <c r="BI1272">
        <v>9.1999999999999993</v>
      </c>
      <c r="BJ1272">
        <v>18.3</v>
      </c>
      <c r="BK1272">
        <v>0.34</v>
      </c>
      <c r="BL1272">
        <v>7.3</v>
      </c>
      <c r="BM1272">
        <v>0.9</v>
      </c>
      <c r="BN1272">
        <v>7.5</v>
      </c>
      <c r="BO1272">
        <v>2.9</v>
      </c>
      <c r="BP1272">
        <f t="shared" si="38"/>
        <v>6.1414575057781233</v>
      </c>
      <c r="BQ1272">
        <f t="shared" si="39"/>
        <v>18.941074410964411</v>
      </c>
    </row>
    <row r="1273" spans="1:69" hidden="1" x14ac:dyDescent="0.2">
      <c r="A1273" t="s">
        <v>3300</v>
      </c>
      <c r="B1273" t="s">
        <v>68</v>
      </c>
      <c r="C1273" t="s">
        <v>3294</v>
      </c>
      <c r="D1273" t="s">
        <v>70</v>
      </c>
      <c r="E1273" t="s">
        <v>342</v>
      </c>
      <c r="F1273">
        <v>3</v>
      </c>
      <c r="G1273">
        <v>21.42</v>
      </c>
      <c r="H1273">
        <v>1</v>
      </c>
      <c r="I1273">
        <v>1</v>
      </c>
      <c r="J1273">
        <v>0</v>
      </c>
      <c r="K1273" t="s">
        <v>72</v>
      </c>
      <c r="L1273" t="s">
        <v>73</v>
      </c>
      <c r="M1273" s="4">
        <v>282333413</v>
      </c>
      <c r="N1273">
        <v>0</v>
      </c>
      <c r="O1273">
        <v>4.6622304999999997</v>
      </c>
      <c r="P1273">
        <v>-74.06617</v>
      </c>
      <c r="Q1273" t="s">
        <v>3301</v>
      </c>
      <c r="R1273">
        <v>13180831.609999999</v>
      </c>
      <c r="S1273">
        <v>0</v>
      </c>
      <c r="T1273" t="s">
        <v>75</v>
      </c>
      <c r="U1273" t="s">
        <v>76</v>
      </c>
      <c r="V1273" t="s">
        <v>77</v>
      </c>
      <c r="W1273" t="s">
        <v>78</v>
      </c>
      <c r="X1273" t="s">
        <v>79</v>
      </c>
      <c r="Y1273">
        <v>2.0185296347185302</v>
      </c>
      <c r="Z1273">
        <v>2018.5296347185299</v>
      </c>
      <c r="AA1273">
        <v>4.6584666666666701</v>
      </c>
      <c r="AB1273">
        <v>-74.083966666666697</v>
      </c>
      <c r="AC1273">
        <v>2552</v>
      </c>
      <c r="AD1273">
        <v>0</v>
      </c>
      <c r="AE1273" t="s">
        <v>80</v>
      </c>
      <c r="AF1273" t="s">
        <v>81</v>
      </c>
      <c r="AG1273" t="s">
        <v>82</v>
      </c>
      <c r="AH1273" t="s">
        <v>83</v>
      </c>
      <c r="AI1273" t="s">
        <v>342</v>
      </c>
      <c r="AJ1273">
        <v>0.55141481356139399</v>
      </c>
      <c r="AK1273">
        <v>2.1460441379569901</v>
      </c>
      <c r="AL1273">
        <v>0.28648131670246102</v>
      </c>
      <c r="AM1273">
        <v>9.1276902390644205E-2</v>
      </c>
      <c r="AN1273">
        <v>2.1600005199896399</v>
      </c>
      <c r="AO1273">
        <v>0.28833356051398301</v>
      </c>
      <c r="AP1273">
        <v>0.28833356051398301</v>
      </c>
      <c r="AQ1273">
        <v>0</v>
      </c>
      <c r="AR1273">
        <v>5</v>
      </c>
      <c r="AS1273">
        <v>0</v>
      </c>
      <c r="AT1273">
        <v>0</v>
      </c>
      <c r="AU1273">
        <v>14</v>
      </c>
      <c r="AV1273">
        <v>72</v>
      </c>
      <c r="AW1273">
        <v>0</v>
      </c>
      <c r="AX1273">
        <v>0</v>
      </c>
      <c r="AZ1273">
        <v>6.8</v>
      </c>
      <c r="BA1273">
        <v>19.899999999999999</v>
      </c>
      <c r="BB1273">
        <v>564</v>
      </c>
      <c r="BC1273">
        <v>68</v>
      </c>
      <c r="BD1273">
        <v>1.5</v>
      </c>
      <c r="BE1273">
        <v>135</v>
      </c>
      <c r="BF1273">
        <v>0.8</v>
      </c>
      <c r="BG1273">
        <v>162</v>
      </c>
      <c r="BH1273">
        <v>9.1</v>
      </c>
      <c r="BI1273">
        <v>9.1999999999999993</v>
      </c>
      <c r="BJ1273">
        <v>18.3</v>
      </c>
      <c r="BK1273">
        <v>0.34</v>
      </c>
      <c r="BL1273">
        <v>7.3</v>
      </c>
      <c r="BM1273">
        <v>0.9</v>
      </c>
      <c r="BN1273">
        <v>7.5</v>
      </c>
      <c r="BO1273">
        <v>2.9</v>
      </c>
      <c r="BP1273">
        <f t="shared" si="38"/>
        <v>6.1534038192898111</v>
      </c>
      <c r="BQ1273">
        <f t="shared" si="39"/>
        <v>18.958929239025995</v>
      </c>
    </row>
    <row r="1274" spans="1:69" hidden="1" x14ac:dyDescent="0.2">
      <c r="A1274" t="s">
        <v>4157</v>
      </c>
      <c r="B1274" t="s">
        <v>68</v>
      </c>
      <c r="C1274" t="s">
        <v>3294</v>
      </c>
      <c r="D1274" t="s">
        <v>70</v>
      </c>
      <c r="E1274" t="s">
        <v>4158</v>
      </c>
      <c r="F1274">
        <v>4</v>
      </c>
      <c r="G1274">
        <v>21.15</v>
      </c>
      <c r="H1274">
        <v>1</v>
      </c>
      <c r="I1274">
        <v>1</v>
      </c>
      <c r="J1274">
        <v>0</v>
      </c>
      <c r="K1274" t="s">
        <v>110</v>
      </c>
      <c r="L1274" t="s">
        <v>111</v>
      </c>
      <c r="M1274" s="4">
        <v>180000000</v>
      </c>
      <c r="N1274">
        <v>0</v>
      </c>
      <c r="O1274">
        <v>4.625885963</v>
      </c>
      <c r="P1274">
        <v>-74.082611080000007</v>
      </c>
      <c r="Q1274" t="s">
        <v>4159</v>
      </c>
      <c r="R1274">
        <v>8510638.2980000004</v>
      </c>
      <c r="S1274">
        <v>0</v>
      </c>
      <c r="T1274" t="s">
        <v>126</v>
      </c>
      <c r="U1274" t="s">
        <v>127</v>
      </c>
      <c r="V1274" t="s">
        <v>77</v>
      </c>
      <c r="W1274" t="s">
        <v>128</v>
      </c>
      <c r="X1274" t="s">
        <v>129</v>
      </c>
      <c r="Y1274">
        <v>1.73488569431943</v>
      </c>
      <c r="Z1274">
        <v>1734.8856943194301</v>
      </c>
      <c r="AA1274">
        <v>4.6254861111111101</v>
      </c>
      <c r="AB1274">
        <v>-74.066980555555503</v>
      </c>
      <c r="AC1274">
        <v>2621</v>
      </c>
      <c r="AD1274">
        <v>15</v>
      </c>
      <c r="AE1274" t="s">
        <v>80</v>
      </c>
      <c r="AF1274" t="s">
        <v>81</v>
      </c>
      <c r="AG1274" t="s">
        <v>82</v>
      </c>
      <c r="AH1274" t="s">
        <v>83</v>
      </c>
      <c r="AI1274" t="s">
        <v>84</v>
      </c>
      <c r="AJ1274">
        <v>0.25766680594365998</v>
      </c>
      <c r="AK1274">
        <v>2.40085751198386</v>
      </c>
      <c r="AL1274">
        <v>0.73904838007948204</v>
      </c>
      <c r="AM1274">
        <v>0.112824632015066</v>
      </c>
      <c r="AN1274">
        <v>1.7795970788565501</v>
      </c>
      <c r="AO1274">
        <v>0.40287511086472</v>
      </c>
      <c r="AP1274">
        <v>0.40287511086472</v>
      </c>
      <c r="AQ1274">
        <v>2</v>
      </c>
      <c r="AR1274">
        <v>5</v>
      </c>
      <c r="AS1274">
        <v>0</v>
      </c>
      <c r="AT1274">
        <v>0</v>
      </c>
      <c r="AU1274">
        <v>3</v>
      </c>
      <c r="AV1274">
        <v>37</v>
      </c>
      <c r="AW1274">
        <v>0</v>
      </c>
      <c r="AX1274">
        <v>0</v>
      </c>
      <c r="AZ1274">
        <v>6.8</v>
      </c>
      <c r="BA1274">
        <v>19.899999999999999</v>
      </c>
      <c r="BB1274">
        <v>564</v>
      </c>
      <c r="BC1274">
        <v>68</v>
      </c>
      <c r="BD1274">
        <v>1.5</v>
      </c>
      <c r="BE1274">
        <v>135</v>
      </c>
      <c r="BF1274">
        <v>0.8</v>
      </c>
      <c r="BG1274">
        <v>162</v>
      </c>
      <c r="BH1274">
        <v>9.1</v>
      </c>
      <c r="BI1274">
        <v>9.1999999999999993</v>
      </c>
      <c r="BJ1274">
        <v>18.3</v>
      </c>
      <c r="BK1274">
        <v>0.34</v>
      </c>
      <c r="BL1274">
        <v>7.3</v>
      </c>
      <c r="BM1274">
        <v>0.9</v>
      </c>
      <c r="BN1274">
        <v>7.5</v>
      </c>
      <c r="BO1274">
        <v>2.9</v>
      </c>
      <c r="BP1274">
        <f t="shared" si="38"/>
        <v>6.2404092821169739</v>
      </c>
      <c r="BQ1274">
        <f t="shared" si="39"/>
        <v>19.088431579046688</v>
      </c>
    </row>
    <row r="1275" spans="1:69" hidden="1" x14ac:dyDescent="0.2">
      <c r="A1275" t="s">
        <v>4505</v>
      </c>
      <c r="B1275" t="s">
        <v>68</v>
      </c>
      <c r="C1275" t="s">
        <v>3294</v>
      </c>
      <c r="D1275" t="s">
        <v>70</v>
      </c>
      <c r="E1275" t="s">
        <v>3486</v>
      </c>
      <c r="F1275">
        <v>4</v>
      </c>
      <c r="G1275">
        <v>21</v>
      </c>
      <c r="H1275">
        <v>1</v>
      </c>
      <c r="I1275">
        <v>1</v>
      </c>
      <c r="J1275">
        <v>0</v>
      </c>
      <c r="K1275" t="s">
        <v>110</v>
      </c>
      <c r="L1275" t="s">
        <v>111</v>
      </c>
      <c r="M1275" s="4">
        <v>290000000</v>
      </c>
      <c r="N1275">
        <v>0</v>
      </c>
      <c r="O1275">
        <v>4.6291923519999996</v>
      </c>
      <c r="P1275">
        <v>-74.085136410000004</v>
      </c>
      <c r="Q1275" t="s">
        <v>4506</v>
      </c>
      <c r="R1275">
        <v>13809523.810000001</v>
      </c>
      <c r="S1275">
        <v>0</v>
      </c>
      <c r="T1275" t="s">
        <v>126</v>
      </c>
      <c r="U1275" t="s">
        <v>127</v>
      </c>
      <c r="V1275" t="s">
        <v>77</v>
      </c>
      <c r="W1275" t="s">
        <v>128</v>
      </c>
      <c r="X1275" t="s">
        <v>129</v>
      </c>
      <c r="Y1275">
        <v>2.05632707254945</v>
      </c>
      <c r="Z1275">
        <v>2056.3270725494499</v>
      </c>
      <c r="AA1275">
        <v>4.6254861111111101</v>
      </c>
      <c r="AB1275">
        <v>-74.066980555555503</v>
      </c>
      <c r="AC1275">
        <v>2621</v>
      </c>
      <c r="AD1275">
        <v>15</v>
      </c>
      <c r="AE1275" t="s">
        <v>80</v>
      </c>
      <c r="AF1275" t="s">
        <v>81</v>
      </c>
      <c r="AG1275" t="s">
        <v>82</v>
      </c>
      <c r="AH1275" t="s">
        <v>83</v>
      </c>
      <c r="AI1275" t="s">
        <v>84</v>
      </c>
      <c r="AJ1275">
        <v>0.25775533806969603</v>
      </c>
      <c r="AK1275">
        <v>2.6823437447818601</v>
      </c>
      <c r="AL1275">
        <v>0.581820478430225</v>
      </c>
      <c r="AM1275">
        <v>0.26604277527528097</v>
      </c>
      <c r="AN1275">
        <v>2.0591574039437801</v>
      </c>
      <c r="AO1275">
        <v>4.0677531596189899E-2</v>
      </c>
      <c r="AP1275">
        <v>4.0677531596189899E-2</v>
      </c>
      <c r="AQ1275">
        <v>1</v>
      </c>
      <c r="AR1275">
        <v>5</v>
      </c>
      <c r="AS1275">
        <v>0</v>
      </c>
      <c r="AT1275">
        <v>0</v>
      </c>
      <c r="AU1275">
        <v>2</v>
      </c>
      <c r="AV1275">
        <v>28</v>
      </c>
      <c r="AW1275">
        <v>0</v>
      </c>
      <c r="AX1275">
        <v>0</v>
      </c>
      <c r="AZ1275">
        <v>6.8</v>
      </c>
      <c r="BA1275">
        <v>19.899999999999999</v>
      </c>
      <c r="BB1275">
        <v>564</v>
      </c>
      <c r="BC1275">
        <v>68</v>
      </c>
      <c r="BD1275">
        <v>1.5</v>
      </c>
      <c r="BE1275">
        <v>135</v>
      </c>
      <c r="BF1275">
        <v>0.8</v>
      </c>
      <c r="BG1275">
        <v>162</v>
      </c>
      <c r="BH1275">
        <v>9.1</v>
      </c>
      <c r="BI1275">
        <v>9.1999999999999993</v>
      </c>
      <c r="BJ1275">
        <v>18.3</v>
      </c>
      <c r="BK1275">
        <v>0.34</v>
      </c>
      <c r="BL1275">
        <v>7.3</v>
      </c>
      <c r="BM1275">
        <v>0.9</v>
      </c>
      <c r="BN1275">
        <v>7.5</v>
      </c>
      <c r="BO1275">
        <v>2.9</v>
      </c>
      <c r="BP1275">
        <f t="shared" si="38"/>
        <v>6.1419017292298168</v>
      </c>
      <c r="BQ1275">
        <f t="shared" si="39"/>
        <v>18.94173866253972</v>
      </c>
    </row>
    <row r="1276" spans="1:69" hidden="1" x14ac:dyDescent="0.2">
      <c r="A1276" t="s">
        <v>3646</v>
      </c>
      <c r="B1276" t="s">
        <v>68</v>
      </c>
      <c r="C1276" t="s">
        <v>3294</v>
      </c>
      <c r="D1276" t="s">
        <v>70</v>
      </c>
      <c r="E1276" t="s">
        <v>2521</v>
      </c>
      <c r="F1276">
        <v>3</v>
      </c>
      <c r="G1276">
        <v>21</v>
      </c>
      <c r="H1276">
        <v>1</v>
      </c>
      <c r="I1276">
        <v>1</v>
      </c>
      <c r="J1276">
        <v>0</v>
      </c>
      <c r="K1276" t="s">
        <v>110</v>
      </c>
      <c r="L1276" t="s">
        <v>111</v>
      </c>
      <c r="M1276" s="4">
        <v>270000000</v>
      </c>
      <c r="N1276">
        <v>0</v>
      </c>
      <c r="O1276">
        <v>4.6705399999999999</v>
      </c>
      <c r="P1276">
        <v>-74.064480000000003</v>
      </c>
      <c r="Q1276" t="s">
        <v>3647</v>
      </c>
      <c r="R1276">
        <v>12857142.859999999</v>
      </c>
      <c r="S1276">
        <v>0</v>
      </c>
      <c r="T1276" t="s">
        <v>75</v>
      </c>
      <c r="U1276" t="s">
        <v>76</v>
      </c>
      <c r="V1276" t="s">
        <v>77</v>
      </c>
      <c r="W1276" t="s">
        <v>78</v>
      </c>
      <c r="X1276" t="s">
        <v>79</v>
      </c>
      <c r="Y1276">
        <v>2.5457488723708699</v>
      </c>
      <c r="Z1276">
        <v>2545.7488723708698</v>
      </c>
      <c r="AA1276">
        <v>4.6584666666666701</v>
      </c>
      <c r="AB1276">
        <v>-74.083966666666697</v>
      </c>
      <c r="AC1276">
        <v>2552</v>
      </c>
      <c r="AD1276">
        <v>0</v>
      </c>
      <c r="AE1276" t="s">
        <v>80</v>
      </c>
      <c r="AF1276" t="s">
        <v>81</v>
      </c>
      <c r="AG1276" t="s">
        <v>82</v>
      </c>
      <c r="AH1276" t="s">
        <v>83</v>
      </c>
      <c r="AI1276" t="s">
        <v>342</v>
      </c>
      <c r="AJ1276">
        <v>4.45494170435876E-2</v>
      </c>
      <c r="AK1276">
        <v>2.2358439599356599</v>
      </c>
      <c r="AL1276">
        <v>0.72979483541605705</v>
      </c>
      <c r="AM1276">
        <v>5.4220873495333499E-2</v>
      </c>
      <c r="AN1276">
        <v>1.9609665803046299</v>
      </c>
      <c r="AO1276">
        <v>9.5322966607767706E-2</v>
      </c>
      <c r="AP1276">
        <v>9.5322966607767706E-2</v>
      </c>
      <c r="AQ1276">
        <v>1</v>
      </c>
      <c r="AR1276">
        <v>9</v>
      </c>
      <c r="AS1276">
        <v>0</v>
      </c>
      <c r="AT1276">
        <v>0</v>
      </c>
      <c r="AU1276">
        <v>4</v>
      </c>
      <c r="AV1276">
        <v>229</v>
      </c>
      <c r="AW1276">
        <v>0</v>
      </c>
      <c r="AX1276">
        <v>0</v>
      </c>
      <c r="AZ1276">
        <v>6.8</v>
      </c>
      <c r="BA1276">
        <v>19.899999999999999</v>
      </c>
      <c r="BB1276">
        <v>564</v>
      </c>
      <c r="BC1276">
        <v>68</v>
      </c>
      <c r="BD1276">
        <v>1.5</v>
      </c>
      <c r="BE1276">
        <v>135</v>
      </c>
      <c r="BF1276">
        <v>0.8</v>
      </c>
      <c r="BG1276">
        <v>162</v>
      </c>
      <c r="BH1276">
        <v>9.1</v>
      </c>
      <c r="BI1276">
        <v>9.1999999999999993</v>
      </c>
      <c r="BJ1276">
        <v>18.3</v>
      </c>
      <c r="BK1276">
        <v>0.34</v>
      </c>
      <c r="BL1276">
        <v>7.3</v>
      </c>
      <c r="BM1276">
        <v>0.9</v>
      </c>
      <c r="BN1276">
        <v>7.5</v>
      </c>
      <c r="BO1276">
        <v>2.9</v>
      </c>
      <c r="BP1276">
        <f t="shared" si="38"/>
        <v>5.9948936167926643</v>
      </c>
      <c r="BQ1276">
        <f t="shared" si="39"/>
        <v>18.720548274598372</v>
      </c>
    </row>
    <row r="1277" spans="1:69" hidden="1" x14ac:dyDescent="0.2">
      <c r="A1277" t="s">
        <v>3490</v>
      </c>
      <c r="B1277" t="s">
        <v>68</v>
      </c>
      <c r="C1277" t="s">
        <v>3294</v>
      </c>
      <c r="D1277" t="s">
        <v>70</v>
      </c>
      <c r="E1277" t="s">
        <v>84</v>
      </c>
      <c r="F1277">
        <v>4</v>
      </c>
      <c r="G1277">
        <v>21</v>
      </c>
      <c r="H1277">
        <v>1</v>
      </c>
      <c r="I1277">
        <v>1</v>
      </c>
      <c r="J1277">
        <v>0</v>
      </c>
      <c r="K1277" t="s">
        <v>110</v>
      </c>
      <c r="L1277" t="s">
        <v>111</v>
      </c>
      <c r="M1277" s="4">
        <v>260000000</v>
      </c>
      <c r="N1277">
        <v>0</v>
      </c>
      <c r="O1277">
        <v>4.6207455</v>
      </c>
      <c r="P1277">
        <v>-74.069754000000003</v>
      </c>
      <c r="Q1277" t="s">
        <v>3491</v>
      </c>
      <c r="R1277">
        <v>12380952.380000001</v>
      </c>
      <c r="S1277">
        <v>0</v>
      </c>
      <c r="T1277" t="s">
        <v>126</v>
      </c>
      <c r="U1277" t="s">
        <v>127</v>
      </c>
      <c r="V1277" t="s">
        <v>77</v>
      </c>
      <c r="W1277" t="s">
        <v>128</v>
      </c>
      <c r="X1277" t="s">
        <v>129</v>
      </c>
      <c r="Y1277">
        <v>0.61089370237374896</v>
      </c>
      <c r="Z1277">
        <v>610.89370237374897</v>
      </c>
      <c r="AA1277">
        <v>4.6254861111111101</v>
      </c>
      <c r="AB1277">
        <v>-74.066980555555503</v>
      </c>
      <c r="AC1277">
        <v>2621</v>
      </c>
      <c r="AD1277">
        <v>15</v>
      </c>
      <c r="AE1277" t="s">
        <v>80</v>
      </c>
      <c r="AF1277" t="s">
        <v>81</v>
      </c>
      <c r="AG1277" t="s">
        <v>82</v>
      </c>
      <c r="AH1277" t="s">
        <v>83</v>
      </c>
      <c r="AI1277" t="s">
        <v>138</v>
      </c>
      <c r="AJ1277">
        <v>9.1807589766175604E-2</v>
      </c>
      <c r="AK1277">
        <v>0.898309659233681</v>
      </c>
      <c r="AL1277">
        <v>0.30197139428356101</v>
      </c>
      <c r="AM1277">
        <v>6.1352823244565202E-2</v>
      </c>
      <c r="AN1277">
        <v>0.71115208747157499</v>
      </c>
      <c r="AO1277">
        <v>6.2578264500854394E-2</v>
      </c>
      <c r="AP1277">
        <v>6.2578264500854394E-2</v>
      </c>
      <c r="AQ1277">
        <v>1</v>
      </c>
      <c r="AR1277">
        <v>6</v>
      </c>
      <c r="AS1277">
        <v>0</v>
      </c>
      <c r="AT1277">
        <v>3</v>
      </c>
      <c r="AU1277">
        <v>17</v>
      </c>
      <c r="AV1277">
        <v>92</v>
      </c>
      <c r="AW1277">
        <v>2</v>
      </c>
      <c r="AX1277">
        <v>1</v>
      </c>
      <c r="AZ1277">
        <v>6.8</v>
      </c>
      <c r="BA1277">
        <v>19.899999999999999</v>
      </c>
      <c r="BB1277">
        <v>564</v>
      </c>
      <c r="BC1277">
        <v>68</v>
      </c>
      <c r="BD1277">
        <v>1.5</v>
      </c>
      <c r="BE1277">
        <v>135</v>
      </c>
      <c r="BF1277">
        <v>0.8</v>
      </c>
      <c r="BG1277">
        <v>162</v>
      </c>
      <c r="BH1277">
        <v>9.1</v>
      </c>
      <c r="BI1277">
        <v>9.1999999999999993</v>
      </c>
      <c r="BJ1277">
        <v>18.3</v>
      </c>
      <c r="BK1277">
        <v>0.34</v>
      </c>
      <c r="BL1277">
        <v>7.3</v>
      </c>
      <c r="BM1277">
        <v>0.9</v>
      </c>
      <c r="BN1277">
        <v>7.5</v>
      </c>
      <c r="BO1277">
        <v>2.9</v>
      </c>
      <c r="BP1277">
        <f t="shared" si="38"/>
        <v>6.597451076546939</v>
      </c>
      <c r="BQ1277">
        <f t="shared" si="39"/>
        <v>19.610365586072739</v>
      </c>
    </row>
    <row r="1278" spans="1:69" hidden="1" x14ac:dyDescent="0.2">
      <c r="A1278" t="s">
        <v>4581</v>
      </c>
      <c r="B1278" t="s">
        <v>68</v>
      </c>
      <c r="C1278" t="s">
        <v>3294</v>
      </c>
      <c r="D1278" t="s">
        <v>70</v>
      </c>
      <c r="E1278" t="s">
        <v>670</v>
      </c>
      <c r="F1278">
        <v>4</v>
      </c>
      <c r="G1278">
        <v>21</v>
      </c>
      <c r="H1278">
        <v>1</v>
      </c>
      <c r="I1278">
        <v>1</v>
      </c>
      <c r="J1278">
        <v>0</v>
      </c>
      <c r="K1278" t="s">
        <v>110</v>
      </c>
      <c r="L1278" t="s">
        <v>111</v>
      </c>
      <c r="M1278" s="4">
        <v>220000000</v>
      </c>
      <c r="N1278">
        <v>0</v>
      </c>
      <c r="O1278">
        <v>4.6461024279999998</v>
      </c>
      <c r="P1278">
        <v>-74.067543029999996</v>
      </c>
      <c r="Q1278" t="s">
        <v>4582</v>
      </c>
      <c r="R1278">
        <v>10476190.48</v>
      </c>
      <c r="S1278">
        <v>0</v>
      </c>
      <c r="T1278" t="s">
        <v>75</v>
      </c>
      <c r="U1278" t="s">
        <v>76</v>
      </c>
      <c r="V1278" t="s">
        <v>77</v>
      </c>
      <c r="W1278" t="s">
        <v>78</v>
      </c>
      <c r="X1278" t="s">
        <v>79</v>
      </c>
      <c r="Y1278">
        <v>2.2836394029626002</v>
      </c>
      <c r="Z1278">
        <v>2283.6394029625999</v>
      </c>
      <c r="AA1278">
        <v>4.6584666666666701</v>
      </c>
      <c r="AB1278">
        <v>-74.083966666666697</v>
      </c>
      <c r="AC1278">
        <v>2552</v>
      </c>
      <c r="AD1278">
        <v>0</v>
      </c>
      <c r="AE1278" t="s">
        <v>80</v>
      </c>
      <c r="AF1278" t="s">
        <v>81</v>
      </c>
      <c r="AG1278" t="s">
        <v>82</v>
      </c>
      <c r="AH1278" t="s">
        <v>83</v>
      </c>
      <c r="AI1278" t="s">
        <v>84</v>
      </c>
      <c r="AJ1278">
        <v>0.39052856064347502</v>
      </c>
      <c r="AK1278">
        <v>1.24888426999084</v>
      </c>
      <c r="AL1278">
        <v>0.18972704397094201</v>
      </c>
      <c r="AM1278">
        <v>7.0461333984497998E-2</v>
      </c>
      <c r="AN1278">
        <v>1.1297070817425201</v>
      </c>
      <c r="AO1278">
        <v>8.9269725584224399E-2</v>
      </c>
      <c r="AP1278">
        <v>8.9269725584224399E-2</v>
      </c>
      <c r="AQ1278">
        <v>2</v>
      </c>
      <c r="AR1278">
        <v>4</v>
      </c>
      <c r="AS1278">
        <v>0</v>
      </c>
      <c r="AT1278">
        <v>0</v>
      </c>
      <c r="AU1278">
        <v>14</v>
      </c>
      <c r="AV1278">
        <v>122</v>
      </c>
      <c r="AW1278">
        <v>0</v>
      </c>
      <c r="AX1278">
        <v>0</v>
      </c>
      <c r="AZ1278">
        <v>6.8</v>
      </c>
      <c r="BA1278">
        <v>19.899999999999999</v>
      </c>
      <c r="BB1278">
        <v>564</v>
      </c>
      <c r="BC1278">
        <v>68</v>
      </c>
      <c r="BD1278">
        <v>1.5</v>
      </c>
      <c r="BE1278">
        <v>135</v>
      </c>
      <c r="BF1278">
        <v>0.8</v>
      </c>
      <c r="BG1278">
        <v>162</v>
      </c>
      <c r="BH1278">
        <v>9.1</v>
      </c>
      <c r="BI1278">
        <v>9.1999999999999993</v>
      </c>
      <c r="BJ1278">
        <v>18.3</v>
      </c>
      <c r="BK1278">
        <v>0.34</v>
      </c>
      <c r="BL1278">
        <v>7.3</v>
      </c>
      <c r="BM1278">
        <v>0.9</v>
      </c>
      <c r="BN1278">
        <v>7.5</v>
      </c>
      <c r="BO1278">
        <v>2.9</v>
      </c>
      <c r="BP1278">
        <f t="shared" si="38"/>
        <v>6.0731806429782846</v>
      </c>
      <c r="BQ1278">
        <f t="shared" si="39"/>
        <v>18.838683448608514</v>
      </c>
    </row>
    <row r="1279" spans="1:69" hidden="1" x14ac:dyDescent="0.2">
      <c r="A1279" t="s">
        <v>3789</v>
      </c>
      <c r="B1279" t="s">
        <v>68</v>
      </c>
      <c r="C1279" t="s">
        <v>3294</v>
      </c>
      <c r="D1279" t="s">
        <v>70</v>
      </c>
      <c r="E1279" t="s">
        <v>71</v>
      </c>
      <c r="F1279">
        <v>4</v>
      </c>
      <c r="G1279">
        <v>21</v>
      </c>
      <c r="H1279">
        <v>1</v>
      </c>
      <c r="I1279">
        <v>1</v>
      </c>
      <c r="J1279">
        <v>0</v>
      </c>
      <c r="K1279" t="s">
        <v>110</v>
      </c>
      <c r="L1279" t="s">
        <v>111</v>
      </c>
      <c r="M1279" s="4">
        <v>220000000</v>
      </c>
      <c r="N1279">
        <v>0</v>
      </c>
      <c r="O1279">
        <v>4.6461022999999999</v>
      </c>
      <c r="P1279">
        <v>-74.067544400000003</v>
      </c>
      <c r="Q1279" t="s">
        <v>3790</v>
      </c>
      <c r="R1279">
        <v>10476190.48</v>
      </c>
      <c r="S1279">
        <v>0</v>
      </c>
      <c r="T1279" t="s">
        <v>75</v>
      </c>
      <c r="U1279" t="s">
        <v>76</v>
      </c>
      <c r="V1279" t="s">
        <v>77</v>
      </c>
      <c r="W1279" t="s">
        <v>78</v>
      </c>
      <c r="X1279" t="s">
        <v>79</v>
      </c>
      <c r="Y1279">
        <v>2.2835266997041499</v>
      </c>
      <c r="Z1279">
        <v>2283.5266997041499</v>
      </c>
      <c r="AA1279">
        <v>4.6584666666666701</v>
      </c>
      <c r="AB1279">
        <v>-74.083966666666697</v>
      </c>
      <c r="AC1279">
        <v>2552</v>
      </c>
      <c r="AD1279">
        <v>0</v>
      </c>
      <c r="AE1279" t="s">
        <v>80</v>
      </c>
      <c r="AF1279" t="s">
        <v>81</v>
      </c>
      <c r="AG1279" t="s">
        <v>82</v>
      </c>
      <c r="AH1279" t="s">
        <v>83</v>
      </c>
      <c r="AI1279" t="s">
        <v>84</v>
      </c>
      <c r="AJ1279">
        <v>0.39065306022482899</v>
      </c>
      <c r="AK1279">
        <v>1.2490124899255299</v>
      </c>
      <c r="AL1279">
        <v>0.189808959853391</v>
      </c>
      <c r="AM1279">
        <v>7.0508267894182103E-2</v>
      </c>
      <c r="AN1279">
        <v>1.1298373507055099</v>
      </c>
      <c r="AO1279">
        <v>8.9122909464055905E-2</v>
      </c>
      <c r="AP1279">
        <v>8.9122909464055905E-2</v>
      </c>
      <c r="AQ1279">
        <v>2</v>
      </c>
      <c r="AR1279">
        <v>4</v>
      </c>
      <c r="AS1279">
        <v>0</v>
      </c>
      <c r="AT1279">
        <v>0</v>
      </c>
      <c r="AU1279">
        <v>14</v>
      </c>
      <c r="AV1279">
        <v>122</v>
      </c>
      <c r="AW1279">
        <v>0</v>
      </c>
      <c r="AX1279">
        <v>0</v>
      </c>
      <c r="AZ1279">
        <v>6.8</v>
      </c>
      <c r="BA1279">
        <v>19.899999999999999</v>
      </c>
      <c r="BB1279">
        <v>564</v>
      </c>
      <c r="BC1279">
        <v>68</v>
      </c>
      <c r="BD1279">
        <v>1.5</v>
      </c>
      <c r="BE1279">
        <v>135</v>
      </c>
      <c r="BF1279">
        <v>0.8</v>
      </c>
      <c r="BG1279">
        <v>162</v>
      </c>
      <c r="BH1279">
        <v>9.1</v>
      </c>
      <c r="BI1279">
        <v>9.1999999999999993</v>
      </c>
      <c r="BJ1279">
        <v>18.3</v>
      </c>
      <c r="BK1279">
        <v>0.34</v>
      </c>
      <c r="BL1279">
        <v>7.3</v>
      </c>
      <c r="BM1279">
        <v>0.9</v>
      </c>
      <c r="BN1279">
        <v>7.5</v>
      </c>
      <c r="BO1279">
        <v>2.9</v>
      </c>
      <c r="BP1279">
        <f t="shared" si="38"/>
        <v>6.0732145242015507</v>
      </c>
      <c r="BQ1279">
        <f t="shared" si="39"/>
        <v>18.838734405021658</v>
      </c>
    </row>
    <row r="1280" spans="1:69" hidden="1" x14ac:dyDescent="0.2">
      <c r="A1280" t="s">
        <v>3298</v>
      </c>
      <c r="B1280" t="s">
        <v>68</v>
      </c>
      <c r="C1280" t="s">
        <v>3294</v>
      </c>
      <c r="D1280" t="s">
        <v>70</v>
      </c>
      <c r="E1280" t="s">
        <v>342</v>
      </c>
      <c r="F1280">
        <v>3</v>
      </c>
      <c r="G1280">
        <v>20.9</v>
      </c>
      <c r="H1280">
        <v>1</v>
      </c>
      <c r="I1280">
        <v>1</v>
      </c>
      <c r="J1280">
        <v>0</v>
      </c>
      <c r="K1280" t="s">
        <v>72</v>
      </c>
      <c r="L1280" t="s">
        <v>73</v>
      </c>
      <c r="M1280" s="4">
        <v>282333413</v>
      </c>
      <c r="N1280">
        <v>0</v>
      </c>
      <c r="O1280">
        <v>4.6622304999999997</v>
      </c>
      <c r="P1280">
        <v>-74.06617</v>
      </c>
      <c r="Q1280" t="s">
        <v>3299</v>
      </c>
      <c r="R1280">
        <v>13508775.74</v>
      </c>
      <c r="S1280">
        <v>0</v>
      </c>
      <c r="T1280" t="s">
        <v>75</v>
      </c>
      <c r="U1280" t="s">
        <v>76</v>
      </c>
      <c r="V1280" t="s">
        <v>77</v>
      </c>
      <c r="W1280" t="s">
        <v>78</v>
      </c>
      <c r="X1280" t="s">
        <v>79</v>
      </c>
      <c r="Y1280">
        <v>2.0185296347185302</v>
      </c>
      <c r="Z1280">
        <v>2018.5296347185299</v>
      </c>
      <c r="AA1280">
        <v>4.6584666666666701</v>
      </c>
      <c r="AB1280">
        <v>-74.083966666666697</v>
      </c>
      <c r="AC1280">
        <v>2552</v>
      </c>
      <c r="AD1280">
        <v>0</v>
      </c>
      <c r="AE1280" t="s">
        <v>80</v>
      </c>
      <c r="AF1280" t="s">
        <v>81</v>
      </c>
      <c r="AG1280" t="s">
        <v>82</v>
      </c>
      <c r="AH1280" t="s">
        <v>83</v>
      </c>
      <c r="AI1280" t="s">
        <v>342</v>
      </c>
      <c r="AJ1280">
        <v>0.55141481356139399</v>
      </c>
      <c r="AK1280">
        <v>2.1460441379569901</v>
      </c>
      <c r="AL1280">
        <v>0.28648131670246102</v>
      </c>
      <c r="AM1280">
        <v>9.1276902390644205E-2</v>
      </c>
      <c r="AN1280">
        <v>2.1600005199896399</v>
      </c>
      <c r="AO1280">
        <v>0.28833356051398301</v>
      </c>
      <c r="AP1280">
        <v>0.28833356051398301</v>
      </c>
      <c r="AQ1280">
        <v>0</v>
      </c>
      <c r="AR1280">
        <v>5</v>
      </c>
      <c r="AS1280">
        <v>0</v>
      </c>
      <c r="AT1280">
        <v>0</v>
      </c>
      <c r="AU1280">
        <v>14</v>
      </c>
      <c r="AV1280">
        <v>72</v>
      </c>
      <c r="AW1280">
        <v>0</v>
      </c>
      <c r="AX1280">
        <v>0</v>
      </c>
      <c r="AZ1280">
        <v>6.8</v>
      </c>
      <c r="BA1280">
        <v>19.899999999999999</v>
      </c>
      <c r="BB1280">
        <v>564</v>
      </c>
      <c r="BC1280">
        <v>68</v>
      </c>
      <c r="BD1280">
        <v>1.5</v>
      </c>
      <c r="BE1280">
        <v>135</v>
      </c>
      <c r="BF1280">
        <v>0.8</v>
      </c>
      <c r="BG1280">
        <v>162</v>
      </c>
      <c r="BH1280">
        <v>9.1</v>
      </c>
      <c r="BI1280">
        <v>9.1999999999999993</v>
      </c>
      <c r="BJ1280">
        <v>18.3</v>
      </c>
      <c r="BK1280">
        <v>0.34</v>
      </c>
      <c r="BL1280">
        <v>7.3</v>
      </c>
      <c r="BM1280">
        <v>0.9</v>
      </c>
      <c r="BN1280">
        <v>7.5</v>
      </c>
      <c r="BO1280">
        <v>2.9</v>
      </c>
      <c r="BP1280">
        <f t="shared" si="38"/>
        <v>6.1534038192898111</v>
      </c>
      <c r="BQ1280">
        <f t="shared" si="39"/>
        <v>18.958929239025995</v>
      </c>
    </row>
    <row r="1281" spans="1:69" hidden="1" x14ac:dyDescent="0.2">
      <c r="A1281" t="s">
        <v>3357</v>
      </c>
      <c r="B1281" t="s">
        <v>68</v>
      </c>
      <c r="C1281" t="s">
        <v>3294</v>
      </c>
      <c r="D1281" t="s">
        <v>70</v>
      </c>
      <c r="E1281" t="s">
        <v>1098</v>
      </c>
      <c r="F1281">
        <v>3</v>
      </c>
      <c r="G1281">
        <v>20.82</v>
      </c>
      <c r="H1281">
        <v>1</v>
      </c>
      <c r="I1281">
        <v>1</v>
      </c>
      <c r="J1281">
        <v>0</v>
      </c>
      <c r="K1281" t="s">
        <v>110</v>
      </c>
      <c r="L1281" t="s">
        <v>133</v>
      </c>
      <c r="M1281" s="4">
        <v>240000000</v>
      </c>
      <c r="N1281">
        <v>0</v>
      </c>
      <c r="O1281">
        <v>4.6033099999999996</v>
      </c>
      <c r="P1281">
        <v>-74.07029</v>
      </c>
      <c r="Q1281" t="s">
        <v>3358</v>
      </c>
      <c r="R1281">
        <v>11527377.52</v>
      </c>
      <c r="S1281">
        <v>0</v>
      </c>
      <c r="T1281" t="s">
        <v>126</v>
      </c>
      <c r="U1281" t="s">
        <v>127</v>
      </c>
      <c r="V1281" t="s">
        <v>77</v>
      </c>
      <c r="W1281" t="s">
        <v>128</v>
      </c>
      <c r="X1281" t="s">
        <v>129</v>
      </c>
      <c r="Y1281">
        <v>2.49579549869331</v>
      </c>
      <c r="Z1281">
        <v>2495.79549869331</v>
      </c>
      <c r="AA1281">
        <v>4.6254861111111101</v>
      </c>
      <c r="AB1281">
        <v>-74.066980555555503</v>
      </c>
      <c r="AC1281">
        <v>2621</v>
      </c>
      <c r="AD1281">
        <v>15</v>
      </c>
      <c r="AE1281" t="s">
        <v>80</v>
      </c>
      <c r="AF1281" t="s">
        <v>81</v>
      </c>
      <c r="AG1281" t="s">
        <v>82</v>
      </c>
      <c r="AH1281" t="s">
        <v>83</v>
      </c>
      <c r="AI1281" t="s">
        <v>138</v>
      </c>
      <c r="AJ1281">
        <v>0.22443959474330799</v>
      </c>
      <c r="AK1281">
        <v>0.68710474683633405</v>
      </c>
      <c r="AL1281">
        <v>0.27879818058919598</v>
      </c>
      <c r="AM1281">
        <v>0.14859387790078199</v>
      </c>
      <c r="AN1281">
        <v>1.3929466574864</v>
      </c>
      <c r="AO1281">
        <v>3.7697162978293702E-2</v>
      </c>
      <c r="AP1281">
        <v>3.7697162978293702E-2</v>
      </c>
      <c r="AQ1281">
        <v>3</v>
      </c>
      <c r="AR1281">
        <v>9</v>
      </c>
      <c r="AS1281">
        <v>0</v>
      </c>
      <c r="AT1281">
        <v>38</v>
      </c>
      <c r="AU1281">
        <v>14</v>
      </c>
      <c r="AV1281">
        <v>50</v>
      </c>
      <c r="AW1281">
        <v>0</v>
      </c>
      <c r="AX1281">
        <v>8</v>
      </c>
      <c r="AZ1281">
        <v>6.8</v>
      </c>
      <c r="BA1281">
        <v>19.899999999999999</v>
      </c>
      <c r="BB1281">
        <v>564</v>
      </c>
      <c r="BC1281">
        <v>68</v>
      </c>
      <c r="BD1281">
        <v>1.5</v>
      </c>
      <c r="BE1281">
        <v>135</v>
      </c>
      <c r="BF1281">
        <v>0.8</v>
      </c>
      <c r="BG1281">
        <v>162</v>
      </c>
      <c r="BH1281">
        <v>9.1</v>
      </c>
      <c r="BI1281">
        <v>9.1999999999999993</v>
      </c>
      <c r="BJ1281">
        <v>18.3</v>
      </c>
      <c r="BK1281">
        <v>0.34</v>
      </c>
      <c r="BL1281">
        <v>7.3</v>
      </c>
      <c r="BM1281">
        <v>0.9</v>
      </c>
      <c r="BN1281">
        <v>7.5</v>
      </c>
      <c r="BO1281">
        <v>2.9</v>
      </c>
      <c r="BP1281">
        <f t="shared" si="38"/>
        <v>6.0097354843834303</v>
      </c>
      <c r="BQ1281">
        <f t="shared" si="39"/>
        <v>18.74300544268608</v>
      </c>
    </row>
    <row r="1282" spans="1:69" hidden="1" x14ac:dyDescent="0.2">
      <c r="A1282" t="s">
        <v>3866</v>
      </c>
      <c r="B1282" t="s">
        <v>68</v>
      </c>
      <c r="C1282" t="s">
        <v>3294</v>
      </c>
      <c r="D1282" t="s">
        <v>70</v>
      </c>
      <c r="E1282" t="s">
        <v>404</v>
      </c>
      <c r="F1282">
        <v>4</v>
      </c>
      <c r="G1282">
        <v>20.53</v>
      </c>
      <c r="H1282">
        <v>1</v>
      </c>
      <c r="I1282">
        <v>1</v>
      </c>
      <c r="J1282">
        <v>1</v>
      </c>
      <c r="K1282" t="s">
        <v>110</v>
      </c>
      <c r="L1282" t="s">
        <v>111</v>
      </c>
      <c r="M1282" s="4">
        <v>470000000</v>
      </c>
      <c r="N1282">
        <v>0</v>
      </c>
      <c r="O1282">
        <v>4.671356201</v>
      </c>
      <c r="P1282">
        <v>-74.056510930000002</v>
      </c>
      <c r="Q1282" t="s">
        <v>3867</v>
      </c>
      <c r="R1282">
        <v>22893326.84</v>
      </c>
      <c r="S1282">
        <v>0</v>
      </c>
      <c r="T1282" t="s">
        <v>75</v>
      </c>
      <c r="U1282" t="s">
        <v>76</v>
      </c>
      <c r="V1282" t="s">
        <v>77</v>
      </c>
      <c r="W1282" t="s">
        <v>78</v>
      </c>
      <c r="X1282" t="s">
        <v>79</v>
      </c>
      <c r="Y1282">
        <v>3.3672473705208201</v>
      </c>
      <c r="Z1282">
        <v>3367.2473705208199</v>
      </c>
      <c r="AA1282">
        <v>4.6584666666666701</v>
      </c>
      <c r="AB1282">
        <v>-74.083966666666697</v>
      </c>
      <c r="AC1282">
        <v>2552</v>
      </c>
      <c r="AD1282">
        <v>0</v>
      </c>
      <c r="AE1282" t="s">
        <v>80</v>
      </c>
      <c r="AF1282" t="s">
        <v>81</v>
      </c>
      <c r="AG1282" t="s">
        <v>82</v>
      </c>
      <c r="AH1282" t="s">
        <v>83</v>
      </c>
      <c r="AI1282" t="s">
        <v>130</v>
      </c>
      <c r="AJ1282">
        <v>0.36309105333870501</v>
      </c>
      <c r="AK1282">
        <v>1.4590178543002399</v>
      </c>
      <c r="AL1282">
        <v>0.44311174079139598</v>
      </c>
      <c r="AM1282">
        <v>3.3211195518122398E-2</v>
      </c>
      <c r="AN1282">
        <v>2.8240376647096301</v>
      </c>
      <c r="AO1282">
        <v>0.84695782794520402</v>
      </c>
      <c r="AP1282">
        <v>0.84695782794520402</v>
      </c>
      <c r="AQ1282">
        <v>1</v>
      </c>
      <c r="AR1282">
        <v>5</v>
      </c>
      <c r="AS1282">
        <v>0</v>
      </c>
      <c r="AT1282">
        <v>0</v>
      </c>
      <c r="AU1282">
        <v>7</v>
      </c>
      <c r="AV1282">
        <v>284</v>
      </c>
      <c r="AW1282">
        <v>0</v>
      </c>
      <c r="AX1282">
        <v>0</v>
      </c>
      <c r="AZ1282">
        <v>6.8</v>
      </c>
      <c r="BA1282">
        <v>19.899999999999999</v>
      </c>
      <c r="BB1282">
        <v>564</v>
      </c>
      <c r="BC1282">
        <v>68</v>
      </c>
      <c r="BD1282">
        <v>1.5</v>
      </c>
      <c r="BE1282">
        <v>135</v>
      </c>
      <c r="BF1282">
        <v>0.8</v>
      </c>
      <c r="BG1282">
        <v>162</v>
      </c>
      <c r="BH1282">
        <v>9.1</v>
      </c>
      <c r="BI1282">
        <v>9.1999999999999993</v>
      </c>
      <c r="BJ1282">
        <v>18.3</v>
      </c>
      <c r="BK1282">
        <v>0.34</v>
      </c>
      <c r="BL1282">
        <v>7.3</v>
      </c>
      <c r="BM1282">
        <v>0.9</v>
      </c>
      <c r="BN1282">
        <v>7.5</v>
      </c>
      <c r="BO1282">
        <v>2.9</v>
      </c>
      <c r="BP1282">
        <f t="shared" ref="BP1282:BP1345" si="40">+AZ1282*EXP(-0.0495*Y1282)</f>
        <v>5.7560062067911577</v>
      </c>
      <c r="BQ1282">
        <f t="shared" ref="BQ1282:BQ1345" si="41">+BA1282*EXP(-0.024*Y1282)</f>
        <v>18.355069343286321</v>
      </c>
    </row>
    <row r="1283" spans="1:69" hidden="1" x14ac:dyDescent="0.2">
      <c r="A1283" t="s">
        <v>4647</v>
      </c>
      <c r="B1283" t="s">
        <v>68</v>
      </c>
      <c r="C1283" t="s">
        <v>3294</v>
      </c>
      <c r="D1283" t="s">
        <v>70</v>
      </c>
      <c r="E1283" t="s">
        <v>535</v>
      </c>
      <c r="F1283">
        <v>3</v>
      </c>
      <c r="G1283">
        <v>20.04</v>
      </c>
      <c r="H1283">
        <v>1</v>
      </c>
      <c r="I1283">
        <v>1</v>
      </c>
      <c r="J1283">
        <v>0</v>
      </c>
      <c r="K1283" t="s">
        <v>110</v>
      </c>
      <c r="L1283" t="s">
        <v>111</v>
      </c>
      <c r="M1283" s="4">
        <v>210000000</v>
      </c>
      <c r="N1283">
        <v>0</v>
      </c>
      <c r="O1283">
        <v>4.6034100000000002</v>
      </c>
      <c r="P1283">
        <v>-74.070329999999998</v>
      </c>
      <c r="Q1283" t="s">
        <v>4648</v>
      </c>
      <c r="R1283">
        <v>10479041.92</v>
      </c>
      <c r="S1283">
        <v>0</v>
      </c>
      <c r="T1283" t="s">
        <v>126</v>
      </c>
      <c r="U1283" t="s">
        <v>127</v>
      </c>
      <c r="V1283" t="s">
        <v>77</v>
      </c>
      <c r="W1283" t="s">
        <v>128</v>
      </c>
      <c r="X1283" t="s">
        <v>129</v>
      </c>
      <c r="Y1283">
        <v>2.4854450291560601</v>
      </c>
      <c r="Z1283">
        <v>2485.4450291560602</v>
      </c>
      <c r="AA1283">
        <v>4.6254861111111101</v>
      </c>
      <c r="AB1283">
        <v>-74.066980555555503</v>
      </c>
      <c r="AC1283">
        <v>2621</v>
      </c>
      <c r="AD1283">
        <v>15</v>
      </c>
      <c r="AE1283" t="s">
        <v>80</v>
      </c>
      <c r="AF1283" t="s">
        <v>81</v>
      </c>
      <c r="AG1283" t="s">
        <v>82</v>
      </c>
      <c r="AH1283" t="s">
        <v>83</v>
      </c>
      <c r="AI1283" t="s">
        <v>138</v>
      </c>
      <c r="AJ1283">
        <v>0.232715620400365</v>
      </c>
      <c r="AK1283">
        <v>0.68952211062925695</v>
      </c>
      <c r="AL1283">
        <v>0.28486902560330002</v>
      </c>
      <c r="AM1283">
        <v>0.139331049189412</v>
      </c>
      <c r="AN1283">
        <v>1.3838566972041</v>
      </c>
      <c r="AO1283">
        <v>2.8911522294463299E-2</v>
      </c>
      <c r="AP1283">
        <v>2.8911522294463299E-2</v>
      </c>
      <c r="AQ1283">
        <v>3</v>
      </c>
      <c r="AR1283">
        <v>9</v>
      </c>
      <c r="AS1283">
        <v>0</v>
      </c>
      <c r="AT1283">
        <v>38</v>
      </c>
      <c r="AU1283">
        <v>14</v>
      </c>
      <c r="AV1283">
        <v>50</v>
      </c>
      <c r="AW1283">
        <v>0</v>
      </c>
      <c r="AX1283">
        <v>8</v>
      </c>
      <c r="AZ1283">
        <v>6.8</v>
      </c>
      <c r="BA1283">
        <v>19.899999999999999</v>
      </c>
      <c r="BB1283">
        <v>564</v>
      </c>
      <c r="BC1283">
        <v>68</v>
      </c>
      <c r="BD1283">
        <v>1.5</v>
      </c>
      <c r="BE1283">
        <v>135</v>
      </c>
      <c r="BF1283">
        <v>0.8</v>
      </c>
      <c r="BG1283">
        <v>162</v>
      </c>
      <c r="BH1283">
        <v>9.1</v>
      </c>
      <c r="BI1283">
        <v>9.1999999999999993</v>
      </c>
      <c r="BJ1283">
        <v>18.3</v>
      </c>
      <c r="BK1283">
        <v>0.34</v>
      </c>
      <c r="BL1283">
        <v>7.3</v>
      </c>
      <c r="BM1283">
        <v>0.9</v>
      </c>
      <c r="BN1283">
        <v>7.5</v>
      </c>
      <c r="BO1283">
        <v>2.9</v>
      </c>
      <c r="BP1283">
        <f t="shared" si="40"/>
        <v>6.0128153507089799</v>
      </c>
      <c r="BQ1283">
        <f t="shared" si="41"/>
        <v>18.747661994797049</v>
      </c>
    </row>
    <row r="1284" spans="1:69" hidden="1" x14ac:dyDescent="0.2">
      <c r="A1284" t="s">
        <v>3296</v>
      </c>
      <c r="B1284" t="s">
        <v>68</v>
      </c>
      <c r="C1284" t="s">
        <v>3294</v>
      </c>
      <c r="D1284" t="s">
        <v>70</v>
      </c>
      <c r="E1284" t="s">
        <v>342</v>
      </c>
      <c r="F1284">
        <v>3</v>
      </c>
      <c r="G1284">
        <v>20.010000000000002</v>
      </c>
      <c r="H1284">
        <v>1</v>
      </c>
      <c r="I1284">
        <v>1</v>
      </c>
      <c r="J1284">
        <v>0</v>
      </c>
      <c r="K1284" t="s">
        <v>72</v>
      </c>
      <c r="L1284" t="s">
        <v>73</v>
      </c>
      <c r="M1284" s="4">
        <v>282330000</v>
      </c>
      <c r="N1284">
        <v>0</v>
      </c>
      <c r="O1284">
        <v>4.6622304999999997</v>
      </c>
      <c r="P1284">
        <v>-74.06617</v>
      </c>
      <c r="Q1284" t="s">
        <v>3297</v>
      </c>
      <c r="R1284">
        <v>14109445.279999999</v>
      </c>
      <c r="S1284">
        <v>0</v>
      </c>
      <c r="T1284" t="s">
        <v>75</v>
      </c>
      <c r="U1284" t="s">
        <v>76</v>
      </c>
      <c r="V1284" t="s">
        <v>77</v>
      </c>
      <c r="W1284" t="s">
        <v>78</v>
      </c>
      <c r="X1284" t="s">
        <v>79</v>
      </c>
      <c r="Y1284">
        <v>2.0185296347185302</v>
      </c>
      <c r="Z1284">
        <v>2018.5296347185299</v>
      </c>
      <c r="AA1284">
        <v>4.6584666666666701</v>
      </c>
      <c r="AB1284">
        <v>-74.083966666666697</v>
      </c>
      <c r="AC1284">
        <v>2552</v>
      </c>
      <c r="AD1284">
        <v>0</v>
      </c>
      <c r="AE1284" t="s">
        <v>80</v>
      </c>
      <c r="AF1284" t="s">
        <v>81</v>
      </c>
      <c r="AG1284" t="s">
        <v>82</v>
      </c>
      <c r="AH1284" t="s">
        <v>83</v>
      </c>
      <c r="AI1284" t="s">
        <v>342</v>
      </c>
      <c r="AJ1284">
        <v>0.55141481356139399</v>
      </c>
      <c r="AK1284">
        <v>2.1460441379569901</v>
      </c>
      <c r="AL1284">
        <v>0.28648131670246102</v>
      </c>
      <c r="AM1284">
        <v>9.1276902390644205E-2</v>
      </c>
      <c r="AN1284">
        <v>2.1600005199896399</v>
      </c>
      <c r="AO1284">
        <v>0.28833356051398301</v>
      </c>
      <c r="AP1284">
        <v>0.28833356051398301</v>
      </c>
      <c r="AQ1284">
        <v>0</v>
      </c>
      <c r="AR1284">
        <v>5</v>
      </c>
      <c r="AS1284">
        <v>0</v>
      </c>
      <c r="AT1284">
        <v>0</v>
      </c>
      <c r="AU1284">
        <v>14</v>
      </c>
      <c r="AV1284">
        <v>72</v>
      </c>
      <c r="AW1284">
        <v>0</v>
      </c>
      <c r="AX1284">
        <v>0</v>
      </c>
      <c r="AZ1284">
        <v>6.8</v>
      </c>
      <c r="BA1284">
        <v>19.899999999999999</v>
      </c>
      <c r="BB1284">
        <v>564</v>
      </c>
      <c r="BC1284">
        <v>68</v>
      </c>
      <c r="BD1284">
        <v>1.5</v>
      </c>
      <c r="BE1284">
        <v>135</v>
      </c>
      <c r="BF1284">
        <v>0.8</v>
      </c>
      <c r="BG1284">
        <v>162</v>
      </c>
      <c r="BH1284">
        <v>9.1</v>
      </c>
      <c r="BI1284">
        <v>9.1999999999999993</v>
      </c>
      <c r="BJ1284">
        <v>18.3</v>
      </c>
      <c r="BK1284">
        <v>0.34</v>
      </c>
      <c r="BL1284">
        <v>7.3</v>
      </c>
      <c r="BM1284">
        <v>0.9</v>
      </c>
      <c r="BN1284">
        <v>7.5</v>
      </c>
      <c r="BO1284">
        <v>2.9</v>
      </c>
      <c r="BP1284">
        <f t="shared" si="40"/>
        <v>6.1534038192898111</v>
      </c>
      <c r="BQ1284">
        <f t="shared" si="41"/>
        <v>18.958929239025995</v>
      </c>
    </row>
    <row r="1285" spans="1:69" hidden="1" x14ac:dyDescent="0.2">
      <c r="A1285" t="s">
        <v>4468</v>
      </c>
      <c r="B1285" t="s">
        <v>68</v>
      </c>
      <c r="C1285" t="s">
        <v>3294</v>
      </c>
      <c r="D1285" t="s">
        <v>70</v>
      </c>
      <c r="E1285" t="s">
        <v>229</v>
      </c>
      <c r="F1285">
        <v>6</v>
      </c>
      <c r="G1285">
        <v>20</v>
      </c>
      <c r="H1285">
        <v>1</v>
      </c>
      <c r="I1285">
        <v>1</v>
      </c>
      <c r="J1285">
        <v>0</v>
      </c>
      <c r="K1285" t="s">
        <v>110</v>
      </c>
      <c r="L1285" t="s">
        <v>111</v>
      </c>
      <c r="M1285" s="4">
        <v>380000000</v>
      </c>
      <c r="N1285">
        <v>0</v>
      </c>
      <c r="O1285">
        <v>4.6777997019999997</v>
      </c>
      <c r="P1285">
        <v>-74.053672789999993</v>
      </c>
      <c r="Q1285" t="s">
        <v>4469</v>
      </c>
      <c r="R1285">
        <v>19000000</v>
      </c>
      <c r="S1285">
        <v>0</v>
      </c>
      <c r="T1285" t="s">
        <v>75</v>
      </c>
      <c r="U1285" t="s">
        <v>76</v>
      </c>
      <c r="V1285" t="s">
        <v>77</v>
      </c>
      <c r="W1285" t="s">
        <v>78</v>
      </c>
      <c r="X1285" t="s">
        <v>79</v>
      </c>
      <c r="Y1285">
        <v>3.9910898787800999</v>
      </c>
      <c r="Z1285">
        <v>3991.0898787801002</v>
      </c>
      <c r="AA1285">
        <v>4.6584666666666701</v>
      </c>
      <c r="AB1285">
        <v>-74.083966666666697</v>
      </c>
      <c r="AC1285">
        <v>2552</v>
      </c>
      <c r="AD1285">
        <v>0</v>
      </c>
      <c r="AE1285" t="s">
        <v>80</v>
      </c>
      <c r="AF1285" t="s">
        <v>81</v>
      </c>
      <c r="AG1285" t="s">
        <v>82</v>
      </c>
      <c r="AH1285" t="s">
        <v>83</v>
      </c>
      <c r="AI1285" t="s">
        <v>130</v>
      </c>
      <c r="AJ1285">
        <v>0.62541702305073898</v>
      </c>
      <c r="AK1285">
        <v>1.5595297116885301</v>
      </c>
      <c r="AL1285">
        <v>0.88483096012154605</v>
      </c>
      <c r="AM1285">
        <v>1.9329459125302002E-2</v>
      </c>
      <c r="AN1285">
        <v>3.1565649625083001</v>
      </c>
      <c r="AO1285">
        <v>0.633128340706818</v>
      </c>
      <c r="AP1285">
        <v>0.633128340706818</v>
      </c>
      <c r="AQ1285">
        <v>0</v>
      </c>
      <c r="AR1285">
        <v>3</v>
      </c>
      <c r="AS1285">
        <v>0</v>
      </c>
      <c r="AT1285">
        <v>0</v>
      </c>
      <c r="AU1285">
        <v>3</v>
      </c>
      <c r="AV1285">
        <v>251</v>
      </c>
      <c r="AW1285">
        <v>0</v>
      </c>
      <c r="AX1285">
        <v>0</v>
      </c>
      <c r="AZ1285">
        <v>6.8</v>
      </c>
      <c r="BA1285">
        <v>19.899999999999999</v>
      </c>
      <c r="BB1285">
        <v>564</v>
      </c>
      <c r="BC1285">
        <v>68</v>
      </c>
      <c r="BD1285">
        <v>1.5</v>
      </c>
      <c r="BE1285">
        <v>135</v>
      </c>
      <c r="BF1285">
        <v>0.8</v>
      </c>
      <c r="BG1285">
        <v>162</v>
      </c>
      <c r="BH1285">
        <v>9.1</v>
      </c>
      <c r="BI1285">
        <v>9.1999999999999993</v>
      </c>
      <c r="BJ1285">
        <v>18.3</v>
      </c>
      <c r="BK1285">
        <v>0.34</v>
      </c>
      <c r="BL1285">
        <v>7.3</v>
      </c>
      <c r="BM1285">
        <v>0.9</v>
      </c>
      <c r="BN1285">
        <v>7.5</v>
      </c>
      <c r="BO1285">
        <v>2.9</v>
      </c>
      <c r="BP1285">
        <f t="shared" si="40"/>
        <v>5.5809759536220938</v>
      </c>
      <c r="BQ1285">
        <f t="shared" si="41"/>
        <v>18.082300278053758</v>
      </c>
    </row>
    <row r="1286" spans="1:69" hidden="1" x14ac:dyDescent="0.2">
      <c r="A1286" t="s">
        <v>3755</v>
      </c>
      <c r="B1286" t="s">
        <v>68</v>
      </c>
      <c r="C1286" t="s">
        <v>3294</v>
      </c>
      <c r="D1286" t="s">
        <v>70</v>
      </c>
      <c r="E1286" t="s">
        <v>229</v>
      </c>
      <c r="F1286">
        <v>6</v>
      </c>
      <c r="G1286">
        <v>20</v>
      </c>
      <c r="H1286">
        <v>1</v>
      </c>
      <c r="I1286">
        <v>1</v>
      </c>
      <c r="J1286">
        <v>0</v>
      </c>
      <c r="K1286" t="s">
        <v>110</v>
      </c>
      <c r="L1286" t="s">
        <v>111</v>
      </c>
      <c r="M1286" s="4">
        <v>320000000</v>
      </c>
      <c r="N1286">
        <v>0</v>
      </c>
      <c r="O1286">
        <v>4.6798310279999997</v>
      </c>
      <c r="P1286">
        <v>-74.05299377</v>
      </c>
      <c r="Q1286" t="s">
        <v>3756</v>
      </c>
      <c r="R1286">
        <v>16000000</v>
      </c>
      <c r="S1286">
        <v>0</v>
      </c>
      <c r="T1286" t="s">
        <v>75</v>
      </c>
      <c r="U1286" t="s">
        <v>76</v>
      </c>
      <c r="V1286" t="s">
        <v>77</v>
      </c>
      <c r="W1286" t="s">
        <v>78</v>
      </c>
      <c r="X1286" t="s">
        <v>79</v>
      </c>
      <c r="Y1286">
        <v>4.17915303219399</v>
      </c>
      <c r="Z1286">
        <v>4179.1530321939899</v>
      </c>
      <c r="AA1286">
        <v>4.6584666666666701</v>
      </c>
      <c r="AB1286">
        <v>-74.083966666666697</v>
      </c>
      <c r="AC1286">
        <v>2552</v>
      </c>
      <c r="AD1286">
        <v>0</v>
      </c>
      <c r="AE1286" t="s">
        <v>80</v>
      </c>
      <c r="AF1286" t="s">
        <v>81</v>
      </c>
      <c r="AG1286" t="s">
        <v>82</v>
      </c>
      <c r="AH1286" t="s">
        <v>83</v>
      </c>
      <c r="AI1286" t="s">
        <v>130</v>
      </c>
      <c r="AJ1286">
        <v>0.69345326937647001</v>
      </c>
      <c r="AK1286">
        <v>1.6269590595084</v>
      </c>
      <c r="AL1286">
        <v>0.65545974106433802</v>
      </c>
      <c r="AM1286">
        <v>3.7279918848922698E-2</v>
      </c>
      <c r="AN1286">
        <v>3.2693209040853799</v>
      </c>
      <c r="AO1286">
        <v>0.64549394364127599</v>
      </c>
      <c r="AP1286">
        <v>0.64549394364127599</v>
      </c>
      <c r="AQ1286">
        <v>0</v>
      </c>
      <c r="AR1286">
        <v>2</v>
      </c>
      <c r="AS1286">
        <v>0</v>
      </c>
      <c r="AT1286">
        <v>0</v>
      </c>
      <c r="AU1286">
        <v>5</v>
      </c>
      <c r="AV1286">
        <v>221</v>
      </c>
      <c r="AW1286">
        <v>0</v>
      </c>
      <c r="AX1286">
        <v>0</v>
      </c>
      <c r="AZ1286">
        <v>6.8</v>
      </c>
      <c r="BA1286">
        <v>19.899999999999999</v>
      </c>
      <c r="BB1286">
        <v>564</v>
      </c>
      <c r="BC1286">
        <v>68</v>
      </c>
      <c r="BD1286">
        <v>1.5</v>
      </c>
      <c r="BE1286">
        <v>135</v>
      </c>
      <c r="BF1286">
        <v>0.8</v>
      </c>
      <c r="BG1286">
        <v>162</v>
      </c>
      <c r="BH1286">
        <v>9.1</v>
      </c>
      <c r="BI1286">
        <v>9.1999999999999993</v>
      </c>
      <c r="BJ1286">
        <v>18.3</v>
      </c>
      <c r="BK1286">
        <v>0.34</v>
      </c>
      <c r="BL1286">
        <v>7.3</v>
      </c>
      <c r="BM1286">
        <v>0.9</v>
      </c>
      <c r="BN1286">
        <v>7.5</v>
      </c>
      <c r="BO1286">
        <v>2.9</v>
      </c>
      <c r="BP1286">
        <f t="shared" si="40"/>
        <v>5.529263019307721</v>
      </c>
      <c r="BQ1286">
        <f t="shared" si="41"/>
        <v>18.000869440106541</v>
      </c>
    </row>
    <row r="1287" spans="1:69" hidden="1" x14ac:dyDescent="0.2">
      <c r="A1287" t="s">
        <v>4114</v>
      </c>
      <c r="B1287" t="s">
        <v>68</v>
      </c>
      <c r="C1287" t="s">
        <v>3294</v>
      </c>
      <c r="D1287" t="s">
        <v>70</v>
      </c>
      <c r="E1287" t="s">
        <v>132</v>
      </c>
      <c r="F1287">
        <v>6</v>
      </c>
      <c r="G1287">
        <v>20</v>
      </c>
      <c r="H1287">
        <v>1</v>
      </c>
      <c r="I1287">
        <v>1</v>
      </c>
      <c r="J1287">
        <v>0</v>
      </c>
      <c r="K1287" t="s">
        <v>110</v>
      </c>
      <c r="L1287" t="s">
        <v>111</v>
      </c>
      <c r="M1287" s="4">
        <v>300000000</v>
      </c>
      <c r="N1287">
        <v>0</v>
      </c>
      <c r="O1287">
        <v>4.6624746000000004</v>
      </c>
      <c r="P1287">
        <v>-74.056975499999993</v>
      </c>
      <c r="Q1287" t="s">
        <v>4115</v>
      </c>
      <c r="R1287">
        <v>15000000</v>
      </c>
      <c r="S1287">
        <v>0</v>
      </c>
      <c r="T1287" t="s">
        <v>75</v>
      </c>
      <c r="U1287" t="s">
        <v>76</v>
      </c>
      <c r="V1287" t="s">
        <v>77</v>
      </c>
      <c r="W1287" t="s">
        <v>78</v>
      </c>
      <c r="X1287" t="s">
        <v>79</v>
      </c>
      <c r="Y1287">
        <v>3.0277614563311999</v>
      </c>
      <c r="Z1287">
        <v>3027.7614563312</v>
      </c>
      <c r="AA1287">
        <v>4.6584666666666701</v>
      </c>
      <c r="AB1287">
        <v>-74.083966666666697</v>
      </c>
      <c r="AC1287">
        <v>2552</v>
      </c>
      <c r="AD1287">
        <v>0</v>
      </c>
      <c r="AE1287" t="s">
        <v>80</v>
      </c>
      <c r="AF1287" t="s">
        <v>81</v>
      </c>
      <c r="AG1287" t="s">
        <v>82</v>
      </c>
      <c r="AH1287" t="s">
        <v>83</v>
      </c>
      <c r="AI1287" t="s">
        <v>130</v>
      </c>
      <c r="AJ1287">
        <v>0.479160701355892</v>
      </c>
      <c r="AK1287">
        <v>1.15059827176506</v>
      </c>
      <c r="AL1287">
        <v>8.4587146263638294E-2</v>
      </c>
      <c r="AM1287">
        <v>3.9599428143203101E-2</v>
      </c>
      <c r="AN1287">
        <v>2.3108209985380901</v>
      </c>
      <c r="AO1287">
        <v>9.3076725489765297E-2</v>
      </c>
      <c r="AP1287">
        <v>9.3076725489765297E-2</v>
      </c>
      <c r="AQ1287">
        <v>1</v>
      </c>
      <c r="AR1287">
        <v>3</v>
      </c>
      <c r="AS1287">
        <v>0</v>
      </c>
      <c r="AT1287">
        <v>0</v>
      </c>
      <c r="AU1287">
        <v>21</v>
      </c>
      <c r="AV1287">
        <v>233</v>
      </c>
      <c r="AW1287">
        <v>0</v>
      </c>
      <c r="AX1287">
        <v>0</v>
      </c>
      <c r="AZ1287">
        <v>6.8</v>
      </c>
      <c r="BA1287">
        <v>19.899999999999999</v>
      </c>
      <c r="BB1287">
        <v>564</v>
      </c>
      <c r="BC1287">
        <v>68</v>
      </c>
      <c r="BD1287">
        <v>1.5</v>
      </c>
      <c r="BE1287">
        <v>135</v>
      </c>
      <c r="BF1287">
        <v>0.8</v>
      </c>
      <c r="BG1287">
        <v>162</v>
      </c>
      <c r="BH1287">
        <v>9.1</v>
      </c>
      <c r="BI1287">
        <v>9.1999999999999993</v>
      </c>
      <c r="BJ1287">
        <v>18.3</v>
      </c>
      <c r="BK1287">
        <v>0.34</v>
      </c>
      <c r="BL1287">
        <v>7.3</v>
      </c>
      <c r="BM1287">
        <v>0.9</v>
      </c>
      <c r="BN1287">
        <v>7.5</v>
      </c>
      <c r="BO1287">
        <v>2.9</v>
      </c>
      <c r="BP1287">
        <f t="shared" si="40"/>
        <v>5.8535506163469373</v>
      </c>
      <c r="BQ1287">
        <f t="shared" si="41"/>
        <v>18.505231146295319</v>
      </c>
    </row>
    <row r="1288" spans="1:69" hidden="1" x14ac:dyDescent="0.2">
      <c r="A1288" t="s">
        <v>3773</v>
      </c>
      <c r="B1288" t="s">
        <v>68</v>
      </c>
      <c r="C1288" t="s">
        <v>3294</v>
      </c>
      <c r="D1288" t="s">
        <v>70</v>
      </c>
      <c r="E1288" t="s">
        <v>1486</v>
      </c>
      <c r="F1288">
        <v>6</v>
      </c>
      <c r="G1288">
        <v>20</v>
      </c>
      <c r="H1288">
        <v>1</v>
      </c>
      <c r="I1288">
        <v>1</v>
      </c>
      <c r="J1288">
        <v>0</v>
      </c>
      <c r="K1288" t="s">
        <v>110</v>
      </c>
      <c r="L1288" t="s">
        <v>111</v>
      </c>
      <c r="M1288" s="4">
        <v>278000000</v>
      </c>
      <c r="N1288">
        <v>0</v>
      </c>
      <c r="O1288">
        <v>4.6842026710000004</v>
      </c>
      <c r="P1288">
        <v>-74.05719757</v>
      </c>
      <c r="Q1288" t="s">
        <v>3774</v>
      </c>
      <c r="R1288">
        <v>13900000</v>
      </c>
      <c r="S1288">
        <v>0</v>
      </c>
      <c r="T1288" t="s">
        <v>75</v>
      </c>
      <c r="U1288" t="s">
        <v>76</v>
      </c>
      <c r="V1288" t="s">
        <v>77</v>
      </c>
      <c r="W1288" t="s">
        <v>78</v>
      </c>
      <c r="X1288" t="s">
        <v>79</v>
      </c>
      <c r="Y1288">
        <v>4.1265967514521096</v>
      </c>
      <c r="Z1288">
        <v>4126.5967514521099</v>
      </c>
      <c r="AA1288">
        <v>4.6584666666666701</v>
      </c>
      <c r="AB1288">
        <v>-74.083966666666697</v>
      </c>
      <c r="AC1288">
        <v>2552</v>
      </c>
      <c r="AD1288">
        <v>0</v>
      </c>
      <c r="AE1288" t="s">
        <v>80</v>
      </c>
      <c r="AF1288" t="s">
        <v>81</v>
      </c>
      <c r="AG1288" t="s">
        <v>82</v>
      </c>
      <c r="AH1288" t="s">
        <v>83</v>
      </c>
      <c r="AI1288" t="s">
        <v>130</v>
      </c>
      <c r="AJ1288">
        <v>6.3565125963518695E-2</v>
      </c>
      <c r="AK1288">
        <v>2.2639362009750901</v>
      </c>
      <c r="AL1288">
        <v>0.51619810408508804</v>
      </c>
      <c r="AM1288">
        <v>1.8456129419446202E-2</v>
      </c>
      <c r="AN1288">
        <v>2.9661004283073402</v>
      </c>
      <c r="AO1288">
        <v>0.12915547237709499</v>
      </c>
      <c r="AP1288">
        <v>0.12915547237709499</v>
      </c>
      <c r="AQ1288">
        <v>1</v>
      </c>
      <c r="AR1288">
        <v>6</v>
      </c>
      <c r="AS1288">
        <v>0</v>
      </c>
      <c r="AT1288">
        <v>0</v>
      </c>
      <c r="AU1288">
        <v>5</v>
      </c>
      <c r="AV1288">
        <v>235</v>
      </c>
      <c r="AW1288">
        <v>0</v>
      </c>
      <c r="AX1288">
        <v>0</v>
      </c>
      <c r="AZ1288">
        <v>6.8</v>
      </c>
      <c r="BA1288">
        <v>19.899999999999999</v>
      </c>
      <c r="BB1288">
        <v>564</v>
      </c>
      <c r="BC1288">
        <v>68</v>
      </c>
      <c r="BD1288">
        <v>1.5</v>
      </c>
      <c r="BE1288">
        <v>135</v>
      </c>
      <c r="BF1288">
        <v>0.8</v>
      </c>
      <c r="BG1288">
        <v>162</v>
      </c>
      <c r="BH1288">
        <v>9.1</v>
      </c>
      <c r="BI1288">
        <v>9.1999999999999993</v>
      </c>
      <c r="BJ1288">
        <v>18.3</v>
      </c>
      <c r="BK1288">
        <v>0.34</v>
      </c>
      <c r="BL1288">
        <v>7.3</v>
      </c>
      <c r="BM1288">
        <v>0.9</v>
      </c>
      <c r="BN1288">
        <v>7.5</v>
      </c>
      <c r="BO1288">
        <v>2.9</v>
      </c>
      <c r="BP1288">
        <f t="shared" si="40"/>
        <v>5.5436663227669145</v>
      </c>
      <c r="BQ1288">
        <f t="shared" si="41"/>
        <v>18.023589175821389</v>
      </c>
    </row>
    <row r="1289" spans="1:69" hidden="1" x14ac:dyDescent="0.2">
      <c r="A1289" t="s">
        <v>3722</v>
      </c>
      <c r="B1289" t="s">
        <v>68</v>
      </c>
      <c r="C1289" t="s">
        <v>3294</v>
      </c>
      <c r="D1289" t="s">
        <v>70</v>
      </c>
      <c r="E1289" t="s">
        <v>3649</v>
      </c>
      <c r="F1289">
        <v>6</v>
      </c>
      <c r="G1289">
        <v>20</v>
      </c>
      <c r="H1289">
        <v>1</v>
      </c>
      <c r="I1289">
        <v>1</v>
      </c>
      <c r="J1289">
        <v>0</v>
      </c>
      <c r="K1289" t="s">
        <v>110</v>
      </c>
      <c r="L1289" t="s">
        <v>111</v>
      </c>
      <c r="M1289" s="4">
        <v>275000000</v>
      </c>
      <c r="N1289">
        <v>0</v>
      </c>
      <c r="O1289">
        <v>4.6842100000000002</v>
      </c>
      <c r="P1289">
        <v>-74.057199999999995</v>
      </c>
      <c r="Q1289" t="s">
        <v>3723</v>
      </c>
      <c r="R1289">
        <v>13750000</v>
      </c>
      <c r="S1289">
        <v>0</v>
      </c>
      <c r="T1289" t="s">
        <v>75</v>
      </c>
      <c r="U1289" t="s">
        <v>76</v>
      </c>
      <c r="V1289" t="s">
        <v>77</v>
      </c>
      <c r="W1289" t="s">
        <v>78</v>
      </c>
      <c r="X1289" t="s">
        <v>79</v>
      </c>
      <c r="Y1289">
        <v>4.1269691858096698</v>
      </c>
      <c r="Z1289">
        <v>4126.9691858096703</v>
      </c>
      <c r="AA1289">
        <v>4.6584666666666701</v>
      </c>
      <c r="AB1289">
        <v>-74.083966666666697</v>
      </c>
      <c r="AC1289">
        <v>2552</v>
      </c>
      <c r="AD1289">
        <v>0</v>
      </c>
      <c r="AE1289" t="s">
        <v>80</v>
      </c>
      <c r="AF1289" t="s">
        <v>81</v>
      </c>
      <c r="AG1289" t="s">
        <v>82</v>
      </c>
      <c r="AH1289" t="s">
        <v>83</v>
      </c>
      <c r="AI1289" t="s">
        <v>130</v>
      </c>
      <c r="AJ1289">
        <v>6.3685409445303098E-2</v>
      </c>
      <c r="AK1289">
        <v>2.2645797420185101</v>
      </c>
      <c r="AL1289">
        <v>0.51618293936009196</v>
      </c>
      <c r="AM1289">
        <v>1.88529444656606E-2</v>
      </c>
      <c r="AN1289">
        <v>2.9661656704996302</v>
      </c>
      <c r="AO1289">
        <v>0.129325953419582</v>
      </c>
      <c r="AP1289">
        <v>0.129325953419582</v>
      </c>
      <c r="AQ1289">
        <v>1</v>
      </c>
      <c r="AR1289">
        <v>6</v>
      </c>
      <c r="AS1289">
        <v>0</v>
      </c>
      <c r="AT1289">
        <v>0</v>
      </c>
      <c r="AU1289">
        <v>5</v>
      </c>
      <c r="AV1289">
        <v>235</v>
      </c>
      <c r="AW1289">
        <v>0</v>
      </c>
      <c r="AX1289">
        <v>0</v>
      </c>
      <c r="AZ1289">
        <v>6.8</v>
      </c>
      <c r="BA1289">
        <v>19.899999999999999</v>
      </c>
      <c r="BB1289">
        <v>564</v>
      </c>
      <c r="BC1289">
        <v>68</v>
      </c>
      <c r="BD1289">
        <v>1.5</v>
      </c>
      <c r="BE1289">
        <v>135</v>
      </c>
      <c r="BF1289">
        <v>0.8</v>
      </c>
      <c r="BG1289">
        <v>162</v>
      </c>
      <c r="BH1289">
        <v>9.1</v>
      </c>
      <c r="BI1289">
        <v>9.1999999999999993</v>
      </c>
      <c r="BJ1289">
        <v>18.3</v>
      </c>
      <c r="BK1289">
        <v>0.34</v>
      </c>
      <c r="BL1289">
        <v>7.3</v>
      </c>
      <c r="BM1289">
        <v>0.9</v>
      </c>
      <c r="BN1289">
        <v>7.5</v>
      </c>
      <c r="BO1289">
        <v>2.9</v>
      </c>
      <c r="BP1289">
        <f t="shared" si="40"/>
        <v>5.5435641234445949</v>
      </c>
      <c r="BQ1289">
        <f t="shared" si="41"/>
        <v>18.023428074048855</v>
      </c>
    </row>
    <row r="1290" spans="1:69" hidden="1" x14ac:dyDescent="0.2">
      <c r="A1290" t="s">
        <v>4248</v>
      </c>
      <c r="B1290" t="s">
        <v>68</v>
      </c>
      <c r="C1290" t="s">
        <v>3294</v>
      </c>
      <c r="D1290" t="s">
        <v>70</v>
      </c>
      <c r="E1290" t="s">
        <v>1098</v>
      </c>
      <c r="F1290">
        <v>3</v>
      </c>
      <c r="G1290">
        <v>20</v>
      </c>
      <c r="H1290">
        <v>1</v>
      </c>
      <c r="I1290">
        <v>1</v>
      </c>
      <c r="J1290">
        <v>0</v>
      </c>
      <c r="K1290" t="s">
        <v>110</v>
      </c>
      <c r="L1290" t="s">
        <v>111</v>
      </c>
      <c r="M1290" s="4">
        <v>255000000</v>
      </c>
      <c r="N1290">
        <v>0</v>
      </c>
      <c r="O1290">
        <v>4.6044907569999998</v>
      </c>
      <c r="P1290">
        <v>-74.068519589999994</v>
      </c>
      <c r="Q1290" t="s">
        <v>4249</v>
      </c>
      <c r="R1290">
        <v>12750000</v>
      </c>
      <c r="S1290">
        <v>0</v>
      </c>
      <c r="T1290" t="s">
        <v>126</v>
      </c>
      <c r="U1290" t="s">
        <v>127</v>
      </c>
      <c r="V1290" t="s">
        <v>77</v>
      </c>
      <c r="W1290" t="s">
        <v>128</v>
      </c>
      <c r="X1290" t="s">
        <v>129</v>
      </c>
      <c r="Y1290">
        <v>2.3434225232352701</v>
      </c>
      <c r="Z1290">
        <v>2343.4225232352701</v>
      </c>
      <c r="AA1290">
        <v>4.6254861111111101</v>
      </c>
      <c r="AB1290">
        <v>-74.066980555555503</v>
      </c>
      <c r="AC1290">
        <v>2621</v>
      </c>
      <c r="AD1290">
        <v>15</v>
      </c>
      <c r="AE1290" t="s">
        <v>80</v>
      </c>
      <c r="AF1290" t="s">
        <v>81</v>
      </c>
      <c r="AG1290" t="s">
        <v>82</v>
      </c>
      <c r="AH1290" t="s">
        <v>83</v>
      </c>
      <c r="AI1290" t="s">
        <v>138</v>
      </c>
      <c r="AJ1290">
        <v>0.13458802082740301</v>
      </c>
      <c r="AK1290">
        <v>0.46629421594951298</v>
      </c>
      <c r="AL1290">
        <v>0.22261603643769101</v>
      </c>
      <c r="AM1290">
        <v>0.10197081059447501</v>
      </c>
      <c r="AN1290">
        <v>1.21639257060811</v>
      </c>
      <c r="AO1290">
        <v>0.167802636656597</v>
      </c>
      <c r="AP1290">
        <v>0.167802636656597</v>
      </c>
      <c r="AQ1290">
        <v>2</v>
      </c>
      <c r="AR1290">
        <v>7</v>
      </c>
      <c r="AS1290">
        <v>4</v>
      </c>
      <c r="AT1290">
        <v>39</v>
      </c>
      <c r="AU1290">
        <v>12</v>
      </c>
      <c r="AV1290">
        <v>50</v>
      </c>
      <c r="AW1290">
        <v>0</v>
      </c>
      <c r="AX1290">
        <v>8</v>
      </c>
      <c r="AZ1290">
        <v>6.8</v>
      </c>
      <c r="BA1290">
        <v>19.899999999999999</v>
      </c>
      <c r="BB1290">
        <v>564</v>
      </c>
      <c r="BC1290">
        <v>68</v>
      </c>
      <c r="BD1290">
        <v>1.5</v>
      </c>
      <c r="BE1290">
        <v>135</v>
      </c>
      <c r="BF1290">
        <v>0.8</v>
      </c>
      <c r="BG1290">
        <v>162</v>
      </c>
      <c r="BH1290">
        <v>9.1</v>
      </c>
      <c r="BI1290">
        <v>9.1999999999999993</v>
      </c>
      <c r="BJ1290">
        <v>18.3</v>
      </c>
      <c r="BK1290">
        <v>0.34</v>
      </c>
      <c r="BL1290">
        <v>7.3</v>
      </c>
      <c r="BM1290">
        <v>0.9</v>
      </c>
      <c r="BN1290">
        <v>7.5</v>
      </c>
      <c r="BO1290">
        <v>2.9</v>
      </c>
      <c r="BP1290">
        <f t="shared" si="40"/>
        <v>6.0552350613389274</v>
      </c>
      <c r="BQ1290">
        <f t="shared" si="41"/>
        <v>18.811673183655937</v>
      </c>
    </row>
    <row r="1291" spans="1:69" hidden="1" x14ac:dyDescent="0.2">
      <c r="A1291" t="s">
        <v>3481</v>
      </c>
      <c r="B1291" t="s">
        <v>68</v>
      </c>
      <c r="C1291" t="s">
        <v>3294</v>
      </c>
      <c r="D1291" t="s">
        <v>70</v>
      </c>
      <c r="E1291" t="s">
        <v>136</v>
      </c>
      <c r="F1291">
        <v>4</v>
      </c>
      <c r="G1291">
        <v>20</v>
      </c>
      <c r="H1291">
        <v>1</v>
      </c>
      <c r="I1291">
        <v>1</v>
      </c>
      <c r="J1291">
        <v>0</v>
      </c>
      <c r="K1291" t="s">
        <v>110</v>
      </c>
      <c r="L1291" t="s">
        <v>111</v>
      </c>
      <c r="M1291" s="4">
        <v>240000000</v>
      </c>
      <c r="N1291">
        <v>0</v>
      </c>
      <c r="O1291">
        <v>4.6203341480000004</v>
      </c>
      <c r="P1291">
        <v>-74.069740300000007</v>
      </c>
      <c r="Q1291" t="s">
        <v>3482</v>
      </c>
      <c r="R1291">
        <v>12000000</v>
      </c>
      <c r="S1291">
        <v>0</v>
      </c>
      <c r="T1291" t="s">
        <v>126</v>
      </c>
      <c r="U1291" t="s">
        <v>127</v>
      </c>
      <c r="V1291" t="s">
        <v>77</v>
      </c>
      <c r="W1291" t="s">
        <v>128</v>
      </c>
      <c r="X1291" t="s">
        <v>129</v>
      </c>
      <c r="Y1291">
        <v>0.65014241261012795</v>
      </c>
      <c r="Z1291">
        <v>650.14241261012796</v>
      </c>
      <c r="AA1291">
        <v>4.6254861111111101</v>
      </c>
      <c r="AB1291">
        <v>-74.066980555555503</v>
      </c>
      <c r="AC1291">
        <v>2621</v>
      </c>
      <c r="AD1291">
        <v>15</v>
      </c>
      <c r="AE1291" t="s">
        <v>80</v>
      </c>
      <c r="AF1291" t="s">
        <v>81</v>
      </c>
      <c r="AG1291" t="s">
        <v>82</v>
      </c>
      <c r="AH1291" t="s">
        <v>83</v>
      </c>
      <c r="AI1291" t="s">
        <v>138</v>
      </c>
      <c r="AJ1291">
        <v>0.13720579165720401</v>
      </c>
      <c r="AK1291">
        <v>0.87071666130195202</v>
      </c>
      <c r="AL1291">
        <v>0.34510880768399999</v>
      </c>
      <c r="AM1291">
        <v>4.11443730616032E-2</v>
      </c>
      <c r="AN1291">
        <v>0.67214491497680795</v>
      </c>
      <c r="AO1291">
        <v>2.9003813943615401E-2</v>
      </c>
      <c r="AP1291">
        <v>2.9003813943615401E-2</v>
      </c>
      <c r="AQ1291">
        <v>2</v>
      </c>
      <c r="AR1291">
        <v>6</v>
      </c>
      <c r="AS1291">
        <v>0</v>
      </c>
      <c r="AT1291">
        <v>3</v>
      </c>
      <c r="AU1291">
        <v>17</v>
      </c>
      <c r="AV1291">
        <v>90</v>
      </c>
      <c r="AW1291">
        <v>2</v>
      </c>
      <c r="AX1291">
        <v>1</v>
      </c>
      <c r="AZ1291">
        <v>6.8</v>
      </c>
      <c r="BA1291">
        <v>19.899999999999999</v>
      </c>
      <c r="BB1291">
        <v>564</v>
      </c>
      <c r="BC1291">
        <v>68</v>
      </c>
      <c r="BD1291">
        <v>1.5</v>
      </c>
      <c r="BE1291">
        <v>135</v>
      </c>
      <c r="BF1291">
        <v>0.8</v>
      </c>
      <c r="BG1291">
        <v>162</v>
      </c>
      <c r="BH1291">
        <v>9.1</v>
      </c>
      <c r="BI1291">
        <v>9.1999999999999993</v>
      </c>
      <c r="BJ1291">
        <v>18.3</v>
      </c>
      <c r="BK1291">
        <v>0.34</v>
      </c>
      <c r="BL1291">
        <v>7.3</v>
      </c>
      <c r="BM1291">
        <v>0.9</v>
      </c>
      <c r="BN1291">
        <v>7.5</v>
      </c>
      <c r="BO1291">
        <v>2.9</v>
      </c>
      <c r="BP1291">
        <f t="shared" si="40"/>
        <v>6.5846459180198327</v>
      </c>
      <c r="BQ1291">
        <f t="shared" si="41"/>
        <v>19.591901926179613</v>
      </c>
    </row>
    <row r="1292" spans="1:69" hidden="1" x14ac:dyDescent="0.2">
      <c r="A1292" t="s">
        <v>3927</v>
      </c>
      <c r="B1292" t="s">
        <v>68</v>
      </c>
      <c r="C1292" t="s">
        <v>3294</v>
      </c>
      <c r="D1292" t="s">
        <v>70</v>
      </c>
      <c r="E1292" t="s">
        <v>123</v>
      </c>
      <c r="F1292">
        <v>3</v>
      </c>
      <c r="G1292">
        <v>20</v>
      </c>
      <c r="H1292">
        <v>1</v>
      </c>
      <c r="I1292">
        <v>1</v>
      </c>
      <c r="J1292">
        <v>0</v>
      </c>
      <c r="K1292" t="s">
        <v>110</v>
      </c>
      <c r="L1292" t="s">
        <v>133</v>
      </c>
      <c r="M1292" s="4">
        <v>220000000</v>
      </c>
      <c r="N1292">
        <v>0</v>
      </c>
      <c r="O1292">
        <v>4.6461600000000001</v>
      </c>
      <c r="P1292">
        <v>-74.062520000000006</v>
      </c>
      <c r="Q1292" t="s">
        <v>3928</v>
      </c>
      <c r="R1292">
        <v>11000000</v>
      </c>
      <c r="S1292">
        <v>0</v>
      </c>
      <c r="T1292" t="s">
        <v>126</v>
      </c>
      <c r="U1292" t="s">
        <v>127</v>
      </c>
      <c r="V1292" t="s">
        <v>77</v>
      </c>
      <c r="W1292" t="s">
        <v>128</v>
      </c>
      <c r="X1292" t="s">
        <v>129</v>
      </c>
      <c r="Y1292">
        <v>2.3540223671770599</v>
      </c>
      <c r="Z1292">
        <v>2354.02236717706</v>
      </c>
      <c r="AA1292">
        <v>4.6254861111111101</v>
      </c>
      <c r="AB1292">
        <v>-74.066980555555503</v>
      </c>
      <c r="AC1292">
        <v>2621</v>
      </c>
      <c r="AD1292">
        <v>15</v>
      </c>
      <c r="AE1292" t="s">
        <v>80</v>
      </c>
      <c r="AF1292" t="s">
        <v>81</v>
      </c>
      <c r="AG1292" t="s">
        <v>82</v>
      </c>
      <c r="AH1292" t="s">
        <v>83</v>
      </c>
      <c r="AI1292" t="s">
        <v>130</v>
      </c>
      <c r="AJ1292">
        <v>0.35976565475431099</v>
      </c>
      <c r="AK1292">
        <v>0.79736921926862903</v>
      </c>
      <c r="AL1292">
        <v>0.164843194546829</v>
      </c>
      <c r="AM1292">
        <v>0.16232546726699101</v>
      </c>
      <c r="AN1292">
        <v>0.67987914631202795</v>
      </c>
      <c r="AO1292">
        <v>0.404505223414726</v>
      </c>
      <c r="AP1292">
        <v>0.404505223414726</v>
      </c>
      <c r="AQ1292">
        <v>1</v>
      </c>
      <c r="AR1292">
        <v>3</v>
      </c>
      <c r="AS1292">
        <v>0</v>
      </c>
      <c r="AT1292">
        <v>9</v>
      </c>
      <c r="AU1292">
        <v>13</v>
      </c>
      <c r="AV1292">
        <v>85</v>
      </c>
      <c r="AW1292">
        <v>1</v>
      </c>
      <c r="AX1292">
        <v>0</v>
      </c>
      <c r="AZ1292">
        <v>6.8</v>
      </c>
      <c r="BA1292">
        <v>19.899999999999999</v>
      </c>
      <c r="BB1292">
        <v>564</v>
      </c>
      <c r="BC1292">
        <v>68</v>
      </c>
      <c r="BD1292">
        <v>1.5</v>
      </c>
      <c r="BE1292">
        <v>135</v>
      </c>
      <c r="BF1292">
        <v>0.8</v>
      </c>
      <c r="BG1292">
        <v>162</v>
      </c>
      <c r="BH1292">
        <v>9.1</v>
      </c>
      <c r="BI1292">
        <v>9.1999999999999993</v>
      </c>
      <c r="BJ1292">
        <v>18.3</v>
      </c>
      <c r="BK1292">
        <v>0.34</v>
      </c>
      <c r="BL1292">
        <v>7.3</v>
      </c>
      <c r="BM1292">
        <v>0.9</v>
      </c>
      <c r="BN1292">
        <v>7.5</v>
      </c>
      <c r="BO1292">
        <v>2.9</v>
      </c>
      <c r="BP1292">
        <f t="shared" si="40"/>
        <v>6.0520587596415689</v>
      </c>
      <c r="BQ1292">
        <f t="shared" si="41"/>
        <v>18.806888173125387</v>
      </c>
    </row>
    <row r="1293" spans="1:69" hidden="1" x14ac:dyDescent="0.2">
      <c r="A1293" t="s">
        <v>4122</v>
      </c>
      <c r="B1293" t="s">
        <v>68</v>
      </c>
      <c r="C1293" t="s">
        <v>3294</v>
      </c>
      <c r="D1293" t="s">
        <v>70</v>
      </c>
      <c r="E1293" t="s">
        <v>1098</v>
      </c>
      <c r="F1293">
        <v>3</v>
      </c>
      <c r="G1293">
        <v>20</v>
      </c>
      <c r="H1293">
        <v>1</v>
      </c>
      <c r="I1293">
        <v>1</v>
      </c>
      <c r="J1293">
        <v>0</v>
      </c>
      <c r="K1293" t="s">
        <v>110</v>
      </c>
      <c r="L1293" t="s">
        <v>111</v>
      </c>
      <c r="M1293" s="4">
        <v>210000000</v>
      </c>
      <c r="N1293">
        <v>0</v>
      </c>
      <c r="O1293">
        <v>4.6061344149999996</v>
      </c>
      <c r="P1293">
        <v>-74.069969180000001</v>
      </c>
      <c r="Q1293" t="s">
        <v>4123</v>
      </c>
      <c r="R1293">
        <v>10500000</v>
      </c>
      <c r="S1293">
        <v>0</v>
      </c>
      <c r="T1293" t="s">
        <v>126</v>
      </c>
      <c r="U1293" t="s">
        <v>127</v>
      </c>
      <c r="V1293" t="s">
        <v>77</v>
      </c>
      <c r="W1293" t="s">
        <v>128</v>
      </c>
      <c r="X1293" t="s">
        <v>129</v>
      </c>
      <c r="Y1293">
        <v>2.1795951921589398</v>
      </c>
      <c r="Z1293">
        <v>2179.5951921589399</v>
      </c>
      <c r="AA1293">
        <v>4.6254861111111101</v>
      </c>
      <c r="AB1293">
        <v>-74.066980555555503</v>
      </c>
      <c r="AC1293">
        <v>2621</v>
      </c>
      <c r="AD1293">
        <v>15</v>
      </c>
      <c r="AE1293" t="s">
        <v>80</v>
      </c>
      <c r="AF1293" t="s">
        <v>81</v>
      </c>
      <c r="AG1293" t="s">
        <v>82</v>
      </c>
      <c r="AH1293" t="s">
        <v>83</v>
      </c>
      <c r="AI1293" t="s">
        <v>138</v>
      </c>
      <c r="AJ1293">
        <v>0.33708011948014999</v>
      </c>
      <c r="AK1293">
        <v>0.59621943761583496</v>
      </c>
      <c r="AL1293">
        <v>7.2945344121998407E-2</v>
      </c>
      <c r="AM1293">
        <v>0.117274602504082</v>
      </c>
      <c r="AN1293">
        <v>1.0872033123939899</v>
      </c>
      <c r="AO1293">
        <v>4.7691891805327902E-2</v>
      </c>
      <c r="AP1293">
        <v>4.7691891805327902E-2</v>
      </c>
      <c r="AQ1293">
        <v>3</v>
      </c>
      <c r="AR1293">
        <v>7</v>
      </c>
      <c r="AS1293">
        <v>0</v>
      </c>
      <c r="AT1293">
        <v>28</v>
      </c>
      <c r="AU1293">
        <v>13</v>
      </c>
      <c r="AV1293">
        <v>52</v>
      </c>
      <c r="AW1293">
        <v>0</v>
      </c>
      <c r="AX1293">
        <v>9</v>
      </c>
      <c r="AZ1293">
        <v>6.8</v>
      </c>
      <c r="BA1293">
        <v>19.899999999999999</v>
      </c>
      <c r="BB1293">
        <v>564</v>
      </c>
      <c r="BC1293">
        <v>68</v>
      </c>
      <c r="BD1293">
        <v>1.5</v>
      </c>
      <c r="BE1293">
        <v>135</v>
      </c>
      <c r="BF1293">
        <v>0.8</v>
      </c>
      <c r="BG1293">
        <v>162</v>
      </c>
      <c r="BH1293">
        <v>9.1</v>
      </c>
      <c r="BI1293">
        <v>9.1999999999999993</v>
      </c>
      <c r="BJ1293">
        <v>18.3</v>
      </c>
      <c r="BK1293">
        <v>0.34</v>
      </c>
      <c r="BL1293">
        <v>7.3</v>
      </c>
      <c r="BM1293">
        <v>0.9</v>
      </c>
      <c r="BN1293">
        <v>7.5</v>
      </c>
      <c r="BO1293">
        <v>2.9</v>
      </c>
      <c r="BP1293">
        <f t="shared" si="40"/>
        <v>6.1045393499988849</v>
      </c>
      <c r="BQ1293">
        <f t="shared" si="41"/>
        <v>18.885783572925774</v>
      </c>
    </row>
    <row r="1294" spans="1:69" hidden="1" x14ac:dyDescent="0.2">
      <c r="A1294" t="s">
        <v>4250</v>
      </c>
      <c r="B1294" t="s">
        <v>68</v>
      </c>
      <c r="C1294" t="s">
        <v>3294</v>
      </c>
      <c r="D1294" t="s">
        <v>70</v>
      </c>
      <c r="E1294" t="s">
        <v>84</v>
      </c>
      <c r="F1294">
        <v>4</v>
      </c>
      <c r="G1294">
        <v>19.87</v>
      </c>
      <c r="H1294">
        <v>1</v>
      </c>
      <c r="I1294">
        <v>1</v>
      </c>
      <c r="J1294">
        <v>0</v>
      </c>
      <c r="K1294" t="s">
        <v>110</v>
      </c>
      <c r="L1294" t="s">
        <v>111</v>
      </c>
      <c r="M1294" s="4">
        <v>230000000</v>
      </c>
      <c r="N1294">
        <v>0</v>
      </c>
      <c r="O1294">
        <v>4.6230849999999997</v>
      </c>
      <c r="P1294">
        <v>-74.069689999999994</v>
      </c>
      <c r="Q1294" t="s">
        <v>4251</v>
      </c>
      <c r="R1294">
        <v>11575239.050000001</v>
      </c>
      <c r="S1294">
        <v>0</v>
      </c>
      <c r="T1294" t="s">
        <v>126</v>
      </c>
      <c r="U1294" t="s">
        <v>127</v>
      </c>
      <c r="V1294" t="s">
        <v>77</v>
      </c>
      <c r="W1294" t="s">
        <v>128</v>
      </c>
      <c r="X1294" t="s">
        <v>129</v>
      </c>
      <c r="Y1294">
        <v>0.40227340129841599</v>
      </c>
      <c r="Z1294">
        <v>402.27340129841599</v>
      </c>
      <c r="AA1294">
        <v>4.6254861111111101</v>
      </c>
      <c r="AB1294">
        <v>-74.066980555555503</v>
      </c>
      <c r="AC1294">
        <v>2621</v>
      </c>
      <c r="AD1294">
        <v>15</v>
      </c>
      <c r="AE1294" t="s">
        <v>80</v>
      </c>
      <c r="AF1294" t="s">
        <v>81</v>
      </c>
      <c r="AG1294" t="s">
        <v>82</v>
      </c>
      <c r="AH1294" t="s">
        <v>83</v>
      </c>
      <c r="AI1294" t="s">
        <v>84</v>
      </c>
      <c r="AJ1294">
        <v>0.166848512724458</v>
      </c>
      <c r="AK1294">
        <v>0.96495356964853696</v>
      </c>
      <c r="AL1294">
        <v>0.120885605718508</v>
      </c>
      <c r="AM1294">
        <v>4.1823543409542398E-2</v>
      </c>
      <c r="AN1294">
        <v>0.59352080144824904</v>
      </c>
      <c r="AO1294">
        <v>0.179957208342369</v>
      </c>
      <c r="AP1294">
        <v>0.179957208342369</v>
      </c>
      <c r="AQ1294">
        <v>3</v>
      </c>
      <c r="AR1294">
        <v>7</v>
      </c>
      <c r="AS1294">
        <v>0</v>
      </c>
      <c r="AT1294">
        <v>2</v>
      </c>
      <c r="AU1294">
        <v>18</v>
      </c>
      <c r="AV1294">
        <v>107</v>
      </c>
      <c r="AW1294">
        <v>2</v>
      </c>
      <c r="AX1294">
        <v>1</v>
      </c>
      <c r="AZ1294">
        <v>6.8</v>
      </c>
      <c r="BA1294">
        <v>19.899999999999999</v>
      </c>
      <c r="BB1294">
        <v>564</v>
      </c>
      <c r="BC1294">
        <v>68</v>
      </c>
      <c r="BD1294">
        <v>1.5</v>
      </c>
      <c r="BE1294">
        <v>135</v>
      </c>
      <c r="BF1294">
        <v>0.8</v>
      </c>
      <c r="BG1294">
        <v>162</v>
      </c>
      <c r="BH1294">
        <v>9.1</v>
      </c>
      <c r="BI1294">
        <v>9.1999999999999993</v>
      </c>
      <c r="BJ1294">
        <v>18.3</v>
      </c>
      <c r="BK1294">
        <v>0.34</v>
      </c>
      <c r="BL1294">
        <v>7.3</v>
      </c>
      <c r="BM1294">
        <v>0.9</v>
      </c>
      <c r="BN1294">
        <v>7.5</v>
      </c>
      <c r="BO1294">
        <v>2.9</v>
      </c>
      <c r="BP1294">
        <f t="shared" si="40"/>
        <v>6.6659339998090585</v>
      </c>
      <c r="BQ1294">
        <f t="shared" si="41"/>
        <v>19.708798691112968</v>
      </c>
    </row>
    <row r="1295" spans="1:69" hidden="1" x14ac:dyDescent="0.2">
      <c r="A1295" t="s">
        <v>3570</v>
      </c>
      <c r="B1295" t="s">
        <v>68</v>
      </c>
      <c r="C1295" t="s">
        <v>3294</v>
      </c>
      <c r="D1295" t="s">
        <v>70</v>
      </c>
      <c r="E1295" t="s">
        <v>123</v>
      </c>
      <c r="F1295">
        <v>3</v>
      </c>
      <c r="G1295">
        <v>19.38</v>
      </c>
      <c r="H1295">
        <v>1</v>
      </c>
      <c r="I1295">
        <v>1</v>
      </c>
      <c r="J1295">
        <v>0</v>
      </c>
      <c r="K1295" t="s">
        <v>110</v>
      </c>
      <c r="L1295" t="s">
        <v>162</v>
      </c>
      <c r="M1295" s="4">
        <v>165000000</v>
      </c>
      <c r="N1295">
        <v>0</v>
      </c>
      <c r="O1295">
        <v>4.6520799999999998</v>
      </c>
      <c r="P1295">
        <v>-74.062070000000006</v>
      </c>
      <c r="Q1295" t="s">
        <v>3571</v>
      </c>
      <c r="R1295">
        <v>8513931.8890000004</v>
      </c>
      <c r="S1295">
        <v>0</v>
      </c>
      <c r="T1295" t="s">
        <v>75</v>
      </c>
      <c r="U1295" t="s">
        <v>76</v>
      </c>
      <c r="V1295" t="s">
        <v>77</v>
      </c>
      <c r="W1295" t="s">
        <v>78</v>
      </c>
      <c r="X1295" t="s">
        <v>79</v>
      </c>
      <c r="Y1295">
        <v>2.5313750674670401</v>
      </c>
      <c r="Z1295">
        <v>2531.37506746704</v>
      </c>
      <c r="AA1295">
        <v>4.6584666666666701</v>
      </c>
      <c r="AB1295">
        <v>-74.083966666666697</v>
      </c>
      <c r="AC1295">
        <v>2552</v>
      </c>
      <c r="AD1295">
        <v>0</v>
      </c>
      <c r="AE1295" t="s">
        <v>80</v>
      </c>
      <c r="AF1295" t="s">
        <v>81</v>
      </c>
      <c r="AG1295" t="s">
        <v>82</v>
      </c>
      <c r="AH1295" t="s">
        <v>83</v>
      </c>
      <c r="AI1295" t="s">
        <v>130</v>
      </c>
      <c r="AJ1295">
        <v>0.32889612002999102</v>
      </c>
      <c r="AK1295">
        <v>1.2363600487053199</v>
      </c>
      <c r="AL1295">
        <v>6.84886074482116E-2</v>
      </c>
      <c r="AM1295">
        <v>6.15843893469619E-2</v>
      </c>
      <c r="AN1295">
        <v>1.2266156751403401</v>
      </c>
      <c r="AO1295">
        <v>0.10048172246551</v>
      </c>
      <c r="AP1295">
        <v>0.10048172246551</v>
      </c>
      <c r="AQ1295">
        <v>1</v>
      </c>
      <c r="AR1295">
        <v>3</v>
      </c>
      <c r="AS1295">
        <v>0</v>
      </c>
      <c r="AT1295">
        <v>0</v>
      </c>
      <c r="AU1295">
        <v>22</v>
      </c>
      <c r="AV1295">
        <v>84</v>
      </c>
      <c r="AW1295">
        <v>0</v>
      </c>
      <c r="AX1295">
        <v>0</v>
      </c>
      <c r="AZ1295">
        <v>6.8</v>
      </c>
      <c r="BA1295">
        <v>19.899999999999999</v>
      </c>
      <c r="BB1295">
        <v>564</v>
      </c>
      <c r="BC1295">
        <v>68</v>
      </c>
      <c r="BD1295">
        <v>1.5</v>
      </c>
      <c r="BE1295">
        <v>135</v>
      </c>
      <c r="BF1295">
        <v>0.8</v>
      </c>
      <c r="BG1295">
        <v>162</v>
      </c>
      <c r="BH1295">
        <v>9.1</v>
      </c>
      <c r="BI1295">
        <v>9.1999999999999993</v>
      </c>
      <c r="BJ1295">
        <v>18.3</v>
      </c>
      <c r="BK1295">
        <v>0.34</v>
      </c>
      <c r="BL1295">
        <v>7.3</v>
      </c>
      <c r="BM1295">
        <v>0.9</v>
      </c>
      <c r="BN1295">
        <v>7.5</v>
      </c>
      <c r="BO1295">
        <v>2.9</v>
      </c>
      <c r="BP1295">
        <f t="shared" si="40"/>
        <v>5.9991605214188271</v>
      </c>
      <c r="BQ1295">
        <f t="shared" si="41"/>
        <v>18.727007440854067</v>
      </c>
    </row>
    <row r="1296" spans="1:69" hidden="1" x14ac:dyDescent="0.2">
      <c r="A1296" t="s">
        <v>4147</v>
      </c>
      <c r="B1296" t="s">
        <v>68</v>
      </c>
      <c r="C1296" t="s">
        <v>3294</v>
      </c>
      <c r="D1296" t="s">
        <v>70</v>
      </c>
      <c r="E1296" t="s">
        <v>123</v>
      </c>
      <c r="F1296">
        <v>4</v>
      </c>
      <c r="G1296">
        <v>19.260000000000002</v>
      </c>
      <c r="H1296">
        <v>1</v>
      </c>
      <c r="I1296">
        <v>1</v>
      </c>
      <c r="J1296">
        <v>1</v>
      </c>
      <c r="K1296" t="s">
        <v>110</v>
      </c>
      <c r="L1296" t="s">
        <v>111</v>
      </c>
      <c r="M1296" s="4">
        <v>235000000</v>
      </c>
      <c r="N1296">
        <v>0</v>
      </c>
      <c r="O1296">
        <v>4.6446540000000001</v>
      </c>
      <c r="P1296">
        <v>-74.063519999999997</v>
      </c>
      <c r="Q1296" t="s">
        <v>4148</v>
      </c>
      <c r="R1296">
        <v>12201453.789999999</v>
      </c>
      <c r="S1296">
        <v>0</v>
      </c>
      <c r="T1296" t="s">
        <v>126</v>
      </c>
      <c r="U1296" t="s">
        <v>127</v>
      </c>
      <c r="V1296" t="s">
        <v>77</v>
      </c>
      <c r="W1296" t="s">
        <v>128</v>
      </c>
      <c r="X1296" t="s">
        <v>129</v>
      </c>
      <c r="Y1296">
        <v>2.1680316308081502</v>
      </c>
      <c r="Z1296">
        <v>2168.0316308081501</v>
      </c>
      <c r="AA1296">
        <v>4.6254861111111101</v>
      </c>
      <c r="AB1296">
        <v>-74.066980555555503</v>
      </c>
      <c r="AC1296">
        <v>2621</v>
      </c>
      <c r="AD1296">
        <v>15</v>
      </c>
      <c r="AE1296" t="s">
        <v>80</v>
      </c>
      <c r="AF1296" t="s">
        <v>81</v>
      </c>
      <c r="AG1296" t="s">
        <v>82</v>
      </c>
      <c r="AH1296" t="s">
        <v>83</v>
      </c>
      <c r="AI1296" t="s">
        <v>130</v>
      </c>
      <c r="AJ1296">
        <v>0.31570698930699098</v>
      </c>
      <c r="AK1296">
        <v>0.78168165468401396</v>
      </c>
      <c r="AL1296">
        <v>0.31459975012539299</v>
      </c>
      <c r="AM1296">
        <v>8.6559906724114399E-2</v>
      </c>
      <c r="AN1296">
        <v>0.66069207225392601</v>
      </c>
      <c r="AO1296">
        <v>0.44092125536440702</v>
      </c>
      <c r="AP1296">
        <v>0.44092125536440702</v>
      </c>
      <c r="AQ1296">
        <v>2</v>
      </c>
      <c r="AR1296">
        <v>4</v>
      </c>
      <c r="AS1296">
        <v>0</v>
      </c>
      <c r="AT1296">
        <v>9</v>
      </c>
      <c r="AU1296">
        <v>12</v>
      </c>
      <c r="AV1296">
        <v>130</v>
      </c>
      <c r="AW1296">
        <v>1</v>
      </c>
      <c r="AX1296">
        <v>0</v>
      </c>
      <c r="AZ1296">
        <v>6.8</v>
      </c>
      <c r="BA1296">
        <v>19.899999999999999</v>
      </c>
      <c r="BB1296">
        <v>564</v>
      </c>
      <c r="BC1296">
        <v>68</v>
      </c>
      <c r="BD1296">
        <v>1.5</v>
      </c>
      <c r="BE1296">
        <v>135</v>
      </c>
      <c r="BF1296">
        <v>0.8</v>
      </c>
      <c r="BG1296">
        <v>162</v>
      </c>
      <c r="BH1296">
        <v>9.1</v>
      </c>
      <c r="BI1296">
        <v>9.1999999999999993</v>
      </c>
      <c r="BJ1296">
        <v>18.3</v>
      </c>
      <c r="BK1296">
        <v>0.34</v>
      </c>
      <c r="BL1296">
        <v>7.3</v>
      </c>
      <c r="BM1296">
        <v>0.9</v>
      </c>
      <c r="BN1296">
        <v>7.5</v>
      </c>
      <c r="BO1296">
        <v>2.9</v>
      </c>
      <c r="BP1296">
        <f t="shared" si="40"/>
        <v>6.1080345658847079</v>
      </c>
      <c r="BQ1296">
        <f t="shared" si="41"/>
        <v>18.891025586296326</v>
      </c>
    </row>
    <row r="1297" spans="1:69" hidden="1" x14ac:dyDescent="0.2">
      <c r="A1297" t="s">
        <v>4187</v>
      </c>
      <c r="B1297" t="s">
        <v>68</v>
      </c>
      <c r="C1297" t="s">
        <v>3294</v>
      </c>
      <c r="D1297" t="s">
        <v>70</v>
      </c>
      <c r="E1297" t="s">
        <v>1098</v>
      </c>
      <c r="F1297">
        <v>3</v>
      </c>
      <c r="G1297">
        <v>19.2</v>
      </c>
      <c r="H1297">
        <v>1</v>
      </c>
      <c r="I1297">
        <v>1</v>
      </c>
      <c r="J1297">
        <v>0</v>
      </c>
      <c r="K1297" t="s">
        <v>110</v>
      </c>
      <c r="L1297" t="s">
        <v>133</v>
      </c>
      <c r="M1297" s="4">
        <v>220000000</v>
      </c>
      <c r="N1297">
        <v>0</v>
      </c>
      <c r="O1297">
        <v>4.6061300000000003</v>
      </c>
      <c r="P1297">
        <v>-74.069969999999998</v>
      </c>
      <c r="Q1297" t="s">
        <v>4188</v>
      </c>
      <c r="R1297">
        <v>11458333.33</v>
      </c>
      <c r="S1297">
        <v>0</v>
      </c>
      <c r="T1297" t="s">
        <v>126</v>
      </c>
      <c r="U1297" t="s">
        <v>127</v>
      </c>
      <c r="V1297" t="s">
        <v>77</v>
      </c>
      <c r="W1297" t="s">
        <v>128</v>
      </c>
      <c r="X1297" t="s">
        <v>129</v>
      </c>
      <c r="Y1297">
        <v>2.18009478929637</v>
      </c>
      <c r="Z1297">
        <v>2180.09478929637</v>
      </c>
      <c r="AA1297">
        <v>4.6254861111111101</v>
      </c>
      <c r="AB1297">
        <v>-74.066980555555503</v>
      </c>
      <c r="AC1297">
        <v>2621</v>
      </c>
      <c r="AD1297">
        <v>15</v>
      </c>
      <c r="AE1297" t="s">
        <v>80</v>
      </c>
      <c r="AF1297" t="s">
        <v>81</v>
      </c>
      <c r="AG1297" t="s">
        <v>82</v>
      </c>
      <c r="AH1297" t="s">
        <v>83</v>
      </c>
      <c r="AI1297" t="s">
        <v>138</v>
      </c>
      <c r="AJ1297">
        <v>0.33692176853821998</v>
      </c>
      <c r="AK1297">
        <v>0.596463717676738</v>
      </c>
      <c r="AL1297">
        <v>7.3215722638269295E-2</v>
      </c>
      <c r="AM1297">
        <v>0.116779089236161</v>
      </c>
      <c r="AN1297">
        <v>1.08769048103678</v>
      </c>
      <c r="AO1297">
        <v>4.7608575896544499E-2</v>
      </c>
      <c r="AP1297">
        <v>4.7608575896544499E-2</v>
      </c>
      <c r="AQ1297">
        <v>3</v>
      </c>
      <c r="AR1297">
        <v>7</v>
      </c>
      <c r="AS1297">
        <v>0</v>
      </c>
      <c r="AT1297">
        <v>28</v>
      </c>
      <c r="AU1297">
        <v>13</v>
      </c>
      <c r="AV1297">
        <v>52</v>
      </c>
      <c r="AW1297">
        <v>0</v>
      </c>
      <c r="AX1297">
        <v>9</v>
      </c>
      <c r="AZ1297">
        <v>6.8</v>
      </c>
      <c r="BA1297">
        <v>19.899999999999999</v>
      </c>
      <c r="BB1297">
        <v>564</v>
      </c>
      <c r="BC1297">
        <v>68</v>
      </c>
      <c r="BD1297">
        <v>1.5</v>
      </c>
      <c r="BE1297">
        <v>135</v>
      </c>
      <c r="BF1297">
        <v>0.8</v>
      </c>
      <c r="BG1297">
        <v>162</v>
      </c>
      <c r="BH1297">
        <v>9.1</v>
      </c>
      <c r="BI1297">
        <v>9.1999999999999993</v>
      </c>
      <c r="BJ1297">
        <v>18.3</v>
      </c>
      <c r="BK1297">
        <v>0.34</v>
      </c>
      <c r="BL1297">
        <v>7.3</v>
      </c>
      <c r="BM1297">
        <v>0.9</v>
      </c>
      <c r="BN1297">
        <v>7.5</v>
      </c>
      <c r="BO1297">
        <v>2.9</v>
      </c>
      <c r="BP1297">
        <f t="shared" si="40"/>
        <v>6.1043883862515278</v>
      </c>
      <c r="BQ1297">
        <f t="shared" si="41"/>
        <v>18.885557127481487</v>
      </c>
    </row>
    <row r="1298" spans="1:69" hidden="1" x14ac:dyDescent="0.2">
      <c r="A1298" t="s">
        <v>3681</v>
      </c>
      <c r="B1298" t="s">
        <v>68</v>
      </c>
      <c r="C1298" t="s">
        <v>3294</v>
      </c>
      <c r="D1298" t="s">
        <v>70</v>
      </c>
      <c r="E1298" t="s">
        <v>684</v>
      </c>
      <c r="F1298">
        <v>3</v>
      </c>
      <c r="G1298">
        <v>19.07</v>
      </c>
      <c r="H1298">
        <v>1</v>
      </c>
      <c r="I1298">
        <v>1</v>
      </c>
      <c r="J1298">
        <v>0</v>
      </c>
      <c r="K1298" t="s">
        <v>110</v>
      </c>
      <c r="L1298" t="s">
        <v>111</v>
      </c>
      <c r="M1298" s="4">
        <v>290000000</v>
      </c>
      <c r="N1298">
        <v>0</v>
      </c>
      <c r="O1298">
        <v>4.6795400000000003</v>
      </c>
      <c r="P1298">
        <v>-74.062219999999996</v>
      </c>
      <c r="Q1298" t="s">
        <v>3682</v>
      </c>
      <c r="R1298">
        <v>15207131.619999999</v>
      </c>
      <c r="S1298">
        <v>0</v>
      </c>
      <c r="T1298" t="s">
        <v>75</v>
      </c>
      <c r="U1298" t="s">
        <v>76</v>
      </c>
      <c r="V1298" t="s">
        <v>77</v>
      </c>
      <c r="W1298" t="s">
        <v>78</v>
      </c>
      <c r="X1298" t="s">
        <v>79</v>
      </c>
      <c r="Y1298">
        <v>3.3652185922776701</v>
      </c>
      <c r="Z1298">
        <v>3365.2185922776698</v>
      </c>
      <c r="AA1298">
        <v>4.6584666666666701</v>
      </c>
      <c r="AB1298">
        <v>-74.083966666666697</v>
      </c>
      <c r="AC1298">
        <v>2552</v>
      </c>
      <c r="AD1298">
        <v>0</v>
      </c>
      <c r="AE1298" t="s">
        <v>80</v>
      </c>
      <c r="AF1298" t="s">
        <v>81</v>
      </c>
      <c r="AG1298" t="s">
        <v>82</v>
      </c>
      <c r="AH1298" t="s">
        <v>83</v>
      </c>
      <c r="AI1298" t="s">
        <v>342</v>
      </c>
      <c r="AJ1298">
        <v>0.30154588239758601</v>
      </c>
      <c r="AK1298">
        <v>2.44325086147348</v>
      </c>
      <c r="AL1298">
        <v>8.0864748451987906E-2</v>
      </c>
      <c r="AM1298">
        <v>2.4439631384472301E-2</v>
      </c>
      <c r="AN1298">
        <v>2.2680485409097901</v>
      </c>
      <c r="AO1298">
        <v>0.150107903773048</v>
      </c>
      <c r="AP1298">
        <v>0.150107903773048</v>
      </c>
      <c r="AQ1298">
        <v>2</v>
      </c>
      <c r="AR1298">
        <v>9</v>
      </c>
      <c r="AS1298">
        <v>0</v>
      </c>
      <c r="AT1298">
        <v>0</v>
      </c>
      <c r="AU1298">
        <v>1</v>
      </c>
      <c r="AV1298">
        <v>186</v>
      </c>
      <c r="AW1298">
        <v>0</v>
      </c>
      <c r="AX1298">
        <v>0</v>
      </c>
      <c r="AZ1298">
        <v>6.8</v>
      </c>
      <c r="BA1298">
        <v>19.899999999999999</v>
      </c>
      <c r="BB1298">
        <v>564</v>
      </c>
      <c r="BC1298">
        <v>68</v>
      </c>
      <c r="BD1298">
        <v>1.5</v>
      </c>
      <c r="BE1298">
        <v>135</v>
      </c>
      <c r="BF1298">
        <v>0.8</v>
      </c>
      <c r="BG1298">
        <v>162</v>
      </c>
      <c r="BH1298">
        <v>9.1</v>
      </c>
      <c r="BI1298">
        <v>9.1999999999999993</v>
      </c>
      <c r="BJ1298">
        <v>18.3</v>
      </c>
      <c r="BK1298">
        <v>0.34</v>
      </c>
      <c r="BL1298">
        <v>7.3</v>
      </c>
      <c r="BM1298">
        <v>0.9</v>
      </c>
      <c r="BN1298">
        <v>7.5</v>
      </c>
      <c r="BO1298">
        <v>2.9</v>
      </c>
      <c r="BP1298">
        <f t="shared" si="40"/>
        <v>5.7565842799949438</v>
      </c>
      <c r="BQ1298">
        <f t="shared" si="41"/>
        <v>18.355963085812654</v>
      </c>
    </row>
    <row r="1299" spans="1:69" hidden="1" x14ac:dyDescent="0.2">
      <c r="A1299" t="s">
        <v>4531</v>
      </c>
      <c r="B1299" t="s">
        <v>68</v>
      </c>
      <c r="C1299" t="s">
        <v>3294</v>
      </c>
      <c r="D1299" t="s">
        <v>70</v>
      </c>
      <c r="E1299" t="s">
        <v>132</v>
      </c>
      <c r="F1299">
        <v>6</v>
      </c>
      <c r="G1299">
        <v>19</v>
      </c>
      <c r="H1299">
        <v>1</v>
      </c>
      <c r="I1299">
        <v>1</v>
      </c>
      <c r="J1299">
        <v>0</v>
      </c>
      <c r="K1299" t="s">
        <v>110</v>
      </c>
      <c r="L1299" t="s">
        <v>111</v>
      </c>
      <c r="M1299" s="4">
        <v>285000000</v>
      </c>
      <c r="N1299">
        <v>0</v>
      </c>
      <c r="O1299">
        <v>4.6842385000000002</v>
      </c>
      <c r="P1299">
        <v>-74.057136499999999</v>
      </c>
      <c r="Q1299" t="s">
        <v>4532</v>
      </c>
      <c r="R1299">
        <v>15000000</v>
      </c>
      <c r="S1299">
        <v>0</v>
      </c>
      <c r="T1299" t="s">
        <v>75</v>
      </c>
      <c r="U1299" t="s">
        <v>76</v>
      </c>
      <c r="V1299" t="s">
        <v>77</v>
      </c>
      <c r="W1299" t="s">
        <v>78</v>
      </c>
      <c r="X1299" t="s">
        <v>79</v>
      </c>
      <c r="Y1299">
        <v>4.1342427783508402</v>
      </c>
      <c r="Z1299">
        <v>4134.2427783508401</v>
      </c>
      <c r="AA1299">
        <v>4.6584666666666701</v>
      </c>
      <c r="AB1299">
        <v>-74.083966666666697</v>
      </c>
      <c r="AC1299">
        <v>2552</v>
      </c>
      <c r="AD1299">
        <v>0</v>
      </c>
      <c r="AE1299" t="s">
        <v>80</v>
      </c>
      <c r="AF1299" t="s">
        <v>81</v>
      </c>
      <c r="AG1299" t="s">
        <v>82</v>
      </c>
      <c r="AH1299" t="s">
        <v>83</v>
      </c>
      <c r="AI1299" t="s">
        <v>130</v>
      </c>
      <c r="AJ1299">
        <v>7.1390550429358393E-2</v>
      </c>
      <c r="AK1299">
        <v>2.2601193499990702</v>
      </c>
      <c r="AL1299">
        <v>0.50849635179195496</v>
      </c>
      <c r="AM1299">
        <v>1.3244134167873E-2</v>
      </c>
      <c r="AN1299">
        <v>2.9738769114805601</v>
      </c>
      <c r="AO1299">
        <v>0.136999234361524</v>
      </c>
      <c r="AP1299">
        <v>0.136999234361524</v>
      </c>
      <c r="AQ1299">
        <v>1</v>
      </c>
      <c r="AR1299">
        <v>6</v>
      </c>
      <c r="AS1299">
        <v>0</v>
      </c>
      <c r="AT1299">
        <v>0</v>
      </c>
      <c r="AU1299">
        <v>5</v>
      </c>
      <c r="AV1299">
        <v>235</v>
      </c>
      <c r="AW1299">
        <v>0</v>
      </c>
      <c r="AX1299">
        <v>0</v>
      </c>
      <c r="AZ1299">
        <v>6.8</v>
      </c>
      <c r="BA1299">
        <v>19.899999999999999</v>
      </c>
      <c r="BB1299">
        <v>564</v>
      </c>
      <c r="BC1299">
        <v>68</v>
      </c>
      <c r="BD1299">
        <v>1.5</v>
      </c>
      <c r="BE1299">
        <v>135</v>
      </c>
      <c r="BF1299">
        <v>0.8</v>
      </c>
      <c r="BG1299">
        <v>162</v>
      </c>
      <c r="BH1299">
        <v>9.1</v>
      </c>
      <c r="BI1299">
        <v>9.1999999999999993</v>
      </c>
      <c r="BJ1299">
        <v>18.3</v>
      </c>
      <c r="BK1299">
        <v>0.34</v>
      </c>
      <c r="BL1299">
        <v>7.3</v>
      </c>
      <c r="BM1299">
        <v>0.9</v>
      </c>
      <c r="BN1299">
        <v>7.5</v>
      </c>
      <c r="BO1299">
        <v>2.9</v>
      </c>
      <c r="BP1299">
        <f t="shared" si="40"/>
        <v>5.5415685621902542</v>
      </c>
      <c r="BQ1299">
        <f t="shared" si="41"/>
        <v>18.020282066921993</v>
      </c>
    </row>
    <row r="1300" spans="1:69" hidden="1" x14ac:dyDescent="0.2">
      <c r="A1300" t="s">
        <v>4340</v>
      </c>
      <c r="B1300" t="s">
        <v>68</v>
      </c>
      <c r="C1300" t="s">
        <v>3294</v>
      </c>
      <c r="D1300" t="s">
        <v>70</v>
      </c>
      <c r="E1300" t="s">
        <v>1486</v>
      </c>
      <c r="F1300">
        <v>6</v>
      </c>
      <c r="G1300">
        <v>19</v>
      </c>
      <c r="H1300">
        <v>1</v>
      </c>
      <c r="I1300">
        <v>1</v>
      </c>
      <c r="J1300">
        <v>0</v>
      </c>
      <c r="K1300" t="s">
        <v>110</v>
      </c>
      <c r="L1300" t="s">
        <v>111</v>
      </c>
      <c r="M1300" s="4">
        <v>250000000</v>
      </c>
      <c r="N1300">
        <v>0</v>
      </c>
      <c r="O1300">
        <v>4.6842026710000004</v>
      </c>
      <c r="P1300">
        <v>-74.05719757</v>
      </c>
      <c r="Q1300" t="s">
        <v>4341</v>
      </c>
      <c r="R1300">
        <v>13157894.74</v>
      </c>
      <c r="S1300">
        <v>0</v>
      </c>
      <c r="T1300" t="s">
        <v>75</v>
      </c>
      <c r="U1300" t="s">
        <v>76</v>
      </c>
      <c r="V1300" t="s">
        <v>77</v>
      </c>
      <c r="W1300" t="s">
        <v>78</v>
      </c>
      <c r="X1300" t="s">
        <v>79</v>
      </c>
      <c r="Y1300">
        <v>4.1265967514521096</v>
      </c>
      <c r="Z1300">
        <v>4126.5967514521099</v>
      </c>
      <c r="AA1300">
        <v>4.6584666666666701</v>
      </c>
      <c r="AB1300">
        <v>-74.083966666666697</v>
      </c>
      <c r="AC1300">
        <v>2552</v>
      </c>
      <c r="AD1300">
        <v>0</v>
      </c>
      <c r="AE1300" t="s">
        <v>80</v>
      </c>
      <c r="AF1300" t="s">
        <v>81</v>
      </c>
      <c r="AG1300" t="s">
        <v>82</v>
      </c>
      <c r="AH1300" t="s">
        <v>83</v>
      </c>
      <c r="AI1300" t="s">
        <v>130</v>
      </c>
      <c r="AJ1300">
        <v>6.3565125963518695E-2</v>
      </c>
      <c r="AK1300">
        <v>2.2639362009750901</v>
      </c>
      <c r="AL1300">
        <v>0.51619810408508804</v>
      </c>
      <c r="AM1300">
        <v>1.8456129419446202E-2</v>
      </c>
      <c r="AN1300">
        <v>2.9661004283073402</v>
      </c>
      <c r="AO1300">
        <v>0.12915547237709499</v>
      </c>
      <c r="AP1300">
        <v>0.12915547237709499</v>
      </c>
      <c r="AQ1300">
        <v>1</v>
      </c>
      <c r="AR1300">
        <v>6</v>
      </c>
      <c r="AS1300">
        <v>0</v>
      </c>
      <c r="AT1300">
        <v>0</v>
      </c>
      <c r="AU1300">
        <v>5</v>
      </c>
      <c r="AV1300">
        <v>235</v>
      </c>
      <c r="AW1300">
        <v>0</v>
      </c>
      <c r="AX1300">
        <v>0</v>
      </c>
      <c r="AZ1300">
        <v>6.8</v>
      </c>
      <c r="BA1300">
        <v>19.899999999999999</v>
      </c>
      <c r="BB1300">
        <v>564</v>
      </c>
      <c r="BC1300">
        <v>68</v>
      </c>
      <c r="BD1300">
        <v>1.5</v>
      </c>
      <c r="BE1300">
        <v>135</v>
      </c>
      <c r="BF1300">
        <v>0.8</v>
      </c>
      <c r="BG1300">
        <v>162</v>
      </c>
      <c r="BH1300">
        <v>9.1</v>
      </c>
      <c r="BI1300">
        <v>9.1999999999999993</v>
      </c>
      <c r="BJ1300">
        <v>18.3</v>
      </c>
      <c r="BK1300">
        <v>0.34</v>
      </c>
      <c r="BL1300">
        <v>7.3</v>
      </c>
      <c r="BM1300">
        <v>0.9</v>
      </c>
      <c r="BN1300">
        <v>7.5</v>
      </c>
      <c r="BO1300">
        <v>2.9</v>
      </c>
      <c r="BP1300">
        <f t="shared" si="40"/>
        <v>5.5436663227669145</v>
      </c>
      <c r="BQ1300">
        <f t="shared" si="41"/>
        <v>18.023589175821389</v>
      </c>
    </row>
    <row r="1301" spans="1:69" hidden="1" x14ac:dyDescent="0.2">
      <c r="A1301" t="s">
        <v>3514</v>
      </c>
      <c r="B1301" t="s">
        <v>68</v>
      </c>
      <c r="C1301" t="s">
        <v>3294</v>
      </c>
      <c r="D1301" t="s">
        <v>70</v>
      </c>
      <c r="E1301" t="s">
        <v>684</v>
      </c>
      <c r="F1301">
        <v>4</v>
      </c>
      <c r="G1301">
        <v>19</v>
      </c>
      <c r="H1301">
        <v>1</v>
      </c>
      <c r="I1301">
        <v>1</v>
      </c>
      <c r="J1301">
        <v>0</v>
      </c>
      <c r="K1301" t="s">
        <v>110</v>
      </c>
      <c r="L1301" t="s">
        <v>111</v>
      </c>
      <c r="M1301" s="4">
        <v>210000000</v>
      </c>
      <c r="N1301">
        <v>0</v>
      </c>
      <c r="O1301">
        <v>4.6807699999999999</v>
      </c>
      <c r="P1301">
        <v>-74.06344</v>
      </c>
      <c r="Q1301" t="s">
        <v>3515</v>
      </c>
      <c r="R1301">
        <v>11052631.58</v>
      </c>
      <c r="S1301">
        <v>0</v>
      </c>
      <c r="T1301" t="s">
        <v>75</v>
      </c>
      <c r="U1301" t="s">
        <v>76</v>
      </c>
      <c r="V1301" t="s">
        <v>77</v>
      </c>
      <c r="W1301" t="s">
        <v>78</v>
      </c>
      <c r="X1301" t="s">
        <v>79</v>
      </c>
      <c r="Y1301">
        <v>3.36912116224907</v>
      </c>
      <c r="Z1301">
        <v>3369.12116224907</v>
      </c>
      <c r="AA1301">
        <v>4.6584666666666701</v>
      </c>
      <c r="AB1301">
        <v>-74.083966666666697</v>
      </c>
      <c r="AC1301">
        <v>2552</v>
      </c>
      <c r="AD1301">
        <v>0</v>
      </c>
      <c r="AE1301" t="s">
        <v>80</v>
      </c>
      <c r="AF1301" t="s">
        <v>81</v>
      </c>
      <c r="AG1301" t="s">
        <v>82</v>
      </c>
      <c r="AH1301" t="s">
        <v>83</v>
      </c>
      <c r="AI1301" t="s">
        <v>342</v>
      </c>
      <c r="AJ1301">
        <v>0.159508653436576</v>
      </c>
      <c r="AK1301">
        <v>2.62908769335982</v>
      </c>
      <c r="AL1301">
        <v>0.27130691102620003</v>
      </c>
      <c r="AM1301">
        <v>7.9116797465294306E-2</v>
      </c>
      <c r="AN1301">
        <v>2.1825826732566398</v>
      </c>
      <c r="AO1301">
        <v>3.8544174977960699E-2</v>
      </c>
      <c r="AP1301">
        <v>3.8544174977960699E-2</v>
      </c>
      <c r="AQ1301">
        <v>2</v>
      </c>
      <c r="AR1301">
        <v>8</v>
      </c>
      <c r="AS1301">
        <v>0</v>
      </c>
      <c r="AT1301">
        <v>0</v>
      </c>
      <c r="AU1301">
        <v>1</v>
      </c>
      <c r="AV1301">
        <v>166</v>
      </c>
      <c r="AW1301">
        <v>0</v>
      </c>
      <c r="AX1301">
        <v>0</v>
      </c>
      <c r="AZ1301">
        <v>6.8</v>
      </c>
      <c r="BA1301">
        <v>19.899999999999999</v>
      </c>
      <c r="BB1301">
        <v>564</v>
      </c>
      <c r="BC1301">
        <v>68</v>
      </c>
      <c r="BD1301">
        <v>1.5</v>
      </c>
      <c r="BE1301">
        <v>135</v>
      </c>
      <c r="BF1301">
        <v>0.8</v>
      </c>
      <c r="BG1301">
        <v>162</v>
      </c>
      <c r="BH1301">
        <v>9.1</v>
      </c>
      <c r="BI1301">
        <v>9.1999999999999993</v>
      </c>
      <c r="BJ1301">
        <v>18.3</v>
      </c>
      <c r="BK1301">
        <v>0.34</v>
      </c>
      <c r="BL1301">
        <v>7.3</v>
      </c>
      <c r="BM1301">
        <v>0.9</v>
      </c>
      <c r="BN1301">
        <v>7.5</v>
      </c>
      <c r="BO1301">
        <v>2.9</v>
      </c>
      <c r="BP1301">
        <f t="shared" si="40"/>
        <v>5.7554723464875375</v>
      </c>
      <c r="BQ1301">
        <f t="shared" si="41"/>
        <v>18.354243915996044</v>
      </c>
    </row>
    <row r="1302" spans="1:69" hidden="1" x14ac:dyDescent="0.2">
      <c r="A1302" t="s">
        <v>3505</v>
      </c>
      <c r="B1302" t="s">
        <v>68</v>
      </c>
      <c r="C1302" t="s">
        <v>3294</v>
      </c>
      <c r="D1302" t="s">
        <v>70</v>
      </c>
      <c r="E1302" t="s">
        <v>684</v>
      </c>
      <c r="F1302">
        <v>4</v>
      </c>
      <c r="G1302">
        <v>19</v>
      </c>
      <c r="H1302">
        <v>1</v>
      </c>
      <c r="I1302">
        <v>1</v>
      </c>
      <c r="J1302">
        <v>0</v>
      </c>
      <c r="K1302" t="s">
        <v>110</v>
      </c>
      <c r="L1302" t="s">
        <v>111</v>
      </c>
      <c r="M1302" s="4">
        <v>210000000</v>
      </c>
      <c r="N1302">
        <v>0</v>
      </c>
      <c r="O1302">
        <v>4.6808160000000001</v>
      </c>
      <c r="P1302">
        <v>-74.063536999999997</v>
      </c>
      <c r="Q1302" t="s">
        <v>3506</v>
      </c>
      <c r="R1302">
        <v>11052631.58</v>
      </c>
      <c r="S1302">
        <v>0</v>
      </c>
      <c r="T1302" t="s">
        <v>75</v>
      </c>
      <c r="U1302" t="s">
        <v>76</v>
      </c>
      <c r="V1302" t="s">
        <v>77</v>
      </c>
      <c r="W1302" t="s">
        <v>78</v>
      </c>
      <c r="X1302" t="s">
        <v>79</v>
      </c>
      <c r="Y1302">
        <v>3.3656390548137902</v>
      </c>
      <c r="Z1302">
        <v>3365.6390548137902</v>
      </c>
      <c r="AA1302">
        <v>4.6584666666666701</v>
      </c>
      <c r="AB1302">
        <v>-74.083966666666697</v>
      </c>
      <c r="AC1302">
        <v>2552</v>
      </c>
      <c r="AD1302">
        <v>0</v>
      </c>
      <c r="AE1302" t="s">
        <v>80</v>
      </c>
      <c r="AF1302" t="s">
        <v>81</v>
      </c>
      <c r="AG1302" t="s">
        <v>82</v>
      </c>
      <c r="AH1302" t="s">
        <v>83</v>
      </c>
      <c r="AI1302" t="s">
        <v>342</v>
      </c>
      <c r="AJ1302">
        <v>0.15090324549935999</v>
      </c>
      <c r="AK1302">
        <v>2.6409175171358101</v>
      </c>
      <c r="AL1302">
        <v>0.28275190412778201</v>
      </c>
      <c r="AM1302">
        <v>7.7127947246968406E-2</v>
      </c>
      <c r="AN1302">
        <v>2.17432450768829</v>
      </c>
      <c r="AO1302">
        <v>3.5333119265407699E-2</v>
      </c>
      <c r="AP1302">
        <v>3.5333119265407699E-2</v>
      </c>
      <c r="AQ1302">
        <v>2</v>
      </c>
      <c r="AR1302">
        <v>8</v>
      </c>
      <c r="AS1302">
        <v>0</v>
      </c>
      <c r="AT1302">
        <v>0</v>
      </c>
      <c r="AU1302">
        <v>1</v>
      </c>
      <c r="AV1302">
        <v>167</v>
      </c>
      <c r="AW1302">
        <v>0</v>
      </c>
      <c r="AX1302">
        <v>0</v>
      </c>
      <c r="AZ1302">
        <v>6.8</v>
      </c>
      <c r="BA1302">
        <v>19.899999999999999</v>
      </c>
      <c r="BB1302">
        <v>564</v>
      </c>
      <c r="BC1302">
        <v>68</v>
      </c>
      <c r="BD1302">
        <v>1.5</v>
      </c>
      <c r="BE1302">
        <v>135</v>
      </c>
      <c r="BF1302">
        <v>0.8</v>
      </c>
      <c r="BG1302">
        <v>162</v>
      </c>
      <c r="BH1302">
        <v>9.1</v>
      </c>
      <c r="BI1302">
        <v>9.1999999999999993</v>
      </c>
      <c r="BJ1302">
        <v>18.3</v>
      </c>
      <c r="BK1302">
        <v>0.34</v>
      </c>
      <c r="BL1302">
        <v>7.3</v>
      </c>
      <c r="BM1302">
        <v>0.9</v>
      </c>
      <c r="BN1302">
        <v>7.5</v>
      </c>
      <c r="BO1302">
        <v>2.9</v>
      </c>
      <c r="BP1302">
        <f t="shared" si="40"/>
        <v>5.7564644700544694</v>
      </c>
      <c r="BQ1302">
        <f t="shared" si="41"/>
        <v>18.35577785487224</v>
      </c>
    </row>
    <row r="1303" spans="1:69" hidden="1" x14ac:dyDescent="0.2">
      <c r="A1303" t="s">
        <v>4017</v>
      </c>
      <c r="B1303" t="s">
        <v>68</v>
      </c>
      <c r="C1303" t="s">
        <v>3294</v>
      </c>
      <c r="D1303" t="s">
        <v>70</v>
      </c>
      <c r="E1303" t="s">
        <v>3923</v>
      </c>
      <c r="F1303">
        <v>3</v>
      </c>
      <c r="G1303">
        <v>19</v>
      </c>
      <c r="H1303">
        <v>1</v>
      </c>
      <c r="I1303">
        <v>1</v>
      </c>
      <c r="J1303">
        <v>0</v>
      </c>
      <c r="K1303" t="s">
        <v>110</v>
      </c>
      <c r="L1303" t="s">
        <v>111</v>
      </c>
      <c r="M1303" s="4">
        <v>185000000</v>
      </c>
      <c r="N1303">
        <v>0</v>
      </c>
      <c r="O1303">
        <v>4.6120352750000002</v>
      </c>
      <c r="P1303">
        <v>-74.083343510000006</v>
      </c>
      <c r="Q1303" t="s">
        <v>4018</v>
      </c>
      <c r="R1303">
        <v>9736842.1050000004</v>
      </c>
      <c r="S1303">
        <v>0</v>
      </c>
      <c r="T1303" t="s">
        <v>126</v>
      </c>
      <c r="U1303" t="s">
        <v>127</v>
      </c>
      <c r="V1303" t="s">
        <v>77</v>
      </c>
      <c r="W1303" t="s">
        <v>128</v>
      </c>
      <c r="X1303" t="s">
        <v>129</v>
      </c>
      <c r="Y1303">
        <v>2.3533875422271602</v>
      </c>
      <c r="Z1303">
        <v>2353.3875422271599</v>
      </c>
      <c r="AA1303">
        <v>4.6254861111111101</v>
      </c>
      <c r="AB1303">
        <v>-74.066980555555503</v>
      </c>
      <c r="AC1303">
        <v>2621</v>
      </c>
      <c r="AD1303">
        <v>15</v>
      </c>
      <c r="AE1303" t="s">
        <v>80</v>
      </c>
      <c r="AF1303" t="s">
        <v>81</v>
      </c>
      <c r="AG1303" t="s">
        <v>82</v>
      </c>
      <c r="AH1303" t="s">
        <v>83</v>
      </c>
      <c r="AI1303" t="s">
        <v>308</v>
      </c>
      <c r="AJ1303">
        <v>0.45944140595864802</v>
      </c>
      <c r="AK1303">
        <v>2.0882793383665699</v>
      </c>
      <c r="AL1303">
        <v>0.71345744375067599</v>
      </c>
      <c r="AM1303">
        <v>0.41694945040836001</v>
      </c>
      <c r="AN1303">
        <v>0.67905336924792803</v>
      </c>
      <c r="AO1303">
        <v>0.18173417389588201</v>
      </c>
      <c r="AP1303">
        <v>0.18173417389588201</v>
      </c>
      <c r="AQ1303">
        <v>1</v>
      </c>
      <c r="AR1303">
        <v>6</v>
      </c>
      <c r="AS1303">
        <v>0</v>
      </c>
      <c r="AT1303">
        <v>0</v>
      </c>
      <c r="AU1303">
        <v>1</v>
      </c>
      <c r="AV1303">
        <v>20</v>
      </c>
      <c r="AW1303">
        <v>1</v>
      </c>
      <c r="AX1303">
        <v>1</v>
      </c>
      <c r="AZ1303">
        <v>6.8</v>
      </c>
      <c r="BA1303">
        <v>19.899999999999999</v>
      </c>
      <c r="BB1303">
        <v>564</v>
      </c>
      <c r="BC1303">
        <v>68</v>
      </c>
      <c r="BD1303">
        <v>1.5</v>
      </c>
      <c r="BE1303">
        <v>135</v>
      </c>
      <c r="BF1303">
        <v>0.8</v>
      </c>
      <c r="BG1303">
        <v>162</v>
      </c>
      <c r="BH1303">
        <v>9.1</v>
      </c>
      <c r="BI1303">
        <v>9.1999999999999993</v>
      </c>
      <c r="BJ1303">
        <v>18.3</v>
      </c>
      <c r="BK1303">
        <v>0.34</v>
      </c>
      <c r="BL1303">
        <v>7.3</v>
      </c>
      <c r="BM1303">
        <v>0.9</v>
      </c>
      <c r="BN1303">
        <v>7.5</v>
      </c>
      <c r="BO1303">
        <v>2.9</v>
      </c>
      <c r="BP1303">
        <f t="shared" si="40"/>
        <v>6.0522489415256695</v>
      </c>
      <c r="BQ1303">
        <f t="shared" si="41"/>
        <v>18.807174713272428</v>
      </c>
    </row>
    <row r="1304" spans="1:69" hidden="1" x14ac:dyDescent="0.2">
      <c r="A1304" t="s">
        <v>4489</v>
      </c>
      <c r="B1304" t="s">
        <v>68</v>
      </c>
      <c r="C1304" t="s">
        <v>3294</v>
      </c>
      <c r="D1304" t="s">
        <v>70</v>
      </c>
      <c r="E1304" t="s">
        <v>3798</v>
      </c>
      <c r="F1304">
        <v>4</v>
      </c>
      <c r="G1304">
        <v>18.8</v>
      </c>
      <c r="H1304">
        <v>1</v>
      </c>
      <c r="I1304">
        <v>1</v>
      </c>
      <c r="J1304">
        <v>0</v>
      </c>
      <c r="K1304" t="s">
        <v>110</v>
      </c>
      <c r="L1304" t="s">
        <v>111</v>
      </c>
      <c r="M1304" s="4">
        <v>220000000</v>
      </c>
      <c r="N1304">
        <v>0</v>
      </c>
      <c r="O1304">
        <v>4.6413550380000004</v>
      </c>
      <c r="P1304">
        <v>-74.078201289999996</v>
      </c>
      <c r="Q1304" t="s">
        <v>4490</v>
      </c>
      <c r="R1304">
        <v>11702127.66</v>
      </c>
      <c r="S1304">
        <v>0</v>
      </c>
      <c r="T1304" t="s">
        <v>75</v>
      </c>
      <c r="U1304" t="s">
        <v>76</v>
      </c>
      <c r="V1304" t="s">
        <v>77</v>
      </c>
      <c r="W1304" t="s">
        <v>78</v>
      </c>
      <c r="X1304" t="s">
        <v>79</v>
      </c>
      <c r="Y1304">
        <v>2.0093983901241699</v>
      </c>
      <c r="Z1304">
        <v>2009.39839012417</v>
      </c>
      <c r="AA1304">
        <v>4.6584666666666701</v>
      </c>
      <c r="AB1304">
        <v>-74.083966666666697</v>
      </c>
      <c r="AC1304">
        <v>2552</v>
      </c>
      <c r="AD1304">
        <v>0</v>
      </c>
      <c r="AE1304" t="s">
        <v>80</v>
      </c>
      <c r="AF1304" t="s">
        <v>81</v>
      </c>
      <c r="AG1304" t="s">
        <v>82</v>
      </c>
      <c r="AH1304" t="s">
        <v>83</v>
      </c>
      <c r="AI1304" t="s">
        <v>84</v>
      </c>
      <c r="AJ1304">
        <v>0.450298814231401</v>
      </c>
      <c r="AK1304">
        <v>2.1962033788358699</v>
      </c>
      <c r="AL1304">
        <v>0.54873481527185397</v>
      </c>
      <c r="AM1304">
        <v>0.20740653109515</v>
      </c>
      <c r="AN1304">
        <v>1.9966614595718799</v>
      </c>
      <c r="AO1304">
        <v>0.75363206920742698</v>
      </c>
      <c r="AP1304">
        <v>0.75363206920742698</v>
      </c>
      <c r="AQ1304">
        <v>2</v>
      </c>
      <c r="AR1304">
        <v>3</v>
      </c>
      <c r="AS1304">
        <v>0</v>
      </c>
      <c r="AT1304">
        <v>0</v>
      </c>
      <c r="AU1304">
        <v>4</v>
      </c>
      <c r="AV1304">
        <v>83</v>
      </c>
      <c r="AW1304">
        <v>0</v>
      </c>
      <c r="AX1304">
        <v>0</v>
      </c>
      <c r="AZ1304">
        <v>6.8</v>
      </c>
      <c r="BA1304">
        <v>19.899999999999999</v>
      </c>
      <c r="BB1304">
        <v>564</v>
      </c>
      <c r="BC1304">
        <v>68</v>
      </c>
      <c r="BD1304">
        <v>1.5</v>
      </c>
      <c r="BE1304">
        <v>135</v>
      </c>
      <c r="BF1304">
        <v>0.8</v>
      </c>
      <c r="BG1304">
        <v>162</v>
      </c>
      <c r="BH1304">
        <v>9.1</v>
      </c>
      <c r="BI1304">
        <v>9.1999999999999993</v>
      </c>
      <c r="BJ1304">
        <v>18.3</v>
      </c>
      <c r="BK1304">
        <v>0.34</v>
      </c>
      <c r="BL1304">
        <v>7.3</v>
      </c>
      <c r="BM1304">
        <v>0.9</v>
      </c>
      <c r="BN1304">
        <v>7.5</v>
      </c>
      <c r="BO1304">
        <v>2.9</v>
      </c>
      <c r="BP1304">
        <f t="shared" si="40"/>
        <v>6.1561857656080061</v>
      </c>
      <c r="BQ1304">
        <f t="shared" si="41"/>
        <v>18.963084541209419</v>
      </c>
    </row>
    <row r="1305" spans="1:69" hidden="1" x14ac:dyDescent="0.2">
      <c r="A1305" t="s">
        <v>4295</v>
      </c>
      <c r="B1305" t="s">
        <v>68</v>
      </c>
      <c r="C1305" t="s">
        <v>3294</v>
      </c>
      <c r="D1305" t="s">
        <v>70</v>
      </c>
      <c r="E1305" t="s">
        <v>1646</v>
      </c>
      <c r="F1305">
        <v>4</v>
      </c>
      <c r="G1305">
        <v>18.36</v>
      </c>
      <c r="H1305">
        <v>1</v>
      </c>
      <c r="I1305">
        <v>1</v>
      </c>
      <c r="J1305">
        <v>0</v>
      </c>
      <c r="K1305" t="s">
        <v>110</v>
      </c>
      <c r="L1305" t="s">
        <v>111</v>
      </c>
      <c r="M1305" s="4">
        <v>260000000</v>
      </c>
      <c r="N1305">
        <v>0</v>
      </c>
      <c r="O1305">
        <v>4.6207900000000004</v>
      </c>
      <c r="P1305">
        <v>-74.069847899999999</v>
      </c>
      <c r="Q1305" t="s">
        <v>4296</v>
      </c>
      <c r="R1305">
        <v>14161220.039999999</v>
      </c>
      <c r="S1305">
        <v>0</v>
      </c>
      <c r="T1305" t="s">
        <v>126</v>
      </c>
      <c r="U1305" t="s">
        <v>127</v>
      </c>
      <c r="V1305" t="s">
        <v>77</v>
      </c>
      <c r="W1305" t="s">
        <v>128</v>
      </c>
      <c r="X1305" t="s">
        <v>129</v>
      </c>
      <c r="Y1305">
        <v>0.61197084813372904</v>
      </c>
      <c r="Z1305">
        <v>611.97084813372896</v>
      </c>
      <c r="AA1305">
        <v>4.6254861111111101</v>
      </c>
      <c r="AB1305">
        <v>-74.066980555555503</v>
      </c>
      <c r="AC1305">
        <v>2621</v>
      </c>
      <c r="AD1305">
        <v>15</v>
      </c>
      <c r="AE1305" t="s">
        <v>80</v>
      </c>
      <c r="AF1305" t="s">
        <v>81</v>
      </c>
      <c r="AG1305" t="s">
        <v>82</v>
      </c>
      <c r="AH1305" t="s">
        <v>83</v>
      </c>
      <c r="AI1305" t="s">
        <v>138</v>
      </c>
      <c r="AJ1305">
        <v>8.7974262755785904E-2</v>
      </c>
      <c r="AK1305">
        <v>0.90960420774957196</v>
      </c>
      <c r="AL1305">
        <v>0.29365371323456002</v>
      </c>
      <c r="AM1305">
        <v>5.9438789586333897E-2</v>
      </c>
      <c r="AN1305">
        <v>0.72085786033156496</v>
      </c>
      <c r="AO1305">
        <v>6.24547781244238E-2</v>
      </c>
      <c r="AP1305">
        <v>6.24547781244238E-2</v>
      </c>
      <c r="AQ1305">
        <v>1</v>
      </c>
      <c r="AR1305">
        <v>6</v>
      </c>
      <c r="AS1305">
        <v>0</v>
      </c>
      <c r="AT1305">
        <v>3</v>
      </c>
      <c r="AU1305">
        <v>17</v>
      </c>
      <c r="AV1305">
        <v>92</v>
      </c>
      <c r="AW1305">
        <v>2</v>
      </c>
      <c r="AX1305">
        <v>1</v>
      </c>
      <c r="AZ1305">
        <v>6.8</v>
      </c>
      <c r="BA1305">
        <v>19.899999999999999</v>
      </c>
      <c r="BB1305">
        <v>564</v>
      </c>
      <c r="BC1305">
        <v>68</v>
      </c>
      <c r="BD1305">
        <v>1.5</v>
      </c>
      <c r="BE1305">
        <v>135</v>
      </c>
      <c r="BF1305">
        <v>0.8</v>
      </c>
      <c r="BG1305">
        <v>162</v>
      </c>
      <c r="BH1305">
        <v>9.1</v>
      </c>
      <c r="BI1305">
        <v>9.1999999999999993</v>
      </c>
      <c r="BJ1305">
        <v>18.3</v>
      </c>
      <c r="BK1305">
        <v>0.34</v>
      </c>
      <c r="BL1305">
        <v>7.3</v>
      </c>
      <c r="BM1305">
        <v>0.9</v>
      </c>
      <c r="BN1305">
        <v>7.5</v>
      </c>
      <c r="BO1305">
        <v>2.9</v>
      </c>
      <c r="BP1305">
        <f t="shared" si="40"/>
        <v>6.5970993183102085</v>
      </c>
      <c r="BQ1305">
        <f t="shared" si="41"/>
        <v>19.60985863529406</v>
      </c>
    </row>
    <row r="1306" spans="1:69" hidden="1" x14ac:dyDescent="0.2">
      <c r="A1306" t="s">
        <v>3984</v>
      </c>
      <c r="B1306" t="s">
        <v>68</v>
      </c>
      <c r="C1306" t="s">
        <v>3294</v>
      </c>
      <c r="D1306" t="s">
        <v>70</v>
      </c>
      <c r="E1306" t="s">
        <v>2521</v>
      </c>
      <c r="F1306">
        <v>4</v>
      </c>
      <c r="G1306">
        <v>18.260000000000002</v>
      </c>
      <c r="H1306">
        <v>1</v>
      </c>
      <c r="I1306">
        <v>1</v>
      </c>
      <c r="J1306">
        <v>1</v>
      </c>
      <c r="K1306" t="s">
        <v>110</v>
      </c>
      <c r="L1306" t="s">
        <v>111</v>
      </c>
      <c r="M1306" s="4">
        <v>710000000</v>
      </c>
      <c r="N1306">
        <v>0</v>
      </c>
      <c r="O1306">
        <v>4.6712499999999997</v>
      </c>
      <c r="P1306">
        <v>-74.064930000000004</v>
      </c>
      <c r="Q1306" t="s">
        <v>3985</v>
      </c>
      <c r="R1306">
        <v>38882803.939999998</v>
      </c>
      <c r="S1306">
        <v>0</v>
      </c>
      <c r="T1306" t="s">
        <v>75</v>
      </c>
      <c r="U1306" t="s">
        <v>76</v>
      </c>
      <c r="V1306" t="s">
        <v>77</v>
      </c>
      <c r="W1306" t="s">
        <v>78</v>
      </c>
      <c r="X1306" t="s">
        <v>79</v>
      </c>
      <c r="Y1306">
        <v>2.5467879479722999</v>
      </c>
      <c r="Z1306">
        <v>2546.7879479723001</v>
      </c>
      <c r="AA1306">
        <v>4.6584666666666701</v>
      </c>
      <c r="AB1306">
        <v>-74.083966666666697</v>
      </c>
      <c r="AC1306">
        <v>2552</v>
      </c>
      <c r="AD1306">
        <v>0</v>
      </c>
      <c r="AE1306" t="s">
        <v>80</v>
      </c>
      <c r="AF1306" t="s">
        <v>81</v>
      </c>
      <c r="AG1306" t="s">
        <v>82</v>
      </c>
      <c r="AH1306" t="s">
        <v>83</v>
      </c>
      <c r="AI1306" t="s">
        <v>342</v>
      </c>
      <c r="AJ1306">
        <v>0.136890712308541</v>
      </c>
      <c r="AK1306">
        <v>2.3076183359975002</v>
      </c>
      <c r="AL1306">
        <v>0.80888925508398402</v>
      </c>
      <c r="AM1306">
        <v>0.12815544697217901</v>
      </c>
      <c r="AN1306">
        <v>1.89867080334959</v>
      </c>
      <c r="AO1306">
        <v>4.7779363435587897E-2</v>
      </c>
      <c r="AP1306">
        <v>4.7779363435587897E-2</v>
      </c>
      <c r="AQ1306">
        <v>2</v>
      </c>
      <c r="AR1306">
        <v>9</v>
      </c>
      <c r="AS1306">
        <v>0</v>
      </c>
      <c r="AT1306">
        <v>0</v>
      </c>
      <c r="AU1306">
        <v>4</v>
      </c>
      <c r="AV1306">
        <v>230</v>
      </c>
      <c r="AW1306">
        <v>0</v>
      </c>
      <c r="AX1306">
        <v>0</v>
      </c>
      <c r="AZ1306">
        <v>6.8</v>
      </c>
      <c r="BA1306">
        <v>19.899999999999999</v>
      </c>
      <c r="BB1306">
        <v>564</v>
      </c>
      <c r="BC1306">
        <v>68</v>
      </c>
      <c r="BD1306">
        <v>1.5</v>
      </c>
      <c r="BE1306">
        <v>135</v>
      </c>
      <c r="BF1306">
        <v>0.8</v>
      </c>
      <c r="BG1306">
        <v>162</v>
      </c>
      <c r="BH1306">
        <v>9.1</v>
      </c>
      <c r="BI1306">
        <v>9.1999999999999993</v>
      </c>
      <c r="BJ1306">
        <v>18.3</v>
      </c>
      <c r="BK1306">
        <v>0.34</v>
      </c>
      <c r="BL1306">
        <v>7.3</v>
      </c>
      <c r="BM1306">
        <v>0.9</v>
      </c>
      <c r="BN1306">
        <v>7.5</v>
      </c>
      <c r="BO1306">
        <v>2.9</v>
      </c>
      <c r="BP1306">
        <f t="shared" si="40"/>
        <v>5.9945852819115446</v>
      </c>
      <c r="BQ1306">
        <f t="shared" si="41"/>
        <v>18.720081430860446</v>
      </c>
    </row>
    <row r="1307" spans="1:69" hidden="1" x14ac:dyDescent="0.2">
      <c r="A1307" t="s">
        <v>3966</v>
      </c>
      <c r="B1307" t="s">
        <v>68</v>
      </c>
      <c r="C1307" t="s">
        <v>3294</v>
      </c>
      <c r="D1307" t="s">
        <v>70</v>
      </c>
      <c r="E1307" t="s">
        <v>229</v>
      </c>
      <c r="F1307">
        <v>6</v>
      </c>
      <c r="G1307">
        <v>18</v>
      </c>
      <c r="H1307">
        <v>1</v>
      </c>
      <c r="I1307">
        <v>1</v>
      </c>
      <c r="J1307">
        <v>0</v>
      </c>
      <c r="K1307" t="s">
        <v>110</v>
      </c>
      <c r="L1307" t="s">
        <v>111</v>
      </c>
      <c r="M1307" s="4">
        <v>300000000</v>
      </c>
      <c r="N1307">
        <v>0</v>
      </c>
      <c r="O1307">
        <v>4.6798238750000003</v>
      </c>
      <c r="P1307">
        <v>-74.053001399999999</v>
      </c>
      <c r="Q1307" t="s">
        <v>3967</v>
      </c>
      <c r="R1307">
        <v>16666666.67</v>
      </c>
      <c r="S1307">
        <v>0</v>
      </c>
      <c r="T1307" t="s">
        <v>75</v>
      </c>
      <c r="U1307" t="s">
        <v>76</v>
      </c>
      <c r="V1307" t="s">
        <v>77</v>
      </c>
      <c r="W1307" t="s">
        <v>78</v>
      </c>
      <c r="X1307" t="s">
        <v>79</v>
      </c>
      <c r="Y1307">
        <v>4.17800380783207</v>
      </c>
      <c r="Z1307">
        <v>4178.0038078320704</v>
      </c>
      <c r="AA1307">
        <v>4.6584666666666701</v>
      </c>
      <c r="AB1307">
        <v>-74.083966666666697</v>
      </c>
      <c r="AC1307">
        <v>2552</v>
      </c>
      <c r="AD1307">
        <v>0</v>
      </c>
      <c r="AE1307" t="s">
        <v>80</v>
      </c>
      <c r="AF1307" t="s">
        <v>81</v>
      </c>
      <c r="AG1307" t="s">
        <v>82</v>
      </c>
      <c r="AH1307" t="s">
        <v>83</v>
      </c>
      <c r="AI1307" t="s">
        <v>130</v>
      </c>
      <c r="AJ1307">
        <v>0.69333475171088099</v>
      </c>
      <c r="AK1307">
        <v>1.6274071651873101</v>
      </c>
      <c r="AL1307">
        <v>0.656276914186674</v>
      </c>
      <c r="AM1307">
        <v>3.7979268129725997E-2</v>
      </c>
      <c r="AN1307">
        <v>3.2683318130843699</v>
      </c>
      <c r="AO1307">
        <v>0.64471973563544205</v>
      </c>
      <c r="AP1307">
        <v>0.64471973563544205</v>
      </c>
      <c r="AQ1307">
        <v>0</v>
      </c>
      <c r="AR1307">
        <v>2</v>
      </c>
      <c r="AS1307">
        <v>0</v>
      </c>
      <c r="AT1307">
        <v>0</v>
      </c>
      <c r="AU1307">
        <v>5</v>
      </c>
      <c r="AV1307">
        <v>221</v>
      </c>
      <c r="AW1307">
        <v>0</v>
      </c>
      <c r="AX1307">
        <v>0</v>
      </c>
      <c r="AZ1307">
        <v>6.8</v>
      </c>
      <c r="BA1307">
        <v>19.899999999999999</v>
      </c>
      <c r="BB1307">
        <v>564</v>
      </c>
      <c r="BC1307">
        <v>68</v>
      </c>
      <c r="BD1307">
        <v>1.5</v>
      </c>
      <c r="BE1307">
        <v>135</v>
      </c>
      <c r="BF1307">
        <v>0.8</v>
      </c>
      <c r="BG1307">
        <v>162</v>
      </c>
      <c r="BH1307">
        <v>9.1</v>
      </c>
      <c r="BI1307">
        <v>9.1999999999999993</v>
      </c>
      <c r="BJ1307">
        <v>18.3</v>
      </c>
      <c r="BK1307">
        <v>0.34</v>
      </c>
      <c r="BL1307">
        <v>7.3</v>
      </c>
      <c r="BM1307">
        <v>0.9</v>
      </c>
      <c r="BN1307">
        <v>7.5</v>
      </c>
      <c r="BO1307">
        <v>2.9</v>
      </c>
      <c r="BP1307">
        <f t="shared" si="40"/>
        <v>5.529577569260856</v>
      </c>
      <c r="BQ1307">
        <f t="shared" si="41"/>
        <v>18.001365935858242</v>
      </c>
    </row>
    <row r="1308" spans="1:69" hidden="1" x14ac:dyDescent="0.2">
      <c r="A1308" t="s">
        <v>4099</v>
      </c>
      <c r="B1308" t="s">
        <v>68</v>
      </c>
      <c r="C1308" t="s">
        <v>3294</v>
      </c>
      <c r="D1308" t="s">
        <v>70</v>
      </c>
      <c r="E1308" t="s">
        <v>229</v>
      </c>
      <c r="F1308">
        <v>6</v>
      </c>
      <c r="G1308">
        <v>18</v>
      </c>
      <c r="H1308">
        <v>1</v>
      </c>
      <c r="I1308">
        <v>1</v>
      </c>
      <c r="J1308">
        <v>0</v>
      </c>
      <c r="K1308" t="s">
        <v>110</v>
      </c>
      <c r="L1308" t="s">
        <v>111</v>
      </c>
      <c r="M1308" s="4">
        <v>300000000</v>
      </c>
      <c r="N1308">
        <v>0</v>
      </c>
      <c r="O1308">
        <v>4.6798238750000003</v>
      </c>
      <c r="P1308">
        <v>-74.053001399999999</v>
      </c>
      <c r="Q1308" t="s">
        <v>4100</v>
      </c>
      <c r="R1308">
        <v>16666666.67</v>
      </c>
      <c r="S1308">
        <v>0</v>
      </c>
      <c r="T1308" t="s">
        <v>75</v>
      </c>
      <c r="U1308" t="s">
        <v>76</v>
      </c>
      <c r="V1308" t="s">
        <v>77</v>
      </c>
      <c r="W1308" t="s">
        <v>78</v>
      </c>
      <c r="X1308" t="s">
        <v>79</v>
      </c>
      <c r="Y1308">
        <v>4.17800380783207</v>
      </c>
      <c r="Z1308">
        <v>4178.0038078320704</v>
      </c>
      <c r="AA1308">
        <v>4.6584666666666701</v>
      </c>
      <c r="AB1308">
        <v>-74.083966666666697</v>
      </c>
      <c r="AC1308">
        <v>2552</v>
      </c>
      <c r="AD1308">
        <v>0</v>
      </c>
      <c r="AE1308" t="s">
        <v>80</v>
      </c>
      <c r="AF1308" t="s">
        <v>81</v>
      </c>
      <c r="AG1308" t="s">
        <v>82</v>
      </c>
      <c r="AH1308" t="s">
        <v>83</v>
      </c>
      <c r="AI1308" t="s">
        <v>130</v>
      </c>
      <c r="AJ1308">
        <v>0.69333475171088099</v>
      </c>
      <c r="AK1308">
        <v>1.6274071651873101</v>
      </c>
      <c r="AL1308">
        <v>0.656276914186674</v>
      </c>
      <c r="AM1308">
        <v>3.7979268129725997E-2</v>
      </c>
      <c r="AN1308">
        <v>3.2683318130843699</v>
      </c>
      <c r="AO1308">
        <v>0.64471973563544205</v>
      </c>
      <c r="AP1308">
        <v>0.64471973563544205</v>
      </c>
      <c r="AQ1308">
        <v>0</v>
      </c>
      <c r="AR1308">
        <v>2</v>
      </c>
      <c r="AS1308">
        <v>0</v>
      </c>
      <c r="AT1308">
        <v>0</v>
      </c>
      <c r="AU1308">
        <v>5</v>
      </c>
      <c r="AV1308">
        <v>221</v>
      </c>
      <c r="AW1308">
        <v>0</v>
      </c>
      <c r="AX1308">
        <v>0</v>
      </c>
      <c r="AZ1308">
        <v>6.8</v>
      </c>
      <c r="BA1308">
        <v>19.899999999999999</v>
      </c>
      <c r="BB1308">
        <v>564</v>
      </c>
      <c r="BC1308">
        <v>68</v>
      </c>
      <c r="BD1308">
        <v>1.5</v>
      </c>
      <c r="BE1308">
        <v>135</v>
      </c>
      <c r="BF1308">
        <v>0.8</v>
      </c>
      <c r="BG1308">
        <v>162</v>
      </c>
      <c r="BH1308">
        <v>9.1</v>
      </c>
      <c r="BI1308">
        <v>9.1999999999999993</v>
      </c>
      <c r="BJ1308">
        <v>18.3</v>
      </c>
      <c r="BK1308">
        <v>0.34</v>
      </c>
      <c r="BL1308">
        <v>7.3</v>
      </c>
      <c r="BM1308">
        <v>0.9</v>
      </c>
      <c r="BN1308">
        <v>7.5</v>
      </c>
      <c r="BO1308">
        <v>2.9</v>
      </c>
      <c r="BP1308">
        <f t="shared" si="40"/>
        <v>5.529577569260856</v>
      </c>
      <c r="BQ1308">
        <f t="shared" si="41"/>
        <v>18.001365935858242</v>
      </c>
    </row>
    <row r="1309" spans="1:69" hidden="1" x14ac:dyDescent="0.2">
      <c r="A1309" t="s">
        <v>3759</v>
      </c>
      <c r="B1309" t="s">
        <v>68</v>
      </c>
      <c r="C1309" t="s">
        <v>3294</v>
      </c>
      <c r="D1309" t="s">
        <v>70</v>
      </c>
      <c r="E1309" t="s">
        <v>3649</v>
      </c>
      <c r="F1309">
        <v>5</v>
      </c>
      <c r="G1309">
        <v>18</v>
      </c>
      <c r="H1309">
        <v>1</v>
      </c>
      <c r="I1309">
        <v>1</v>
      </c>
      <c r="J1309">
        <v>0</v>
      </c>
      <c r="K1309" t="s">
        <v>110</v>
      </c>
      <c r="L1309" t="s">
        <v>111</v>
      </c>
      <c r="M1309" s="4">
        <v>275000000</v>
      </c>
      <c r="N1309">
        <v>0</v>
      </c>
      <c r="O1309">
        <v>4.6843300000000001</v>
      </c>
      <c r="P1309">
        <v>-74.057180000000002</v>
      </c>
      <c r="Q1309" t="s">
        <v>3760</v>
      </c>
      <c r="R1309">
        <v>15277777.779999999</v>
      </c>
      <c r="S1309">
        <v>0</v>
      </c>
      <c r="T1309" t="s">
        <v>75</v>
      </c>
      <c r="U1309" t="s">
        <v>76</v>
      </c>
      <c r="V1309" t="s">
        <v>77</v>
      </c>
      <c r="W1309" t="s">
        <v>78</v>
      </c>
      <c r="X1309" t="s">
        <v>79</v>
      </c>
      <c r="Y1309">
        <v>4.13784958201202</v>
      </c>
      <c r="Z1309">
        <v>4137.8495820120197</v>
      </c>
      <c r="AA1309">
        <v>4.6584666666666701</v>
      </c>
      <c r="AB1309">
        <v>-74.083966666666697</v>
      </c>
      <c r="AC1309">
        <v>2552</v>
      </c>
      <c r="AD1309">
        <v>0</v>
      </c>
      <c r="AE1309" t="s">
        <v>80</v>
      </c>
      <c r="AF1309" t="s">
        <v>81</v>
      </c>
      <c r="AG1309" t="s">
        <v>82</v>
      </c>
      <c r="AH1309" t="s">
        <v>83</v>
      </c>
      <c r="AI1309" t="s">
        <v>130</v>
      </c>
      <c r="AJ1309">
        <v>7.2472650881882497E-2</v>
      </c>
      <c r="AK1309">
        <v>2.2694251142748101</v>
      </c>
      <c r="AL1309">
        <v>0.50982825709640101</v>
      </c>
      <c r="AM1309">
        <v>2.33396928908342E-2</v>
      </c>
      <c r="AN1309">
        <v>2.9733692039809201</v>
      </c>
      <c r="AO1309">
        <v>0.13828508794302499</v>
      </c>
      <c r="AP1309">
        <v>0.13828508794302499</v>
      </c>
      <c r="AQ1309">
        <v>1</v>
      </c>
      <c r="AR1309">
        <v>6</v>
      </c>
      <c r="AS1309">
        <v>0</v>
      </c>
      <c r="AT1309">
        <v>0</v>
      </c>
      <c r="AU1309">
        <v>5</v>
      </c>
      <c r="AV1309">
        <v>234</v>
      </c>
      <c r="AW1309">
        <v>0</v>
      </c>
      <c r="AX1309">
        <v>0</v>
      </c>
      <c r="AZ1309">
        <v>6.8</v>
      </c>
      <c r="BA1309">
        <v>19.899999999999999</v>
      </c>
      <c r="BB1309">
        <v>564</v>
      </c>
      <c r="BC1309">
        <v>68</v>
      </c>
      <c r="BD1309">
        <v>1.5</v>
      </c>
      <c r="BE1309">
        <v>135</v>
      </c>
      <c r="BF1309">
        <v>0.8</v>
      </c>
      <c r="BG1309">
        <v>162</v>
      </c>
      <c r="BH1309">
        <v>9.1</v>
      </c>
      <c r="BI1309">
        <v>9.1999999999999993</v>
      </c>
      <c r="BJ1309">
        <v>18.3</v>
      </c>
      <c r="BK1309">
        <v>0.34</v>
      </c>
      <c r="BL1309">
        <v>7.3</v>
      </c>
      <c r="BM1309">
        <v>0.9</v>
      </c>
      <c r="BN1309">
        <v>7.5</v>
      </c>
      <c r="BO1309">
        <v>2.9</v>
      </c>
      <c r="BP1309">
        <f t="shared" si="40"/>
        <v>5.5405792766907567</v>
      </c>
      <c r="BQ1309">
        <f t="shared" si="41"/>
        <v>18.018722239570831</v>
      </c>
    </row>
    <row r="1310" spans="1:69" hidden="1" x14ac:dyDescent="0.2">
      <c r="A1310" t="s">
        <v>4025</v>
      </c>
      <c r="B1310" t="s">
        <v>68</v>
      </c>
      <c r="C1310" t="s">
        <v>3294</v>
      </c>
      <c r="D1310" t="s">
        <v>70</v>
      </c>
      <c r="E1310" t="s">
        <v>132</v>
      </c>
      <c r="F1310">
        <v>6</v>
      </c>
      <c r="G1310">
        <v>18</v>
      </c>
      <c r="H1310">
        <v>1</v>
      </c>
      <c r="I1310">
        <v>1</v>
      </c>
      <c r="J1310">
        <v>0</v>
      </c>
      <c r="K1310" t="s">
        <v>110</v>
      </c>
      <c r="L1310" t="s">
        <v>111</v>
      </c>
      <c r="M1310" s="4">
        <v>275000000</v>
      </c>
      <c r="N1310">
        <v>0</v>
      </c>
      <c r="O1310">
        <v>4.6773028999999999</v>
      </c>
      <c r="P1310">
        <v>-74.053129999999996</v>
      </c>
      <c r="Q1310" t="s">
        <v>4026</v>
      </c>
      <c r="R1310">
        <v>15277777.779999999</v>
      </c>
      <c r="S1310">
        <v>0</v>
      </c>
      <c r="T1310" t="s">
        <v>75</v>
      </c>
      <c r="U1310" t="s">
        <v>76</v>
      </c>
      <c r="V1310" t="s">
        <v>77</v>
      </c>
      <c r="W1310" t="s">
        <v>78</v>
      </c>
      <c r="X1310" t="s">
        <v>79</v>
      </c>
      <c r="Y1310">
        <v>4.01276452115511</v>
      </c>
      <c r="Z1310">
        <v>4012.7645211551098</v>
      </c>
      <c r="AA1310">
        <v>4.6584666666666701</v>
      </c>
      <c r="AB1310">
        <v>-74.083966666666697</v>
      </c>
      <c r="AC1310">
        <v>2552</v>
      </c>
      <c r="AD1310">
        <v>0</v>
      </c>
      <c r="AE1310" t="s">
        <v>80</v>
      </c>
      <c r="AF1310" t="s">
        <v>81</v>
      </c>
      <c r="AG1310" t="s">
        <v>82</v>
      </c>
      <c r="AH1310" t="s">
        <v>83</v>
      </c>
      <c r="AI1310" t="s">
        <v>130</v>
      </c>
      <c r="AJ1310">
        <v>0.66878573925118701</v>
      </c>
      <c r="AK1310">
        <v>1.47806830152258</v>
      </c>
      <c r="AL1310">
        <v>0.93520577071382005</v>
      </c>
      <c r="AM1310">
        <v>5.1524877232809602E-2</v>
      </c>
      <c r="AN1310">
        <v>3.2091108659854801</v>
      </c>
      <c r="AO1310">
        <v>0.71175139708906698</v>
      </c>
      <c r="AP1310">
        <v>0.71175139708906698</v>
      </c>
      <c r="AQ1310">
        <v>0</v>
      </c>
      <c r="AR1310">
        <v>3</v>
      </c>
      <c r="AS1310">
        <v>0</v>
      </c>
      <c r="AT1310">
        <v>0</v>
      </c>
      <c r="AU1310">
        <v>3</v>
      </c>
      <c r="AV1310">
        <v>258</v>
      </c>
      <c r="AW1310">
        <v>0</v>
      </c>
      <c r="AX1310">
        <v>0</v>
      </c>
      <c r="AZ1310">
        <v>6.8</v>
      </c>
      <c r="BA1310">
        <v>19.899999999999999</v>
      </c>
      <c r="BB1310">
        <v>564</v>
      </c>
      <c r="BC1310">
        <v>68</v>
      </c>
      <c r="BD1310">
        <v>1.5</v>
      </c>
      <c r="BE1310">
        <v>135</v>
      </c>
      <c r="BF1310">
        <v>0.8</v>
      </c>
      <c r="BG1310">
        <v>162</v>
      </c>
      <c r="BH1310">
        <v>9.1</v>
      </c>
      <c r="BI1310">
        <v>9.1999999999999993</v>
      </c>
      <c r="BJ1310">
        <v>18.3</v>
      </c>
      <c r="BK1310">
        <v>0.34</v>
      </c>
      <c r="BL1310">
        <v>7.3</v>
      </c>
      <c r="BM1310">
        <v>0.9</v>
      </c>
      <c r="BN1310">
        <v>7.5</v>
      </c>
      <c r="BO1310">
        <v>2.9</v>
      </c>
      <c r="BP1310">
        <f t="shared" si="40"/>
        <v>5.5749913645474436</v>
      </c>
      <c r="BQ1310">
        <f t="shared" si="41"/>
        <v>18.07289646675251</v>
      </c>
    </row>
    <row r="1311" spans="1:69" hidden="1" x14ac:dyDescent="0.2">
      <c r="A1311" t="s">
        <v>4007</v>
      </c>
      <c r="B1311" t="s">
        <v>68</v>
      </c>
      <c r="C1311" t="s">
        <v>3294</v>
      </c>
      <c r="D1311" t="s">
        <v>70</v>
      </c>
      <c r="E1311" t="s">
        <v>136</v>
      </c>
      <c r="F1311">
        <v>4</v>
      </c>
      <c r="G1311">
        <v>18</v>
      </c>
      <c r="H1311">
        <v>1</v>
      </c>
      <c r="I1311">
        <v>1</v>
      </c>
      <c r="J1311">
        <v>0</v>
      </c>
      <c r="K1311" t="s">
        <v>110</v>
      </c>
      <c r="L1311" t="s">
        <v>111</v>
      </c>
      <c r="M1311" s="4">
        <v>235000000</v>
      </c>
      <c r="N1311">
        <v>0</v>
      </c>
      <c r="O1311">
        <v>4.620807171</v>
      </c>
      <c r="P1311">
        <v>-74.069808960000003</v>
      </c>
      <c r="Q1311" t="s">
        <v>4008</v>
      </c>
      <c r="R1311">
        <v>13055555.560000001</v>
      </c>
      <c r="S1311">
        <v>0</v>
      </c>
      <c r="T1311" t="s">
        <v>126</v>
      </c>
      <c r="U1311" t="s">
        <v>127</v>
      </c>
      <c r="V1311" t="s">
        <v>77</v>
      </c>
      <c r="W1311" t="s">
        <v>128</v>
      </c>
      <c r="X1311" t="s">
        <v>129</v>
      </c>
      <c r="Y1311">
        <v>0.60809773645286203</v>
      </c>
      <c r="Z1311">
        <v>608.09773645286202</v>
      </c>
      <c r="AA1311">
        <v>4.6254861111111101</v>
      </c>
      <c r="AB1311">
        <v>-74.066980555555503</v>
      </c>
      <c r="AC1311">
        <v>2621</v>
      </c>
      <c r="AD1311">
        <v>15</v>
      </c>
      <c r="AE1311" t="s">
        <v>80</v>
      </c>
      <c r="AF1311" t="s">
        <v>81</v>
      </c>
      <c r="AG1311" t="s">
        <v>82</v>
      </c>
      <c r="AH1311" t="s">
        <v>83</v>
      </c>
      <c r="AI1311" t="s">
        <v>138</v>
      </c>
      <c r="AJ1311">
        <v>8.5492623193352907E-2</v>
      </c>
      <c r="AK1311">
        <v>0.90726769379138505</v>
      </c>
      <c r="AL1311">
        <v>0.29340098349553601</v>
      </c>
      <c r="AM1311">
        <v>6.3275620831689597E-2</v>
      </c>
      <c r="AN1311">
        <v>0.72016079740841799</v>
      </c>
      <c r="AO1311">
        <v>6.5837343293662295E-2</v>
      </c>
      <c r="AP1311">
        <v>6.5837343293662295E-2</v>
      </c>
      <c r="AQ1311">
        <v>1</v>
      </c>
      <c r="AR1311">
        <v>6</v>
      </c>
      <c r="AS1311">
        <v>0</v>
      </c>
      <c r="AT1311">
        <v>3</v>
      </c>
      <c r="AU1311">
        <v>17</v>
      </c>
      <c r="AV1311">
        <v>92</v>
      </c>
      <c r="AW1311">
        <v>2</v>
      </c>
      <c r="AX1311">
        <v>1</v>
      </c>
      <c r="AZ1311">
        <v>6.8</v>
      </c>
      <c r="BA1311">
        <v>19.899999999999999</v>
      </c>
      <c r="BB1311">
        <v>564</v>
      </c>
      <c r="BC1311">
        <v>68</v>
      </c>
      <c r="BD1311">
        <v>1.5</v>
      </c>
      <c r="BE1311">
        <v>135</v>
      </c>
      <c r="BF1311">
        <v>0.8</v>
      </c>
      <c r="BG1311">
        <v>162</v>
      </c>
      <c r="BH1311">
        <v>9.1</v>
      </c>
      <c r="BI1311">
        <v>9.1999999999999993</v>
      </c>
      <c r="BJ1311">
        <v>18.3</v>
      </c>
      <c r="BK1311">
        <v>0.34</v>
      </c>
      <c r="BL1311">
        <v>7.3</v>
      </c>
      <c r="BM1311">
        <v>0.9</v>
      </c>
      <c r="BN1311">
        <v>7.5</v>
      </c>
      <c r="BO1311">
        <v>2.9</v>
      </c>
      <c r="BP1311">
        <f t="shared" si="40"/>
        <v>6.5983642290303255</v>
      </c>
      <c r="BQ1311">
        <f t="shared" si="41"/>
        <v>19.611681548157861</v>
      </c>
    </row>
    <row r="1312" spans="1:69" hidden="1" x14ac:dyDescent="0.2">
      <c r="A1312" t="s">
        <v>3915</v>
      </c>
      <c r="B1312" t="s">
        <v>68</v>
      </c>
      <c r="C1312" t="s">
        <v>3294</v>
      </c>
      <c r="D1312" t="s">
        <v>70</v>
      </c>
      <c r="E1312" t="s">
        <v>381</v>
      </c>
      <c r="F1312">
        <v>3</v>
      </c>
      <c r="G1312">
        <v>18</v>
      </c>
      <c r="H1312">
        <v>1</v>
      </c>
      <c r="I1312">
        <v>1</v>
      </c>
      <c r="J1312">
        <v>0</v>
      </c>
      <c r="K1312" t="s">
        <v>110</v>
      </c>
      <c r="L1312" t="s">
        <v>111</v>
      </c>
      <c r="M1312" s="4">
        <v>210000000</v>
      </c>
      <c r="N1312">
        <v>0</v>
      </c>
      <c r="O1312">
        <v>4.6020183560000003</v>
      </c>
      <c r="P1312">
        <v>-74.069892879999998</v>
      </c>
      <c r="Q1312" t="s">
        <v>3916</v>
      </c>
      <c r="R1312">
        <v>11666666.67</v>
      </c>
      <c r="S1312">
        <v>0</v>
      </c>
      <c r="T1312" t="s">
        <v>126</v>
      </c>
      <c r="U1312" t="s">
        <v>127</v>
      </c>
      <c r="V1312" t="s">
        <v>77</v>
      </c>
      <c r="W1312" t="s">
        <v>128</v>
      </c>
      <c r="X1312" t="s">
        <v>129</v>
      </c>
      <c r="Y1312">
        <v>2.6323288673612</v>
      </c>
      <c r="Z1312">
        <v>2632.3288673612001</v>
      </c>
      <c r="AA1312">
        <v>4.6254861111111101</v>
      </c>
      <c r="AB1312">
        <v>-74.066980555555503</v>
      </c>
      <c r="AC1312">
        <v>2621</v>
      </c>
      <c r="AD1312">
        <v>15</v>
      </c>
      <c r="AE1312" t="s">
        <v>80</v>
      </c>
      <c r="AF1312" t="s">
        <v>81</v>
      </c>
      <c r="AG1312" t="s">
        <v>82</v>
      </c>
      <c r="AH1312" t="s">
        <v>83</v>
      </c>
      <c r="AI1312" t="s">
        <v>138</v>
      </c>
      <c r="AJ1312">
        <v>0.176644836774623</v>
      </c>
      <c r="AK1312">
        <v>0.68033613950615601</v>
      </c>
      <c r="AL1312">
        <v>0.23132781887093101</v>
      </c>
      <c r="AM1312">
        <v>0.187684442493078</v>
      </c>
      <c r="AN1312">
        <v>1.51723864759208</v>
      </c>
      <c r="AO1312">
        <v>0.135348438087284</v>
      </c>
      <c r="AP1312">
        <v>0.135348438087284</v>
      </c>
      <c r="AQ1312">
        <v>3</v>
      </c>
      <c r="AR1312">
        <v>6</v>
      </c>
      <c r="AS1312">
        <v>0</v>
      </c>
      <c r="AT1312">
        <v>50</v>
      </c>
      <c r="AU1312">
        <v>14</v>
      </c>
      <c r="AV1312">
        <v>50</v>
      </c>
      <c r="AW1312">
        <v>0</v>
      </c>
      <c r="AX1312">
        <v>7</v>
      </c>
      <c r="AZ1312">
        <v>6.8</v>
      </c>
      <c r="BA1312">
        <v>19.899999999999999</v>
      </c>
      <c r="BB1312">
        <v>564</v>
      </c>
      <c r="BC1312">
        <v>68</v>
      </c>
      <c r="BD1312">
        <v>1.5</v>
      </c>
      <c r="BE1312">
        <v>135</v>
      </c>
      <c r="BF1312">
        <v>0.8</v>
      </c>
      <c r="BG1312">
        <v>162</v>
      </c>
      <c r="BH1312">
        <v>9.1</v>
      </c>
      <c r="BI1312">
        <v>9.1999999999999993</v>
      </c>
      <c r="BJ1312">
        <v>18.3</v>
      </c>
      <c r="BK1312">
        <v>0.34</v>
      </c>
      <c r="BL1312">
        <v>7.3</v>
      </c>
      <c r="BM1312">
        <v>0.9</v>
      </c>
      <c r="BN1312">
        <v>7.5</v>
      </c>
      <c r="BO1312">
        <v>2.9</v>
      </c>
      <c r="BP1312">
        <f t="shared" si="40"/>
        <v>5.9692562192200613</v>
      </c>
      <c r="BQ1312">
        <f t="shared" si="41"/>
        <v>18.681688862532958</v>
      </c>
    </row>
    <row r="1313" spans="1:69" hidden="1" x14ac:dyDescent="0.2">
      <c r="A1313" t="s">
        <v>4453</v>
      </c>
      <c r="B1313" t="s">
        <v>68</v>
      </c>
      <c r="C1313" t="s">
        <v>3294</v>
      </c>
      <c r="D1313" t="s">
        <v>70</v>
      </c>
      <c r="E1313" t="s">
        <v>3649</v>
      </c>
      <c r="F1313">
        <v>6</v>
      </c>
      <c r="G1313">
        <v>17.09</v>
      </c>
      <c r="H1313">
        <v>1</v>
      </c>
      <c r="I1313">
        <v>1</v>
      </c>
      <c r="J1313">
        <v>0</v>
      </c>
      <c r="K1313" t="s">
        <v>110</v>
      </c>
      <c r="L1313" t="s">
        <v>111</v>
      </c>
      <c r="M1313" s="4">
        <v>298000000</v>
      </c>
      <c r="N1313">
        <v>0</v>
      </c>
      <c r="O1313">
        <v>4.6797000000000004</v>
      </c>
      <c r="P1313">
        <v>-74.052899999999994</v>
      </c>
      <c r="Q1313" t="s">
        <v>4454</v>
      </c>
      <c r="R1313">
        <v>17437097.719999999</v>
      </c>
      <c r="S1313">
        <v>0</v>
      </c>
      <c r="T1313" t="s">
        <v>75</v>
      </c>
      <c r="U1313" t="s">
        <v>76</v>
      </c>
      <c r="V1313" t="s">
        <v>77</v>
      </c>
      <c r="W1313" t="s">
        <v>78</v>
      </c>
      <c r="X1313" t="s">
        <v>79</v>
      </c>
      <c r="Y1313">
        <v>4.17944596942489</v>
      </c>
      <c r="Z1313">
        <v>4179.4459694248899</v>
      </c>
      <c r="AA1313">
        <v>4.6584666666666701</v>
      </c>
      <c r="AB1313">
        <v>-74.083966666666697</v>
      </c>
      <c r="AC1313">
        <v>2552</v>
      </c>
      <c r="AD1313">
        <v>0</v>
      </c>
      <c r="AE1313" t="s">
        <v>80</v>
      </c>
      <c r="AF1313" t="s">
        <v>81</v>
      </c>
      <c r="AG1313" t="s">
        <v>82</v>
      </c>
      <c r="AH1313" t="s">
        <v>83</v>
      </c>
      <c r="AI1313" t="s">
        <v>130</v>
      </c>
      <c r="AJ1313">
        <v>0.71081335312402505</v>
      </c>
      <c r="AK1313">
        <v>1.6115656048806599</v>
      </c>
      <c r="AL1313">
        <v>0.66969420811301095</v>
      </c>
      <c r="AM1313">
        <v>2.7362594421733E-2</v>
      </c>
      <c r="AN1313">
        <v>3.27659541007091</v>
      </c>
      <c r="AO1313">
        <v>0.65723921997657297</v>
      </c>
      <c r="AP1313">
        <v>0.65723921997657297</v>
      </c>
      <c r="AQ1313">
        <v>0</v>
      </c>
      <c r="AR1313">
        <v>2</v>
      </c>
      <c r="AS1313">
        <v>0</v>
      </c>
      <c r="AT1313">
        <v>0</v>
      </c>
      <c r="AU1313">
        <v>5</v>
      </c>
      <c r="AV1313">
        <v>220</v>
      </c>
      <c r="AW1313">
        <v>0</v>
      </c>
      <c r="AX1313">
        <v>0</v>
      </c>
      <c r="AZ1313">
        <v>6.8</v>
      </c>
      <c r="BA1313">
        <v>19.899999999999999</v>
      </c>
      <c r="BB1313">
        <v>564</v>
      </c>
      <c r="BC1313">
        <v>68</v>
      </c>
      <c r="BD1313">
        <v>1.5</v>
      </c>
      <c r="BE1313">
        <v>135</v>
      </c>
      <c r="BF1313">
        <v>0.8</v>
      </c>
      <c r="BG1313">
        <v>162</v>
      </c>
      <c r="BH1313">
        <v>9.1</v>
      </c>
      <c r="BI1313">
        <v>9.1999999999999993</v>
      </c>
      <c r="BJ1313">
        <v>18.3</v>
      </c>
      <c r="BK1313">
        <v>0.34</v>
      </c>
      <c r="BL1313">
        <v>7.3</v>
      </c>
      <c r="BM1313">
        <v>0.9</v>
      </c>
      <c r="BN1313">
        <v>7.5</v>
      </c>
      <c r="BO1313">
        <v>2.9</v>
      </c>
      <c r="BP1313">
        <f t="shared" si="40"/>
        <v>5.5291828434026229</v>
      </c>
      <c r="BQ1313">
        <f t="shared" si="41"/>
        <v>18.00074288555507</v>
      </c>
    </row>
    <row r="1314" spans="1:69" hidden="1" x14ac:dyDescent="0.2">
      <c r="A1314" t="s">
        <v>3426</v>
      </c>
      <c r="B1314" t="s">
        <v>68</v>
      </c>
      <c r="C1314" t="s">
        <v>3294</v>
      </c>
      <c r="D1314" t="s">
        <v>70</v>
      </c>
      <c r="E1314" t="s">
        <v>229</v>
      </c>
      <c r="F1314">
        <v>6</v>
      </c>
      <c r="G1314">
        <v>17</v>
      </c>
      <c r="H1314">
        <v>1</v>
      </c>
      <c r="I1314">
        <v>1</v>
      </c>
      <c r="J1314">
        <v>0</v>
      </c>
      <c r="K1314" t="s">
        <v>110</v>
      </c>
      <c r="L1314" t="s">
        <v>111</v>
      </c>
      <c r="M1314" s="4">
        <v>300000000</v>
      </c>
      <c r="N1314">
        <v>0</v>
      </c>
      <c r="O1314">
        <v>4.6781046850000001</v>
      </c>
      <c r="P1314">
        <v>-74.052261920000007</v>
      </c>
      <c r="Q1314" t="s">
        <v>3427</v>
      </c>
      <c r="R1314">
        <v>17647058.82</v>
      </c>
      <c r="S1314">
        <v>0</v>
      </c>
      <c r="T1314" t="s">
        <v>75</v>
      </c>
      <c r="U1314" t="s">
        <v>76</v>
      </c>
      <c r="V1314" t="s">
        <v>77</v>
      </c>
      <c r="W1314" t="s">
        <v>78</v>
      </c>
      <c r="X1314" t="s">
        <v>79</v>
      </c>
      <c r="Y1314">
        <v>4.1416004971254603</v>
      </c>
      <c r="Z1314">
        <v>4141.6004971254597</v>
      </c>
      <c r="AA1314">
        <v>4.6584666666666701</v>
      </c>
      <c r="AB1314">
        <v>-74.083966666666697</v>
      </c>
      <c r="AC1314">
        <v>2552</v>
      </c>
      <c r="AD1314">
        <v>0</v>
      </c>
      <c r="AE1314" t="s">
        <v>80</v>
      </c>
      <c r="AF1314" t="s">
        <v>81</v>
      </c>
      <c r="AG1314" t="s">
        <v>82</v>
      </c>
      <c r="AH1314" t="s">
        <v>83</v>
      </c>
      <c r="AI1314" t="s">
        <v>130</v>
      </c>
      <c r="AJ1314">
        <v>0.78464787877637399</v>
      </c>
      <c r="AK1314">
        <v>1.47119290417534</v>
      </c>
      <c r="AL1314">
        <v>0.84808387531690999</v>
      </c>
      <c r="AM1314">
        <v>0.113683694751261</v>
      </c>
      <c r="AN1314">
        <v>3.3161970009147201</v>
      </c>
      <c r="AO1314">
        <v>0.76500545451985502</v>
      </c>
      <c r="AP1314">
        <v>0.76500545451985502</v>
      </c>
      <c r="AQ1314">
        <v>0</v>
      </c>
      <c r="AR1314">
        <v>2</v>
      </c>
      <c r="AS1314">
        <v>0</v>
      </c>
      <c r="AT1314">
        <v>0</v>
      </c>
      <c r="AU1314">
        <v>2</v>
      </c>
      <c r="AV1314">
        <v>207</v>
      </c>
      <c r="AW1314">
        <v>0</v>
      </c>
      <c r="AX1314">
        <v>0</v>
      </c>
      <c r="AZ1314">
        <v>6.8</v>
      </c>
      <c r="BA1314">
        <v>19.899999999999999</v>
      </c>
      <c r="BB1314">
        <v>564</v>
      </c>
      <c r="BC1314">
        <v>68</v>
      </c>
      <c r="BD1314">
        <v>1.5</v>
      </c>
      <c r="BE1314">
        <v>135</v>
      </c>
      <c r="BF1314">
        <v>0.8</v>
      </c>
      <c r="BG1314">
        <v>162</v>
      </c>
      <c r="BH1314">
        <v>9.1</v>
      </c>
      <c r="BI1314">
        <v>9.1999999999999993</v>
      </c>
      <c r="BJ1314">
        <v>18.3</v>
      </c>
      <c r="BK1314">
        <v>0.34</v>
      </c>
      <c r="BL1314">
        <v>7.3</v>
      </c>
      <c r="BM1314">
        <v>0.9</v>
      </c>
      <c r="BN1314">
        <v>7.5</v>
      </c>
      <c r="BO1314">
        <v>2.9</v>
      </c>
      <c r="BP1314">
        <f t="shared" si="40"/>
        <v>5.5395506511802797</v>
      </c>
      <c r="BQ1314">
        <f t="shared" si="41"/>
        <v>18.017100231838327</v>
      </c>
    </row>
    <row r="1315" spans="1:69" hidden="1" x14ac:dyDescent="0.2">
      <c r="A1315" t="s">
        <v>3679</v>
      </c>
      <c r="B1315" t="s">
        <v>68</v>
      </c>
      <c r="C1315" t="s">
        <v>3294</v>
      </c>
      <c r="D1315" t="s">
        <v>70</v>
      </c>
      <c r="E1315" t="s">
        <v>229</v>
      </c>
      <c r="F1315">
        <v>6</v>
      </c>
      <c r="G1315">
        <v>17</v>
      </c>
      <c r="H1315">
        <v>1</v>
      </c>
      <c r="I1315">
        <v>1</v>
      </c>
      <c r="J1315">
        <v>0</v>
      </c>
      <c r="K1315" t="s">
        <v>110</v>
      </c>
      <c r="L1315" t="s">
        <v>111</v>
      </c>
      <c r="M1315" s="4">
        <v>298000000</v>
      </c>
      <c r="N1315">
        <v>0</v>
      </c>
      <c r="O1315">
        <v>4.6797599999999999</v>
      </c>
      <c r="P1315">
        <v>-74.053020000000004</v>
      </c>
      <c r="Q1315" t="s">
        <v>3680</v>
      </c>
      <c r="R1315">
        <v>17529411.760000002</v>
      </c>
      <c r="S1315">
        <v>0</v>
      </c>
      <c r="T1315" t="s">
        <v>75</v>
      </c>
      <c r="U1315" t="s">
        <v>76</v>
      </c>
      <c r="V1315" t="s">
        <v>77</v>
      </c>
      <c r="W1315" t="s">
        <v>78</v>
      </c>
      <c r="X1315" t="s">
        <v>79</v>
      </c>
      <c r="Y1315">
        <v>4.17226336837797</v>
      </c>
      <c r="Z1315">
        <v>4172.2633683779704</v>
      </c>
      <c r="AA1315">
        <v>4.6584666666666701</v>
      </c>
      <c r="AB1315">
        <v>-74.083966666666697</v>
      </c>
      <c r="AC1315">
        <v>2552</v>
      </c>
      <c r="AD1315">
        <v>0</v>
      </c>
      <c r="AE1315" t="s">
        <v>80</v>
      </c>
      <c r="AF1315" t="s">
        <v>81</v>
      </c>
      <c r="AG1315" t="s">
        <v>82</v>
      </c>
      <c r="AH1315" t="s">
        <v>83</v>
      </c>
      <c r="AI1315" t="s">
        <v>130</v>
      </c>
      <c r="AJ1315">
        <v>0.69645482471546805</v>
      </c>
      <c r="AK1315">
        <v>1.62641661952815</v>
      </c>
      <c r="AL1315">
        <v>0.66340194425071997</v>
      </c>
      <c r="AM1315">
        <v>3.9579235140639102E-2</v>
      </c>
      <c r="AN1315">
        <v>3.264884130245</v>
      </c>
      <c r="AO1315">
        <v>0.64332313669566799</v>
      </c>
      <c r="AP1315">
        <v>0.64332313669566799</v>
      </c>
      <c r="AQ1315">
        <v>0</v>
      </c>
      <c r="AR1315">
        <v>2</v>
      </c>
      <c r="AS1315">
        <v>0</v>
      </c>
      <c r="AT1315">
        <v>0</v>
      </c>
      <c r="AU1315">
        <v>5</v>
      </c>
      <c r="AV1315">
        <v>220</v>
      </c>
      <c r="AW1315">
        <v>0</v>
      </c>
      <c r="AX1315">
        <v>0</v>
      </c>
      <c r="AZ1315">
        <v>6.8</v>
      </c>
      <c r="BA1315">
        <v>19.899999999999999</v>
      </c>
      <c r="BB1315">
        <v>564</v>
      </c>
      <c r="BC1315">
        <v>68</v>
      </c>
      <c r="BD1315">
        <v>1.5</v>
      </c>
      <c r="BE1315">
        <v>135</v>
      </c>
      <c r="BF1315">
        <v>0.8</v>
      </c>
      <c r="BG1315">
        <v>162</v>
      </c>
      <c r="BH1315">
        <v>9.1</v>
      </c>
      <c r="BI1315">
        <v>9.1999999999999993</v>
      </c>
      <c r="BJ1315">
        <v>18.3</v>
      </c>
      <c r="BK1315">
        <v>0.34</v>
      </c>
      <c r="BL1315">
        <v>7.3</v>
      </c>
      <c r="BM1315">
        <v>0.9</v>
      </c>
      <c r="BN1315">
        <v>7.5</v>
      </c>
      <c r="BO1315">
        <v>2.9</v>
      </c>
      <c r="BP1315">
        <f t="shared" si="40"/>
        <v>5.5311490316767147</v>
      </c>
      <c r="BQ1315">
        <f t="shared" si="41"/>
        <v>18.003846164735467</v>
      </c>
    </row>
    <row r="1316" spans="1:69" hidden="1" x14ac:dyDescent="0.2">
      <c r="A1316" t="s">
        <v>4661</v>
      </c>
      <c r="B1316" t="s">
        <v>68</v>
      </c>
      <c r="C1316" t="s">
        <v>3294</v>
      </c>
      <c r="D1316" t="s">
        <v>70</v>
      </c>
      <c r="E1316" t="s">
        <v>1074</v>
      </c>
      <c r="F1316">
        <v>6</v>
      </c>
      <c r="G1316">
        <v>17</v>
      </c>
      <c r="H1316">
        <v>1</v>
      </c>
      <c r="I1316">
        <v>1</v>
      </c>
      <c r="J1316">
        <v>0</v>
      </c>
      <c r="K1316" t="s">
        <v>110</v>
      </c>
      <c r="L1316" t="s">
        <v>111</v>
      </c>
      <c r="M1316" s="4">
        <v>285000000</v>
      </c>
      <c r="N1316">
        <v>0</v>
      </c>
      <c r="O1316">
        <v>4.6843304630000002</v>
      </c>
      <c r="P1316">
        <v>-74.057121280000004</v>
      </c>
      <c r="Q1316" t="s">
        <v>4662</v>
      </c>
      <c r="R1316">
        <v>16764705.880000001</v>
      </c>
      <c r="S1316">
        <v>0</v>
      </c>
      <c r="T1316" t="s">
        <v>75</v>
      </c>
      <c r="U1316" t="s">
        <v>76</v>
      </c>
      <c r="V1316" t="s">
        <v>77</v>
      </c>
      <c r="W1316" t="s">
        <v>78</v>
      </c>
      <c r="X1316" t="s">
        <v>79</v>
      </c>
      <c r="Y1316">
        <v>4.1425671985115899</v>
      </c>
      <c r="Z1316">
        <v>4142.5671985115896</v>
      </c>
      <c r="AA1316">
        <v>4.6584666666666701</v>
      </c>
      <c r="AB1316">
        <v>-74.083966666666697</v>
      </c>
      <c r="AC1316">
        <v>2552</v>
      </c>
      <c r="AD1316">
        <v>0</v>
      </c>
      <c r="AE1316" t="s">
        <v>80</v>
      </c>
      <c r="AF1316" t="s">
        <v>81</v>
      </c>
      <c r="AG1316" t="s">
        <v>82</v>
      </c>
      <c r="AH1316" t="s">
        <v>83</v>
      </c>
      <c r="AI1316" t="s">
        <v>130</v>
      </c>
      <c r="AJ1316">
        <v>7.7894453601892094E-2</v>
      </c>
      <c r="AK1316">
        <v>2.2638577744548698</v>
      </c>
      <c r="AL1316">
        <v>0.50362570346152502</v>
      </c>
      <c r="AM1316">
        <v>1.9398409097633101E-2</v>
      </c>
      <c r="AN1316">
        <v>2.9793830561732402</v>
      </c>
      <c r="AO1316">
        <v>0.143732031112032</v>
      </c>
      <c r="AP1316">
        <v>0.143732031112032</v>
      </c>
      <c r="AQ1316">
        <v>1</v>
      </c>
      <c r="AR1316">
        <v>6</v>
      </c>
      <c r="AS1316">
        <v>0</v>
      </c>
      <c r="AT1316">
        <v>0</v>
      </c>
      <c r="AU1316">
        <v>5</v>
      </c>
      <c r="AV1316">
        <v>235</v>
      </c>
      <c r="AW1316">
        <v>0</v>
      </c>
      <c r="AX1316">
        <v>0</v>
      </c>
      <c r="AZ1316">
        <v>6.8</v>
      </c>
      <c r="BA1316">
        <v>19.899999999999999</v>
      </c>
      <c r="BB1316">
        <v>564</v>
      </c>
      <c r="BC1316">
        <v>68</v>
      </c>
      <c r="BD1316">
        <v>1.5</v>
      </c>
      <c r="BE1316">
        <v>135</v>
      </c>
      <c r="BF1316">
        <v>0.8</v>
      </c>
      <c r="BG1316">
        <v>162</v>
      </c>
      <c r="BH1316">
        <v>9.1</v>
      </c>
      <c r="BI1316">
        <v>9.1999999999999993</v>
      </c>
      <c r="BJ1316">
        <v>18.3</v>
      </c>
      <c r="BK1316">
        <v>0.34</v>
      </c>
      <c r="BL1316">
        <v>7.3</v>
      </c>
      <c r="BM1316">
        <v>0.9</v>
      </c>
      <c r="BN1316">
        <v>7.5</v>
      </c>
      <c r="BO1316">
        <v>2.9</v>
      </c>
      <c r="BP1316">
        <f t="shared" si="40"/>
        <v>5.5392855805033694</v>
      </c>
      <c r="BQ1316">
        <f t="shared" si="41"/>
        <v>18.016682224948966</v>
      </c>
    </row>
    <row r="1317" spans="1:69" hidden="1" x14ac:dyDescent="0.2">
      <c r="A1317" t="s">
        <v>3696</v>
      </c>
      <c r="B1317" t="s">
        <v>68</v>
      </c>
      <c r="C1317" t="s">
        <v>3294</v>
      </c>
      <c r="D1317" t="s">
        <v>70</v>
      </c>
      <c r="E1317" t="s">
        <v>811</v>
      </c>
      <c r="F1317">
        <v>4</v>
      </c>
      <c r="G1317">
        <v>17</v>
      </c>
      <c r="H1317">
        <v>1</v>
      </c>
      <c r="I1317">
        <v>1</v>
      </c>
      <c r="J1317">
        <v>0</v>
      </c>
      <c r="K1317" t="s">
        <v>110</v>
      </c>
      <c r="L1317" t="s">
        <v>111</v>
      </c>
      <c r="M1317" s="4">
        <v>220000000</v>
      </c>
      <c r="N1317">
        <v>0</v>
      </c>
      <c r="O1317">
        <v>4.6492643359999999</v>
      </c>
      <c r="P1317">
        <v>-74.06062317</v>
      </c>
      <c r="Q1317" t="s">
        <v>3697</v>
      </c>
      <c r="R1317">
        <v>12941176.470000001</v>
      </c>
      <c r="S1317">
        <v>0</v>
      </c>
      <c r="T1317" t="s">
        <v>126</v>
      </c>
      <c r="U1317" t="s">
        <v>127</v>
      </c>
      <c r="V1317" t="s">
        <v>77</v>
      </c>
      <c r="W1317" t="s">
        <v>128</v>
      </c>
      <c r="X1317" t="s">
        <v>129</v>
      </c>
      <c r="Y1317">
        <v>2.73935564023019</v>
      </c>
      <c r="Z1317">
        <v>2739.3556402301901</v>
      </c>
      <c r="AA1317">
        <v>4.6254861111111101</v>
      </c>
      <c r="AB1317">
        <v>-74.066980555555503</v>
      </c>
      <c r="AC1317">
        <v>2621</v>
      </c>
      <c r="AD1317">
        <v>15</v>
      </c>
      <c r="AE1317" t="s">
        <v>80</v>
      </c>
      <c r="AF1317" t="s">
        <v>81</v>
      </c>
      <c r="AG1317" t="s">
        <v>82</v>
      </c>
      <c r="AH1317" t="s">
        <v>83</v>
      </c>
      <c r="AI1317" t="s">
        <v>130</v>
      </c>
      <c r="AJ1317">
        <v>0.48047507213726798</v>
      </c>
      <c r="AK1317">
        <v>0.94883221163235598</v>
      </c>
      <c r="AL1317">
        <v>0.122969964216448</v>
      </c>
      <c r="AM1317">
        <v>2.01978275070629E-2</v>
      </c>
      <c r="AN1317">
        <v>0.88110064595439497</v>
      </c>
      <c r="AO1317">
        <v>4.4696621889111401E-2</v>
      </c>
      <c r="AP1317">
        <v>4.4696621889111401E-2</v>
      </c>
      <c r="AQ1317">
        <v>1</v>
      </c>
      <c r="AR1317">
        <v>3</v>
      </c>
      <c r="AS1317">
        <v>0</v>
      </c>
      <c r="AT1317">
        <v>5</v>
      </c>
      <c r="AU1317">
        <v>16</v>
      </c>
      <c r="AV1317">
        <v>81</v>
      </c>
      <c r="AW1317">
        <v>1</v>
      </c>
      <c r="AX1317">
        <v>0</v>
      </c>
      <c r="AZ1317">
        <v>6.8</v>
      </c>
      <c r="BA1317">
        <v>19.899999999999999</v>
      </c>
      <c r="BB1317">
        <v>564</v>
      </c>
      <c r="BC1317">
        <v>68</v>
      </c>
      <c r="BD1317">
        <v>1.5</v>
      </c>
      <c r="BE1317">
        <v>135</v>
      </c>
      <c r="BF1317">
        <v>0.8</v>
      </c>
      <c r="BG1317">
        <v>162</v>
      </c>
      <c r="BH1317">
        <v>9.1</v>
      </c>
      <c r="BI1317">
        <v>9.1999999999999993</v>
      </c>
      <c r="BJ1317">
        <v>18.3</v>
      </c>
      <c r="BK1317">
        <v>0.34</v>
      </c>
      <c r="BL1317">
        <v>7.3</v>
      </c>
      <c r="BM1317">
        <v>0.9</v>
      </c>
      <c r="BN1317">
        <v>7.5</v>
      </c>
      <c r="BO1317">
        <v>2.9</v>
      </c>
      <c r="BP1317">
        <f t="shared" si="40"/>
        <v>5.9377157645353433</v>
      </c>
      <c r="BQ1317">
        <f t="shared" si="41"/>
        <v>18.63376385908813</v>
      </c>
    </row>
    <row r="1318" spans="1:69" hidden="1" x14ac:dyDescent="0.2">
      <c r="A1318" t="s">
        <v>3355</v>
      </c>
      <c r="B1318" t="s">
        <v>68</v>
      </c>
      <c r="C1318" t="s">
        <v>3294</v>
      </c>
      <c r="D1318" t="s">
        <v>70</v>
      </c>
      <c r="E1318" t="s">
        <v>2521</v>
      </c>
      <c r="F1318">
        <v>4</v>
      </c>
      <c r="G1318">
        <v>16.5</v>
      </c>
      <c r="H1318">
        <v>1</v>
      </c>
      <c r="I1318">
        <v>1</v>
      </c>
      <c r="J1318">
        <v>1</v>
      </c>
      <c r="K1318" t="s">
        <v>110</v>
      </c>
      <c r="L1318" t="s">
        <v>111</v>
      </c>
      <c r="M1318" s="4">
        <v>526000000</v>
      </c>
      <c r="N1318">
        <v>0</v>
      </c>
      <c r="O1318">
        <v>4.6712499999999997</v>
      </c>
      <c r="P1318">
        <v>-74.064930000000004</v>
      </c>
      <c r="Q1318" t="s">
        <v>3356</v>
      </c>
      <c r="R1318">
        <v>31878787.879999999</v>
      </c>
      <c r="S1318">
        <v>0</v>
      </c>
      <c r="T1318" t="s">
        <v>75</v>
      </c>
      <c r="U1318" t="s">
        <v>76</v>
      </c>
      <c r="V1318" t="s">
        <v>77</v>
      </c>
      <c r="W1318" t="s">
        <v>78</v>
      </c>
      <c r="X1318" t="s">
        <v>79</v>
      </c>
      <c r="Y1318">
        <v>2.5467879479722999</v>
      </c>
      <c r="Z1318">
        <v>2546.7879479723001</v>
      </c>
      <c r="AA1318">
        <v>4.6584666666666701</v>
      </c>
      <c r="AB1318">
        <v>-74.083966666666697</v>
      </c>
      <c r="AC1318">
        <v>2552</v>
      </c>
      <c r="AD1318">
        <v>0</v>
      </c>
      <c r="AE1318" t="s">
        <v>80</v>
      </c>
      <c r="AF1318" t="s">
        <v>81</v>
      </c>
      <c r="AG1318" t="s">
        <v>82</v>
      </c>
      <c r="AH1318" t="s">
        <v>83</v>
      </c>
      <c r="AI1318" t="s">
        <v>342</v>
      </c>
      <c r="AJ1318">
        <v>0.136890712308541</v>
      </c>
      <c r="AK1318">
        <v>2.3076183359975002</v>
      </c>
      <c r="AL1318">
        <v>0.80888925508398402</v>
      </c>
      <c r="AM1318">
        <v>0.12815544697217901</v>
      </c>
      <c r="AN1318">
        <v>1.89867080334959</v>
      </c>
      <c r="AO1318">
        <v>4.7779363435587897E-2</v>
      </c>
      <c r="AP1318">
        <v>4.7779363435587897E-2</v>
      </c>
      <c r="AQ1318">
        <v>2</v>
      </c>
      <c r="AR1318">
        <v>9</v>
      </c>
      <c r="AS1318">
        <v>0</v>
      </c>
      <c r="AT1318">
        <v>0</v>
      </c>
      <c r="AU1318">
        <v>4</v>
      </c>
      <c r="AV1318">
        <v>230</v>
      </c>
      <c r="AW1318">
        <v>0</v>
      </c>
      <c r="AX1318">
        <v>0</v>
      </c>
      <c r="AZ1318">
        <v>6.8</v>
      </c>
      <c r="BA1318">
        <v>19.899999999999999</v>
      </c>
      <c r="BB1318">
        <v>564</v>
      </c>
      <c r="BC1318">
        <v>68</v>
      </c>
      <c r="BD1318">
        <v>1.5</v>
      </c>
      <c r="BE1318">
        <v>135</v>
      </c>
      <c r="BF1318">
        <v>0.8</v>
      </c>
      <c r="BG1318">
        <v>162</v>
      </c>
      <c r="BH1318">
        <v>9.1</v>
      </c>
      <c r="BI1318">
        <v>9.1999999999999993</v>
      </c>
      <c r="BJ1318">
        <v>18.3</v>
      </c>
      <c r="BK1318">
        <v>0.34</v>
      </c>
      <c r="BL1318">
        <v>7.3</v>
      </c>
      <c r="BM1318">
        <v>0.9</v>
      </c>
      <c r="BN1318">
        <v>7.5</v>
      </c>
      <c r="BO1318">
        <v>2.9</v>
      </c>
      <c r="BP1318">
        <f t="shared" si="40"/>
        <v>5.9945852819115446</v>
      </c>
      <c r="BQ1318">
        <f t="shared" si="41"/>
        <v>18.720081430860446</v>
      </c>
    </row>
    <row r="1319" spans="1:69" hidden="1" x14ac:dyDescent="0.2">
      <c r="A1319" t="s">
        <v>4497</v>
      </c>
      <c r="B1319" t="s">
        <v>68</v>
      </c>
      <c r="C1319" t="s">
        <v>3294</v>
      </c>
      <c r="D1319" t="s">
        <v>70</v>
      </c>
      <c r="E1319" t="s">
        <v>132</v>
      </c>
      <c r="F1319">
        <v>6</v>
      </c>
      <c r="G1319">
        <v>16</v>
      </c>
      <c r="H1319">
        <v>1</v>
      </c>
      <c r="I1319">
        <v>1</v>
      </c>
      <c r="J1319">
        <v>0</v>
      </c>
      <c r="K1319" t="s">
        <v>110</v>
      </c>
      <c r="L1319" t="s">
        <v>111</v>
      </c>
      <c r="M1319" s="4">
        <v>300000000</v>
      </c>
      <c r="N1319">
        <v>0</v>
      </c>
      <c r="O1319">
        <v>4.6773905999999998</v>
      </c>
      <c r="P1319">
        <v>-74.052758699999998</v>
      </c>
      <c r="Q1319" t="s">
        <v>4498</v>
      </c>
      <c r="R1319">
        <v>18750000</v>
      </c>
      <c r="S1319">
        <v>0</v>
      </c>
      <c r="T1319" t="s">
        <v>75</v>
      </c>
      <c r="U1319" t="s">
        <v>76</v>
      </c>
      <c r="V1319" t="s">
        <v>77</v>
      </c>
      <c r="W1319" t="s">
        <v>78</v>
      </c>
      <c r="X1319" t="s">
        <v>79</v>
      </c>
      <c r="Y1319">
        <v>4.0530113881987999</v>
      </c>
      <c r="Z1319">
        <v>4053.0113881988</v>
      </c>
      <c r="AA1319">
        <v>4.6584666666666701</v>
      </c>
      <c r="AB1319">
        <v>-74.083966666666697</v>
      </c>
      <c r="AC1319">
        <v>2552</v>
      </c>
      <c r="AD1319">
        <v>0</v>
      </c>
      <c r="AE1319" t="s">
        <v>80</v>
      </c>
      <c r="AF1319" t="s">
        <v>81</v>
      </c>
      <c r="AG1319" t="s">
        <v>82</v>
      </c>
      <c r="AH1319" t="s">
        <v>83</v>
      </c>
      <c r="AI1319" t="s">
        <v>130</v>
      </c>
      <c r="AJ1319">
        <v>0.71107756185800997</v>
      </c>
      <c r="AK1319">
        <v>1.45426260712171</v>
      </c>
      <c r="AL1319">
        <v>0.92484920510178303</v>
      </c>
      <c r="AM1319">
        <v>2.59368528508668E-2</v>
      </c>
      <c r="AN1319">
        <v>3.2511508646994098</v>
      </c>
      <c r="AO1319">
        <v>0.74403925435608798</v>
      </c>
      <c r="AP1319">
        <v>0.74403925435608798</v>
      </c>
      <c r="AQ1319">
        <v>0</v>
      </c>
      <c r="AR1319">
        <v>3</v>
      </c>
      <c r="AS1319">
        <v>0</v>
      </c>
      <c r="AT1319">
        <v>0</v>
      </c>
      <c r="AU1319">
        <v>2</v>
      </c>
      <c r="AV1319">
        <v>236</v>
      </c>
      <c r="AW1319">
        <v>0</v>
      </c>
      <c r="AX1319">
        <v>0</v>
      </c>
      <c r="AZ1319">
        <v>6.8</v>
      </c>
      <c r="BA1319">
        <v>19.899999999999999</v>
      </c>
      <c r="BB1319">
        <v>564</v>
      </c>
      <c r="BC1319">
        <v>68</v>
      </c>
      <c r="BD1319">
        <v>1.5</v>
      </c>
      <c r="BE1319">
        <v>135</v>
      </c>
      <c r="BF1319">
        <v>0.8</v>
      </c>
      <c r="BG1319">
        <v>162</v>
      </c>
      <c r="BH1319">
        <v>9.1</v>
      </c>
      <c r="BI1319">
        <v>9.1999999999999993</v>
      </c>
      <c r="BJ1319">
        <v>18.3</v>
      </c>
      <c r="BK1319">
        <v>0.34</v>
      </c>
      <c r="BL1319">
        <v>7.3</v>
      </c>
      <c r="BM1319">
        <v>0.9</v>
      </c>
      <c r="BN1319">
        <v>7.5</v>
      </c>
      <c r="BO1319">
        <v>2.9</v>
      </c>
      <c r="BP1319">
        <f t="shared" si="40"/>
        <v>5.5638958117650494</v>
      </c>
      <c r="BQ1319">
        <f t="shared" si="41"/>
        <v>18.055447836073181</v>
      </c>
    </row>
    <row r="1320" spans="1:69" hidden="1" x14ac:dyDescent="0.2">
      <c r="A1320" t="s">
        <v>4214</v>
      </c>
      <c r="B1320" t="s">
        <v>68</v>
      </c>
      <c r="C1320" t="s">
        <v>3294</v>
      </c>
      <c r="D1320" t="s">
        <v>70</v>
      </c>
      <c r="E1320" t="s">
        <v>130</v>
      </c>
      <c r="F1320">
        <v>3</v>
      </c>
      <c r="G1320">
        <v>16</v>
      </c>
      <c r="H1320">
        <v>1</v>
      </c>
      <c r="I1320">
        <v>1</v>
      </c>
      <c r="J1320">
        <v>0</v>
      </c>
      <c r="K1320" t="s">
        <v>110</v>
      </c>
      <c r="L1320" t="s">
        <v>111</v>
      </c>
      <c r="M1320" s="4">
        <v>219500000</v>
      </c>
      <c r="N1320">
        <v>0</v>
      </c>
      <c r="O1320">
        <v>4.6461673000000001</v>
      </c>
      <c r="P1320">
        <v>-74.062497100000002</v>
      </c>
      <c r="Q1320" t="s">
        <v>4215</v>
      </c>
      <c r="R1320">
        <v>13718750</v>
      </c>
      <c r="S1320">
        <v>0</v>
      </c>
      <c r="T1320" t="s">
        <v>126</v>
      </c>
      <c r="U1320" t="s">
        <v>127</v>
      </c>
      <c r="V1320" t="s">
        <v>77</v>
      </c>
      <c r="W1320" t="s">
        <v>128</v>
      </c>
      <c r="X1320" t="s">
        <v>129</v>
      </c>
      <c r="Y1320">
        <v>2.3553521790118199</v>
      </c>
      <c r="Z1320">
        <v>2355.3521790118202</v>
      </c>
      <c r="AA1320">
        <v>4.6254861111111101</v>
      </c>
      <c r="AB1320">
        <v>-74.066980555555503</v>
      </c>
      <c r="AC1320">
        <v>2621</v>
      </c>
      <c r="AD1320">
        <v>15</v>
      </c>
      <c r="AE1320" t="s">
        <v>80</v>
      </c>
      <c r="AF1320" t="s">
        <v>81</v>
      </c>
      <c r="AG1320" t="s">
        <v>82</v>
      </c>
      <c r="AH1320" t="s">
        <v>83</v>
      </c>
      <c r="AI1320" t="s">
        <v>130</v>
      </c>
      <c r="AJ1320">
        <v>0.361056780610435</v>
      </c>
      <c r="AK1320">
        <v>0.79614683255112695</v>
      </c>
      <c r="AL1320">
        <v>0.16532030121402599</v>
      </c>
      <c r="AM1320">
        <v>0.16164885477369101</v>
      </c>
      <c r="AN1320">
        <v>0.67876942595817003</v>
      </c>
      <c r="AO1320">
        <v>0.40269990647514298</v>
      </c>
      <c r="AP1320">
        <v>0.40269990647514298</v>
      </c>
      <c r="AQ1320">
        <v>1</v>
      </c>
      <c r="AR1320">
        <v>3</v>
      </c>
      <c r="AS1320">
        <v>0</v>
      </c>
      <c r="AT1320">
        <v>9</v>
      </c>
      <c r="AU1320">
        <v>13</v>
      </c>
      <c r="AV1320">
        <v>85</v>
      </c>
      <c r="AW1320">
        <v>1</v>
      </c>
      <c r="AX1320">
        <v>0</v>
      </c>
      <c r="AZ1320">
        <v>6.8</v>
      </c>
      <c r="BA1320">
        <v>19.899999999999999</v>
      </c>
      <c r="BB1320">
        <v>564</v>
      </c>
      <c r="BC1320">
        <v>68</v>
      </c>
      <c r="BD1320">
        <v>1.5</v>
      </c>
      <c r="BE1320">
        <v>135</v>
      </c>
      <c r="BF1320">
        <v>0.8</v>
      </c>
      <c r="BG1320">
        <v>162</v>
      </c>
      <c r="BH1320">
        <v>9.1</v>
      </c>
      <c r="BI1320">
        <v>9.1999999999999993</v>
      </c>
      <c r="BJ1320">
        <v>18.3</v>
      </c>
      <c r="BK1320">
        <v>0.34</v>
      </c>
      <c r="BL1320">
        <v>7.3</v>
      </c>
      <c r="BM1320">
        <v>0.9</v>
      </c>
      <c r="BN1320">
        <v>7.5</v>
      </c>
      <c r="BO1320">
        <v>2.9</v>
      </c>
      <c r="BP1320">
        <f t="shared" si="40"/>
        <v>6.0516603918346492</v>
      </c>
      <c r="BQ1320">
        <f t="shared" si="41"/>
        <v>18.806287951764393</v>
      </c>
    </row>
    <row r="1321" spans="1:69" hidden="1" x14ac:dyDescent="0.2">
      <c r="A1321" t="s">
        <v>3563</v>
      </c>
      <c r="B1321" t="s">
        <v>68</v>
      </c>
      <c r="C1321" t="s">
        <v>3294</v>
      </c>
      <c r="D1321" t="s">
        <v>70</v>
      </c>
      <c r="E1321" t="s">
        <v>948</v>
      </c>
      <c r="F1321">
        <v>4</v>
      </c>
      <c r="G1321">
        <v>16</v>
      </c>
      <c r="H1321">
        <v>1</v>
      </c>
      <c r="I1321">
        <v>1</v>
      </c>
      <c r="J1321">
        <v>0</v>
      </c>
      <c r="K1321" t="s">
        <v>110</v>
      </c>
      <c r="L1321" t="s">
        <v>111</v>
      </c>
      <c r="M1321" s="4">
        <v>210000000</v>
      </c>
      <c r="N1321">
        <v>0</v>
      </c>
      <c r="O1321">
        <v>4.63605</v>
      </c>
      <c r="P1321">
        <v>-74.064970000000002</v>
      </c>
      <c r="Q1321" t="s">
        <v>3564</v>
      </c>
      <c r="R1321">
        <v>13125000</v>
      </c>
      <c r="S1321">
        <v>0</v>
      </c>
      <c r="T1321" t="s">
        <v>126</v>
      </c>
      <c r="U1321" t="s">
        <v>127</v>
      </c>
      <c r="V1321" t="s">
        <v>77</v>
      </c>
      <c r="W1321" t="s">
        <v>128</v>
      </c>
      <c r="X1321" t="s">
        <v>129</v>
      </c>
      <c r="Y1321">
        <v>1.19693941596141</v>
      </c>
      <c r="Z1321">
        <v>1196.9394159614101</v>
      </c>
      <c r="AA1321">
        <v>4.6254861111111101</v>
      </c>
      <c r="AB1321">
        <v>-74.066980555555503</v>
      </c>
      <c r="AC1321">
        <v>2621</v>
      </c>
      <c r="AD1321">
        <v>15</v>
      </c>
      <c r="AE1321" t="s">
        <v>80</v>
      </c>
      <c r="AF1321" t="s">
        <v>81</v>
      </c>
      <c r="AG1321" t="s">
        <v>82</v>
      </c>
      <c r="AH1321" t="s">
        <v>83</v>
      </c>
      <c r="AI1321" t="s">
        <v>130</v>
      </c>
      <c r="AJ1321">
        <v>0.26162897487648601</v>
      </c>
      <c r="AK1321">
        <v>0.61759708874596997</v>
      </c>
      <c r="AL1321">
        <v>0.22924936466944601</v>
      </c>
      <c r="AM1321">
        <v>1.1488725060239501E-2</v>
      </c>
      <c r="AN1321">
        <v>0.95406265438314697</v>
      </c>
      <c r="AO1321">
        <v>8.0939445853641101E-3</v>
      </c>
      <c r="AP1321">
        <v>8.0939445853641101E-3</v>
      </c>
      <c r="AQ1321">
        <v>2</v>
      </c>
      <c r="AR1321">
        <v>4</v>
      </c>
      <c r="AS1321">
        <v>0</v>
      </c>
      <c r="AT1321">
        <v>24</v>
      </c>
      <c r="AU1321">
        <v>12</v>
      </c>
      <c r="AV1321">
        <v>153</v>
      </c>
      <c r="AW1321">
        <v>2</v>
      </c>
      <c r="AX1321">
        <v>0</v>
      </c>
      <c r="AZ1321">
        <v>6.8</v>
      </c>
      <c r="BA1321">
        <v>19.899999999999999</v>
      </c>
      <c r="BB1321">
        <v>564</v>
      </c>
      <c r="BC1321">
        <v>68</v>
      </c>
      <c r="BD1321">
        <v>1.5</v>
      </c>
      <c r="BE1321">
        <v>135</v>
      </c>
      <c r="BF1321">
        <v>0.8</v>
      </c>
      <c r="BG1321">
        <v>162</v>
      </c>
      <c r="BH1321">
        <v>9.1</v>
      </c>
      <c r="BI1321">
        <v>9.1999999999999993</v>
      </c>
      <c r="BJ1321">
        <v>18.3</v>
      </c>
      <c r="BK1321">
        <v>0.34</v>
      </c>
      <c r="BL1321">
        <v>7.3</v>
      </c>
      <c r="BM1321">
        <v>0.9</v>
      </c>
      <c r="BN1321">
        <v>7.5</v>
      </c>
      <c r="BO1321">
        <v>2.9</v>
      </c>
      <c r="BP1321">
        <f t="shared" si="40"/>
        <v>6.4088132352956784</v>
      </c>
      <c r="BQ1321">
        <f t="shared" si="41"/>
        <v>19.336474556629291</v>
      </c>
    </row>
    <row r="1322" spans="1:69" hidden="1" x14ac:dyDescent="0.2">
      <c r="A1322" t="s">
        <v>3572</v>
      </c>
      <c r="B1322" t="s">
        <v>68</v>
      </c>
      <c r="C1322" t="s">
        <v>3294</v>
      </c>
      <c r="D1322" t="s">
        <v>70</v>
      </c>
      <c r="E1322" t="s">
        <v>3573</v>
      </c>
      <c r="F1322">
        <v>3</v>
      </c>
      <c r="G1322">
        <v>15.32</v>
      </c>
      <c r="H1322">
        <v>1</v>
      </c>
      <c r="I1322">
        <v>1</v>
      </c>
      <c r="J1322">
        <v>0</v>
      </c>
      <c r="K1322" t="s">
        <v>110</v>
      </c>
      <c r="L1322" t="s">
        <v>111</v>
      </c>
      <c r="M1322" s="4">
        <v>220000000</v>
      </c>
      <c r="N1322">
        <v>0</v>
      </c>
      <c r="O1322">
        <v>4.6020200000000004</v>
      </c>
      <c r="P1322">
        <v>-74.069890000000001</v>
      </c>
      <c r="Q1322" t="s">
        <v>3574</v>
      </c>
      <c r="R1322">
        <v>14360313.32</v>
      </c>
      <c r="S1322">
        <v>0</v>
      </c>
      <c r="T1322" t="s">
        <v>126</v>
      </c>
      <c r="U1322" t="s">
        <v>127</v>
      </c>
      <c r="V1322" t="s">
        <v>77</v>
      </c>
      <c r="W1322" t="s">
        <v>128</v>
      </c>
      <c r="X1322" t="s">
        <v>129</v>
      </c>
      <c r="Y1322">
        <v>2.63210802907262</v>
      </c>
      <c r="Z1322">
        <v>2632.10802907262</v>
      </c>
      <c r="AA1322">
        <v>4.6254861111111101</v>
      </c>
      <c r="AB1322">
        <v>-74.066980555555503</v>
      </c>
      <c r="AC1322">
        <v>2621</v>
      </c>
      <c r="AD1322">
        <v>15</v>
      </c>
      <c r="AE1322" t="s">
        <v>80</v>
      </c>
      <c r="AF1322" t="s">
        <v>81</v>
      </c>
      <c r="AG1322" t="s">
        <v>82</v>
      </c>
      <c r="AH1322" t="s">
        <v>83</v>
      </c>
      <c r="AI1322" t="s">
        <v>138</v>
      </c>
      <c r="AJ1322">
        <v>0.17628200858970999</v>
      </c>
      <c r="AK1322">
        <v>0.67997626349955098</v>
      </c>
      <c r="AL1322">
        <v>0.23097141726849499</v>
      </c>
      <c r="AM1322">
        <v>0.18805069877057701</v>
      </c>
      <c r="AN1322">
        <v>1.51698076232245</v>
      </c>
      <c r="AO1322">
        <v>0.135548028370063</v>
      </c>
      <c r="AP1322">
        <v>0.135548028370063</v>
      </c>
      <c r="AQ1322">
        <v>3</v>
      </c>
      <c r="AR1322">
        <v>6</v>
      </c>
      <c r="AS1322">
        <v>0</v>
      </c>
      <c r="AT1322">
        <v>50</v>
      </c>
      <c r="AU1322">
        <v>14</v>
      </c>
      <c r="AV1322">
        <v>50</v>
      </c>
      <c r="AW1322">
        <v>0</v>
      </c>
      <c r="AX1322">
        <v>7</v>
      </c>
      <c r="AZ1322">
        <v>6.8</v>
      </c>
      <c r="BA1322">
        <v>19.899999999999999</v>
      </c>
      <c r="BB1322">
        <v>564</v>
      </c>
      <c r="BC1322">
        <v>68</v>
      </c>
      <c r="BD1322">
        <v>1.5</v>
      </c>
      <c r="BE1322">
        <v>135</v>
      </c>
      <c r="BF1322">
        <v>0.8</v>
      </c>
      <c r="BG1322">
        <v>162</v>
      </c>
      <c r="BH1322">
        <v>9.1</v>
      </c>
      <c r="BI1322">
        <v>9.1999999999999993</v>
      </c>
      <c r="BJ1322">
        <v>18.3</v>
      </c>
      <c r="BK1322">
        <v>0.34</v>
      </c>
      <c r="BL1322">
        <v>7.3</v>
      </c>
      <c r="BM1322">
        <v>0.9</v>
      </c>
      <c r="BN1322">
        <v>7.5</v>
      </c>
      <c r="BO1322">
        <v>2.9</v>
      </c>
      <c r="BP1322">
        <f t="shared" si="40"/>
        <v>5.9693214724729327</v>
      </c>
      <c r="BQ1322">
        <f t="shared" si="41"/>
        <v>18.681787877968063</v>
      </c>
    </row>
    <row r="1323" spans="1:69" hidden="1" x14ac:dyDescent="0.2">
      <c r="A1323" t="s">
        <v>3979</v>
      </c>
      <c r="B1323" t="s">
        <v>68</v>
      </c>
      <c r="C1323" t="s">
        <v>3294</v>
      </c>
      <c r="D1323" t="s">
        <v>70</v>
      </c>
      <c r="E1323" t="s">
        <v>3980</v>
      </c>
      <c r="F1323">
        <v>4</v>
      </c>
      <c r="G1323">
        <v>15</v>
      </c>
      <c r="H1323">
        <v>1</v>
      </c>
      <c r="I1323">
        <v>1</v>
      </c>
      <c r="J1323">
        <v>0</v>
      </c>
      <c r="K1323" t="s">
        <v>110</v>
      </c>
      <c r="L1323" t="s">
        <v>111</v>
      </c>
      <c r="M1323" s="4">
        <v>250000000</v>
      </c>
      <c r="N1323">
        <v>0</v>
      </c>
      <c r="O1323">
        <v>4.6227939999999998</v>
      </c>
      <c r="P1323">
        <v>-74.090960199999998</v>
      </c>
      <c r="Q1323" t="s">
        <v>3981</v>
      </c>
      <c r="R1323">
        <v>16666666.67</v>
      </c>
      <c r="S1323">
        <v>0</v>
      </c>
      <c r="T1323" t="s">
        <v>126</v>
      </c>
      <c r="U1323" t="s">
        <v>127</v>
      </c>
      <c r="V1323" t="s">
        <v>77</v>
      </c>
      <c r="W1323" t="s">
        <v>128</v>
      </c>
      <c r="X1323" t="s">
        <v>129</v>
      </c>
      <c r="Y1323">
        <v>2.6775369153745001</v>
      </c>
      <c r="Z1323">
        <v>2677.5369153745</v>
      </c>
      <c r="AA1323">
        <v>4.6254861111111101</v>
      </c>
      <c r="AB1323">
        <v>-74.066980555555503</v>
      </c>
      <c r="AC1323">
        <v>2621</v>
      </c>
      <c r="AD1323">
        <v>15</v>
      </c>
      <c r="AE1323" t="s">
        <v>80</v>
      </c>
      <c r="AF1323" t="s">
        <v>81</v>
      </c>
      <c r="AG1323" t="s">
        <v>82</v>
      </c>
      <c r="AH1323" t="s">
        <v>83</v>
      </c>
      <c r="AI1323" t="s">
        <v>288</v>
      </c>
      <c r="AJ1323">
        <v>0.66743251898662503</v>
      </c>
      <c r="AK1323">
        <v>3.1337604789985098</v>
      </c>
      <c r="AL1323">
        <v>1.5332800914459901</v>
      </c>
      <c r="AM1323">
        <v>6.5377647119212901E-2</v>
      </c>
      <c r="AN1323">
        <v>1.4308107403660699</v>
      </c>
      <c r="AO1323">
        <v>0.54905754830896403</v>
      </c>
      <c r="AP1323">
        <v>0.54905754830896403</v>
      </c>
      <c r="AQ1323">
        <v>0</v>
      </c>
      <c r="AR1323">
        <v>4</v>
      </c>
      <c r="AS1323">
        <v>0</v>
      </c>
      <c r="AT1323">
        <v>0</v>
      </c>
      <c r="AU1323">
        <v>0</v>
      </c>
      <c r="AV1323">
        <v>16</v>
      </c>
      <c r="AW1323">
        <v>0</v>
      </c>
      <c r="AX1323">
        <v>0</v>
      </c>
      <c r="AZ1323">
        <v>6.8</v>
      </c>
      <c r="BA1323">
        <v>19.899999999999999</v>
      </c>
      <c r="BB1323">
        <v>564</v>
      </c>
      <c r="BC1323">
        <v>68</v>
      </c>
      <c r="BD1323">
        <v>1.5</v>
      </c>
      <c r="BE1323">
        <v>135</v>
      </c>
      <c r="BF1323">
        <v>0.8</v>
      </c>
      <c r="BG1323">
        <v>162</v>
      </c>
      <c r="BH1323">
        <v>9.1</v>
      </c>
      <c r="BI1323">
        <v>9.1999999999999993</v>
      </c>
      <c r="BJ1323">
        <v>18.3</v>
      </c>
      <c r="BK1323">
        <v>0.34</v>
      </c>
      <c r="BL1323">
        <v>7.3</v>
      </c>
      <c r="BM1323">
        <v>0.9</v>
      </c>
      <c r="BN1323">
        <v>7.5</v>
      </c>
      <c r="BO1323">
        <v>2.9</v>
      </c>
      <c r="BP1323">
        <f t="shared" si="40"/>
        <v>5.9559131624464419</v>
      </c>
      <c r="BQ1323">
        <f t="shared" si="41"/>
        <v>18.661430350204302</v>
      </c>
    </row>
    <row r="1324" spans="1:69" hidden="1" x14ac:dyDescent="0.2">
      <c r="A1324" t="s">
        <v>3378</v>
      </c>
      <c r="B1324" t="s">
        <v>68</v>
      </c>
      <c r="C1324" t="s">
        <v>3294</v>
      </c>
      <c r="D1324" t="s">
        <v>70</v>
      </c>
      <c r="E1324" t="s">
        <v>1098</v>
      </c>
      <c r="F1324">
        <v>3</v>
      </c>
      <c r="G1324">
        <v>15</v>
      </c>
      <c r="H1324">
        <v>1</v>
      </c>
      <c r="I1324">
        <v>1</v>
      </c>
      <c r="J1324">
        <v>1</v>
      </c>
      <c r="K1324" t="s">
        <v>110</v>
      </c>
      <c r="L1324" t="s">
        <v>111</v>
      </c>
      <c r="M1324" s="4">
        <v>235000000</v>
      </c>
      <c r="N1324">
        <v>0</v>
      </c>
      <c r="O1324">
        <v>4.6044030190000003</v>
      </c>
      <c r="P1324">
        <v>-74.069770809999994</v>
      </c>
      <c r="Q1324" t="s">
        <v>3379</v>
      </c>
      <c r="R1324">
        <v>15666666.67</v>
      </c>
      <c r="S1324">
        <v>0</v>
      </c>
      <c r="T1324" t="s">
        <v>126</v>
      </c>
      <c r="U1324" t="s">
        <v>127</v>
      </c>
      <c r="V1324" t="s">
        <v>77</v>
      </c>
      <c r="W1324" t="s">
        <v>128</v>
      </c>
      <c r="X1324" t="s">
        <v>129</v>
      </c>
      <c r="Y1324">
        <v>2.3672918568659398</v>
      </c>
      <c r="Z1324">
        <v>2367.2918568659402</v>
      </c>
      <c r="AA1324">
        <v>4.6254861111111101</v>
      </c>
      <c r="AB1324">
        <v>-74.066980555555503</v>
      </c>
      <c r="AC1324">
        <v>2621</v>
      </c>
      <c r="AD1324">
        <v>15</v>
      </c>
      <c r="AE1324" t="s">
        <v>80</v>
      </c>
      <c r="AF1324" t="s">
        <v>81</v>
      </c>
      <c r="AG1324" t="s">
        <v>82</v>
      </c>
      <c r="AH1324" t="s">
        <v>83</v>
      </c>
      <c r="AI1324" t="s">
        <v>138</v>
      </c>
      <c r="AJ1324">
        <v>0.25230736745610899</v>
      </c>
      <c r="AK1324">
        <v>0.60247651624883403</v>
      </c>
      <c r="AL1324">
        <v>0.22368280090843801</v>
      </c>
      <c r="AM1324">
        <v>2.8440013202581601E-2</v>
      </c>
      <c r="AN1324">
        <v>1.2603250787068401</v>
      </c>
      <c r="AO1324">
        <v>4.1660420676381503E-2</v>
      </c>
      <c r="AP1324">
        <v>4.1660420676381503E-2</v>
      </c>
      <c r="AQ1324">
        <v>2</v>
      </c>
      <c r="AR1324">
        <v>8</v>
      </c>
      <c r="AS1324">
        <v>0</v>
      </c>
      <c r="AT1324">
        <v>35</v>
      </c>
      <c r="AU1324">
        <v>12</v>
      </c>
      <c r="AV1324">
        <v>50</v>
      </c>
      <c r="AW1324">
        <v>0</v>
      </c>
      <c r="AX1324">
        <v>8</v>
      </c>
      <c r="AZ1324">
        <v>6.8</v>
      </c>
      <c r="BA1324">
        <v>19.899999999999999</v>
      </c>
      <c r="BB1324">
        <v>564</v>
      </c>
      <c r="BC1324">
        <v>68</v>
      </c>
      <c r="BD1324">
        <v>1.5</v>
      </c>
      <c r="BE1324">
        <v>135</v>
      </c>
      <c r="BF1324">
        <v>0.8</v>
      </c>
      <c r="BG1324">
        <v>162</v>
      </c>
      <c r="BH1324">
        <v>9.1</v>
      </c>
      <c r="BI1324">
        <v>9.1999999999999993</v>
      </c>
      <c r="BJ1324">
        <v>18.3</v>
      </c>
      <c r="BK1324">
        <v>0.34</v>
      </c>
      <c r="BL1324">
        <v>7.3</v>
      </c>
      <c r="BM1324">
        <v>0.9</v>
      </c>
      <c r="BN1324">
        <v>7.5</v>
      </c>
      <c r="BO1324">
        <v>2.9</v>
      </c>
      <c r="BP1324">
        <f t="shared" si="40"/>
        <v>6.0480848322014529</v>
      </c>
      <c r="BQ1324">
        <f t="shared" si="41"/>
        <v>18.800899739328887</v>
      </c>
    </row>
    <row r="1325" spans="1:69" hidden="1" x14ac:dyDescent="0.2">
      <c r="A1325" t="s">
        <v>4183</v>
      </c>
      <c r="B1325" t="s">
        <v>68</v>
      </c>
      <c r="C1325" t="s">
        <v>3294</v>
      </c>
      <c r="D1325" t="s">
        <v>70</v>
      </c>
      <c r="E1325" t="s">
        <v>2521</v>
      </c>
      <c r="F1325">
        <v>4</v>
      </c>
      <c r="G1325">
        <v>13.7</v>
      </c>
      <c r="H1325">
        <v>1</v>
      </c>
      <c r="I1325">
        <v>1</v>
      </c>
      <c r="J1325">
        <v>0</v>
      </c>
      <c r="K1325" t="s">
        <v>110</v>
      </c>
      <c r="L1325" t="s">
        <v>111</v>
      </c>
      <c r="M1325" s="4">
        <v>320000000</v>
      </c>
      <c r="N1325">
        <v>0</v>
      </c>
      <c r="O1325">
        <v>4.6707900000000002</v>
      </c>
      <c r="P1325">
        <v>-74.06456</v>
      </c>
      <c r="Q1325" t="s">
        <v>4184</v>
      </c>
      <c r="R1325">
        <v>23357664.23</v>
      </c>
      <c r="S1325">
        <v>0</v>
      </c>
      <c r="T1325" t="s">
        <v>75</v>
      </c>
      <c r="U1325" t="s">
        <v>76</v>
      </c>
      <c r="V1325" t="s">
        <v>77</v>
      </c>
      <c r="W1325" t="s">
        <v>78</v>
      </c>
      <c r="X1325" t="s">
        <v>79</v>
      </c>
      <c r="Y1325">
        <v>2.5530597955163099</v>
      </c>
      <c r="Z1325">
        <v>2553.0597955163098</v>
      </c>
      <c r="AA1325">
        <v>4.6584666666666701</v>
      </c>
      <c r="AB1325">
        <v>-74.083966666666697</v>
      </c>
      <c r="AC1325">
        <v>2552</v>
      </c>
      <c r="AD1325">
        <v>0</v>
      </c>
      <c r="AE1325" t="s">
        <v>80</v>
      </c>
      <c r="AF1325" t="s">
        <v>81</v>
      </c>
      <c r="AG1325" t="s">
        <v>82</v>
      </c>
      <c r="AH1325" t="s">
        <v>83</v>
      </c>
      <c r="AI1325" t="s">
        <v>342</v>
      </c>
      <c r="AJ1325">
        <v>7.3545681956696002E-2</v>
      </c>
      <c r="AK1325">
        <v>2.2526620581152499</v>
      </c>
      <c r="AL1325">
        <v>0.74943146700746099</v>
      </c>
      <c r="AM1325">
        <v>6.7409460054772899E-2</v>
      </c>
      <c r="AN1325">
        <v>1.9473204267744599</v>
      </c>
      <c r="AO1325">
        <v>7.7137130958816802E-2</v>
      </c>
      <c r="AP1325">
        <v>7.7137130958816802E-2</v>
      </c>
      <c r="AQ1325">
        <v>1</v>
      </c>
      <c r="AR1325">
        <v>9</v>
      </c>
      <c r="AS1325">
        <v>0</v>
      </c>
      <c r="AT1325">
        <v>0</v>
      </c>
      <c r="AU1325">
        <v>5</v>
      </c>
      <c r="AV1325">
        <v>229</v>
      </c>
      <c r="AW1325">
        <v>0</v>
      </c>
      <c r="AX1325">
        <v>0</v>
      </c>
      <c r="AZ1325">
        <v>6.8</v>
      </c>
      <c r="BA1325">
        <v>19.899999999999999</v>
      </c>
      <c r="BB1325">
        <v>564</v>
      </c>
      <c r="BC1325">
        <v>68</v>
      </c>
      <c r="BD1325">
        <v>1.5</v>
      </c>
      <c r="BE1325">
        <v>135</v>
      </c>
      <c r="BF1325">
        <v>0.8</v>
      </c>
      <c r="BG1325">
        <v>162</v>
      </c>
      <c r="BH1325">
        <v>9.1</v>
      </c>
      <c r="BI1325">
        <v>9.1999999999999993</v>
      </c>
      <c r="BJ1325">
        <v>18.3</v>
      </c>
      <c r="BK1325">
        <v>0.34</v>
      </c>
      <c r="BL1325">
        <v>7.3</v>
      </c>
      <c r="BM1325">
        <v>0.9</v>
      </c>
      <c r="BN1325">
        <v>7.5</v>
      </c>
      <c r="BO1325">
        <v>2.9</v>
      </c>
      <c r="BP1325">
        <f t="shared" si="40"/>
        <v>5.9927245130839388</v>
      </c>
      <c r="BQ1325">
        <f t="shared" si="41"/>
        <v>18.717263815003751</v>
      </c>
    </row>
    <row r="1326" spans="1:69" hidden="1" x14ac:dyDescent="0.2">
      <c r="A1326" t="s">
        <v>328</v>
      </c>
      <c r="B1326" t="s">
        <v>68</v>
      </c>
      <c r="C1326" t="s">
        <v>69</v>
      </c>
      <c r="D1326" t="s">
        <v>70</v>
      </c>
      <c r="E1326" t="s">
        <v>329</v>
      </c>
      <c r="F1326">
        <v>4</v>
      </c>
      <c r="G1326">
        <v>10</v>
      </c>
      <c r="H1326">
        <v>3</v>
      </c>
      <c r="I1326">
        <v>2</v>
      </c>
      <c r="J1326">
        <v>1</v>
      </c>
      <c r="K1326" t="s">
        <v>110</v>
      </c>
      <c r="L1326" t="s">
        <v>133</v>
      </c>
      <c r="M1326" s="4">
        <v>749500000</v>
      </c>
      <c r="N1326">
        <v>0</v>
      </c>
      <c r="O1326">
        <v>4.6942315099999998</v>
      </c>
      <c r="P1326">
        <v>-74.081764219999997</v>
      </c>
      <c r="Q1326" t="s">
        <v>330</v>
      </c>
      <c r="R1326">
        <v>74950000</v>
      </c>
      <c r="S1326">
        <v>0</v>
      </c>
      <c r="T1326" t="s">
        <v>75</v>
      </c>
      <c r="U1326" t="s">
        <v>76</v>
      </c>
      <c r="V1326" t="s">
        <v>77</v>
      </c>
      <c r="W1326" t="s">
        <v>78</v>
      </c>
      <c r="X1326" t="s">
        <v>79</v>
      </c>
      <c r="Y1326">
        <v>3.9888160314299901</v>
      </c>
      <c r="Z1326">
        <v>3988.8160314299898</v>
      </c>
      <c r="AA1326">
        <v>4.6584666666666701</v>
      </c>
      <c r="AB1326">
        <v>-74.083966666666697</v>
      </c>
      <c r="AC1326">
        <v>2552</v>
      </c>
      <c r="AD1326">
        <v>0</v>
      </c>
      <c r="AE1326" t="s">
        <v>80</v>
      </c>
      <c r="AF1326" t="s">
        <v>81</v>
      </c>
      <c r="AG1326" t="s">
        <v>82</v>
      </c>
      <c r="AH1326" t="s">
        <v>83</v>
      </c>
      <c r="AI1326" t="s">
        <v>121</v>
      </c>
      <c r="AJ1326">
        <v>0.48544413650441798</v>
      </c>
      <c r="AK1326">
        <v>5.1427018674468199</v>
      </c>
      <c r="AL1326">
        <v>1.12054801333763</v>
      </c>
      <c r="AM1326">
        <v>0.42331405662289301</v>
      </c>
      <c r="AN1326">
        <v>2.2566457946676</v>
      </c>
      <c r="AO1326">
        <v>0.43777867381907698</v>
      </c>
      <c r="AP1326">
        <v>0.43777867381907698</v>
      </c>
      <c r="AQ1326">
        <v>1</v>
      </c>
      <c r="AR1326">
        <v>3</v>
      </c>
      <c r="AS1326">
        <v>0</v>
      </c>
      <c r="AT1326">
        <v>0</v>
      </c>
      <c r="AU1326">
        <v>0</v>
      </c>
      <c r="AV1326">
        <v>29</v>
      </c>
      <c r="AW1326">
        <v>0</v>
      </c>
      <c r="AX1326">
        <v>0</v>
      </c>
      <c r="AZ1326">
        <v>6.8</v>
      </c>
      <c r="BA1326">
        <v>19.899999999999999</v>
      </c>
      <c r="BB1326">
        <v>564</v>
      </c>
      <c r="BC1326">
        <v>68</v>
      </c>
      <c r="BD1326">
        <v>1.5</v>
      </c>
      <c r="BE1326">
        <v>135</v>
      </c>
      <c r="BF1326">
        <v>0.8</v>
      </c>
      <c r="BG1326">
        <v>162</v>
      </c>
      <c r="BH1326">
        <v>9.1</v>
      </c>
      <c r="BI1326">
        <v>9.1999999999999993</v>
      </c>
      <c r="BJ1326">
        <v>18.3</v>
      </c>
      <c r="BK1326">
        <v>0.34</v>
      </c>
      <c r="BL1326">
        <v>7.3</v>
      </c>
      <c r="BM1326">
        <v>0.9</v>
      </c>
      <c r="BN1326">
        <v>7.5</v>
      </c>
      <c r="BO1326">
        <v>2.9</v>
      </c>
      <c r="BP1326">
        <f t="shared" si="40"/>
        <v>5.58160415820082</v>
      </c>
      <c r="BQ1326">
        <f t="shared" si="41"/>
        <v>18.083287098353765</v>
      </c>
    </row>
    <row r="1327" spans="1:69" hidden="1" x14ac:dyDescent="0.2">
      <c r="A1327" t="s">
        <v>3036</v>
      </c>
      <c r="B1327" t="s">
        <v>68</v>
      </c>
      <c r="C1327" t="s">
        <v>1956</v>
      </c>
      <c r="D1327" t="s">
        <v>70</v>
      </c>
      <c r="E1327" t="s">
        <v>537</v>
      </c>
      <c r="F1327">
        <v>2</v>
      </c>
      <c r="G1327">
        <v>780</v>
      </c>
      <c r="H1327">
        <v>5</v>
      </c>
      <c r="I1327">
        <v>4</v>
      </c>
      <c r="J1327">
        <v>0</v>
      </c>
      <c r="K1327" t="s">
        <v>110</v>
      </c>
      <c r="L1327" t="s">
        <v>162</v>
      </c>
      <c r="M1327" s="4">
        <v>4000000000</v>
      </c>
      <c r="N1327">
        <v>0</v>
      </c>
      <c r="O1327">
        <v>4.5964</v>
      </c>
      <c r="P1327">
        <v>-74.070580000000007</v>
      </c>
      <c r="Q1327" t="s">
        <v>3037</v>
      </c>
      <c r="R1327">
        <v>5128205.1279999996</v>
      </c>
      <c r="S1327">
        <v>0</v>
      </c>
      <c r="T1327" t="s">
        <v>596</v>
      </c>
      <c r="U1327" t="s">
        <v>597</v>
      </c>
      <c r="V1327" t="s">
        <v>77</v>
      </c>
      <c r="W1327" t="s">
        <v>596</v>
      </c>
      <c r="X1327" t="s">
        <v>598</v>
      </c>
      <c r="Y1327">
        <v>3.0337511447165801</v>
      </c>
      <c r="Z1327">
        <v>3033.7511447165798</v>
      </c>
      <c r="AA1327">
        <v>4.5725527777777799</v>
      </c>
      <c r="AB1327">
        <v>-74.083813888888898</v>
      </c>
      <c r="AC1327">
        <v>2688</v>
      </c>
      <c r="AD1327">
        <v>0</v>
      </c>
      <c r="AE1327" t="s">
        <v>80</v>
      </c>
      <c r="AF1327" t="s">
        <v>107</v>
      </c>
      <c r="AG1327" t="s">
        <v>82</v>
      </c>
      <c r="AH1327" t="s">
        <v>83</v>
      </c>
      <c r="AI1327" t="s">
        <v>537</v>
      </c>
      <c r="AJ1327">
        <v>0.58529735178700504</v>
      </c>
      <c r="AK1327">
        <v>0.46758734995193502</v>
      </c>
      <c r="AL1327">
        <v>0.23986871032302301</v>
      </c>
      <c r="AM1327">
        <v>0.38928460976859203</v>
      </c>
      <c r="AN1327">
        <v>1.0758806727105299</v>
      </c>
      <c r="AO1327">
        <v>7.7383704889991698E-3</v>
      </c>
      <c r="AP1327">
        <v>7.7383704889991698E-3</v>
      </c>
      <c r="AQ1327">
        <v>0</v>
      </c>
      <c r="AR1327">
        <v>4</v>
      </c>
      <c r="AS1327">
        <v>4</v>
      </c>
      <c r="AT1327">
        <v>38</v>
      </c>
      <c r="AU1327">
        <v>12</v>
      </c>
      <c r="AV1327">
        <v>20</v>
      </c>
      <c r="AW1327">
        <v>0</v>
      </c>
      <c r="AX1327">
        <v>5</v>
      </c>
      <c r="AY1327">
        <v>14.7</v>
      </c>
      <c r="AZ1327">
        <v>6.8</v>
      </c>
      <c r="BA1327">
        <v>17.3</v>
      </c>
      <c r="BB1327">
        <v>564</v>
      </c>
      <c r="BC1327">
        <v>68</v>
      </c>
      <c r="BD1327">
        <v>1.3</v>
      </c>
      <c r="BE1327">
        <v>118</v>
      </c>
      <c r="BF1327">
        <v>25.2</v>
      </c>
      <c r="BG1327">
        <v>123</v>
      </c>
      <c r="BH1327">
        <v>7</v>
      </c>
      <c r="BI1327">
        <v>5.0999999999999996</v>
      </c>
      <c r="BJ1327">
        <v>12.1</v>
      </c>
      <c r="BK1327">
        <v>0.32</v>
      </c>
      <c r="BL1327">
        <v>9.8000000000000007</v>
      </c>
      <c r="BM1327">
        <v>1</v>
      </c>
      <c r="BN1327">
        <v>8.1</v>
      </c>
      <c r="BO1327">
        <v>1.3</v>
      </c>
      <c r="BP1327">
        <f t="shared" si="40"/>
        <v>5.8518153568678937</v>
      </c>
      <c r="BQ1327">
        <f t="shared" si="41"/>
        <v>16.085149805764186</v>
      </c>
    </row>
    <row r="1328" spans="1:69" hidden="1" x14ac:dyDescent="0.2">
      <c r="A1328" t="s">
        <v>2936</v>
      </c>
      <c r="B1328" t="s">
        <v>68</v>
      </c>
      <c r="C1328" t="s">
        <v>1956</v>
      </c>
      <c r="D1328" t="s">
        <v>70</v>
      </c>
      <c r="E1328" t="s">
        <v>2937</v>
      </c>
      <c r="F1328">
        <v>1</v>
      </c>
      <c r="G1328">
        <v>272</v>
      </c>
      <c r="H1328">
        <v>5</v>
      </c>
      <c r="I1328">
        <v>3</v>
      </c>
      <c r="J1328">
        <v>0</v>
      </c>
      <c r="K1328" t="s">
        <v>110</v>
      </c>
      <c r="L1328" t="s">
        <v>111</v>
      </c>
      <c r="M1328" s="4">
        <v>820000000</v>
      </c>
      <c r="N1328">
        <v>0</v>
      </c>
      <c r="O1328">
        <v>4.5904384</v>
      </c>
      <c r="P1328">
        <v>-74.094119800000001</v>
      </c>
      <c r="Q1328" t="s">
        <v>2938</v>
      </c>
      <c r="R1328">
        <v>3014705.8820000002</v>
      </c>
      <c r="S1328">
        <v>0</v>
      </c>
      <c r="T1328" t="s">
        <v>596</v>
      </c>
      <c r="U1328" t="s">
        <v>597</v>
      </c>
      <c r="V1328" t="s">
        <v>77</v>
      </c>
      <c r="W1328" t="s">
        <v>596</v>
      </c>
      <c r="X1328" t="s">
        <v>598</v>
      </c>
      <c r="Y1328">
        <v>2.2960697248248598</v>
      </c>
      <c r="Z1328">
        <v>2296.0697248248598</v>
      </c>
      <c r="AA1328">
        <v>4.5725527777777799</v>
      </c>
      <c r="AB1328">
        <v>-74.083813888888898</v>
      </c>
      <c r="AC1328">
        <v>2688</v>
      </c>
      <c r="AD1328">
        <v>0</v>
      </c>
      <c r="AE1328" t="s">
        <v>80</v>
      </c>
      <c r="AF1328" t="s">
        <v>107</v>
      </c>
      <c r="AG1328" t="s">
        <v>82</v>
      </c>
      <c r="AH1328" t="s">
        <v>83</v>
      </c>
      <c r="AI1328" t="s">
        <v>987</v>
      </c>
      <c r="AJ1328">
        <v>0.43195925871037799</v>
      </c>
      <c r="AK1328">
        <v>2.7689975740012001</v>
      </c>
      <c r="AL1328">
        <v>0.325455161026455</v>
      </c>
      <c r="AM1328">
        <v>0.210660315427809</v>
      </c>
      <c r="AN1328">
        <v>1.1333025368912999</v>
      </c>
      <c r="AO1328">
        <v>0.118155925567399</v>
      </c>
      <c r="AP1328">
        <v>0.118155925567399</v>
      </c>
      <c r="AQ1328">
        <v>2</v>
      </c>
      <c r="AR1328">
        <v>3</v>
      </c>
      <c r="AS1328">
        <v>0</v>
      </c>
      <c r="AT1328">
        <v>0</v>
      </c>
      <c r="AU1328">
        <v>2</v>
      </c>
      <c r="AV1328">
        <v>36</v>
      </c>
      <c r="AW1328">
        <v>0</v>
      </c>
      <c r="AX1328">
        <v>0</v>
      </c>
      <c r="AY1328">
        <v>14.7</v>
      </c>
      <c r="AZ1328">
        <v>6.8</v>
      </c>
      <c r="BA1328">
        <v>17.3</v>
      </c>
      <c r="BB1328">
        <v>564</v>
      </c>
      <c r="BC1328">
        <v>68</v>
      </c>
      <c r="BD1328">
        <v>1.3</v>
      </c>
      <c r="BE1328">
        <v>118</v>
      </c>
      <c r="BF1328">
        <v>25.2</v>
      </c>
      <c r="BG1328">
        <v>123</v>
      </c>
      <c r="BH1328">
        <v>7</v>
      </c>
      <c r="BI1328">
        <v>5.0999999999999996</v>
      </c>
      <c r="BJ1328">
        <v>12.1</v>
      </c>
      <c r="BK1328">
        <v>0.32</v>
      </c>
      <c r="BL1328">
        <v>9.8000000000000007</v>
      </c>
      <c r="BM1328">
        <v>1</v>
      </c>
      <c r="BN1328">
        <v>8.1</v>
      </c>
      <c r="BO1328">
        <v>1.3</v>
      </c>
      <c r="BP1328">
        <f t="shared" si="40"/>
        <v>6.0694449586702302</v>
      </c>
      <c r="BQ1328">
        <f t="shared" si="41"/>
        <v>16.372462834432227</v>
      </c>
    </row>
    <row r="1329" spans="1:69" hidden="1" x14ac:dyDescent="0.2">
      <c r="A1329" t="s">
        <v>3207</v>
      </c>
      <c r="B1329" t="s">
        <v>68</v>
      </c>
      <c r="C1329" t="s">
        <v>1956</v>
      </c>
      <c r="D1329" t="s">
        <v>70</v>
      </c>
      <c r="E1329" t="s">
        <v>2421</v>
      </c>
      <c r="F1329">
        <v>3</v>
      </c>
      <c r="G1329">
        <v>192</v>
      </c>
      <c r="H1329">
        <v>5</v>
      </c>
      <c r="I1329">
        <v>4</v>
      </c>
      <c r="J1329">
        <v>1</v>
      </c>
      <c r="K1329" t="s">
        <v>110</v>
      </c>
      <c r="L1329" t="s">
        <v>162</v>
      </c>
      <c r="M1329" s="4">
        <v>800000000</v>
      </c>
      <c r="N1329">
        <v>0</v>
      </c>
      <c r="O1329">
        <v>4.5853200000000003</v>
      </c>
      <c r="P1329">
        <v>-74.101259999999996</v>
      </c>
      <c r="Q1329" t="s">
        <v>3208</v>
      </c>
      <c r="R1329">
        <v>4166666.6669999999</v>
      </c>
      <c r="S1329">
        <v>0</v>
      </c>
      <c r="T1329" t="s">
        <v>596</v>
      </c>
      <c r="U1329" t="s">
        <v>597</v>
      </c>
      <c r="V1329" t="s">
        <v>77</v>
      </c>
      <c r="W1329" t="s">
        <v>596</v>
      </c>
      <c r="X1329" t="s">
        <v>598</v>
      </c>
      <c r="Y1329">
        <v>2.4015847161697601</v>
      </c>
      <c r="Z1329">
        <v>2401.5847161697602</v>
      </c>
      <c r="AA1329">
        <v>4.5725527777777799</v>
      </c>
      <c r="AB1329">
        <v>-74.083813888888898</v>
      </c>
      <c r="AC1329">
        <v>2688</v>
      </c>
      <c r="AD1329">
        <v>0</v>
      </c>
      <c r="AE1329" t="s">
        <v>80</v>
      </c>
      <c r="AF1329" t="s">
        <v>107</v>
      </c>
      <c r="AG1329" t="s">
        <v>82</v>
      </c>
      <c r="AH1329" t="s">
        <v>83</v>
      </c>
      <c r="AI1329" t="s">
        <v>987</v>
      </c>
      <c r="AJ1329">
        <v>0.33131000180993497</v>
      </c>
      <c r="AK1329">
        <v>3.1829760171269701</v>
      </c>
      <c r="AL1329">
        <v>0.46820004500275803</v>
      </c>
      <c r="AM1329">
        <v>0.10827353605158201</v>
      </c>
      <c r="AN1329">
        <v>0.210304653806554</v>
      </c>
      <c r="AO1329">
        <v>0.22630238486954901</v>
      </c>
      <c r="AP1329">
        <v>0.22630238486954901</v>
      </c>
      <c r="AQ1329">
        <v>2</v>
      </c>
      <c r="AR1329">
        <v>4</v>
      </c>
      <c r="AS1329">
        <v>0</v>
      </c>
      <c r="AT1329">
        <v>0</v>
      </c>
      <c r="AU1329">
        <v>1</v>
      </c>
      <c r="AV1329">
        <v>76</v>
      </c>
      <c r="AW1329">
        <v>1</v>
      </c>
      <c r="AX1329">
        <v>0</v>
      </c>
      <c r="AY1329">
        <v>14.7</v>
      </c>
      <c r="AZ1329">
        <v>6.8</v>
      </c>
      <c r="BA1329">
        <v>17.3</v>
      </c>
      <c r="BB1329">
        <v>564</v>
      </c>
      <c r="BC1329">
        <v>68</v>
      </c>
      <c r="BD1329">
        <v>1.3</v>
      </c>
      <c r="BE1329">
        <v>118</v>
      </c>
      <c r="BF1329">
        <v>25.2</v>
      </c>
      <c r="BG1329">
        <v>123</v>
      </c>
      <c r="BH1329">
        <v>7</v>
      </c>
      <c r="BI1329">
        <v>5.0999999999999996</v>
      </c>
      <c r="BJ1329">
        <v>12.1</v>
      </c>
      <c r="BK1329">
        <v>0.32</v>
      </c>
      <c r="BL1329">
        <v>9.8000000000000007</v>
      </c>
      <c r="BM1329">
        <v>1</v>
      </c>
      <c r="BN1329">
        <v>8.1</v>
      </c>
      <c r="BO1329">
        <v>1.3</v>
      </c>
      <c r="BP1329">
        <f t="shared" si="40"/>
        <v>6.0378269379852627</v>
      </c>
      <c r="BQ1329">
        <f t="shared" si="41"/>
        <v>16.331054320606356</v>
      </c>
    </row>
    <row r="1330" spans="1:69" hidden="1" x14ac:dyDescent="0.2">
      <c r="A1330" t="s">
        <v>2286</v>
      </c>
      <c r="B1330" t="s">
        <v>68</v>
      </c>
      <c r="C1330" t="s">
        <v>1956</v>
      </c>
      <c r="D1330" t="s">
        <v>70</v>
      </c>
      <c r="E1330" t="s">
        <v>2287</v>
      </c>
      <c r="F1330">
        <v>3</v>
      </c>
      <c r="G1330">
        <v>168</v>
      </c>
      <c r="H1330">
        <v>4</v>
      </c>
      <c r="I1330">
        <v>2</v>
      </c>
      <c r="J1330">
        <v>2</v>
      </c>
      <c r="K1330" t="s">
        <v>110</v>
      </c>
      <c r="L1330" t="s">
        <v>124</v>
      </c>
      <c r="M1330" s="4">
        <v>890000000</v>
      </c>
      <c r="N1330">
        <v>0</v>
      </c>
      <c r="O1330">
        <v>4.5706129999999998</v>
      </c>
      <c r="P1330">
        <v>-74.103408999999999</v>
      </c>
      <c r="Q1330" t="s">
        <v>2288</v>
      </c>
      <c r="R1330">
        <v>5297619.0480000004</v>
      </c>
      <c r="S1330">
        <v>0</v>
      </c>
      <c r="T1330" t="s">
        <v>596</v>
      </c>
      <c r="U1330" t="s">
        <v>597</v>
      </c>
      <c r="V1330" t="s">
        <v>77</v>
      </c>
      <c r="W1330" t="s">
        <v>596</v>
      </c>
      <c r="X1330" t="s">
        <v>598</v>
      </c>
      <c r="Y1330">
        <v>2.18507382880773</v>
      </c>
      <c r="Z1330">
        <v>2185.07382880773</v>
      </c>
      <c r="AA1330">
        <v>4.5725527777777799</v>
      </c>
      <c r="AB1330">
        <v>-74.083813888888898</v>
      </c>
      <c r="AC1330">
        <v>2688</v>
      </c>
      <c r="AD1330">
        <v>0</v>
      </c>
      <c r="AE1330" t="s">
        <v>80</v>
      </c>
      <c r="AF1330" t="s">
        <v>107</v>
      </c>
      <c r="AG1330" t="s">
        <v>82</v>
      </c>
      <c r="AH1330" t="s">
        <v>83</v>
      </c>
      <c r="AI1330" t="s">
        <v>1847</v>
      </c>
      <c r="AJ1330">
        <v>0.53692903702794803</v>
      </c>
      <c r="AK1330">
        <v>2.8698379010504702</v>
      </c>
      <c r="AL1330">
        <v>1.74832380273261</v>
      </c>
      <c r="AM1330">
        <v>0.51765447006945198</v>
      </c>
      <c r="AN1330">
        <v>1.6574315828039701</v>
      </c>
      <c r="AO1330">
        <v>0.23129304322270999</v>
      </c>
      <c r="AP1330">
        <v>0.23129304322270999</v>
      </c>
      <c r="AQ1330">
        <v>0</v>
      </c>
      <c r="AR1330">
        <v>2</v>
      </c>
      <c r="AS1330">
        <v>0</v>
      </c>
      <c r="AT1330">
        <v>0</v>
      </c>
      <c r="AU1330">
        <v>0</v>
      </c>
      <c r="AV1330">
        <v>8</v>
      </c>
      <c r="AW1330">
        <v>0</v>
      </c>
      <c r="AX1330">
        <v>0</v>
      </c>
      <c r="AY1330">
        <v>14.7</v>
      </c>
      <c r="AZ1330">
        <v>6.8</v>
      </c>
      <c r="BA1330">
        <v>17.3</v>
      </c>
      <c r="BB1330">
        <v>564</v>
      </c>
      <c r="BC1330">
        <v>68</v>
      </c>
      <c r="BD1330">
        <v>1.3</v>
      </c>
      <c r="BE1330">
        <v>118</v>
      </c>
      <c r="BF1330">
        <v>25.2</v>
      </c>
      <c r="BG1330">
        <v>123</v>
      </c>
      <c r="BH1330">
        <v>7</v>
      </c>
      <c r="BI1330">
        <v>5.0999999999999996</v>
      </c>
      <c r="BJ1330">
        <v>12.1</v>
      </c>
      <c r="BK1330">
        <v>0.32</v>
      </c>
      <c r="BL1330">
        <v>9.8000000000000007</v>
      </c>
      <c r="BM1330">
        <v>1</v>
      </c>
      <c r="BN1330">
        <v>8.1</v>
      </c>
      <c r="BO1330">
        <v>1.3</v>
      </c>
      <c r="BP1330">
        <f t="shared" si="40"/>
        <v>6.1028840690850856</v>
      </c>
      <c r="BQ1330">
        <f t="shared" si="41"/>
        <v>16.416135606963497</v>
      </c>
    </row>
    <row r="1331" spans="1:69" hidden="1" x14ac:dyDescent="0.2">
      <c r="A1331" t="s">
        <v>2276</v>
      </c>
      <c r="B1331" t="s">
        <v>68</v>
      </c>
      <c r="C1331" t="s">
        <v>1956</v>
      </c>
      <c r="D1331" t="s">
        <v>70</v>
      </c>
      <c r="E1331" t="s">
        <v>2277</v>
      </c>
      <c r="F1331">
        <v>2</v>
      </c>
      <c r="G1331">
        <v>137</v>
      </c>
      <c r="H1331">
        <v>5</v>
      </c>
      <c r="I1331">
        <v>3</v>
      </c>
      <c r="J1331">
        <v>0</v>
      </c>
      <c r="K1331" t="s">
        <v>110</v>
      </c>
      <c r="L1331" t="s">
        <v>162</v>
      </c>
      <c r="M1331" s="4">
        <v>330000000</v>
      </c>
      <c r="N1331">
        <v>0</v>
      </c>
      <c r="O1331">
        <v>4.556646347</v>
      </c>
      <c r="P1331">
        <v>-74.100410460000006</v>
      </c>
      <c r="Q1331" t="s">
        <v>2278</v>
      </c>
      <c r="R1331">
        <v>2408759.1239999998</v>
      </c>
      <c r="S1331">
        <v>0</v>
      </c>
      <c r="T1331" t="s">
        <v>596</v>
      </c>
      <c r="U1331" t="s">
        <v>597</v>
      </c>
      <c r="V1331" t="s">
        <v>77</v>
      </c>
      <c r="W1331" t="s">
        <v>596</v>
      </c>
      <c r="X1331" t="s">
        <v>598</v>
      </c>
      <c r="Y1331">
        <v>2.5548154991221601</v>
      </c>
      <c r="Z1331">
        <v>2554.81549912216</v>
      </c>
      <c r="AA1331">
        <v>4.5725527777777799</v>
      </c>
      <c r="AB1331">
        <v>-74.083813888888898</v>
      </c>
      <c r="AC1331">
        <v>2688</v>
      </c>
      <c r="AD1331">
        <v>0</v>
      </c>
      <c r="AE1331" t="s">
        <v>80</v>
      </c>
      <c r="AF1331" t="s">
        <v>107</v>
      </c>
      <c r="AG1331" t="s">
        <v>82</v>
      </c>
      <c r="AH1331" t="s">
        <v>83</v>
      </c>
      <c r="AI1331" t="s">
        <v>599</v>
      </c>
      <c r="AJ1331">
        <v>1.0711933529378099</v>
      </c>
      <c r="AK1331">
        <v>2.0018035188806298</v>
      </c>
      <c r="AL1331">
        <v>2.67304514318946</v>
      </c>
      <c r="AM1331">
        <v>0.72320401192054595</v>
      </c>
      <c r="AN1331">
        <v>2.1881199327847298</v>
      </c>
      <c r="AO1331">
        <v>0.26117700412468098</v>
      </c>
      <c r="AP1331">
        <v>0.26117700412468098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4</v>
      </c>
      <c r="AW1331">
        <v>0</v>
      </c>
      <c r="AX1331">
        <v>0</v>
      </c>
      <c r="AY1331">
        <v>14.7</v>
      </c>
      <c r="AZ1331">
        <v>6.8</v>
      </c>
      <c r="BA1331">
        <v>17.3</v>
      </c>
      <c r="BB1331">
        <v>564</v>
      </c>
      <c r="BC1331">
        <v>68</v>
      </c>
      <c r="BD1331">
        <v>1.3</v>
      </c>
      <c r="BE1331">
        <v>118</v>
      </c>
      <c r="BF1331">
        <v>25.2</v>
      </c>
      <c r="BG1331">
        <v>123</v>
      </c>
      <c r="BH1331">
        <v>7</v>
      </c>
      <c r="BI1331">
        <v>5.0999999999999996</v>
      </c>
      <c r="BJ1331">
        <v>12.1</v>
      </c>
      <c r="BK1331">
        <v>0.32</v>
      </c>
      <c r="BL1331">
        <v>9.8000000000000007</v>
      </c>
      <c r="BM1331">
        <v>1</v>
      </c>
      <c r="BN1331">
        <v>8.1</v>
      </c>
      <c r="BO1331">
        <v>1.3</v>
      </c>
      <c r="BP1331">
        <f t="shared" si="40"/>
        <v>5.9922037240366519</v>
      </c>
      <c r="BQ1331">
        <f t="shared" si="41"/>
        <v>16.271106532567291</v>
      </c>
    </row>
    <row r="1332" spans="1:69" hidden="1" x14ac:dyDescent="0.2">
      <c r="A1332" t="s">
        <v>2420</v>
      </c>
      <c r="B1332" t="s">
        <v>68</v>
      </c>
      <c r="C1332" t="s">
        <v>1956</v>
      </c>
      <c r="D1332" t="s">
        <v>70</v>
      </c>
      <c r="E1332" t="s">
        <v>2421</v>
      </c>
      <c r="F1332">
        <v>3</v>
      </c>
      <c r="G1332">
        <v>128.1</v>
      </c>
      <c r="H1332">
        <v>5</v>
      </c>
      <c r="I1332">
        <v>5</v>
      </c>
      <c r="J1332">
        <v>1</v>
      </c>
      <c r="K1332" t="s">
        <v>110</v>
      </c>
      <c r="L1332" t="s">
        <v>162</v>
      </c>
      <c r="M1332" s="4">
        <v>850000000</v>
      </c>
      <c r="N1332">
        <v>0</v>
      </c>
      <c r="O1332">
        <v>4.5857739999999998</v>
      </c>
      <c r="P1332">
        <v>-74.098236</v>
      </c>
      <c r="Q1332" t="s">
        <v>2422</v>
      </c>
      <c r="R1332">
        <v>6635441.0619999999</v>
      </c>
      <c r="S1332">
        <v>0</v>
      </c>
      <c r="T1332" t="s">
        <v>596</v>
      </c>
      <c r="U1332" t="s">
        <v>597</v>
      </c>
      <c r="V1332" t="s">
        <v>77</v>
      </c>
      <c r="W1332" t="s">
        <v>596</v>
      </c>
      <c r="X1332" t="s">
        <v>598</v>
      </c>
      <c r="Y1332">
        <v>2.1742160258965701</v>
      </c>
      <c r="Z1332">
        <v>2174.21602589657</v>
      </c>
      <c r="AA1332">
        <v>4.5725527777777799</v>
      </c>
      <c r="AB1332">
        <v>-74.083813888888898</v>
      </c>
      <c r="AC1332">
        <v>2688</v>
      </c>
      <c r="AD1332">
        <v>0</v>
      </c>
      <c r="AE1332" t="s">
        <v>80</v>
      </c>
      <c r="AF1332" t="s">
        <v>107</v>
      </c>
      <c r="AG1332" t="s">
        <v>82</v>
      </c>
      <c r="AH1332" t="s">
        <v>83</v>
      </c>
      <c r="AI1332" t="s">
        <v>987</v>
      </c>
      <c r="AJ1332">
        <v>0.33550221742102199</v>
      </c>
      <c r="AK1332">
        <v>2.89444949524942</v>
      </c>
      <c r="AL1332">
        <v>0.15241891159215301</v>
      </c>
      <c r="AM1332">
        <v>7.69713446333605E-2</v>
      </c>
      <c r="AN1332">
        <v>0.54354419449658897</v>
      </c>
      <c r="AO1332">
        <v>5.3238499686156099E-2</v>
      </c>
      <c r="AP1332">
        <v>5.3238499686156099E-2</v>
      </c>
      <c r="AQ1332">
        <v>2</v>
      </c>
      <c r="AR1332">
        <v>4</v>
      </c>
      <c r="AS1332">
        <v>0</v>
      </c>
      <c r="AT1332">
        <v>0</v>
      </c>
      <c r="AU1332">
        <v>2</v>
      </c>
      <c r="AV1332">
        <v>57</v>
      </c>
      <c r="AW1332">
        <v>1</v>
      </c>
      <c r="AX1332">
        <v>0</v>
      </c>
      <c r="AY1332">
        <v>14.7</v>
      </c>
      <c r="AZ1332">
        <v>6.8</v>
      </c>
      <c r="BA1332">
        <v>17.3</v>
      </c>
      <c r="BB1332">
        <v>564</v>
      </c>
      <c r="BC1332">
        <v>68</v>
      </c>
      <c r="BD1332">
        <v>1.3</v>
      </c>
      <c r="BE1332">
        <v>118</v>
      </c>
      <c r="BF1332">
        <v>25.2</v>
      </c>
      <c r="BG1332">
        <v>123</v>
      </c>
      <c r="BH1332">
        <v>7</v>
      </c>
      <c r="BI1332">
        <v>5.0999999999999996</v>
      </c>
      <c r="BJ1332">
        <v>12.1</v>
      </c>
      <c r="BK1332">
        <v>0.32</v>
      </c>
      <c r="BL1332">
        <v>9.8000000000000007</v>
      </c>
      <c r="BM1332">
        <v>1</v>
      </c>
      <c r="BN1332">
        <v>8.1</v>
      </c>
      <c r="BO1332">
        <v>1.3</v>
      </c>
      <c r="BP1332">
        <f t="shared" si="40"/>
        <v>6.1061650143609549</v>
      </c>
      <c r="BQ1332">
        <f t="shared" si="41"/>
        <v>16.420414000346312</v>
      </c>
    </row>
    <row r="1333" spans="1:69" hidden="1" x14ac:dyDescent="0.2">
      <c r="A1333" t="s">
        <v>593</v>
      </c>
      <c r="B1333" t="s">
        <v>68</v>
      </c>
      <c r="C1333" t="s">
        <v>69</v>
      </c>
      <c r="D1333" t="s">
        <v>70</v>
      </c>
      <c r="E1333" t="s">
        <v>594</v>
      </c>
      <c r="F1333">
        <v>3</v>
      </c>
      <c r="G1333">
        <v>68</v>
      </c>
      <c r="H1333">
        <v>3</v>
      </c>
      <c r="I1333">
        <v>2</v>
      </c>
      <c r="J1333">
        <v>1</v>
      </c>
      <c r="K1333" t="s">
        <v>110</v>
      </c>
      <c r="L1333" t="s">
        <v>133</v>
      </c>
      <c r="M1333" s="4">
        <v>330000000</v>
      </c>
      <c r="N1333">
        <v>0</v>
      </c>
      <c r="O1333">
        <v>4.580991268</v>
      </c>
      <c r="P1333">
        <v>-74.081542970000001</v>
      </c>
      <c r="Q1333" t="s">
        <v>595</v>
      </c>
      <c r="R1333">
        <v>4852941.176</v>
      </c>
      <c r="S1333">
        <v>0</v>
      </c>
      <c r="T1333" t="s">
        <v>596</v>
      </c>
      <c r="U1333" t="s">
        <v>597</v>
      </c>
      <c r="V1333" t="s">
        <v>77</v>
      </c>
      <c r="W1333" t="s">
        <v>596</v>
      </c>
      <c r="X1333" t="s">
        <v>598</v>
      </c>
      <c r="Y1333">
        <v>0.97258045542723304</v>
      </c>
      <c r="Z1333">
        <v>972.58045542723301</v>
      </c>
      <c r="AA1333">
        <v>4.5725527777777799</v>
      </c>
      <c r="AB1333">
        <v>-74.083813888888898</v>
      </c>
      <c r="AC1333">
        <v>2688</v>
      </c>
      <c r="AD1333">
        <v>0</v>
      </c>
      <c r="AE1333" t="s">
        <v>80</v>
      </c>
      <c r="AF1333" t="s">
        <v>107</v>
      </c>
      <c r="AG1333" t="s">
        <v>82</v>
      </c>
      <c r="AH1333" t="s">
        <v>83</v>
      </c>
      <c r="AI1333" t="s">
        <v>599</v>
      </c>
      <c r="AJ1333">
        <v>0.83665733790510899</v>
      </c>
      <c r="AK1333">
        <v>1.0273651741251699</v>
      </c>
      <c r="AL1333">
        <v>1.0333620617148001</v>
      </c>
      <c r="AM1333">
        <v>0.51300906507308297</v>
      </c>
      <c r="AN1333">
        <v>1.1886306408798299</v>
      </c>
      <c r="AO1333">
        <v>8.8191099866231595E-2</v>
      </c>
      <c r="AP1333">
        <v>8.8191099866231595E-2</v>
      </c>
      <c r="AQ1333">
        <v>0</v>
      </c>
      <c r="AR1333">
        <v>2</v>
      </c>
      <c r="AS1333">
        <v>0</v>
      </c>
      <c r="AT1333">
        <v>0</v>
      </c>
      <c r="AU1333">
        <v>0</v>
      </c>
      <c r="AV1333">
        <v>8</v>
      </c>
      <c r="AW1333">
        <v>0</v>
      </c>
      <c r="AX1333">
        <v>0</v>
      </c>
      <c r="AY1333">
        <v>14.7</v>
      </c>
      <c r="AZ1333">
        <v>6.8</v>
      </c>
      <c r="BA1333">
        <v>17.3</v>
      </c>
      <c r="BB1333">
        <v>564</v>
      </c>
      <c r="BC1333">
        <v>68</v>
      </c>
      <c r="BD1333">
        <v>1.3</v>
      </c>
      <c r="BE1333">
        <v>118</v>
      </c>
      <c r="BF1333">
        <v>25.2</v>
      </c>
      <c r="BG1333">
        <v>123</v>
      </c>
      <c r="BH1333">
        <v>7</v>
      </c>
      <c r="BI1333">
        <v>5.0999999999999996</v>
      </c>
      <c r="BJ1333">
        <v>12.1</v>
      </c>
      <c r="BK1333">
        <v>0.32</v>
      </c>
      <c r="BL1333">
        <v>9.8000000000000007</v>
      </c>
      <c r="BM1333">
        <v>1</v>
      </c>
      <c r="BN1333">
        <v>8.1</v>
      </c>
      <c r="BO1333">
        <v>1.3</v>
      </c>
      <c r="BP1333">
        <f t="shared" si="40"/>
        <v>6.4803847243172967</v>
      </c>
      <c r="BQ1333">
        <f t="shared" si="41"/>
        <v>16.900861054025818</v>
      </c>
    </row>
    <row r="1334" spans="1:69" hidden="1" x14ac:dyDescent="0.2">
      <c r="A1334" t="s">
        <v>1254</v>
      </c>
      <c r="B1334" t="s">
        <v>68</v>
      </c>
      <c r="C1334" t="s">
        <v>69</v>
      </c>
      <c r="D1334" t="s">
        <v>70</v>
      </c>
      <c r="E1334" t="s">
        <v>1255</v>
      </c>
      <c r="F1334">
        <v>3</v>
      </c>
      <c r="G1334">
        <v>62</v>
      </c>
      <c r="H1334">
        <v>3</v>
      </c>
      <c r="I1334">
        <v>2</v>
      </c>
      <c r="J1334">
        <v>1</v>
      </c>
      <c r="K1334" t="s">
        <v>110</v>
      </c>
      <c r="L1334" t="s">
        <v>162</v>
      </c>
      <c r="M1334" s="4">
        <v>270000000</v>
      </c>
      <c r="N1334">
        <v>0</v>
      </c>
      <c r="O1334">
        <v>4.5731472999999996</v>
      </c>
      <c r="P1334">
        <v>-74.081940000000003</v>
      </c>
      <c r="Q1334" t="s">
        <v>1256</v>
      </c>
      <c r="R1334">
        <v>4354838.71</v>
      </c>
      <c r="S1334">
        <v>0</v>
      </c>
      <c r="T1334" t="s">
        <v>596</v>
      </c>
      <c r="U1334" t="s">
        <v>597</v>
      </c>
      <c r="V1334" t="s">
        <v>77</v>
      </c>
      <c r="W1334" t="s">
        <v>596</v>
      </c>
      <c r="X1334" t="s">
        <v>598</v>
      </c>
      <c r="Y1334">
        <v>0.21821449146566699</v>
      </c>
      <c r="Z1334">
        <v>218.21449146566701</v>
      </c>
      <c r="AA1334">
        <v>4.5725527777777799</v>
      </c>
      <c r="AB1334">
        <v>-74.083813888888898</v>
      </c>
      <c r="AC1334">
        <v>2688</v>
      </c>
      <c r="AD1334">
        <v>0</v>
      </c>
      <c r="AE1334" t="s">
        <v>80</v>
      </c>
      <c r="AF1334" t="s">
        <v>107</v>
      </c>
      <c r="AG1334" t="s">
        <v>82</v>
      </c>
      <c r="AH1334" t="s">
        <v>83</v>
      </c>
      <c r="AI1334" t="s">
        <v>599</v>
      </c>
      <c r="AJ1334">
        <v>1.31565494411704</v>
      </c>
      <c r="AK1334">
        <v>0.81268202374137599</v>
      </c>
      <c r="AL1334">
        <v>0.17357235573232899</v>
      </c>
      <c r="AM1334">
        <v>0.232268641369724</v>
      </c>
      <c r="AN1334">
        <v>0.55552909605034495</v>
      </c>
      <c r="AO1334">
        <v>0.15159344007442399</v>
      </c>
      <c r="AP1334">
        <v>0.15159344007442399</v>
      </c>
      <c r="AQ1334">
        <v>0</v>
      </c>
      <c r="AR1334">
        <v>0</v>
      </c>
      <c r="AS1334">
        <v>0</v>
      </c>
      <c r="AT1334">
        <v>5</v>
      </c>
      <c r="AU1334">
        <v>1</v>
      </c>
      <c r="AV1334">
        <v>4</v>
      </c>
      <c r="AW1334">
        <v>1</v>
      </c>
      <c r="AX1334">
        <v>0</v>
      </c>
      <c r="AY1334">
        <v>14.7</v>
      </c>
      <c r="AZ1334">
        <v>6.8</v>
      </c>
      <c r="BA1334">
        <v>17.3</v>
      </c>
      <c r="BB1334">
        <v>564</v>
      </c>
      <c r="BC1334">
        <v>68</v>
      </c>
      <c r="BD1334">
        <v>1.3</v>
      </c>
      <c r="BE1334">
        <v>118</v>
      </c>
      <c r="BF1334">
        <v>25.2</v>
      </c>
      <c r="BG1334">
        <v>123</v>
      </c>
      <c r="BH1334">
        <v>7</v>
      </c>
      <c r="BI1334">
        <v>5.0999999999999996</v>
      </c>
      <c r="BJ1334">
        <v>12.1</v>
      </c>
      <c r="BK1334">
        <v>0.32</v>
      </c>
      <c r="BL1334">
        <v>9.8000000000000007</v>
      </c>
      <c r="BM1334">
        <v>1</v>
      </c>
      <c r="BN1334">
        <v>8.1</v>
      </c>
      <c r="BO1334">
        <v>1.3</v>
      </c>
      <c r="BP1334">
        <f t="shared" si="40"/>
        <v>6.7269442724917061</v>
      </c>
      <c r="BQ1334">
        <f t="shared" si="41"/>
        <v>17.209634179266782</v>
      </c>
    </row>
    <row r="1335" spans="1:69" hidden="1" x14ac:dyDescent="0.2">
      <c r="A1335" t="s">
        <v>1113</v>
      </c>
      <c r="B1335" t="s">
        <v>68</v>
      </c>
      <c r="C1335" t="s">
        <v>69</v>
      </c>
      <c r="D1335" t="s">
        <v>70</v>
      </c>
      <c r="E1335" t="s">
        <v>1114</v>
      </c>
      <c r="F1335">
        <v>3</v>
      </c>
      <c r="G1335">
        <v>56.63</v>
      </c>
      <c r="H1335">
        <v>4</v>
      </c>
      <c r="I1335">
        <v>3</v>
      </c>
      <c r="J1335">
        <v>0</v>
      </c>
      <c r="K1335" t="s">
        <v>110</v>
      </c>
      <c r="L1335" t="s">
        <v>124</v>
      </c>
      <c r="M1335" s="4">
        <v>257000000</v>
      </c>
      <c r="N1335">
        <v>0</v>
      </c>
      <c r="O1335">
        <v>4.5676430000000003</v>
      </c>
      <c r="P1335">
        <v>-74.101653999999996</v>
      </c>
      <c r="Q1335" t="s">
        <v>1115</v>
      </c>
      <c r="R1335">
        <v>4538230.62</v>
      </c>
      <c r="S1335">
        <v>0</v>
      </c>
      <c r="T1335" t="s">
        <v>596</v>
      </c>
      <c r="U1335" t="s">
        <v>597</v>
      </c>
      <c r="V1335" t="s">
        <v>77</v>
      </c>
      <c r="W1335" t="s">
        <v>596</v>
      </c>
      <c r="X1335" t="s">
        <v>598</v>
      </c>
      <c r="Y1335">
        <v>2.05370095691059</v>
      </c>
      <c r="Z1335">
        <v>2053.7009569105899</v>
      </c>
      <c r="AA1335">
        <v>4.5725527777777799</v>
      </c>
      <c r="AB1335">
        <v>-74.083813888888898</v>
      </c>
      <c r="AC1335">
        <v>2688</v>
      </c>
      <c r="AD1335">
        <v>0</v>
      </c>
      <c r="AE1335" t="s">
        <v>80</v>
      </c>
      <c r="AF1335" t="s">
        <v>107</v>
      </c>
      <c r="AG1335" t="s">
        <v>82</v>
      </c>
      <c r="AH1335" t="s">
        <v>83</v>
      </c>
      <c r="AI1335" t="s">
        <v>599</v>
      </c>
      <c r="AJ1335">
        <v>0.53487263824710496</v>
      </c>
      <c r="AK1335">
        <v>2.5248309659278898</v>
      </c>
      <c r="AL1335">
        <v>1.99436889985143</v>
      </c>
      <c r="AM1335">
        <v>0.43854769902207102</v>
      </c>
      <c r="AN1335">
        <v>1.77042829413696</v>
      </c>
      <c r="AO1335">
        <v>0.22046556065171199</v>
      </c>
      <c r="AP1335">
        <v>0.22046556065171199</v>
      </c>
      <c r="AQ1335">
        <v>0</v>
      </c>
      <c r="AR1335">
        <v>2</v>
      </c>
      <c r="AS1335">
        <v>0</v>
      </c>
      <c r="AT1335">
        <v>0</v>
      </c>
      <c r="AU1335">
        <v>0</v>
      </c>
      <c r="AV1335">
        <v>8</v>
      </c>
      <c r="AW1335">
        <v>0</v>
      </c>
      <c r="AX1335">
        <v>0</v>
      </c>
      <c r="AY1335">
        <v>14.7</v>
      </c>
      <c r="AZ1335">
        <v>6.8</v>
      </c>
      <c r="BA1335">
        <v>17.3</v>
      </c>
      <c r="BB1335">
        <v>564</v>
      </c>
      <c r="BC1335">
        <v>68</v>
      </c>
      <c r="BD1335">
        <v>1.3</v>
      </c>
      <c r="BE1335">
        <v>118</v>
      </c>
      <c r="BF1335">
        <v>25.2</v>
      </c>
      <c r="BG1335">
        <v>123</v>
      </c>
      <c r="BH1335">
        <v>7</v>
      </c>
      <c r="BI1335">
        <v>5.0999999999999996</v>
      </c>
      <c r="BJ1335">
        <v>12.1</v>
      </c>
      <c r="BK1335">
        <v>0.32</v>
      </c>
      <c r="BL1335">
        <v>9.8000000000000007</v>
      </c>
      <c r="BM1335">
        <v>1</v>
      </c>
      <c r="BN1335">
        <v>8.1</v>
      </c>
      <c r="BO1335">
        <v>1.3</v>
      </c>
      <c r="BP1335">
        <f t="shared" si="40"/>
        <v>6.1427001836624076</v>
      </c>
      <c r="BQ1335">
        <f t="shared" si="41"/>
        <v>16.467976527027208</v>
      </c>
    </row>
    <row r="1336" spans="1:69" hidden="1" x14ac:dyDescent="0.2">
      <c r="A1336" t="s">
        <v>1434</v>
      </c>
      <c r="B1336" t="s">
        <v>68</v>
      </c>
      <c r="C1336" t="s">
        <v>69</v>
      </c>
      <c r="D1336" t="s">
        <v>70</v>
      </c>
      <c r="E1336" t="s">
        <v>1435</v>
      </c>
      <c r="F1336">
        <v>3</v>
      </c>
      <c r="G1336">
        <v>54</v>
      </c>
      <c r="H1336">
        <v>1</v>
      </c>
      <c r="I1336">
        <v>2</v>
      </c>
      <c r="J1336">
        <v>1</v>
      </c>
      <c r="K1336" t="s">
        <v>110</v>
      </c>
      <c r="L1336" t="s">
        <v>133</v>
      </c>
      <c r="M1336" s="4">
        <v>525000000</v>
      </c>
      <c r="N1336">
        <v>0</v>
      </c>
      <c r="O1336">
        <v>4.59701395</v>
      </c>
      <c r="P1336">
        <v>-74.072875980000006</v>
      </c>
      <c r="Q1336" t="s">
        <v>1436</v>
      </c>
      <c r="R1336">
        <v>9722222.2219999991</v>
      </c>
      <c r="S1336">
        <v>0</v>
      </c>
      <c r="T1336" t="s">
        <v>596</v>
      </c>
      <c r="U1336" t="s">
        <v>597</v>
      </c>
      <c r="V1336" t="s">
        <v>77</v>
      </c>
      <c r="W1336" t="s">
        <v>596</v>
      </c>
      <c r="X1336" t="s">
        <v>598</v>
      </c>
      <c r="Y1336">
        <v>2.9812481378625901</v>
      </c>
      <c r="Z1336">
        <v>2981.2481378625898</v>
      </c>
      <c r="AA1336">
        <v>4.5725527777777799</v>
      </c>
      <c r="AB1336">
        <v>-74.083813888888898</v>
      </c>
      <c r="AC1336">
        <v>2688</v>
      </c>
      <c r="AD1336">
        <v>0</v>
      </c>
      <c r="AE1336" t="s">
        <v>80</v>
      </c>
      <c r="AF1336" t="s">
        <v>107</v>
      </c>
      <c r="AG1336" t="s">
        <v>82</v>
      </c>
      <c r="AH1336" t="s">
        <v>83</v>
      </c>
      <c r="AI1336" t="s">
        <v>537</v>
      </c>
      <c r="AJ1336">
        <v>0.45742788782550498</v>
      </c>
      <c r="AK1336">
        <v>0.72555999768620905</v>
      </c>
      <c r="AL1336">
        <v>9.0224544235419202E-2</v>
      </c>
      <c r="AM1336">
        <v>0.30292992505161898</v>
      </c>
      <c r="AN1336">
        <v>0.91155512207713096</v>
      </c>
      <c r="AO1336">
        <v>8.6294774090784093E-2</v>
      </c>
      <c r="AP1336">
        <v>8.6294774090784093E-2</v>
      </c>
      <c r="AQ1336">
        <v>1</v>
      </c>
      <c r="AR1336">
        <v>4</v>
      </c>
      <c r="AS1336">
        <v>0</v>
      </c>
      <c r="AT1336">
        <v>29</v>
      </c>
      <c r="AU1336">
        <v>13</v>
      </c>
      <c r="AV1336">
        <v>34</v>
      </c>
      <c r="AW1336">
        <v>1</v>
      </c>
      <c r="AX1336">
        <v>5</v>
      </c>
      <c r="AY1336">
        <v>14.7</v>
      </c>
      <c r="AZ1336">
        <v>6.8</v>
      </c>
      <c r="BA1336">
        <v>17.3</v>
      </c>
      <c r="BB1336">
        <v>564</v>
      </c>
      <c r="BC1336">
        <v>68</v>
      </c>
      <c r="BD1336">
        <v>1.3</v>
      </c>
      <c r="BE1336">
        <v>118</v>
      </c>
      <c r="BF1336">
        <v>25.2</v>
      </c>
      <c r="BG1336">
        <v>123</v>
      </c>
      <c r="BH1336">
        <v>7</v>
      </c>
      <c r="BI1336">
        <v>5.0999999999999996</v>
      </c>
      <c r="BJ1336">
        <v>12.1</v>
      </c>
      <c r="BK1336">
        <v>0.32</v>
      </c>
      <c r="BL1336">
        <v>9.8000000000000007</v>
      </c>
      <c r="BM1336">
        <v>1</v>
      </c>
      <c r="BN1336">
        <v>8.1</v>
      </c>
      <c r="BO1336">
        <v>1.3</v>
      </c>
      <c r="BP1336">
        <f t="shared" si="40"/>
        <v>5.8670434125233726</v>
      </c>
      <c r="BQ1336">
        <f t="shared" si="41"/>
        <v>16.105431030516048</v>
      </c>
    </row>
    <row r="1337" spans="1:69" hidden="1" x14ac:dyDescent="0.2">
      <c r="A1337" t="s">
        <v>1285</v>
      </c>
      <c r="B1337" t="s">
        <v>68</v>
      </c>
      <c r="C1337" t="s">
        <v>69</v>
      </c>
      <c r="D1337" t="s">
        <v>70</v>
      </c>
      <c r="E1337" t="s">
        <v>1286</v>
      </c>
      <c r="F1337">
        <v>3</v>
      </c>
      <c r="G1337">
        <v>50.02</v>
      </c>
      <c r="H1337">
        <v>2</v>
      </c>
      <c r="I1337">
        <v>2</v>
      </c>
      <c r="J1337">
        <v>1</v>
      </c>
      <c r="K1337" t="s">
        <v>110</v>
      </c>
      <c r="L1337" t="s">
        <v>111</v>
      </c>
      <c r="M1337" s="4">
        <v>285000000</v>
      </c>
      <c r="N1337">
        <v>0</v>
      </c>
      <c r="O1337">
        <v>4.5962700840000004</v>
      </c>
      <c r="P1337">
        <v>-74.092231749999996</v>
      </c>
      <c r="Q1337" t="s">
        <v>1287</v>
      </c>
      <c r="R1337">
        <v>5697720.9119999995</v>
      </c>
      <c r="S1337">
        <v>0</v>
      </c>
      <c r="T1337" t="s">
        <v>596</v>
      </c>
      <c r="U1337" t="s">
        <v>597</v>
      </c>
      <c r="V1337" t="s">
        <v>77</v>
      </c>
      <c r="W1337" t="s">
        <v>596</v>
      </c>
      <c r="X1337" t="s">
        <v>598</v>
      </c>
      <c r="Y1337">
        <v>2.8005610316965299</v>
      </c>
      <c r="Z1337">
        <v>2800.5610316965299</v>
      </c>
      <c r="AA1337">
        <v>4.5725527777777799</v>
      </c>
      <c r="AB1337">
        <v>-74.083813888888898</v>
      </c>
      <c r="AC1337">
        <v>2688</v>
      </c>
      <c r="AD1337">
        <v>0</v>
      </c>
      <c r="AE1337" t="s">
        <v>80</v>
      </c>
      <c r="AF1337" t="s">
        <v>107</v>
      </c>
      <c r="AG1337" t="s">
        <v>82</v>
      </c>
      <c r="AH1337" t="s">
        <v>83</v>
      </c>
      <c r="AI1337" t="s">
        <v>308</v>
      </c>
      <c r="AJ1337">
        <v>0.54697669707154895</v>
      </c>
      <c r="AK1337">
        <v>2.8686779158949598</v>
      </c>
      <c r="AL1337">
        <v>0.70986795186642104</v>
      </c>
      <c r="AM1337">
        <v>0.42014647958177098</v>
      </c>
      <c r="AN1337">
        <v>1.4548747529483701</v>
      </c>
      <c r="AO1337">
        <v>0.11840619113894001</v>
      </c>
      <c r="AP1337">
        <v>0.11840619113894001</v>
      </c>
      <c r="AQ1337">
        <v>0</v>
      </c>
      <c r="AR1337">
        <v>5</v>
      </c>
      <c r="AS1337">
        <v>0</v>
      </c>
      <c r="AT1337">
        <v>0</v>
      </c>
      <c r="AU1337">
        <v>2</v>
      </c>
      <c r="AV1337">
        <v>16</v>
      </c>
      <c r="AW1337">
        <v>0</v>
      </c>
      <c r="AX1337">
        <v>0</v>
      </c>
      <c r="AY1337">
        <v>14.7</v>
      </c>
      <c r="AZ1337">
        <v>6.8</v>
      </c>
      <c r="BA1337">
        <v>17.3</v>
      </c>
      <c r="BB1337">
        <v>564</v>
      </c>
      <c r="BC1337">
        <v>68</v>
      </c>
      <c r="BD1337">
        <v>1.3</v>
      </c>
      <c r="BE1337">
        <v>118</v>
      </c>
      <c r="BF1337">
        <v>25.2</v>
      </c>
      <c r="BG1337">
        <v>123</v>
      </c>
      <c r="BH1337">
        <v>7</v>
      </c>
      <c r="BI1337">
        <v>5.0999999999999996</v>
      </c>
      <c r="BJ1337">
        <v>12.1</v>
      </c>
      <c r="BK1337">
        <v>0.32</v>
      </c>
      <c r="BL1337">
        <v>9.8000000000000007</v>
      </c>
      <c r="BM1337">
        <v>1</v>
      </c>
      <c r="BN1337">
        <v>8.1</v>
      </c>
      <c r="BO1337">
        <v>1.3</v>
      </c>
      <c r="BP1337">
        <f t="shared" si="40"/>
        <v>5.9197536870499405</v>
      </c>
      <c r="BQ1337">
        <f t="shared" si="41"/>
        <v>16.175423731609232</v>
      </c>
    </row>
    <row r="1338" spans="1:69" hidden="1" x14ac:dyDescent="0.2">
      <c r="A1338" t="s">
        <v>635</v>
      </c>
      <c r="B1338" t="s">
        <v>68</v>
      </c>
      <c r="C1338" t="s">
        <v>69</v>
      </c>
      <c r="D1338" t="s">
        <v>70</v>
      </c>
      <c r="E1338" t="s">
        <v>636</v>
      </c>
      <c r="F1338">
        <v>2</v>
      </c>
      <c r="G1338">
        <v>43.46</v>
      </c>
      <c r="H1338">
        <v>2</v>
      </c>
      <c r="I1338">
        <v>1</v>
      </c>
      <c r="J1338">
        <v>0</v>
      </c>
      <c r="K1338" t="s">
        <v>72</v>
      </c>
      <c r="L1338" t="s">
        <v>73</v>
      </c>
      <c r="M1338" s="4">
        <v>236372175</v>
      </c>
      <c r="N1338">
        <v>0</v>
      </c>
      <c r="O1338">
        <v>4.5528700000000004</v>
      </c>
      <c r="P1338">
        <v>-74.082669999999993</v>
      </c>
      <c r="Q1338" t="s">
        <v>637</v>
      </c>
      <c r="R1338">
        <v>5438844.3399999999</v>
      </c>
      <c r="S1338">
        <v>0</v>
      </c>
      <c r="T1338" t="s">
        <v>596</v>
      </c>
      <c r="U1338" t="s">
        <v>597</v>
      </c>
      <c r="V1338" t="s">
        <v>77</v>
      </c>
      <c r="W1338" t="s">
        <v>596</v>
      </c>
      <c r="X1338" t="s">
        <v>598</v>
      </c>
      <c r="Y1338">
        <v>2.19475048133258</v>
      </c>
      <c r="Z1338">
        <v>2194.75048133258</v>
      </c>
      <c r="AA1338">
        <v>4.5725527777777799</v>
      </c>
      <c r="AB1338">
        <v>-74.083813888888898</v>
      </c>
      <c r="AC1338">
        <v>2688</v>
      </c>
      <c r="AD1338">
        <v>0</v>
      </c>
      <c r="AE1338" t="s">
        <v>80</v>
      </c>
      <c r="AF1338" t="s">
        <v>107</v>
      </c>
      <c r="AG1338" t="s">
        <v>82</v>
      </c>
      <c r="AH1338" t="s">
        <v>83</v>
      </c>
      <c r="AI1338" t="s">
        <v>599</v>
      </c>
      <c r="AJ1338">
        <v>2.1318103437654101</v>
      </c>
      <c r="AK1338">
        <v>0.24142839016586201</v>
      </c>
      <c r="AL1338">
        <v>2.0784744798968999</v>
      </c>
      <c r="AM1338">
        <v>0.16085053247008799</v>
      </c>
      <c r="AN1338">
        <v>1.9289495008914599</v>
      </c>
      <c r="AO1338">
        <v>0.25346354770746898</v>
      </c>
      <c r="AP1338">
        <v>0.25346354770746898</v>
      </c>
      <c r="AQ1338">
        <v>0</v>
      </c>
      <c r="AR1338">
        <v>0</v>
      </c>
      <c r="AS1338">
        <v>10</v>
      </c>
      <c r="AT1338">
        <v>43</v>
      </c>
      <c r="AU1338">
        <v>0</v>
      </c>
      <c r="AV1338">
        <v>2</v>
      </c>
      <c r="AW1338">
        <v>0</v>
      </c>
      <c r="AX1338">
        <v>0</v>
      </c>
      <c r="AY1338">
        <v>14.7</v>
      </c>
      <c r="AZ1338">
        <v>6.8</v>
      </c>
      <c r="BA1338">
        <v>17.3</v>
      </c>
      <c r="BB1338">
        <v>564</v>
      </c>
      <c r="BC1338">
        <v>68</v>
      </c>
      <c r="BD1338">
        <v>1.3</v>
      </c>
      <c r="BE1338">
        <v>118</v>
      </c>
      <c r="BF1338">
        <v>25.2</v>
      </c>
      <c r="BG1338">
        <v>123</v>
      </c>
      <c r="BH1338">
        <v>7</v>
      </c>
      <c r="BI1338">
        <v>5.0999999999999996</v>
      </c>
      <c r="BJ1338">
        <v>12.1</v>
      </c>
      <c r="BK1338">
        <v>0.32</v>
      </c>
      <c r="BL1338">
        <v>9.8000000000000007</v>
      </c>
      <c r="BM1338">
        <v>1</v>
      </c>
      <c r="BN1338">
        <v>8.1</v>
      </c>
      <c r="BO1338">
        <v>1.3</v>
      </c>
      <c r="BP1338">
        <f t="shared" si="40"/>
        <v>6.0999615224000339</v>
      </c>
      <c r="BQ1338">
        <f t="shared" si="41"/>
        <v>16.412323571871834</v>
      </c>
    </row>
    <row r="1339" spans="1:69" hidden="1" x14ac:dyDescent="0.2">
      <c r="A1339" t="s">
        <v>3855</v>
      </c>
      <c r="B1339" t="s">
        <v>68</v>
      </c>
      <c r="C1339" t="s">
        <v>3294</v>
      </c>
      <c r="D1339" t="s">
        <v>70</v>
      </c>
      <c r="E1339" t="s">
        <v>3467</v>
      </c>
      <c r="F1339">
        <v>3</v>
      </c>
      <c r="G1339">
        <v>36</v>
      </c>
      <c r="H1339">
        <v>1</v>
      </c>
      <c r="I1339">
        <v>1</v>
      </c>
      <c r="J1339">
        <v>0</v>
      </c>
      <c r="K1339" t="s">
        <v>110</v>
      </c>
      <c r="L1339" t="s">
        <v>133</v>
      </c>
      <c r="M1339" s="4">
        <v>228000000</v>
      </c>
      <c r="N1339">
        <v>0</v>
      </c>
      <c r="O1339">
        <v>4.6000899999999998</v>
      </c>
      <c r="P1339">
        <v>-74.087990000000005</v>
      </c>
      <c r="Q1339" t="s">
        <v>3856</v>
      </c>
      <c r="R1339">
        <v>6333333.3329999996</v>
      </c>
      <c r="S1339">
        <v>0</v>
      </c>
      <c r="T1339" t="s">
        <v>596</v>
      </c>
      <c r="U1339" t="s">
        <v>597</v>
      </c>
      <c r="V1339" t="s">
        <v>77</v>
      </c>
      <c r="W1339" t="s">
        <v>596</v>
      </c>
      <c r="X1339" t="s">
        <v>598</v>
      </c>
      <c r="Y1339">
        <v>3.1002568219256998</v>
      </c>
      <c r="Z1339">
        <v>3100.2568219257</v>
      </c>
      <c r="AA1339">
        <v>4.5725527777777799</v>
      </c>
      <c r="AB1339">
        <v>-74.083813888888898</v>
      </c>
      <c r="AC1339">
        <v>2688</v>
      </c>
      <c r="AD1339">
        <v>0</v>
      </c>
      <c r="AE1339" t="s">
        <v>80</v>
      </c>
      <c r="AF1339" t="s">
        <v>107</v>
      </c>
      <c r="AG1339" t="s">
        <v>82</v>
      </c>
      <c r="AH1339" t="s">
        <v>83</v>
      </c>
      <c r="AI1339" t="s">
        <v>308</v>
      </c>
      <c r="AJ1339">
        <v>9.18553028753748E-2</v>
      </c>
      <c r="AK1339">
        <v>2.4330059959829899</v>
      </c>
      <c r="AL1339">
        <v>0.33962851708498099</v>
      </c>
      <c r="AM1339">
        <v>0.40177341015076101</v>
      </c>
      <c r="AN1339">
        <v>0.97925199446015598</v>
      </c>
      <c r="AO1339">
        <v>0.31336492684066503</v>
      </c>
      <c r="AP1339">
        <v>0.31336492684066503</v>
      </c>
      <c r="AQ1339">
        <v>1</v>
      </c>
      <c r="AR1339">
        <v>8</v>
      </c>
      <c r="AS1339">
        <v>0</v>
      </c>
      <c r="AT1339">
        <v>0</v>
      </c>
      <c r="AU1339">
        <v>2</v>
      </c>
      <c r="AV1339">
        <v>8</v>
      </c>
      <c r="AW1339">
        <v>1</v>
      </c>
      <c r="AX1339">
        <v>0</v>
      </c>
      <c r="AY1339">
        <v>14.7</v>
      </c>
      <c r="AZ1339">
        <v>6.8</v>
      </c>
      <c r="BA1339">
        <v>17.3</v>
      </c>
      <c r="BB1339">
        <v>564</v>
      </c>
      <c r="BC1339">
        <v>68</v>
      </c>
      <c r="BD1339">
        <v>1.3</v>
      </c>
      <c r="BE1339">
        <v>118</v>
      </c>
      <c r="BF1339">
        <v>25.2</v>
      </c>
      <c r="BG1339">
        <v>123</v>
      </c>
      <c r="BH1339">
        <v>7</v>
      </c>
      <c r="BI1339">
        <v>5.0999999999999996</v>
      </c>
      <c r="BJ1339">
        <v>12.1</v>
      </c>
      <c r="BK1339">
        <v>0.32</v>
      </c>
      <c r="BL1339">
        <v>9.8000000000000007</v>
      </c>
      <c r="BM1339">
        <v>1</v>
      </c>
      <c r="BN1339">
        <v>8.1</v>
      </c>
      <c r="BO1339">
        <v>1.3</v>
      </c>
      <c r="BP1339">
        <f t="shared" si="40"/>
        <v>5.8325826738429765</v>
      </c>
      <c r="BQ1339">
        <f t="shared" si="41"/>
        <v>16.059496193800378</v>
      </c>
    </row>
    <row r="1340" spans="1:69" hidden="1" x14ac:dyDescent="0.2">
      <c r="A1340" t="s">
        <v>3968</v>
      </c>
      <c r="B1340" t="s">
        <v>68</v>
      </c>
      <c r="C1340" t="s">
        <v>3294</v>
      </c>
      <c r="D1340" t="s">
        <v>70</v>
      </c>
      <c r="E1340" t="s">
        <v>3467</v>
      </c>
      <c r="F1340">
        <v>3</v>
      </c>
      <c r="G1340">
        <v>36</v>
      </c>
      <c r="H1340">
        <v>1</v>
      </c>
      <c r="I1340">
        <v>1</v>
      </c>
      <c r="J1340">
        <v>0</v>
      </c>
      <c r="K1340" t="s">
        <v>110</v>
      </c>
      <c r="L1340" t="s">
        <v>133</v>
      </c>
      <c r="M1340" s="4">
        <v>215000000</v>
      </c>
      <c r="N1340">
        <v>0</v>
      </c>
      <c r="O1340">
        <v>4.6000899999999998</v>
      </c>
      <c r="P1340">
        <v>-74.087990000000005</v>
      </c>
      <c r="Q1340" t="s">
        <v>3969</v>
      </c>
      <c r="R1340">
        <v>5972222.2220000001</v>
      </c>
      <c r="S1340">
        <v>0</v>
      </c>
      <c r="T1340" t="s">
        <v>596</v>
      </c>
      <c r="U1340" t="s">
        <v>597</v>
      </c>
      <c r="V1340" t="s">
        <v>77</v>
      </c>
      <c r="W1340" t="s">
        <v>596</v>
      </c>
      <c r="X1340" t="s">
        <v>598</v>
      </c>
      <c r="Y1340">
        <v>3.1002568219256998</v>
      </c>
      <c r="Z1340">
        <v>3100.2568219257</v>
      </c>
      <c r="AA1340">
        <v>4.5725527777777799</v>
      </c>
      <c r="AB1340">
        <v>-74.083813888888898</v>
      </c>
      <c r="AC1340">
        <v>2688</v>
      </c>
      <c r="AD1340">
        <v>0</v>
      </c>
      <c r="AE1340" t="s">
        <v>80</v>
      </c>
      <c r="AF1340" t="s">
        <v>107</v>
      </c>
      <c r="AG1340" t="s">
        <v>82</v>
      </c>
      <c r="AH1340" t="s">
        <v>83</v>
      </c>
      <c r="AI1340" t="s">
        <v>308</v>
      </c>
      <c r="AJ1340">
        <v>9.18553028753748E-2</v>
      </c>
      <c r="AK1340">
        <v>2.4330059959829899</v>
      </c>
      <c r="AL1340">
        <v>0.33962851708498099</v>
      </c>
      <c r="AM1340">
        <v>0.40177341015076101</v>
      </c>
      <c r="AN1340">
        <v>0.97925199446015598</v>
      </c>
      <c r="AO1340">
        <v>0.31336492684066503</v>
      </c>
      <c r="AP1340">
        <v>0.31336492684066503</v>
      </c>
      <c r="AQ1340">
        <v>1</v>
      </c>
      <c r="AR1340">
        <v>8</v>
      </c>
      <c r="AS1340">
        <v>0</v>
      </c>
      <c r="AT1340">
        <v>0</v>
      </c>
      <c r="AU1340">
        <v>2</v>
      </c>
      <c r="AV1340">
        <v>8</v>
      </c>
      <c r="AW1340">
        <v>1</v>
      </c>
      <c r="AX1340">
        <v>0</v>
      </c>
      <c r="AY1340">
        <v>14.7</v>
      </c>
      <c r="AZ1340">
        <v>6.8</v>
      </c>
      <c r="BA1340">
        <v>17.3</v>
      </c>
      <c r="BB1340">
        <v>564</v>
      </c>
      <c r="BC1340">
        <v>68</v>
      </c>
      <c r="BD1340">
        <v>1.3</v>
      </c>
      <c r="BE1340">
        <v>118</v>
      </c>
      <c r="BF1340">
        <v>25.2</v>
      </c>
      <c r="BG1340">
        <v>123</v>
      </c>
      <c r="BH1340">
        <v>7</v>
      </c>
      <c r="BI1340">
        <v>5.0999999999999996</v>
      </c>
      <c r="BJ1340">
        <v>12.1</v>
      </c>
      <c r="BK1340">
        <v>0.32</v>
      </c>
      <c r="BL1340">
        <v>9.8000000000000007</v>
      </c>
      <c r="BM1340">
        <v>1</v>
      </c>
      <c r="BN1340">
        <v>8.1</v>
      </c>
      <c r="BO1340">
        <v>1.3</v>
      </c>
      <c r="BP1340">
        <f t="shared" si="40"/>
        <v>5.8325826738429765</v>
      </c>
      <c r="BQ1340">
        <f t="shared" si="41"/>
        <v>16.059496193800378</v>
      </c>
    </row>
    <row r="1341" spans="1:69" hidden="1" x14ac:dyDescent="0.2">
      <c r="A1341" t="s">
        <v>4240</v>
      </c>
      <c r="B1341" t="s">
        <v>68</v>
      </c>
      <c r="C1341" t="s">
        <v>3294</v>
      </c>
      <c r="D1341" t="s">
        <v>70</v>
      </c>
      <c r="E1341" t="s">
        <v>3573</v>
      </c>
      <c r="F1341">
        <v>2</v>
      </c>
      <c r="G1341">
        <v>33</v>
      </c>
      <c r="H1341">
        <v>1</v>
      </c>
      <c r="I1341">
        <v>1</v>
      </c>
      <c r="J1341">
        <v>0</v>
      </c>
      <c r="K1341" t="s">
        <v>110</v>
      </c>
      <c r="L1341" t="s">
        <v>111</v>
      </c>
      <c r="M1341" s="4">
        <v>231206250</v>
      </c>
      <c r="N1341">
        <v>0</v>
      </c>
      <c r="O1341">
        <v>4.5922900000000002</v>
      </c>
      <c r="P1341">
        <v>-74.074700000000007</v>
      </c>
      <c r="Q1341" t="s">
        <v>4241</v>
      </c>
      <c r="R1341">
        <v>7006250</v>
      </c>
      <c r="S1341">
        <v>0</v>
      </c>
      <c r="T1341" t="s">
        <v>596</v>
      </c>
      <c r="U1341" t="s">
        <v>597</v>
      </c>
      <c r="V1341" t="s">
        <v>77</v>
      </c>
      <c r="W1341" t="s">
        <v>596</v>
      </c>
      <c r="X1341" t="s">
        <v>598</v>
      </c>
      <c r="Y1341">
        <v>2.41871081390084</v>
      </c>
      <c r="Z1341">
        <v>2418.7108139008401</v>
      </c>
      <c r="AA1341">
        <v>4.5725527777777799</v>
      </c>
      <c r="AB1341">
        <v>-74.083813888888898</v>
      </c>
      <c r="AC1341">
        <v>2688</v>
      </c>
      <c r="AD1341">
        <v>0</v>
      </c>
      <c r="AE1341" t="s">
        <v>80</v>
      </c>
      <c r="AF1341" t="s">
        <v>107</v>
      </c>
      <c r="AG1341" t="s">
        <v>82</v>
      </c>
      <c r="AH1341" t="s">
        <v>83</v>
      </c>
      <c r="AI1341" t="s">
        <v>537</v>
      </c>
      <c r="AJ1341">
        <v>0.81407377752250798</v>
      </c>
      <c r="AK1341">
        <v>0.95117915264695896</v>
      </c>
      <c r="AL1341">
        <v>0.32831541981415402</v>
      </c>
      <c r="AM1341">
        <v>0.31939287990835302</v>
      </c>
      <c r="AN1341">
        <v>0.47730753121272101</v>
      </c>
      <c r="AO1341">
        <v>0.26963746018599599</v>
      </c>
      <c r="AP1341">
        <v>0.26963746018599599</v>
      </c>
      <c r="AQ1341">
        <v>0</v>
      </c>
      <c r="AR1341">
        <v>2</v>
      </c>
      <c r="AS1341">
        <v>0</v>
      </c>
      <c r="AT1341">
        <v>6</v>
      </c>
      <c r="AU1341">
        <v>8</v>
      </c>
      <c r="AV1341">
        <v>7</v>
      </c>
      <c r="AW1341">
        <v>1</v>
      </c>
      <c r="AX1341">
        <v>1</v>
      </c>
      <c r="AY1341">
        <v>14.7</v>
      </c>
      <c r="AZ1341">
        <v>6.8</v>
      </c>
      <c r="BA1341">
        <v>17.3</v>
      </c>
      <c r="BB1341">
        <v>564</v>
      </c>
      <c r="BC1341">
        <v>68</v>
      </c>
      <c r="BD1341">
        <v>1.3</v>
      </c>
      <c r="BE1341">
        <v>118</v>
      </c>
      <c r="BF1341">
        <v>25.2</v>
      </c>
      <c r="BG1341">
        <v>123</v>
      </c>
      <c r="BH1341">
        <v>7</v>
      </c>
      <c r="BI1341">
        <v>5.0999999999999996</v>
      </c>
      <c r="BJ1341">
        <v>12.1</v>
      </c>
      <c r="BK1341">
        <v>0.32</v>
      </c>
      <c r="BL1341">
        <v>9.8000000000000007</v>
      </c>
      <c r="BM1341">
        <v>1</v>
      </c>
      <c r="BN1341">
        <v>8.1</v>
      </c>
      <c r="BO1341">
        <v>1.3</v>
      </c>
      <c r="BP1341">
        <f t="shared" si="40"/>
        <v>6.0327105884593974</v>
      </c>
      <c r="BQ1341">
        <f t="shared" si="41"/>
        <v>16.324343206346914</v>
      </c>
    </row>
    <row r="1342" spans="1:69" hidden="1" x14ac:dyDescent="0.2">
      <c r="A1342" t="s">
        <v>3769</v>
      </c>
      <c r="B1342" t="s">
        <v>68</v>
      </c>
      <c r="C1342" t="s">
        <v>3294</v>
      </c>
      <c r="D1342" t="s">
        <v>70</v>
      </c>
      <c r="E1342" t="s">
        <v>3467</v>
      </c>
      <c r="F1342">
        <v>3</v>
      </c>
      <c r="G1342">
        <v>32</v>
      </c>
      <c r="H1342">
        <v>1</v>
      </c>
      <c r="I1342">
        <v>1</v>
      </c>
      <c r="J1342">
        <v>0</v>
      </c>
      <c r="K1342" t="s">
        <v>110</v>
      </c>
      <c r="L1342" t="s">
        <v>111</v>
      </c>
      <c r="M1342" s="4">
        <v>222000000</v>
      </c>
      <c r="N1342">
        <v>0</v>
      </c>
      <c r="O1342">
        <v>4.6000099179999996</v>
      </c>
      <c r="P1342">
        <v>-74.087921140000006</v>
      </c>
      <c r="Q1342" t="s">
        <v>3770</v>
      </c>
      <c r="R1342">
        <v>6937500</v>
      </c>
      <c r="S1342">
        <v>0</v>
      </c>
      <c r="T1342" t="s">
        <v>596</v>
      </c>
      <c r="U1342" t="s">
        <v>597</v>
      </c>
      <c r="V1342" t="s">
        <v>77</v>
      </c>
      <c r="W1342" t="s">
        <v>596</v>
      </c>
      <c r="X1342" t="s">
        <v>598</v>
      </c>
      <c r="Y1342">
        <v>3.0903064636084401</v>
      </c>
      <c r="Z1342">
        <v>3090.30646360844</v>
      </c>
      <c r="AA1342">
        <v>4.5725527777777799</v>
      </c>
      <c r="AB1342">
        <v>-74.083813888888898</v>
      </c>
      <c r="AC1342">
        <v>2688</v>
      </c>
      <c r="AD1342">
        <v>0</v>
      </c>
      <c r="AE1342" t="s">
        <v>80</v>
      </c>
      <c r="AF1342" t="s">
        <v>107</v>
      </c>
      <c r="AG1342" t="s">
        <v>82</v>
      </c>
      <c r="AH1342" t="s">
        <v>83</v>
      </c>
      <c r="AI1342" t="s">
        <v>308</v>
      </c>
      <c r="AJ1342">
        <v>9.6375190892342102E-2</v>
      </c>
      <c r="AK1342">
        <v>2.4239999436435902</v>
      </c>
      <c r="AL1342">
        <v>0.34721083832299998</v>
      </c>
      <c r="AM1342">
        <v>0.40640792990414898</v>
      </c>
      <c r="AN1342">
        <v>0.98865394039629295</v>
      </c>
      <c r="AO1342">
        <v>0.30492885417983501</v>
      </c>
      <c r="AP1342">
        <v>0.30492885417983501</v>
      </c>
      <c r="AQ1342">
        <v>2</v>
      </c>
      <c r="AR1342">
        <v>8</v>
      </c>
      <c r="AS1342">
        <v>0</v>
      </c>
      <c r="AT1342">
        <v>0</v>
      </c>
      <c r="AU1342">
        <v>2</v>
      </c>
      <c r="AV1342">
        <v>7</v>
      </c>
      <c r="AW1342">
        <v>1</v>
      </c>
      <c r="AX1342">
        <v>0</v>
      </c>
      <c r="AY1342">
        <v>14.7</v>
      </c>
      <c r="AZ1342">
        <v>6.8</v>
      </c>
      <c r="BA1342">
        <v>17.3</v>
      </c>
      <c r="BB1342">
        <v>564</v>
      </c>
      <c r="BC1342">
        <v>68</v>
      </c>
      <c r="BD1342">
        <v>1.3</v>
      </c>
      <c r="BE1342">
        <v>118</v>
      </c>
      <c r="BF1342">
        <v>25.2</v>
      </c>
      <c r="BG1342">
        <v>123</v>
      </c>
      <c r="BH1342">
        <v>7</v>
      </c>
      <c r="BI1342">
        <v>5.0999999999999996</v>
      </c>
      <c r="BJ1342">
        <v>12.1</v>
      </c>
      <c r="BK1342">
        <v>0.32</v>
      </c>
      <c r="BL1342">
        <v>9.8000000000000007</v>
      </c>
      <c r="BM1342">
        <v>1</v>
      </c>
      <c r="BN1342">
        <v>8.1</v>
      </c>
      <c r="BO1342">
        <v>1.3</v>
      </c>
      <c r="BP1342">
        <f t="shared" si="40"/>
        <v>5.835456177678835</v>
      </c>
      <c r="BQ1342">
        <f t="shared" si="41"/>
        <v>16.063331797566281</v>
      </c>
    </row>
    <row r="1343" spans="1:69" hidden="1" x14ac:dyDescent="0.2">
      <c r="A1343" t="s">
        <v>3691</v>
      </c>
      <c r="B1343" t="s">
        <v>68</v>
      </c>
      <c r="C1343" t="s">
        <v>3294</v>
      </c>
      <c r="D1343" t="s">
        <v>70</v>
      </c>
      <c r="E1343" t="s">
        <v>3692</v>
      </c>
      <c r="F1343">
        <v>2</v>
      </c>
      <c r="G1343">
        <v>32</v>
      </c>
      <c r="H1343">
        <v>1</v>
      </c>
      <c r="I1343">
        <v>1</v>
      </c>
      <c r="J1343">
        <v>0</v>
      </c>
      <c r="K1343" t="s">
        <v>110</v>
      </c>
      <c r="L1343" t="s">
        <v>111</v>
      </c>
      <c r="M1343" s="4">
        <v>163000000</v>
      </c>
      <c r="N1343">
        <v>0</v>
      </c>
      <c r="O1343">
        <v>4.5817704199999998</v>
      </c>
      <c r="P1343">
        <v>-74.084342960000001</v>
      </c>
      <c r="Q1343" t="s">
        <v>3693</v>
      </c>
      <c r="R1343">
        <v>5093750</v>
      </c>
      <c r="S1343">
        <v>0</v>
      </c>
      <c r="T1343" t="s">
        <v>596</v>
      </c>
      <c r="U1343" t="s">
        <v>597</v>
      </c>
      <c r="V1343" t="s">
        <v>77</v>
      </c>
      <c r="W1343" t="s">
        <v>596</v>
      </c>
      <c r="X1343" t="s">
        <v>598</v>
      </c>
      <c r="Y1343">
        <v>1.02778134655211</v>
      </c>
      <c r="Z1343">
        <v>1027.7813465521101</v>
      </c>
      <c r="AA1343">
        <v>4.5725527777777799</v>
      </c>
      <c r="AB1343">
        <v>-74.083813888888898</v>
      </c>
      <c r="AC1343">
        <v>2688</v>
      </c>
      <c r="AD1343">
        <v>0</v>
      </c>
      <c r="AE1343" t="s">
        <v>80</v>
      </c>
      <c r="AF1343" t="s">
        <v>107</v>
      </c>
      <c r="AG1343" t="s">
        <v>82</v>
      </c>
      <c r="AH1343" t="s">
        <v>83</v>
      </c>
      <c r="AI1343" t="s">
        <v>599</v>
      </c>
      <c r="AJ1343">
        <v>0.57035930595908302</v>
      </c>
      <c r="AK1343">
        <v>1.3278619985921001</v>
      </c>
      <c r="AL1343">
        <v>1.1630796687661</v>
      </c>
      <c r="AM1343">
        <v>0.19078164742916801</v>
      </c>
      <c r="AN1343">
        <v>1.2244028458913401</v>
      </c>
      <c r="AO1343">
        <v>3.9617715075487003E-2</v>
      </c>
      <c r="AP1343">
        <v>3.9617715075487003E-2</v>
      </c>
      <c r="AQ1343">
        <v>0</v>
      </c>
      <c r="AR1343">
        <v>3</v>
      </c>
      <c r="AS1343">
        <v>0</v>
      </c>
      <c r="AT1343">
        <v>0</v>
      </c>
      <c r="AU1343">
        <v>0</v>
      </c>
      <c r="AV1343">
        <v>13</v>
      </c>
      <c r="AW1343">
        <v>0</v>
      </c>
      <c r="AX1343">
        <v>0</v>
      </c>
      <c r="AY1343">
        <v>14.7</v>
      </c>
      <c r="AZ1343">
        <v>6.8</v>
      </c>
      <c r="BA1343">
        <v>17.3</v>
      </c>
      <c r="BB1343">
        <v>564</v>
      </c>
      <c r="BC1343">
        <v>68</v>
      </c>
      <c r="BD1343">
        <v>1.3</v>
      </c>
      <c r="BE1343">
        <v>118</v>
      </c>
      <c r="BF1343">
        <v>25.2</v>
      </c>
      <c r="BG1343">
        <v>123</v>
      </c>
      <c r="BH1343">
        <v>7</v>
      </c>
      <c r="BI1343">
        <v>5.0999999999999996</v>
      </c>
      <c r="BJ1343">
        <v>12.1</v>
      </c>
      <c r="BK1343">
        <v>0.32</v>
      </c>
      <c r="BL1343">
        <v>9.8000000000000007</v>
      </c>
      <c r="BM1343">
        <v>1</v>
      </c>
      <c r="BN1343">
        <v>8.1</v>
      </c>
      <c r="BO1343">
        <v>1.3</v>
      </c>
      <c r="BP1343">
        <f t="shared" si="40"/>
        <v>6.4627016053117945</v>
      </c>
      <c r="BQ1343">
        <f t="shared" si="41"/>
        <v>16.878485257082694</v>
      </c>
    </row>
    <row r="1344" spans="1:69" hidden="1" x14ac:dyDescent="0.2">
      <c r="A1344" t="s">
        <v>4464</v>
      </c>
      <c r="B1344" t="s">
        <v>68</v>
      </c>
      <c r="C1344" t="s">
        <v>3294</v>
      </c>
      <c r="D1344" t="s">
        <v>70</v>
      </c>
      <c r="E1344" t="s">
        <v>4358</v>
      </c>
      <c r="F1344">
        <v>3</v>
      </c>
      <c r="G1344">
        <v>31</v>
      </c>
      <c r="H1344">
        <v>1</v>
      </c>
      <c r="I1344">
        <v>1</v>
      </c>
      <c r="J1344">
        <v>0</v>
      </c>
      <c r="K1344" t="s">
        <v>110</v>
      </c>
      <c r="L1344" t="s">
        <v>133</v>
      </c>
      <c r="M1344" s="4">
        <v>180000000</v>
      </c>
      <c r="N1344">
        <v>0</v>
      </c>
      <c r="O1344">
        <v>4.5779066000000004</v>
      </c>
      <c r="P1344">
        <v>-74.085494999999995</v>
      </c>
      <c r="Q1344" t="s">
        <v>4465</v>
      </c>
      <c r="R1344">
        <v>5806451.6129999999</v>
      </c>
      <c r="S1344">
        <v>0</v>
      </c>
      <c r="T1344" t="s">
        <v>596</v>
      </c>
      <c r="U1344" t="s">
        <v>597</v>
      </c>
      <c r="V1344" t="s">
        <v>77</v>
      </c>
      <c r="W1344" t="s">
        <v>596</v>
      </c>
      <c r="X1344" t="s">
        <v>598</v>
      </c>
      <c r="Y1344">
        <v>0.62449702987656297</v>
      </c>
      <c r="Z1344">
        <v>624.49702987656303</v>
      </c>
      <c r="AA1344">
        <v>4.5725527777777799</v>
      </c>
      <c r="AB1344">
        <v>-74.083813888888898</v>
      </c>
      <c r="AC1344">
        <v>2688</v>
      </c>
      <c r="AD1344">
        <v>0</v>
      </c>
      <c r="AE1344" t="s">
        <v>80</v>
      </c>
      <c r="AF1344" t="s">
        <v>107</v>
      </c>
      <c r="AG1344" t="s">
        <v>82</v>
      </c>
      <c r="AH1344" t="s">
        <v>83</v>
      </c>
      <c r="AI1344" t="s">
        <v>599</v>
      </c>
      <c r="AJ1344">
        <v>0.67196129237299396</v>
      </c>
      <c r="AK1344">
        <v>1.2579202074318201</v>
      </c>
      <c r="AL1344">
        <v>0.82220341938041297</v>
      </c>
      <c r="AM1344">
        <v>0.425432435077994</v>
      </c>
      <c r="AN1344">
        <v>0.87176546761889195</v>
      </c>
      <c r="AO1344">
        <v>0.17254175935893001</v>
      </c>
      <c r="AP1344">
        <v>0.17254175935893001</v>
      </c>
      <c r="AQ1344">
        <v>0</v>
      </c>
      <c r="AR1344">
        <v>3</v>
      </c>
      <c r="AS1344">
        <v>0</v>
      </c>
      <c r="AT1344">
        <v>0</v>
      </c>
      <c r="AU1344">
        <v>1</v>
      </c>
      <c r="AV1344">
        <v>9</v>
      </c>
      <c r="AW1344">
        <v>1</v>
      </c>
      <c r="AX1344">
        <v>0</v>
      </c>
      <c r="AY1344">
        <v>14.7</v>
      </c>
      <c r="AZ1344">
        <v>6.8</v>
      </c>
      <c r="BA1344">
        <v>17.3</v>
      </c>
      <c r="BB1344">
        <v>564</v>
      </c>
      <c r="BC1344">
        <v>68</v>
      </c>
      <c r="BD1344">
        <v>1.3</v>
      </c>
      <c r="BE1344">
        <v>118</v>
      </c>
      <c r="BF1344">
        <v>25.2</v>
      </c>
      <c r="BG1344">
        <v>123</v>
      </c>
      <c r="BH1344">
        <v>7</v>
      </c>
      <c r="BI1344">
        <v>5.0999999999999996</v>
      </c>
      <c r="BJ1344">
        <v>12.1</v>
      </c>
      <c r="BK1344">
        <v>0.32</v>
      </c>
      <c r="BL1344">
        <v>9.8000000000000007</v>
      </c>
      <c r="BM1344">
        <v>1</v>
      </c>
      <c r="BN1344">
        <v>8.1</v>
      </c>
      <c r="BO1344">
        <v>1.3</v>
      </c>
      <c r="BP1344">
        <f t="shared" si="40"/>
        <v>6.5930100811794592</v>
      </c>
      <c r="BQ1344">
        <f t="shared" si="41"/>
        <v>17.042642280448693</v>
      </c>
    </row>
    <row r="1345" spans="1:69" hidden="1" x14ac:dyDescent="0.2">
      <c r="A1345" t="s">
        <v>4388</v>
      </c>
      <c r="B1345" t="s">
        <v>68</v>
      </c>
      <c r="C1345" t="s">
        <v>3294</v>
      </c>
      <c r="D1345" t="s">
        <v>70</v>
      </c>
      <c r="E1345" t="s">
        <v>948</v>
      </c>
      <c r="F1345">
        <v>3</v>
      </c>
      <c r="G1345">
        <v>29</v>
      </c>
      <c r="H1345">
        <v>1</v>
      </c>
      <c r="I1345">
        <v>1</v>
      </c>
      <c r="J1345">
        <v>0</v>
      </c>
      <c r="K1345" t="s">
        <v>110</v>
      </c>
      <c r="L1345" t="s">
        <v>111</v>
      </c>
      <c r="M1345" s="4">
        <v>253700000</v>
      </c>
      <c r="N1345">
        <v>0</v>
      </c>
      <c r="O1345">
        <v>4.5706325999999997</v>
      </c>
      <c r="P1345">
        <v>-74.099030400000004</v>
      </c>
      <c r="Q1345" t="s">
        <v>4389</v>
      </c>
      <c r="R1345">
        <v>8748275.8619999997</v>
      </c>
      <c r="S1345">
        <v>0</v>
      </c>
      <c r="T1345" t="s">
        <v>596</v>
      </c>
      <c r="U1345" t="s">
        <v>597</v>
      </c>
      <c r="V1345" t="s">
        <v>77</v>
      </c>
      <c r="W1345" t="s">
        <v>596</v>
      </c>
      <c r="X1345" t="s">
        <v>598</v>
      </c>
      <c r="Y1345">
        <v>1.70198124644154</v>
      </c>
      <c r="Z1345">
        <v>1701.98124644154</v>
      </c>
      <c r="AA1345">
        <v>4.5725527777777799</v>
      </c>
      <c r="AB1345">
        <v>-74.083813888888898</v>
      </c>
      <c r="AC1345">
        <v>2688</v>
      </c>
      <c r="AD1345">
        <v>0</v>
      </c>
      <c r="AE1345" t="s">
        <v>80</v>
      </c>
      <c r="AF1345" t="s">
        <v>107</v>
      </c>
      <c r="AG1345" t="s">
        <v>82</v>
      </c>
      <c r="AH1345" t="s">
        <v>83</v>
      </c>
      <c r="AI1345" t="s">
        <v>599</v>
      </c>
      <c r="AJ1345">
        <v>9.7163574275330705E-2</v>
      </c>
      <c r="AK1345">
        <v>2.48013584880117</v>
      </c>
      <c r="AL1345">
        <v>1.6124630540985401</v>
      </c>
      <c r="AM1345">
        <v>0.25381062714865699</v>
      </c>
      <c r="AN1345">
        <v>1.4612869042287799</v>
      </c>
      <c r="AO1345">
        <v>0.13902026455222399</v>
      </c>
      <c r="AP1345">
        <v>0.13902026455222399</v>
      </c>
      <c r="AQ1345">
        <v>1</v>
      </c>
      <c r="AR1345">
        <v>3</v>
      </c>
      <c r="AS1345">
        <v>0</v>
      </c>
      <c r="AT1345">
        <v>0</v>
      </c>
      <c r="AU1345">
        <v>0</v>
      </c>
      <c r="AV1345">
        <v>15</v>
      </c>
      <c r="AW1345">
        <v>0</v>
      </c>
      <c r="AX1345">
        <v>0</v>
      </c>
      <c r="AY1345">
        <v>14.7</v>
      </c>
      <c r="AZ1345">
        <v>6.8</v>
      </c>
      <c r="BA1345">
        <v>17.3</v>
      </c>
      <c r="BB1345">
        <v>564</v>
      </c>
      <c r="BC1345">
        <v>68</v>
      </c>
      <c r="BD1345">
        <v>1.3</v>
      </c>
      <c r="BE1345">
        <v>118</v>
      </c>
      <c r="BF1345">
        <v>25.2</v>
      </c>
      <c r="BG1345">
        <v>123</v>
      </c>
      <c r="BH1345">
        <v>7</v>
      </c>
      <c r="BI1345">
        <v>5.0999999999999996</v>
      </c>
      <c r="BJ1345">
        <v>12.1</v>
      </c>
      <c r="BK1345">
        <v>0.32</v>
      </c>
      <c r="BL1345">
        <v>9.8000000000000007</v>
      </c>
      <c r="BM1345">
        <v>1</v>
      </c>
      <c r="BN1345">
        <v>8.1</v>
      </c>
      <c r="BO1345">
        <v>1.3</v>
      </c>
      <c r="BP1345">
        <f t="shared" si="40"/>
        <v>6.2505817566666773</v>
      </c>
      <c r="BQ1345">
        <f t="shared" si="41"/>
        <v>16.607575581433885</v>
      </c>
    </row>
    <row r="1346" spans="1:69" hidden="1" x14ac:dyDescent="0.2">
      <c r="A1346" t="s">
        <v>3658</v>
      </c>
      <c r="B1346" t="s">
        <v>68</v>
      </c>
      <c r="C1346" t="s">
        <v>3294</v>
      </c>
      <c r="D1346" t="s">
        <v>70</v>
      </c>
      <c r="E1346" t="s">
        <v>3467</v>
      </c>
      <c r="F1346">
        <v>3</v>
      </c>
      <c r="G1346">
        <v>28.98</v>
      </c>
      <c r="H1346">
        <v>1</v>
      </c>
      <c r="I1346">
        <v>1</v>
      </c>
      <c r="J1346">
        <v>0</v>
      </c>
      <c r="K1346" t="s">
        <v>110</v>
      </c>
      <c r="L1346" t="s">
        <v>111</v>
      </c>
      <c r="M1346" s="4">
        <v>189000000</v>
      </c>
      <c r="N1346">
        <v>0</v>
      </c>
      <c r="O1346">
        <v>4.6000899999999998</v>
      </c>
      <c r="P1346">
        <v>-74.087990000000005</v>
      </c>
      <c r="Q1346" t="s">
        <v>3659</v>
      </c>
      <c r="R1346">
        <v>6521739.1299999999</v>
      </c>
      <c r="S1346">
        <v>0</v>
      </c>
      <c r="T1346" t="s">
        <v>596</v>
      </c>
      <c r="U1346" t="s">
        <v>597</v>
      </c>
      <c r="V1346" t="s">
        <v>77</v>
      </c>
      <c r="W1346" t="s">
        <v>596</v>
      </c>
      <c r="X1346" t="s">
        <v>598</v>
      </c>
      <c r="Y1346">
        <v>3.1002568219256998</v>
      </c>
      <c r="Z1346">
        <v>3100.2568219257</v>
      </c>
      <c r="AA1346">
        <v>4.5725527777777799</v>
      </c>
      <c r="AB1346">
        <v>-74.083813888888898</v>
      </c>
      <c r="AC1346">
        <v>2688</v>
      </c>
      <c r="AD1346">
        <v>0</v>
      </c>
      <c r="AE1346" t="s">
        <v>80</v>
      </c>
      <c r="AF1346" t="s">
        <v>107</v>
      </c>
      <c r="AG1346" t="s">
        <v>82</v>
      </c>
      <c r="AH1346" t="s">
        <v>83</v>
      </c>
      <c r="AI1346" t="s">
        <v>308</v>
      </c>
      <c r="AJ1346">
        <v>9.18553028753748E-2</v>
      </c>
      <c r="AK1346">
        <v>2.4330059959829899</v>
      </c>
      <c r="AL1346">
        <v>0.33962851708498099</v>
      </c>
      <c r="AM1346">
        <v>0.40177341015076101</v>
      </c>
      <c r="AN1346">
        <v>0.97925199446015598</v>
      </c>
      <c r="AO1346">
        <v>0.31336492684066503</v>
      </c>
      <c r="AP1346">
        <v>0.31336492684066503</v>
      </c>
      <c r="AQ1346">
        <v>1</v>
      </c>
      <c r="AR1346">
        <v>8</v>
      </c>
      <c r="AS1346">
        <v>0</v>
      </c>
      <c r="AT1346">
        <v>0</v>
      </c>
      <c r="AU1346">
        <v>2</v>
      </c>
      <c r="AV1346">
        <v>8</v>
      </c>
      <c r="AW1346">
        <v>1</v>
      </c>
      <c r="AX1346">
        <v>0</v>
      </c>
      <c r="AY1346">
        <v>14.7</v>
      </c>
      <c r="AZ1346">
        <v>6.8</v>
      </c>
      <c r="BA1346">
        <v>17.3</v>
      </c>
      <c r="BB1346">
        <v>564</v>
      </c>
      <c r="BC1346">
        <v>68</v>
      </c>
      <c r="BD1346">
        <v>1.3</v>
      </c>
      <c r="BE1346">
        <v>118</v>
      </c>
      <c r="BF1346">
        <v>25.2</v>
      </c>
      <c r="BG1346">
        <v>123</v>
      </c>
      <c r="BH1346">
        <v>7</v>
      </c>
      <c r="BI1346">
        <v>5.0999999999999996</v>
      </c>
      <c r="BJ1346">
        <v>12.1</v>
      </c>
      <c r="BK1346">
        <v>0.32</v>
      </c>
      <c r="BL1346">
        <v>9.8000000000000007</v>
      </c>
      <c r="BM1346">
        <v>1</v>
      </c>
      <c r="BN1346">
        <v>8.1</v>
      </c>
      <c r="BO1346">
        <v>1.3</v>
      </c>
      <c r="BP1346">
        <f t="shared" ref="BP1346:BP1409" si="42">+AZ1346*EXP(-0.0495*Y1346)</f>
        <v>5.8325826738429765</v>
      </c>
      <c r="BQ1346">
        <f t="shared" ref="BQ1346:BQ1409" si="43">+BA1346*EXP(-0.024*Y1346)</f>
        <v>16.059496193800378</v>
      </c>
    </row>
    <row r="1347" spans="1:69" hidden="1" x14ac:dyDescent="0.2">
      <c r="A1347" t="s">
        <v>4041</v>
      </c>
      <c r="B1347" t="s">
        <v>68</v>
      </c>
      <c r="C1347" t="s">
        <v>3294</v>
      </c>
      <c r="D1347" t="s">
        <v>70</v>
      </c>
      <c r="E1347" t="s">
        <v>3573</v>
      </c>
      <c r="F1347">
        <v>2</v>
      </c>
      <c r="G1347">
        <v>28</v>
      </c>
      <c r="H1347">
        <v>1</v>
      </c>
      <c r="I1347">
        <v>1</v>
      </c>
      <c r="J1347">
        <v>0</v>
      </c>
      <c r="K1347" t="s">
        <v>110</v>
      </c>
      <c r="L1347" t="s">
        <v>111</v>
      </c>
      <c r="M1347" s="4">
        <v>245000000</v>
      </c>
      <c r="N1347">
        <v>0</v>
      </c>
      <c r="O1347">
        <v>4.5921608999999997</v>
      </c>
      <c r="P1347">
        <v>-74.074710199999998</v>
      </c>
      <c r="Q1347" t="s">
        <v>4042</v>
      </c>
      <c r="R1347">
        <v>8750000</v>
      </c>
      <c r="S1347">
        <v>0</v>
      </c>
      <c r="T1347" t="s">
        <v>596</v>
      </c>
      <c r="U1347" t="s">
        <v>597</v>
      </c>
      <c r="V1347" t="s">
        <v>77</v>
      </c>
      <c r="W1347" t="s">
        <v>596</v>
      </c>
      <c r="X1347" t="s">
        <v>598</v>
      </c>
      <c r="Y1347">
        <v>2.4051879537040199</v>
      </c>
      <c r="Z1347">
        <v>2405.1879537040199</v>
      </c>
      <c r="AA1347">
        <v>4.5725527777777799</v>
      </c>
      <c r="AB1347">
        <v>-74.083813888888898</v>
      </c>
      <c r="AC1347">
        <v>2688</v>
      </c>
      <c r="AD1347">
        <v>0</v>
      </c>
      <c r="AE1347" t="s">
        <v>80</v>
      </c>
      <c r="AF1347" t="s">
        <v>107</v>
      </c>
      <c r="AG1347" t="s">
        <v>82</v>
      </c>
      <c r="AH1347" t="s">
        <v>83</v>
      </c>
      <c r="AI1347" t="s">
        <v>537</v>
      </c>
      <c r="AJ1347">
        <v>0.81644888645812597</v>
      </c>
      <c r="AK1347">
        <v>0.95465949922670001</v>
      </c>
      <c r="AL1347">
        <v>0.34121955911528801</v>
      </c>
      <c r="AM1347">
        <v>0.32622476909847098</v>
      </c>
      <c r="AN1347">
        <v>0.47352123264151003</v>
      </c>
      <c r="AO1347">
        <v>0.27611193643834298</v>
      </c>
      <c r="AP1347">
        <v>0.27611193643834298</v>
      </c>
      <c r="AQ1347">
        <v>0</v>
      </c>
      <c r="AR1347">
        <v>1</v>
      </c>
      <c r="AS1347">
        <v>0</v>
      </c>
      <c r="AT1347">
        <v>6</v>
      </c>
      <c r="AU1347">
        <v>8</v>
      </c>
      <c r="AV1347">
        <v>7</v>
      </c>
      <c r="AW1347">
        <v>1</v>
      </c>
      <c r="AX1347">
        <v>1</v>
      </c>
      <c r="AY1347">
        <v>14.7</v>
      </c>
      <c r="AZ1347">
        <v>6.8</v>
      </c>
      <c r="BA1347">
        <v>17.3</v>
      </c>
      <c r="BB1347">
        <v>564</v>
      </c>
      <c r="BC1347">
        <v>68</v>
      </c>
      <c r="BD1347">
        <v>1.3</v>
      </c>
      <c r="BE1347">
        <v>118</v>
      </c>
      <c r="BF1347">
        <v>25.2</v>
      </c>
      <c r="BG1347">
        <v>123</v>
      </c>
      <c r="BH1347">
        <v>7</v>
      </c>
      <c r="BI1347">
        <v>5.0999999999999996</v>
      </c>
      <c r="BJ1347">
        <v>12.1</v>
      </c>
      <c r="BK1347">
        <v>0.32</v>
      </c>
      <c r="BL1347">
        <v>9.8000000000000007</v>
      </c>
      <c r="BM1347">
        <v>1</v>
      </c>
      <c r="BN1347">
        <v>8.1</v>
      </c>
      <c r="BO1347">
        <v>1.3</v>
      </c>
      <c r="BP1347">
        <f t="shared" si="42"/>
        <v>6.0367501256482887</v>
      </c>
      <c r="BQ1347">
        <f t="shared" si="43"/>
        <v>16.329642109639963</v>
      </c>
    </row>
    <row r="1348" spans="1:69" hidden="1" x14ac:dyDescent="0.2">
      <c r="A1348" t="s">
        <v>4384</v>
      </c>
      <c r="B1348" t="s">
        <v>68</v>
      </c>
      <c r="C1348" t="s">
        <v>3294</v>
      </c>
      <c r="D1348" t="s">
        <v>70</v>
      </c>
      <c r="E1348" t="s">
        <v>1286</v>
      </c>
      <c r="F1348">
        <v>3</v>
      </c>
      <c r="G1348">
        <v>27</v>
      </c>
      <c r="H1348">
        <v>1</v>
      </c>
      <c r="I1348">
        <v>1</v>
      </c>
      <c r="J1348">
        <v>0</v>
      </c>
      <c r="K1348" t="s">
        <v>110</v>
      </c>
      <c r="L1348" t="s">
        <v>111</v>
      </c>
      <c r="M1348" s="4">
        <v>230000000</v>
      </c>
      <c r="N1348">
        <v>0</v>
      </c>
      <c r="O1348">
        <v>4.5962529180000002</v>
      </c>
      <c r="P1348">
        <v>-74.089256289999994</v>
      </c>
      <c r="Q1348" t="s">
        <v>4385</v>
      </c>
      <c r="R1348">
        <v>8518518.5189999994</v>
      </c>
      <c r="S1348">
        <v>0</v>
      </c>
      <c r="T1348" t="s">
        <v>596</v>
      </c>
      <c r="U1348" t="s">
        <v>597</v>
      </c>
      <c r="V1348" t="s">
        <v>77</v>
      </c>
      <c r="W1348" t="s">
        <v>596</v>
      </c>
      <c r="X1348" t="s">
        <v>598</v>
      </c>
      <c r="Y1348">
        <v>2.7065226468547201</v>
      </c>
      <c r="Z1348">
        <v>2706.5226468547198</v>
      </c>
      <c r="AA1348">
        <v>4.5725527777777799</v>
      </c>
      <c r="AB1348">
        <v>-74.083813888888898</v>
      </c>
      <c r="AC1348">
        <v>2688</v>
      </c>
      <c r="AD1348">
        <v>0</v>
      </c>
      <c r="AE1348" t="s">
        <v>80</v>
      </c>
      <c r="AF1348" t="s">
        <v>107</v>
      </c>
      <c r="AG1348" t="s">
        <v>82</v>
      </c>
      <c r="AH1348" t="s">
        <v>83</v>
      </c>
      <c r="AI1348" t="s">
        <v>308</v>
      </c>
      <c r="AJ1348">
        <v>0.361333344746195</v>
      </c>
      <c r="AK1348">
        <v>2.53872717056566</v>
      </c>
      <c r="AL1348">
        <v>0.73267162071291303</v>
      </c>
      <c r="AM1348">
        <v>0.37188627580232603</v>
      </c>
      <c r="AN1348">
        <v>1.2650683255686701</v>
      </c>
      <c r="AO1348">
        <v>8.1339482063039606E-2</v>
      </c>
      <c r="AP1348">
        <v>8.1339482063039606E-2</v>
      </c>
      <c r="AQ1348">
        <v>2</v>
      </c>
      <c r="AR1348">
        <v>6</v>
      </c>
      <c r="AS1348">
        <v>0</v>
      </c>
      <c r="AT1348">
        <v>0</v>
      </c>
      <c r="AU1348">
        <v>2</v>
      </c>
      <c r="AV1348">
        <v>13</v>
      </c>
      <c r="AW1348">
        <v>0</v>
      </c>
      <c r="AX1348">
        <v>0</v>
      </c>
      <c r="AY1348">
        <v>14.7</v>
      </c>
      <c r="AZ1348">
        <v>6.8</v>
      </c>
      <c r="BA1348">
        <v>17.3</v>
      </c>
      <c r="BB1348">
        <v>564</v>
      </c>
      <c r="BC1348">
        <v>68</v>
      </c>
      <c r="BD1348">
        <v>1.3</v>
      </c>
      <c r="BE1348">
        <v>118</v>
      </c>
      <c r="BF1348">
        <v>25.2</v>
      </c>
      <c r="BG1348">
        <v>123</v>
      </c>
      <c r="BH1348">
        <v>7</v>
      </c>
      <c r="BI1348">
        <v>5.0999999999999996</v>
      </c>
      <c r="BJ1348">
        <v>12.1</v>
      </c>
      <c r="BK1348">
        <v>0.32</v>
      </c>
      <c r="BL1348">
        <v>9.8000000000000007</v>
      </c>
      <c r="BM1348">
        <v>1</v>
      </c>
      <c r="BN1348">
        <v>8.1</v>
      </c>
      <c r="BO1348">
        <v>1.3</v>
      </c>
      <c r="BP1348">
        <f t="shared" si="42"/>
        <v>5.9473737833026439</v>
      </c>
      <c r="BQ1348">
        <f t="shared" si="43"/>
        <v>16.211971616268563</v>
      </c>
    </row>
    <row r="1349" spans="1:69" hidden="1" x14ac:dyDescent="0.2">
      <c r="A1349" t="s">
        <v>3908</v>
      </c>
      <c r="B1349" t="s">
        <v>68</v>
      </c>
      <c r="C1349" t="s">
        <v>3294</v>
      </c>
      <c r="D1349" t="s">
        <v>70</v>
      </c>
      <c r="E1349" t="s">
        <v>3909</v>
      </c>
      <c r="F1349">
        <v>3</v>
      </c>
      <c r="G1349">
        <v>27</v>
      </c>
      <c r="H1349">
        <v>1</v>
      </c>
      <c r="I1349">
        <v>1</v>
      </c>
      <c r="J1349">
        <v>1</v>
      </c>
      <c r="K1349" t="s">
        <v>110</v>
      </c>
      <c r="L1349" t="s">
        <v>133</v>
      </c>
      <c r="M1349" s="4">
        <v>230000000</v>
      </c>
      <c r="N1349">
        <v>0</v>
      </c>
      <c r="O1349">
        <v>4.5903248789999997</v>
      </c>
      <c r="P1349">
        <v>-74.095176699999996</v>
      </c>
      <c r="Q1349" t="s">
        <v>3910</v>
      </c>
      <c r="R1349">
        <v>8518518.5189999994</v>
      </c>
      <c r="S1349">
        <v>0</v>
      </c>
      <c r="T1349" t="s">
        <v>596</v>
      </c>
      <c r="U1349" t="s">
        <v>597</v>
      </c>
      <c r="V1349" t="s">
        <v>77</v>
      </c>
      <c r="W1349" t="s">
        <v>596</v>
      </c>
      <c r="X1349" t="s">
        <v>598</v>
      </c>
      <c r="Y1349">
        <v>2.3460098454918001</v>
      </c>
      <c r="Z1349">
        <v>2346.0098454918002</v>
      </c>
      <c r="AA1349">
        <v>4.5725527777777799</v>
      </c>
      <c r="AB1349">
        <v>-74.083813888888898</v>
      </c>
      <c r="AC1349">
        <v>2688</v>
      </c>
      <c r="AD1349">
        <v>0</v>
      </c>
      <c r="AE1349" t="s">
        <v>80</v>
      </c>
      <c r="AF1349" t="s">
        <v>107</v>
      </c>
      <c r="AG1349" t="s">
        <v>82</v>
      </c>
      <c r="AH1349" t="s">
        <v>83</v>
      </c>
      <c r="AI1349" t="s">
        <v>987</v>
      </c>
      <c r="AJ1349">
        <v>0.46755763201579298</v>
      </c>
      <c r="AK1349">
        <v>2.8548664417335599</v>
      </c>
      <c r="AL1349">
        <v>0.439910343855268</v>
      </c>
      <c r="AM1349">
        <v>0.32484094166099098</v>
      </c>
      <c r="AN1349">
        <v>1.0249542313176701</v>
      </c>
      <c r="AO1349">
        <v>0.20271613705408101</v>
      </c>
      <c r="AP1349">
        <v>0.20271613705408101</v>
      </c>
      <c r="AQ1349">
        <v>1</v>
      </c>
      <c r="AR1349">
        <v>3</v>
      </c>
      <c r="AS1349">
        <v>0</v>
      </c>
      <c r="AT1349">
        <v>0</v>
      </c>
      <c r="AU1349">
        <v>2</v>
      </c>
      <c r="AV1349">
        <v>36</v>
      </c>
      <c r="AW1349">
        <v>0</v>
      </c>
      <c r="AX1349">
        <v>0</v>
      </c>
      <c r="AY1349">
        <v>14.7</v>
      </c>
      <c r="AZ1349">
        <v>6.8</v>
      </c>
      <c r="BA1349">
        <v>17.3</v>
      </c>
      <c r="BB1349">
        <v>564</v>
      </c>
      <c r="BC1349">
        <v>68</v>
      </c>
      <c r="BD1349">
        <v>1.3</v>
      </c>
      <c r="BE1349">
        <v>118</v>
      </c>
      <c r="BF1349">
        <v>25.2</v>
      </c>
      <c r="BG1349">
        <v>123</v>
      </c>
      <c r="BH1349">
        <v>7</v>
      </c>
      <c r="BI1349">
        <v>5.0999999999999996</v>
      </c>
      <c r="BJ1349">
        <v>12.1</v>
      </c>
      <c r="BK1349">
        <v>0.32</v>
      </c>
      <c r="BL1349">
        <v>9.8000000000000007</v>
      </c>
      <c r="BM1349">
        <v>1</v>
      </c>
      <c r="BN1349">
        <v>8.1</v>
      </c>
      <c r="BO1349">
        <v>1.3</v>
      </c>
      <c r="BP1349">
        <f t="shared" si="42"/>
        <v>6.0544596021975501</v>
      </c>
      <c r="BQ1349">
        <f t="shared" si="43"/>
        <v>16.352851163221121</v>
      </c>
    </row>
    <row r="1350" spans="1:69" hidden="1" x14ac:dyDescent="0.2">
      <c r="A1350" t="s">
        <v>3466</v>
      </c>
      <c r="B1350" t="s">
        <v>68</v>
      </c>
      <c r="C1350" t="s">
        <v>3294</v>
      </c>
      <c r="D1350" t="s">
        <v>70</v>
      </c>
      <c r="E1350" t="s">
        <v>3467</v>
      </c>
      <c r="F1350">
        <v>3</v>
      </c>
      <c r="G1350">
        <v>26</v>
      </c>
      <c r="H1350">
        <v>1</v>
      </c>
      <c r="I1350">
        <v>1</v>
      </c>
      <c r="J1350">
        <v>0</v>
      </c>
      <c r="K1350" t="s">
        <v>110</v>
      </c>
      <c r="L1350" t="s">
        <v>111</v>
      </c>
      <c r="M1350" s="4">
        <v>170000000</v>
      </c>
      <c r="N1350">
        <v>0</v>
      </c>
      <c r="O1350">
        <v>4.6000899999999998</v>
      </c>
      <c r="P1350">
        <v>-74.087990000000005</v>
      </c>
      <c r="Q1350" t="s">
        <v>3468</v>
      </c>
      <c r="R1350">
        <v>6538461.5379999997</v>
      </c>
      <c r="S1350">
        <v>0</v>
      </c>
      <c r="T1350" t="s">
        <v>596</v>
      </c>
      <c r="U1350" t="s">
        <v>597</v>
      </c>
      <c r="V1350" t="s">
        <v>77</v>
      </c>
      <c r="W1350" t="s">
        <v>596</v>
      </c>
      <c r="X1350" t="s">
        <v>598</v>
      </c>
      <c r="Y1350">
        <v>3.1002568219256998</v>
      </c>
      <c r="Z1350">
        <v>3100.2568219257</v>
      </c>
      <c r="AA1350">
        <v>4.5725527777777799</v>
      </c>
      <c r="AB1350">
        <v>-74.083813888888898</v>
      </c>
      <c r="AC1350">
        <v>2688</v>
      </c>
      <c r="AD1350">
        <v>0</v>
      </c>
      <c r="AE1350" t="s">
        <v>80</v>
      </c>
      <c r="AF1350" t="s">
        <v>107</v>
      </c>
      <c r="AG1350" t="s">
        <v>82</v>
      </c>
      <c r="AH1350" t="s">
        <v>83</v>
      </c>
      <c r="AI1350" t="s">
        <v>308</v>
      </c>
      <c r="AJ1350">
        <v>9.18553028753748E-2</v>
      </c>
      <c r="AK1350">
        <v>2.4330059959829899</v>
      </c>
      <c r="AL1350">
        <v>0.33962851708498099</v>
      </c>
      <c r="AM1350">
        <v>0.40177341015076101</v>
      </c>
      <c r="AN1350">
        <v>0.97925199446015598</v>
      </c>
      <c r="AO1350">
        <v>0.31336492684066503</v>
      </c>
      <c r="AP1350">
        <v>0.31336492684066503</v>
      </c>
      <c r="AQ1350">
        <v>1</v>
      </c>
      <c r="AR1350">
        <v>8</v>
      </c>
      <c r="AS1350">
        <v>0</v>
      </c>
      <c r="AT1350">
        <v>0</v>
      </c>
      <c r="AU1350">
        <v>2</v>
      </c>
      <c r="AV1350">
        <v>8</v>
      </c>
      <c r="AW1350">
        <v>1</v>
      </c>
      <c r="AX1350">
        <v>0</v>
      </c>
      <c r="AY1350">
        <v>14.7</v>
      </c>
      <c r="AZ1350">
        <v>6.8</v>
      </c>
      <c r="BA1350">
        <v>17.3</v>
      </c>
      <c r="BB1350">
        <v>564</v>
      </c>
      <c r="BC1350">
        <v>68</v>
      </c>
      <c r="BD1350">
        <v>1.3</v>
      </c>
      <c r="BE1350">
        <v>118</v>
      </c>
      <c r="BF1350">
        <v>25.2</v>
      </c>
      <c r="BG1350">
        <v>123</v>
      </c>
      <c r="BH1350">
        <v>7</v>
      </c>
      <c r="BI1350">
        <v>5.0999999999999996</v>
      </c>
      <c r="BJ1350">
        <v>12.1</v>
      </c>
      <c r="BK1350">
        <v>0.32</v>
      </c>
      <c r="BL1350">
        <v>9.8000000000000007</v>
      </c>
      <c r="BM1350">
        <v>1</v>
      </c>
      <c r="BN1350">
        <v>8.1</v>
      </c>
      <c r="BO1350">
        <v>1.3</v>
      </c>
      <c r="BP1350">
        <f t="shared" si="42"/>
        <v>5.8325826738429765</v>
      </c>
      <c r="BQ1350">
        <f t="shared" si="43"/>
        <v>16.059496193800378</v>
      </c>
    </row>
    <row r="1351" spans="1:69" hidden="1" x14ac:dyDescent="0.2">
      <c r="A1351" t="s">
        <v>4493</v>
      </c>
      <c r="B1351" t="s">
        <v>68</v>
      </c>
      <c r="C1351" t="s">
        <v>3294</v>
      </c>
      <c r="D1351" t="s">
        <v>70</v>
      </c>
      <c r="E1351" t="s">
        <v>1286</v>
      </c>
      <c r="F1351">
        <v>3</v>
      </c>
      <c r="G1351">
        <v>25</v>
      </c>
      <c r="H1351">
        <v>1</v>
      </c>
      <c r="I1351">
        <v>1</v>
      </c>
      <c r="J1351">
        <v>0</v>
      </c>
      <c r="K1351" t="s">
        <v>110</v>
      </c>
      <c r="L1351" t="s">
        <v>111</v>
      </c>
      <c r="M1351" s="4">
        <v>290000000</v>
      </c>
      <c r="N1351">
        <v>0</v>
      </c>
      <c r="O1351">
        <v>4.5962529180000002</v>
      </c>
      <c r="P1351">
        <v>-74.089256289999994</v>
      </c>
      <c r="Q1351" t="s">
        <v>4494</v>
      </c>
      <c r="R1351">
        <v>11600000</v>
      </c>
      <c r="S1351">
        <v>0</v>
      </c>
      <c r="T1351" t="s">
        <v>596</v>
      </c>
      <c r="U1351" t="s">
        <v>597</v>
      </c>
      <c r="V1351" t="s">
        <v>77</v>
      </c>
      <c r="W1351" t="s">
        <v>596</v>
      </c>
      <c r="X1351" t="s">
        <v>598</v>
      </c>
      <c r="Y1351">
        <v>2.7065226468547201</v>
      </c>
      <c r="Z1351">
        <v>2706.5226468547198</v>
      </c>
      <c r="AA1351">
        <v>4.5725527777777799</v>
      </c>
      <c r="AB1351">
        <v>-74.083813888888898</v>
      </c>
      <c r="AC1351">
        <v>2688</v>
      </c>
      <c r="AD1351">
        <v>0</v>
      </c>
      <c r="AE1351" t="s">
        <v>80</v>
      </c>
      <c r="AF1351" t="s">
        <v>107</v>
      </c>
      <c r="AG1351" t="s">
        <v>82</v>
      </c>
      <c r="AH1351" t="s">
        <v>83</v>
      </c>
      <c r="AI1351" t="s">
        <v>308</v>
      </c>
      <c r="AJ1351">
        <v>0.361333344746195</v>
      </c>
      <c r="AK1351">
        <v>2.53872717056566</v>
      </c>
      <c r="AL1351">
        <v>0.73267162071291303</v>
      </c>
      <c r="AM1351">
        <v>0.37188627580232603</v>
      </c>
      <c r="AN1351">
        <v>1.2650683255686701</v>
      </c>
      <c r="AO1351">
        <v>8.1339482063039606E-2</v>
      </c>
      <c r="AP1351">
        <v>8.1339482063039606E-2</v>
      </c>
      <c r="AQ1351">
        <v>2</v>
      </c>
      <c r="AR1351">
        <v>6</v>
      </c>
      <c r="AS1351">
        <v>0</v>
      </c>
      <c r="AT1351">
        <v>0</v>
      </c>
      <c r="AU1351">
        <v>2</v>
      </c>
      <c r="AV1351">
        <v>13</v>
      </c>
      <c r="AW1351">
        <v>0</v>
      </c>
      <c r="AX1351">
        <v>0</v>
      </c>
      <c r="AY1351">
        <v>14.7</v>
      </c>
      <c r="AZ1351">
        <v>6.8</v>
      </c>
      <c r="BA1351">
        <v>17.3</v>
      </c>
      <c r="BB1351">
        <v>564</v>
      </c>
      <c r="BC1351">
        <v>68</v>
      </c>
      <c r="BD1351">
        <v>1.3</v>
      </c>
      <c r="BE1351">
        <v>118</v>
      </c>
      <c r="BF1351">
        <v>25.2</v>
      </c>
      <c r="BG1351">
        <v>123</v>
      </c>
      <c r="BH1351">
        <v>7</v>
      </c>
      <c r="BI1351">
        <v>5.0999999999999996</v>
      </c>
      <c r="BJ1351">
        <v>12.1</v>
      </c>
      <c r="BK1351">
        <v>0.32</v>
      </c>
      <c r="BL1351">
        <v>9.8000000000000007</v>
      </c>
      <c r="BM1351">
        <v>1</v>
      </c>
      <c r="BN1351">
        <v>8.1</v>
      </c>
      <c r="BO1351">
        <v>1.3</v>
      </c>
      <c r="BP1351">
        <f t="shared" si="42"/>
        <v>5.9473737833026439</v>
      </c>
      <c r="BQ1351">
        <f t="shared" si="43"/>
        <v>16.211971616268563</v>
      </c>
    </row>
    <row r="1352" spans="1:69" hidden="1" x14ac:dyDescent="0.2">
      <c r="A1352" t="s">
        <v>4431</v>
      </c>
      <c r="B1352" t="s">
        <v>68</v>
      </c>
      <c r="C1352" t="s">
        <v>3294</v>
      </c>
      <c r="D1352" t="s">
        <v>70</v>
      </c>
      <c r="E1352" t="s">
        <v>1286</v>
      </c>
      <c r="F1352">
        <v>3</v>
      </c>
      <c r="G1352">
        <v>25</v>
      </c>
      <c r="H1352">
        <v>1</v>
      </c>
      <c r="I1352">
        <v>1</v>
      </c>
      <c r="J1352">
        <v>0</v>
      </c>
      <c r="K1352" t="s">
        <v>110</v>
      </c>
      <c r="L1352" t="s">
        <v>111</v>
      </c>
      <c r="M1352" s="4">
        <v>260000000</v>
      </c>
      <c r="N1352">
        <v>0</v>
      </c>
      <c r="O1352">
        <v>4.5962529180000002</v>
      </c>
      <c r="P1352">
        <v>-74.089256289999994</v>
      </c>
      <c r="Q1352" t="s">
        <v>4432</v>
      </c>
      <c r="R1352">
        <v>10400000</v>
      </c>
      <c r="S1352">
        <v>0</v>
      </c>
      <c r="T1352" t="s">
        <v>596</v>
      </c>
      <c r="U1352" t="s">
        <v>597</v>
      </c>
      <c r="V1352" t="s">
        <v>77</v>
      </c>
      <c r="W1352" t="s">
        <v>596</v>
      </c>
      <c r="X1352" t="s">
        <v>598</v>
      </c>
      <c r="Y1352">
        <v>2.7065226468547201</v>
      </c>
      <c r="Z1352">
        <v>2706.5226468547198</v>
      </c>
      <c r="AA1352">
        <v>4.5725527777777799</v>
      </c>
      <c r="AB1352">
        <v>-74.083813888888898</v>
      </c>
      <c r="AC1352">
        <v>2688</v>
      </c>
      <c r="AD1352">
        <v>0</v>
      </c>
      <c r="AE1352" t="s">
        <v>80</v>
      </c>
      <c r="AF1352" t="s">
        <v>107</v>
      </c>
      <c r="AG1352" t="s">
        <v>82</v>
      </c>
      <c r="AH1352" t="s">
        <v>83</v>
      </c>
      <c r="AI1352" t="s">
        <v>308</v>
      </c>
      <c r="AJ1352">
        <v>0.361333344746195</v>
      </c>
      <c r="AK1352">
        <v>2.53872717056566</v>
      </c>
      <c r="AL1352">
        <v>0.73267162071291303</v>
      </c>
      <c r="AM1352">
        <v>0.37188627580232603</v>
      </c>
      <c r="AN1352">
        <v>1.2650683255686701</v>
      </c>
      <c r="AO1352">
        <v>8.1339482063039606E-2</v>
      </c>
      <c r="AP1352">
        <v>8.1339482063039606E-2</v>
      </c>
      <c r="AQ1352">
        <v>2</v>
      </c>
      <c r="AR1352">
        <v>6</v>
      </c>
      <c r="AS1352">
        <v>0</v>
      </c>
      <c r="AT1352">
        <v>0</v>
      </c>
      <c r="AU1352">
        <v>2</v>
      </c>
      <c r="AV1352">
        <v>13</v>
      </c>
      <c r="AW1352">
        <v>0</v>
      </c>
      <c r="AX1352">
        <v>0</v>
      </c>
      <c r="AY1352">
        <v>14.7</v>
      </c>
      <c r="AZ1352">
        <v>6.8</v>
      </c>
      <c r="BA1352">
        <v>17.3</v>
      </c>
      <c r="BB1352">
        <v>564</v>
      </c>
      <c r="BC1352">
        <v>68</v>
      </c>
      <c r="BD1352">
        <v>1.3</v>
      </c>
      <c r="BE1352">
        <v>118</v>
      </c>
      <c r="BF1352">
        <v>25.2</v>
      </c>
      <c r="BG1352">
        <v>123</v>
      </c>
      <c r="BH1352">
        <v>7</v>
      </c>
      <c r="BI1352">
        <v>5.0999999999999996</v>
      </c>
      <c r="BJ1352">
        <v>12.1</v>
      </c>
      <c r="BK1352">
        <v>0.32</v>
      </c>
      <c r="BL1352">
        <v>9.8000000000000007</v>
      </c>
      <c r="BM1352">
        <v>1</v>
      </c>
      <c r="BN1352">
        <v>8.1</v>
      </c>
      <c r="BO1352">
        <v>1.3</v>
      </c>
      <c r="BP1352">
        <f t="shared" si="42"/>
        <v>5.9473737833026439</v>
      </c>
      <c r="BQ1352">
        <f t="shared" si="43"/>
        <v>16.211971616268563</v>
      </c>
    </row>
    <row r="1353" spans="1:69" hidden="1" x14ac:dyDescent="0.2">
      <c r="A1353" t="s">
        <v>4112</v>
      </c>
      <c r="B1353" t="s">
        <v>68</v>
      </c>
      <c r="C1353" t="s">
        <v>3294</v>
      </c>
      <c r="D1353" t="s">
        <v>70</v>
      </c>
      <c r="E1353" t="s">
        <v>3467</v>
      </c>
      <c r="F1353">
        <v>3</v>
      </c>
      <c r="G1353">
        <v>25</v>
      </c>
      <c r="H1353">
        <v>1</v>
      </c>
      <c r="I1353">
        <v>1</v>
      </c>
      <c r="J1353">
        <v>0</v>
      </c>
      <c r="K1353" t="s">
        <v>110</v>
      </c>
      <c r="L1353" t="s">
        <v>111</v>
      </c>
      <c r="M1353" s="4">
        <v>180000000</v>
      </c>
      <c r="N1353">
        <v>0</v>
      </c>
      <c r="O1353">
        <v>4.6000099179999996</v>
      </c>
      <c r="P1353">
        <v>-74.087921140000006</v>
      </c>
      <c r="Q1353" t="s">
        <v>4113</v>
      </c>
      <c r="R1353">
        <v>7200000</v>
      </c>
      <c r="S1353">
        <v>0</v>
      </c>
      <c r="T1353" t="s">
        <v>596</v>
      </c>
      <c r="U1353" t="s">
        <v>597</v>
      </c>
      <c r="V1353" t="s">
        <v>77</v>
      </c>
      <c r="W1353" t="s">
        <v>596</v>
      </c>
      <c r="X1353" t="s">
        <v>598</v>
      </c>
      <c r="Y1353">
        <v>3.0903064636084401</v>
      </c>
      <c r="Z1353">
        <v>3090.30646360844</v>
      </c>
      <c r="AA1353">
        <v>4.5725527777777799</v>
      </c>
      <c r="AB1353">
        <v>-74.083813888888898</v>
      </c>
      <c r="AC1353">
        <v>2688</v>
      </c>
      <c r="AD1353">
        <v>0</v>
      </c>
      <c r="AE1353" t="s">
        <v>80</v>
      </c>
      <c r="AF1353" t="s">
        <v>107</v>
      </c>
      <c r="AG1353" t="s">
        <v>82</v>
      </c>
      <c r="AH1353" t="s">
        <v>83</v>
      </c>
      <c r="AI1353" t="s">
        <v>308</v>
      </c>
      <c r="AJ1353">
        <v>9.6375190892342102E-2</v>
      </c>
      <c r="AK1353">
        <v>2.4239999436435902</v>
      </c>
      <c r="AL1353">
        <v>0.34721083832299998</v>
      </c>
      <c r="AM1353">
        <v>0.40640792990414898</v>
      </c>
      <c r="AN1353">
        <v>0.98865394039629295</v>
      </c>
      <c r="AO1353">
        <v>0.30492885417983501</v>
      </c>
      <c r="AP1353">
        <v>0.30492885417983501</v>
      </c>
      <c r="AQ1353">
        <v>2</v>
      </c>
      <c r="AR1353">
        <v>8</v>
      </c>
      <c r="AS1353">
        <v>0</v>
      </c>
      <c r="AT1353">
        <v>0</v>
      </c>
      <c r="AU1353">
        <v>2</v>
      </c>
      <c r="AV1353">
        <v>7</v>
      </c>
      <c r="AW1353">
        <v>1</v>
      </c>
      <c r="AX1353">
        <v>0</v>
      </c>
      <c r="AY1353">
        <v>14.7</v>
      </c>
      <c r="AZ1353">
        <v>6.8</v>
      </c>
      <c r="BA1353">
        <v>17.3</v>
      </c>
      <c r="BB1353">
        <v>564</v>
      </c>
      <c r="BC1353">
        <v>68</v>
      </c>
      <c r="BD1353">
        <v>1.3</v>
      </c>
      <c r="BE1353">
        <v>118</v>
      </c>
      <c r="BF1353">
        <v>25.2</v>
      </c>
      <c r="BG1353">
        <v>123</v>
      </c>
      <c r="BH1353">
        <v>7</v>
      </c>
      <c r="BI1353">
        <v>5.0999999999999996</v>
      </c>
      <c r="BJ1353">
        <v>12.1</v>
      </c>
      <c r="BK1353">
        <v>0.32</v>
      </c>
      <c r="BL1353">
        <v>9.8000000000000007</v>
      </c>
      <c r="BM1353">
        <v>1</v>
      </c>
      <c r="BN1353">
        <v>8.1</v>
      </c>
      <c r="BO1353">
        <v>1.3</v>
      </c>
      <c r="BP1353">
        <f t="shared" si="42"/>
        <v>5.835456177678835</v>
      </c>
      <c r="BQ1353">
        <f t="shared" si="43"/>
        <v>16.063331797566281</v>
      </c>
    </row>
    <row r="1354" spans="1:69" hidden="1" x14ac:dyDescent="0.2">
      <c r="A1354" t="s">
        <v>4357</v>
      </c>
      <c r="B1354" t="s">
        <v>68</v>
      </c>
      <c r="C1354" t="s">
        <v>3294</v>
      </c>
      <c r="D1354" t="s">
        <v>70</v>
      </c>
      <c r="E1354" t="s">
        <v>4358</v>
      </c>
      <c r="F1354">
        <v>3</v>
      </c>
      <c r="G1354">
        <v>24</v>
      </c>
      <c r="H1354">
        <v>1</v>
      </c>
      <c r="I1354">
        <v>1</v>
      </c>
      <c r="J1354">
        <v>1</v>
      </c>
      <c r="K1354" t="s">
        <v>110</v>
      </c>
      <c r="L1354" t="s">
        <v>133</v>
      </c>
      <c r="M1354" s="4">
        <v>190000000</v>
      </c>
      <c r="N1354">
        <v>0</v>
      </c>
      <c r="O1354">
        <v>4.5785127000000001</v>
      </c>
      <c r="P1354">
        <v>-74.085099999999997</v>
      </c>
      <c r="Q1354" t="s">
        <v>4359</v>
      </c>
      <c r="R1354">
        <v>7916666.6670000004</v>
      </c>
      <c r="S1354">
        <v>0</v>
      </c>
      <c r="T1354" t="s">
        <v>596</v>
      </c>
      <c r="U1354" t="s">
        <v>597</v>
      </c>
      <c r="V1354" t="s">
        <v>77</v>
      </c>
      <c r="W1354" t="s">
        <v>596</v>
      </c>
      <c r="X1354" t="s">
        <v>598</v>
      </c>
      <c r="Y1354">
        <v>0.67863112090141497</v>
      </c>
      <c r="Z1354">
        <v>678.63112090141499</v>
      </c>
      <c r="AA1354">
        <v>4.5725527777777799</v>
      </c>
      <c r="AB1354">
        <v>-74.083813888888898</v>
      </c>
      <c r="AC1354">
        <v>2688</v>
      </c>
      <c r="AD1354">
        <v>0</v>
      </c>
      <c r="AE1354" t="s">
        <v>80</v>
      </c>
      <c r="AF1354" t="s">
        <v>107</v>
      </c>
      <c r="AG1354" t="s">
        <v>82</v>
      </c>
      <c r="AH1354" t="s">
        <v>83</v>
      </c>
      <c r="AI1354" t="s">
        <v>599</v>
      </c>
      <c r="AJ1354">
        <v>0.67178347606335698</v>
      </c>
      <c r="AK1354">
        <v>1.2395125493924199</v>
      </c>
      <c r="AL1354">
        <v>0.85810789565479995</v>
      </c>
      <c r="AM1354">
        <v>0.42377325348442402</v>
      </c>
      <c r="AN1354">
        <v>0.94162265652260702</v>
      </c>
      <c r="AO1354">
        <v>0.171711847837552</v>
      </c>
      <c r="AP1354">
        <v>0.171711847837552</v>
      </c>
      <c r="AQ1354">
        <v>0</v>
      </c>
      <c r="AR1354">
        <v>3</v>
      </c>
      <c r="AS1354">
        <v>0</v>
      </c>
      <c r="AT1354">
        <v>0</v>
      </c>
      <c r="AU1354">
        <v>1</v>
      </c>
      <c r="AV1354">
        <v>9</v>
      </c>
      <c r="AW1354">
        <v>1</v>
      </c>
      <c r="AX1354">
        <v>0</v>
      </c>
      <c r="AY1354">
        <v>14.7</v>
      </c>
      <c r="AZ1354">
        <v>6.8</v>
      </c>
      <c r="BA1354">
        <v>17.3</v>
      </c>
      <c r="BB1354">
        <v>564</v>
      </c>
      <c r="BC1354">
        <v>68</v>
      </c>
      <c r="BD1354">
        <v>1.3</v>
      </c>
      <c r="BE1354">
        <v>118</v>
      </c>
      <c r="BF1354">
        <v>25.2</v>
      </c>
      <c r="BG1354">
        <v>123</v>
      </c>
      <c r="BH1354">
        <v>7</v>
      </c>
      <c r="BI1354">
        <v>5.0999999999999996</v>
      </c>
      <c r="BJ1354">
        <v>12.1</v>
      </c>
      <c r="BK1354">
        <v>0.32</v>
      </c>
      <c r="BL1354">
        <v>9.8000000000000007</v>
      </c>
      <c r="BM1354">
        <v>1</v>
      </c>
      <c r="BN1354">
        <v>8.1</v>
      </c>
      <c r="BO1354">
        <v>1.3</v>
      </c>
      <c r="BP1354">
        <f t="shared" si="42"/>
        <v>6.5753668533749501</v>
      </c>
      <c r="BQ1354">
        <f t="shared" si="43"/>
        <v>17.020514547173665</v>
      </c>
    </row>
    <row r="1355" spans="1:69" hidden="1" x14ac:dyDescent="0.2">
      <c r="A1355" t="s">
        <v>4418</v>
      </c>
      <c r="B1355" t="s">
        <v>68</v>
      </c>
      <c r="C1355" t="s">
        <v>3294</v>
      </c>
      <c r="D1355" t="s">
        <v>70</v>
      </c>
      <c r="E1355" t="s">
        <v>2421</v>
      </c>
      <c r="F1355">
        <v>3</v>
      </c>
      <c r="G1355">
        <v>19</v>
      </c>
      <c r="H1355">
        <v>1</v>
      </c>
      <c r="I1355">
        <v>1</v>
      </c>
      <c r="J1355">
        <v>0</v>
      </c>
      <c r="K1355" t="s">
        <v>110</v>
      </c>
      <c r="L1355" t="s">
        <v>111</v>
      </c>
      <c r="M1355" s="4">
        <v>178863636</v>
      </c>
      <c r="N1355">
        <v>0</v>
      </c>
      <c r="O1355">
        <v>4.5830869669999998</v>
      </c>
      <c r="P1355">
        <v>-74.103279110000003</v>
      </c>
      <c r="Q1355" t="s">
        <v>4419</v>
      </c>
      <c r="R1355">
        <v>9413875.5789999999</v>
      </c>
      <c r="S1355">
        <v>0</v>
      </c>
      <c r="T1355" t="s">
        <v>596</v>
      </c>
      <c r="U1355" t="s">
        <v>597</v>
      </c>
      <c r="V1355" t="s">
        <v>77</v>
      </c>
      <c r="W1355" t="s">
        <v>596</v>
      </c>
      <c r="X1355" t="s">
        <v>598</v>
      </c>
      <c r="Y1355">
        <v>2.4577426855099702</v>
      </c>
      <c r="Z1355">
        <v>2457.7426855099702</v>
      </c>
      <c r="AA1355">
        <v>4.5725527777777799</v>
      </c>
      <c r="AB1355">
        <v>-74.083813888888898</v>
      </c>
      <c r="AC1355">
        <v>2688</v>
      </c>
      <c r="AD1355">
        <v>0</v>
      </c>
      <c r="AE1355" t="s">
        <v>80</v>
      </c>
      <c r="AF1355" t="s">
        <v>107</v>
      </c>
      <c r="AG1355" t="s">
        <v>82</v>
      </c>
      <c r="AH1355" t="s">
        <v>83</v>
      </c>
      <c r="AI1355" t="s">
        <v>987</v>
      </c>
      <c r="AJ1355">
        <v>0.246620465295666</v>
      </c>
      <c r="AK1355">
        <v>3.3111137245903302</v>
      </c>
      <c r="AL1355">
        <v>0.72585916317519805</v>
      </c>
      <c r="AM1355">
        <v>4.5436673017484899E-2</v>
      </c>
      <c r="AN1355">
        <v>0.27907278599188901</v>
      </c>
      <c r="AO1355">
        <v>0.53639878925059103</v>
      </c>
      <c r="AP1355">
        <v>0.53639878925059103</v>
      </c>
      <c r="AQ1355">
        <v>2</v>
      </c>
      <c r="AR1355">
        <v>3</v>
      </c>
      <c r="AS1355">
        <v>0</v>
      </c>
      <c r="AT1355">
        <v>0</v>
      </c>
      <c r="AU1355">
        <v>1</v>
      </c>
      <c r="AV1355">
        <v>79</v>
      </c>
      <c r="AW1355">
        <v>2</v>
      </c>
      <c r="AX1355">
        <v>0</v>
      </c>
      <c r="AY1355">
        <v>14.7</v>
      </c>
      <c r="AZ1355">
        <v>6.8</v>
      </c>
      <c r="BA1355">
        <v>17.3</v>
      </c>
      <c r="BB1355">
        <v>564</v>
      </c>
      <c r="BC1355">
        <v>68</v>
      </c>
      <c r="BD1355">
        <v>1.3</v>
      </c>
      <c r="BE1355">
        <v>118</v>
      </c>
      <c r="BF1355">
        <v>25.2</v>
      </c>
      <c r="BG1355">
        <v>123</v>
      </c>
      <c r="BH1355">
        <v>7</v>
      </c>
      <c r="BI1355">
        <v>5.0999999999999996</v>
      </c>
      <c r="BJ1355">
        <v>12.1</v>
      </c>
      <c r="BK1355">
        <v>0.32</v>
      </c>
      <c r="BL1355">
        <v>9.8000000000000007</v>
      </c>
      <c r="BM1355">
        <v>1</v>
      </c>
      <c r="BN1355">
        <v>8.1</v>
      </c>
      <c r="BO1355">
        <v>1.3</v>
      </c>
      <c r="BP1355">
        <f t="shared" si="42"/>
        <v>6.021066175771808</v>
      </c>
      <c r="BQ1355">
        <f t="shared" si="43"/>
        <v>16.309058294614001</v>
      </c>
    </row>
    <row r="1356" spans="1:69" hidden="1" x14ac:dyDescent="0.2">
      <c r="A1356" t="s">
        <v>2441</v>
      </c>
      <c r="B1356" t="s">
        <v>68</v>
      </c>
      <c r="C1356" t="s">
        <v>1956</v>
      </c>
      <c r="D1356" t="s">
        <v>70</v>
      </c>
      <c r="E1356" t="s">
        <v>108</v>
      </c>
      <c r="F1356">
        <v>6</v>
      </c>
      <c r="G1356">
        <v>600</v>
      </c>
      <c r="H1356">
        <v>5</v>
      </c>
      <c r="I1356">
        <v>5</v>
      </c>
      <c r="J1356">
        <v>4</v>
      </c>
      <c r="K1356" t="s">
        <v>110</v>
      </c>
      <c r="L1356" t="s">
        <v>124</v>
      </c>
      <c r="M1356" s="4">
        <v>2700000000</v>
      </c>
      <c r="N1356">
        <v>0</v>
      </c>
      <c r="O1356">
        <v>4.6927659970000004</v>
      </c>
      <c r="P1356">
        <v>-74.033305209999995</v>
      </c>
      <c r="Q1356" t="s">
        <v>2442</v>
      </c>
      <c r="R1356">
        <v>4500000</v>
      </c>
      <c r="S1356">
        <v>0</v>
      </c>
      <c r="T1356" t="s">
        <v>104</v>
      </c>
      <c r="U1356" t="s">
        <v>105</v>
      </c>
      <c r="V1356" t="s">
        <v>77</v>
      </c>
      <c r="W1356" t="s">
        <v>104</v>
      </c>
      <c r="X1356" t="s">
        <v>106</v>
      </c>
      <c r="Y1356">
        <v>1.98350213297867</v>
      </c>
      <c r="Z1356">
        <v>1983.50213297867</v>
      </c>
      <c r="AA1356">
        <v>4.71035</v>
      </c>
      <c r="AB1356">
        <v>-74.030416666666696</v>
      </c>
      <c r="AC1356">
        <v>2570</v>
      </c>
      <c r="AD1356">
        <v>10</v>
      </c>
      <c r="AE1356" t="s">
        <v>80</v>
      </c>
      <c r="AF1356" t="s">
        <v>107</v>
      </c>
      <c r="AG1356" t="s">
        <v>82</v>
      </c>
      <c r="AH1356" t="s">
        <v>83</v>
      </c>
      <c r="AI1356" t="s">
        <v>108</v>
      </c>
      <c r="AJ1356">
        <v>2.5106164066644299</v>
      </c>
      <c r="AK1356">
        <v>0.74573091997506102</v>
      </c>
      <c r="AL1356">
        <v>0.440366830393352</v>
      </c>
      <c r="AM1356">
        <v>9.3531879565894094E-2</v>
      </c>
      <c r="AN1356">
        <v>5.4388309971358204</v>
      </c>
      <c r="AO1356">
        <v>0.44491302343466799</v>
      </c>
      <c r="AP1356">
        <v>0.44491302343466799</v>
      </c>
      <c r="AQ1356">
        <v>0</v>
      </c>
      <c r="AR1356">
        <v>0</v>
      </c>
      <c r="AS1356">
        <v>0</v>
      </c>
      <c r="AT1356">
        <v>9</v>
      </c>
      <c r="AU1356">
        <v>2</v>
      </c>
      <c r="AV1356">
        <v>117</v>
      </c>
      <c r="AW1356">
        <v>0</v>
      </c>
      <c r="AX1356">
        <v>0</v>
      </c>
      <c r="AY1356">
        <v>15.5</v>
      </c>
      <c r="AZ1356">
        <v>2.4</v>
      </c>
      <c r="BA1356">
        <v>10.9</v>
      </c>
      <c r="BB1356">
        <v>564</v>
      </c>
      <c r="BC1356">
        <v>68</v>
      </c>
      <c r="BD1356">
        <v>1.5</v>
      </c>
      <c r="BE1356">
        <v>135</v>
      </c>
      <c r="BF1356">
        <v>0</v>
      </c>
      <c r="BG1356">
        <v>162</v>
      </c>
      <c r="BH1356">
        <v>9.1</v>
      </c>
      <c r="BI1356">
        <v>9.1999999999999993</v>
      </c>
      <c r="BJ1356">
        <v>18.3</v>
      </c>
      <c r="BK1356">
        <v>0.34</v>
      </c>
      <c r="BL1356">
        <v>7.3</v>
      </c>
      <c r="BM1356">
        <v>0.9</v>
      </c>
      <c r="BN1356">
        <v>7.5</v>
      </c>
      <c r="BO1356">
        <v>2.9</v>
      </c>
      <c r="BP1356">
        <f t="shared" si="42"/>
        <v>2.1755584316534549</v>
      </c>
      <c r="BQ1356">
        <f t="shared" si="43"/>
        <v>10.393272668476895</v>
      </c>
    </row>
    <row r="1357" spans="1:69" hidden="1" x14ac:dyDescent="0.2">
      <c r="A1357" t="s">
        <v>2181</v>
      </c>
      <c r="B1357" t="s">
        <v>68</v>
      </c>
      <c r="C1357" t="s">
        <v>1956</v>
      </c>
      <c r="D1357" t="s">
        <v>70</v>
      </c>
      <c r="E1357" t="s">
        <v>102</v>
      </c>
      <c r="F1357">
        <v>6</v>
      </c>
      <c r="G1357">
        <v>600</v>
      </c>
      <c r="H1357">
        <v>5</v>
      </c>
      <c r="I1357">
        <v>5</v>
      </c>
      <c r="J1357">
        <v>3</v>
      </c>
      <c r="K1357" t="s">
        <v>110</v>
      </c>
      <c r="L1357" t="s">
        <v>162</v>
      </c>
      <c r="M1357" s="4">
        <v>4000000000</v>
      </c>
      <c r="N1357">
        <v>0</v>
      </c>
      <c r="O1357">
        <v>4.6999239560000001</v>
      </c>
      <c r="P1357">
        <v>-74.040776589999993</v>
      </c>
      <c r="Q1357" t="s">
        <v>2182</v>
      </c>
      <c r="R1357">
        <v>6666666.6670000004</v>
      </c>
      <c r="S1357">
        <v>0</v>
      </c>
      <c r="T1357" t="s">
        <v>104</v>
      </c>
      <c r="U1357" t="s">
        <v>105</v>
      </c>
      <c r="V1357" t="s">
        <v>77</v>
      </c>
      <c r="W1357" t="s">
        <v>104</v>
      </c>
      <c r="X1357" t="s">
        <v>106</v>
      </c>
      <c r="Y1357">
        <v>1.6334337965344501</v>
      </c>
      <c r="Z1357">
        <v>1633.43379653445</v>
      </c>
      <c r="AA1357">
        <v>4.71035</v>
      </c>
      <c r="AB1357">
        <v>-74.030416666666696</v>
      </c>
      <c r="AC1357">
        <v>2570</v>
      </c>
      <c r="AD1357">
        <v>10</v>
      </c>
      <c r="AE1357" t="s">
        <v>80</v>
      </c>
      <c r="AF1357" t="s">
        <v>107</v>
      </c>
      <c r="AG1357" t="s">
        <v>82</v>
      </c>
      <c r="AH1357" t="s">
        <v>83</v>
      </c>
      <c r="AI1357" t="s">
        <v>108</v>
      </c>
      <c r="AJ1357">
        <v>1.57958184745623</v>
      </c>
      <c r="AK1357">
        <v>1.6555632076105</v>
      </c>
      <c r="AL1357">
        <v>0.93472143551390197</v>
      </c>
      <c r="AM1357">
        <v>1.5189608539149999E-2</v>
      </c>
      <c r="AN1357">
        <v>4.8552351167030796</v>
      </c>
      <c r="AO1357">
        <v>0.1093653024449</v>
      </c>
      <c r="AP1357">
        <v>0.1093653024449</v>
      </c>
      <c r="AQ1357">
        <v>0</v>
      </c>
      <c r="AR1357">
        <v>0</v>
      </c>
      <c r="AS1357">
        <v>0</v>
      </c>
      <c r="AT1357">
        <v>0</v>
      </c>
      <c r="AU1357">
        <v>1</v>
      </c>
      <c r="AV1357">
        <v>119</v>
      </c>
      <c r="AW1357">
        <v>0</v>
      </c>
      <c r="AX1357">
        <v>0</v>
      </c>
      <c r="AY1357">
        <v>15.5</v>
      </c>
      <c r="AZ1357">
        <v>2.4</v>
      </c>
      <c r="BA1357">
        <v>10.9</v>
      </c>
      <c r="BB1357">
        <v>564</v>
      </c>
      <c r="BC1357">
        <v>68</v>
      </c>
      <c r="BD1357">
        <v>1.5</v>
      </c>
      <c r="BE1357">
        <v>135</v>
      </c>
      <c r="BF1357">
        <v>0</v>
      </c>
      <c r="BG1357">
        <v>162</v>
      </c>
      <c r="BH1357">
        <v>9.1</v>
      </c>
      <c r="BI1357">
        <v>9.1999999999999993</v>
      </c>
      <c r="BJ1357">
        <v>18.3</v>
      </c>
      <c r="BK1357">
        <v>0.34</v>
      </c>
      <c r="BL1357">
        <v>7.3</v>
      </c>
      <c r="BM1357">
        <v>0.9</v>
      </c>
      <c r="BN1357">
        <v>7.5</v>
      </c>
      <c r="BO1357">
        <v>2.9</v>
      </c>
      <c r="BP1357">
        <f t="shared" si="42"/>
        <v>2.2135858660649412</v>
      </c>
      <c r="BQ1357">
        <f t="shared" si="43"/>
        <v>10.480961051945117</v>
      </c>
    </row>
    <row r="1358" spans="1:69" hidden="1" x14ac:dyDescent="0.2">
      <c r="A1358" t="s">
        <v>3155</v>
      </c>
      <c r="B1358" t="s">
        <v>68</v>
      </c>
      <c r="C1358" t="s">
        <v>1956</v>
      </c>
      <c r="D1358" t="s">
        <v>70</v>
      </c>
      <c r="E1358" t="s">
        <v>344</v>
      </c>
      <c r="F1358">
        <v>5</v>
      </c>
      <c r="G1358">
        <v>556.25</v>
      </c>
      <c r="H1358">
        <v>4</v>
      </c>
      <c r="I1358">
        <v>4</v>
      </c>
      <c r="J1358">
        <v>4</v>
      </c>
      <c r="K1358" t="s">
        <v>110</v>
      </c>
      <c r="L1358" t="s">
        <v>124</v>
      </c>
      <c r="M1358" s="4">
        <v>3000000000</v>
      </c>
      <c r="N1358">
        <v>0</v>
      </c>
      <c r="O1358">
        <v>4.7015000000000002</v>
      </c>
      <c r="P1358">
        <v>-74.05941</v>
      </c>
      <c r="Q1358" t="s">
        <v>3156</v>
      </c>
      <c r="R1358">
        <v>5393258.4270000001</v>
      </c>
      <c r="S1358">
        <v>0</v>
      </c>
      <c r="T1358" t="s">
        <v>104</v>
      </c>
      <c r="U1358" t="s">
        <v>105</v>
      </c>
      <c r="V1358" t="s">
        <v>77</v>
      </c>
      <c r="W1358" t="s">
        <v>104</v>
      </c>
      <c r="X1358" t="s">
        <v>106</v>
      </c>
      <c r="Y1358">
        <v>3.3641292696896699</v>
      </c>
      <c r="Z1358">
        <v>3364.1292696896699</v>
      </c>
      <c r="AA1358">
        <v>4.71035</v>
      </c>
      <c r="AB1358">
        <v>-74.030416666666696</v>
      </c>
      <c r="AC1358">
        <v>2570</v>
      </c>
      <c r="AD1358">
        <v>10</v>
      </c>
      <c r="AE1358" t="s">
        <v>80</v>
      </c>
      <c r="AF1358" t="s">
        <v>107</v>
      </c>
      <c r="AG1358" t="s">
        <v>82</v>
      </c>
      <c r="AH1358" t="s">
        <v>83</v>
      </c>
      <c r="AI1358" t="s">
        <v>121</v>
      </c>
      <c r="AJ1358">
        <v>0.587995178415188</v>
      </c>
      <c r="AK1358">
        <v>3.6069430039963501</v>
      </c>
      <c r="AL1358">
        <v>1.2017667715284699</v>
      </c>
      <c r="AM1358">
        <v>6.0796814668973E-2</v>
      </c>
      <c r="AN1358">
        <v>3.9446435426578699</v>
      </c>
      <c r="AO1358">
        <v>2.14438808091982E-2</v>
      </c>
      <c r="AP1358">
        <v>2.14438808091982E-2</v>
      </c>
      <c r="AQ1358">
        <v>0</v>
      </c>
      <c r="AR1358">
        <v>2</v>
      </c>
      <c r="AS1358">
        <v>0</v>
      </c>
      <c r="AT1358">
        <v>0</v>
      </c>
      <c r="AU1358">
        <v>0</v>
      </c>
      <c r="AV1358">
        <v>82</v>
      </c>
      <c r="AW1358">
        <v>0</v>
      </c>
      <c r="AX1358">
        <v>0</v>
      </c>
      <c r="AY1358">
        <v>15.5</v>
      </c>
      <c r="AZ1358">
        <v>2.4</v>
      </c>
      <c r="BA1358">
        <v>10.9</v>
      </c>
      <c r="BB1358">
        <v>564</v>
      </c>
      <c r="BC1358">
        <v>68</v>
      </c>
      <c r="BD1358">
        <v>1.5</v>
      </c>
      <c r="BE1358">
        <v>135</v>
      </c>
      <c r="BF1358">
        <v>0</v>
      </c>
      <c r="BG1358">
        <v>162</v>
      </c>
      <c r="BH1358">
        <v>9.1</v>
      </c>
      <c r="BI1358">
        <v>9.1999999999999993</v>
      </c>
      <c r="BJ1358">
        <v>18.3</v>
      </c>
      <c r="BK1358">
        <v>0.34</v>
      </c>
      <c r="BL1358">
        <v>7.3</v>
      </c>
      <c r="BM1358">
        <v>0.9</v>
      </c>
      <c r="BN1358">
        <v>7.5</v>
      </c>
      <c r="BO1358">
        <v>2.9</v>
      </c>
      <c r="BP1358">
        <f t="shared" si="42"/>
        <v>2.0318451853551012</v>
      </c>
      <c r="BQ1358">
        <f t="shared" si="43"/>
        <v>10.054534097668109</v>
      </c>
    </row>
    <row r="1359" spans="1:69" hidden="1" x14ac:dyDescent="0.2">
      <c r="A1359" t="s">
        <v>2777</v>
      </c>
      <c r="B1359" t="s">
        <v>68</v>
      </c>
      <c r="C1359" t="s">
        <v>1956</v>
      </c>
      <c r="D1359" t="s">
        <v>70</v>
      </c>
      <c r="E1359" t="s">
        <v>344</v>
      </c>
      <c r="F1359">
        <v>5</v>
      </c>
      <c r="G1359">
        <v>550</v>
      </c>
      <c r="H1359">
        <v>5</v>
      </c>
      <c r="I1359">
        <v>5</v>
      </c>
      <c r="J1359">
        <v>3</v>
      </c>
      <c r="K1359" t="s">
        <v>110</v>
      </c>
      <c r="L1359" t="s">
        <v>111</v>
      </c>
      <c r="M1359" s="4">
        <v>1700000000</v>
      </c>
      <c r="N1359">
        <v>0</v>
      </c>
      <c r="O1359">
        <v>4.702</v>
      </c>
      <c r="P1359">
        <v>-74.057000000000002</v>
      </c>
      <c r="Q1359" t="s">
        <v>2778</v>
      </c>
      <c r="R1359">
        <v>3090909.091</v>
      </c>
      <c r="S1359">
        <v>0</v>
      </c>
      <c r="T1359" t="s">
        <v>104</v>
      </c>
      <c r="U1359" t="s">
        <v>105</v>
      </c>
      <c r="V1359" t="s">
        <v>77</v>
      </c>
      <c r="W1359" t="s">
        <v>104</v>
      </c>
      <c r="X1359" t="s">
        <v>106</v>
      </c>
      <c r="Y1359">
        <v>3.09227655457941</v>
      </c>
      <c r="Z1359">
        <v>3092.27655457941</v>
      </c>
      <c r="AA1359">
        <v>4.71035</v>
      </c>
      <c r="AB1359">
        <v>-74.030416666666696</v>
      </c>
      <c r="AC1359">
        <v>2570</v>
      </c>
      <c r="AD1359">
        <v>10</v>
      </c>
      <c r="AE1359" t="s">
        <v>80</v>
      </c>
      <c r="AF1359" t="s">
        <v>107</v>
      </c>
      <c r="AG1359" t="s">
        <v>82</v>
      </c>
      <c r="AH1359" t="s">
        <v>83</v>
      </c>
      <c r="AI1359" t="s">
        <v>121</v>
      </c>
      <c r="AJ1359">
        <v>0.42397409488945198</v>
      </c>
      <c r="AK1359">
        <v>3.4609608905310698</v>
      </c>
      <c r="AL1359">
        <v>1.2466723864560301</v>
      </c>
      <c r="AM1359">
        <v>0.113616746840524</v>
      </c>
      <c r="AN1359">
        <v>4.1597212525700398</v>
      </c>
      <c r="AO1359">
        <v>0.14321875678533</v>
      </c>
      <c r="AP1359">
        <v>0.14321875678533</v>
      </c>
      <c r="AQ1359">
        <v>2</v>
      </c>
      <c r="AR1359">
        <v>2</v>
      </c>
      <c r="AS1359">
        <v>0</v>
      </c>
      <c r="AT1359">
        <v>0</v>
      </c>
      <c r="AU1359">
        <v>0</v>
      </c>
      <c r="AV1359">
        <v>138</v>
      </c>
      <c r="AW1359">
        <v>0</v>
      </c>
      <c r="AX1359">
        <v>0</v>
      </c>
      <c r="AY1359">
        <v>15.5</v>
      </c>
      <c r="AZ1359">
        <v>2.4</v>
      </c>
      <c r="BA1359">
        <v>10.9</v>
      </c>
      <c r="BB1359">
        <v>564</v>
      </c>
      <c r="BC1359">
        <v>68</v>
      </c>
      <c r="BD1359">
        <v>1.5</v>
      </c>
      <c r="BE1359">
        <v>135</v>
      </c>
      <c r="BF1359">
        <v>0</v>
      </c>
      <c r="BG1359">
        <v>162</v>
      </c>
      <c r="BH1359">
        <v>9.1</v>
      </c>
      <c r="BI1359">
        <v>9.1999999999999993</v>
      </c>
      <c r="BJ1359">
        <v>18.3</v>
      </c>
      <c r="BK1359">
        <v>0.34</v>
      </c>
      <c r="BL1359">
        <v>7.3</v>
      </c>
      <c r="BM1359">
        <v>0.9</v>
      </c>
      <c r="BN1359">
        <v>7.5</v>
      </c>
      <c r="BO1359">
        <v>2.9</v>
      </c>
      <c r="BP1359">
        <f t="shared" si="42"/>
        <v>2.0593719298726199</v>
      </c>
      <c r="BQ1359">
        <f t="shared" si="43"/>
        <v>10.120349025245201</v>
      </c>
    </row>
    <row r="1360" spans="1:69" hidden="1" x14ac:dyDescent="0.2">
      <c r="A1360" t="s">
        <v>886</v>
      </c>
      <c r="B1360" t="s">
        <v>68</v>
      </c>
      <c r="C1360" t="s">
        <v>69</v>
      </c>
      <c r="D1360" t="s">
        <v>70</v>
      </c>
      <c r="E1360" t="s">
        <v>748</v>
      </c>
      <c r="F1360">
        <v>6</v>
      </c>
      <c r="G1360">
        <v>518</v>
      </c>
      <c r="H1360">
        <v>5</v>
      </c>
      <c r="I1360">
        <v>5</v>
      </c>
      <c r="J1360">
        <v>4</v>
      </c>
      <c r="K1360" t="s">
        <v>110</v>
      </c>
      <c r="L1360" t="s">
        <v>162</v>
      </c>
      <c r="M1360" s="4">
        <v>3200000000</v>
      </c>
      <c r="N1360">
        <v>0</v>
      </c>
      <c r="O1360">
        <v>4.6929454780000004</v>
      </c>
      <c r="P1360">
        <v>-74.04146326</v>
      </c>
      <c r="Q1360" t="s">
        <v>887</v>
      </c>
      <c r="R1360">
        <v>6177606.1780000003</v>
      </c>
      <c r="S1360">
        <v>0</v>
      </c>
      <c r="T1360" t="s">
        <v>104</v>
      </c>
      <c r="U1360" t="s">
        <v>105</v>
      </c>
      <c r="V1360" t="s">
        <v>77</v>
      </c>
      <c r="W1360" t="s">
        <v>104</v>
      </c>
      <c r="X1360" t="s">
        <v>106</v>
      </c>
      <c r="Y1360">
        <v>2.2925458073395899</v>
      </c>
      <c r="Z1360">
        <v>2292.5458073395898</v>
      </c>
      <c r="AA1360">
        <v>4.71035</v>
      </c>
      <c r="AB1360">
        <v>-74.030416666666696</v>
      </c>
      <c r="AC1360">
        <v>2570</v>
      </c>
      <c r="AD1360">
        <v>10</v>
      </c>
      <c r="AE1360" t="s">
        <v>80</v>
      </c>
      <c r="AF1360" t="s">
        <v>107</v>
      </c>
      <c r="AG1360" t="s">
        <v>82</v>
      </c>
      <c r="AH1360" t="s">
        <v>83</v>
      </c>
      <c r="AI1360" t="s">
        <v>108</v>
      </c>
      <c r="AJ1360">
        <v>1.6320462915839899</v>
      </c>
      <c r="AK1360">
        <v>1.6439204965659899</v>
      </c>
      <c r="AL1360">
        <v>0.93077043858701702</v>
      </c>
      <c r="AM1360">
        <v>0.27881923417531501</v>
      </c>
      <c r="AN1360">
        <v>4.9533986250858302</v>
      </c>
      <c r="AO1360">
        <v>0.34814648183115898</v>
      </c>
      <c r="AP1360">
        <v>0.34814648183115898</v>
      </c>
      <c r="AQ1360">
        <v>0</v>
      </c>
      <c r="AR1360">
        <v>0</v>
      </c>
      <c r="AS1360">
        <v>0</v>
      </c>
      <c r="AT1360">
        <v>0</v>
      </c>
      <c r="AU1360">
        <v>1</v>
      </c>
      <c r="AV1360">
        <v>108</v>
      </c>
      <c r="AW1360">
        <v>0</v>
      </c>
      <c r="AX1360">
        <v>0</v>
      </c>
      <c r="AY1360">
        <v>15.5</v>
      </c>
      <c r="AZ1360">
        <v>2.4</v>
      </c>
      <c r="BA1360">
        <v>10.9</v>
      </c>
      <c r="BB1360">
        <v>564</v>
      </c>
      <c r="BC1360">
        <v>68</v>
      </c>
      <c r="BD1360">
        <v>1.5</v>
      </c>
      <c r="BE1360">
        <v>135</v>
      </c>
      <c r="BF1360">
        <v>0</v>
      </c>
      <c r="BG1360">
        <v>162</v>
      </c>
      <c r="BH1360">
        <v>9.1</v>
      </c>
      <c r="BI1360">
        <v>9.1999999999999993</v>
      </c>
      <c r="BJ1360">
        <v>18.3</v>
      </c>
      <c r="BK1360">
        <v>0.34</v>
      </c>
      <c r="BL1360">
        <v>7.3</v>
      </c>
      <c r="BM1360">
        <v>0.9</v>
      </c>
      <c r="BN1360">
        <v>7.5</v>
      </c>
      <c r="BO1360">
        <v>2.9</v>
      </c>
      <c r="BP1360">
        <f t="shared" si="42"/>
        <v>2.1425307416692441</v>
      </c>
      <c r="BQ1360">
        <f t="shared" si="43"/>
        <v>10.316470439306254</v>
      </c>
    </row>
    <row r="1361" spans="1:69" hidden="1" x14ac:dyDescent="0.2">
      <c r="A1361" t="s">
        <v>996</v>
      </c>
      <c r="B1361" t="s">
        <v>68</v>
      </c>
      <c r="C1361" t="s">
        <v>69</v>
      </c>
      <c r="D1361" t="s">
        <v>70</v>
      </c>
      <c r="E1361" t="s">
        <v>468</v>
      </c>
      <c r="F1361">
        <v>6</v>
      </c>
      <c r="G1361">
        <v>500</v>
      </c>
      <c r="H1361">
        <v>4</v>
      </c>
      <c r="I1361">
        <v>5</v>
      </c>
      <c r="J1361">
        <v>4</v>
      </c>
      <c r="K1361" t="s">
        <v>110</v>
      </c>
      <c r="L1361" t="s">
        <v>133</v>
      </c>
      <c r="M1361" s="4">
        <v>3500000000</v>
      </c>
      <c r="N1361">
        <v>0</v>
      </c>
      <c r="O1361">
        <v>4.689905167</v>
      </c>
      <c r="P1361">
        <v>-74.048332209999998</v>
      </c>
      <c r="Q1361" t="s">
        <v>997</v>
      </c>
      <c r="R1361">
        <v>7000000</v>
      </c>
      <c r="S1361">
        <v>0</v>
      </c>
      <c r="T1361" t="s">
        <v>104</v>
      </c>
      <c r="U1361" t="s">
        <v>105</v>
      </c>
      <c r="V1361" t="s">
        <v>77</v>
      </c>
      <c r="W1361" t="s">
        <v>104</v>
      </c>
      <c r="X1361" t="s">
        <v>106</v>
      </c>
      <c r="Y1361">
        <v>3.0216687431307099</v>
      </c>
      <c r="Z1361">
        <v>3021.66874313071</v>
      </c>
      <c r="AA1361">
        <v>4.71035</v>
      </c>
      <c r="AB1361">
        <v>-74.030416666666696</v>
      </c>
      <c r="AC1361">
        <v>2570</v>
      </c>
      <c r="AD1361">
        <v>10</v>
      </c>
      <c r="AE1361" t="s">
        <v>80</v>
      </c>
      <c r="AF1361" t="s">
        <v>107</v>
      </c>
      <c r="AG1361" t="s">
        <v>82</v>
      </c>
      <c r="AH1361" t="s">
        <v>83</v>
      </c>
      <c r="AI1361" t="s">
        <v>108</v>
      </c>
      <c r="AJ1361">
        <v>0.93450628892023602</v>
      </c>
      <c r="AK1361">
        <v>1.8341055739074199</v>
      </c>
      <c r="AL1361">
        <v>0.335035110802122</v>
      </c>
      <c r="AM1361">
        <v>0.17351961802684801</v>
      </c>
      <c r="AN1361">
        <v>4.1212861721434804</v>
      </c>
      <c r="AO1361">
        <v>0.16916018828488899</v>
      </c>
      <c r="AP1361">
        <v>0.16916018828488899</v>
      </c>
      <c r="AQ1361">
        <v>0</v>
      </c>
      <c r="AR1361">
        <v>1</v>
      </c>
      <c r="AS1361">
        <v>0</v>
      </c>
      <c r="AT1361">
        <v>0</v>
      </c>
      <c r="AU1361">
        <v>5</v>
      </c>
      <c r="AV1361">
        <v>145</v>
      </c>
      <c r="AW1361">
        <v>0</v>
      </c>
      <c r="AX1361">
        <v>0</v>
      </c>
      <c r="AY1361">
        <v>15.5</v>
      </c>
      <c r="AZ1361">
        <v>2.4</v>
      </c>
      <c r="BA1361">
        <v>10.9</v>
      </c>
      <c r="BB1361">
        <v>564</v>
      </c>
      <c r="BC1361">
        <v>68</v>
      </c>
      <c r="BD1361">
        <v>1.5</v>
      </c>
      <c r="BE1361">
        <v>135</v>
      </c>
      <c r="BF1361">
        <v>0</v>
      </c>
      <c r="BG1361">
        <v>162</v>
      </c>
      <c r="BH1361">
        <v>9.1</v>
      </c>
      <c r="BI1361">
        <v>9.1999999999999993</v>
      </c>
      <c r="BJ1361">
        <v>18.3</v>
      </c>
      <c r="BK1361">
        <v>0.34</v>
      </c>
      <c r="BL1361">
        <v>7.3</v>
      </c>
      <c r="BM1361">
        <v>0.9</v>
      </c>
      <c r="BN1361">
        <v>7.5</v>
      </c>
      <c r="BO1361">
        <v>2.9</v>
      </c>
      <c r="BP1361">
        <f t="shared" si="42"/>
        <v>2.0665822061769652</v>
      </c>
      <c r="BQ1361">
        <f t="shared" si="43"/>
        <v>10.137513381087413</v>
      </c>
    </row>
    <row r="1362" spans="1:69" hidden="1" x14ac:dyDescent="0.2">
      <c r="A1362" t="s">
        <v>2565</v>
      </c>
      <c r="B1362" t="s">
        <v>68</v>
      </c>
      <c r="C1362" t="s">
        <v>1956</v>
      </c>
      <c r="D1362" t="s">
        <v>70</v>
      </c>
      <c r="E1362" t="s">
        <v>272</v>
      </c>
      <c r="F1362">
        <v>6</v>
      </c>
      <c r="G1362">
        <v>500</v>
      </c>
      <c r="H1362">
        <v>4</v>
      </c>
      <c r="I1362">
        <v>5</v>
      </c>
      <c r="J1362">
        <v>4</v>
      </c>
      <c r="K1362" t="s">
        <v>110</v>
      </c>
      <c r="L1362" t="s">
        <v>162</v>
      </c>
      <c r="M1362" s="4">
        <v>3800000000</v>
      </c>
      <c r="N1362">
        <v>30000000</v>
      </c>
      <c r="O1362">
        <v>4.6873426199999999</v>
      </c>
      <c r="P1362">
        <v>-74.034070720000003</v>
      </c>
      <c r="Q1362" t="s">
        <v>2566</v>
      </c>
      <c r="R1362">
        <v>7600000</v>
      </c>
      <c r="S1362">
        <v>60000</v>
      </c>
      <c r="T1362" t="s">
        <v>104</v>
      </c>
      <c r="U1362" t="s">
        <v>105</v>
      </c>
      <c r="V1362" t="s">
        <v>77</v>
      </c>
      <c r="W1362" t="s">
        <v>104</v>
      </c>
      <c r="X1362" t="s">
        <v>106</v>
      </c>
      <c r="Y1362">
        <v>2.5930561542663702</v>
      </c>
      <c r="Z1362">
        <v>2593.05615426637</v>
      </c>
      <c r="AA1362">
        <v>4.71035</v>
      </c>
      <c r="AB1362">
        <v>-74.030416666666696</v>
      </c>
      <c r="AC1362">
        <v>2570</v>
      </c>
      <c r="AD1362">
        <v>10</v>
      </c>
      <c r="AE1362" t="s">
        <v>80</v>
      </c>
      <c r="AF1362" t="s">
        <v>107</v>
      </c>
      <c r="AG1362" t="s">
        <v>82</v>
      </c>
      <c r="AH1362" t="s">
        <v>83</v>
      </c>
      <c r="AI1362" t="s">
        <v>108</v>
      </c>
      <c r="AJ1362">
        <v>2.52970848728746</v>
      </c>
      <c r="AK1362">
        <v>0.84161090733537502</v>
      </c>
      <c r="AL1362">
        <v>0.749095171028764</v>
      </c>
      <c r="AM1362">
        <v>0.37835216612517197</v>
      </c>
      <c r="AN1362">
        <v>5.5060446014629596</v>
      </c>
      <c r="AO1362">
        <v>0.30810608242008802</v>
      </c>
      <c r="AP1362">
        <v>0.30810608242008802</v>
      </c>
      <c r="AQ1362">
        <v>0</v>
      </c>
      <c r="AR1362">
        <v>0</v>
      </c>
      <c r="AS1362">
        <v>0</v>
      </c>
      <c r="AT1362">
        <v>18</v>
      </c>
      <c r="AU1362">
        <v>4</v>
      </c>
      <c r="AV1362">
        <v>57</v>
      </c>
      <c r="AW1362">
        <v>0</v>
      </c>
      <c r="AX1362">
        <v>0</v>
      </c>
      <c r="AY1362">
        <v>15.5</v>
      </c>
      <c r="AZ1362">
        <v>2.4</v>
      </c>
      <c r="BA1362">
        <v>10.9</v>
      </c>
      <c r="BB1362">
        <v>564</v>
      </c>
      <c r="BC1362">
        <v>68</v>
      </c>
      <c r="BD1362">
        <v>1.5</v>
      </c>
      <c r="BE1362">
        <v>135</v>
      </c>
      <c r="BF1362">
        <v>0</v>
      </c>
      <c r="BG1362">
        <v>162</v>
      </c>
      <c r="BH1362">
        <v>9.1</v>
      </c>
      <c r="BI1362">
        <v>9.1999999999999993</v>
      </c>
      <c r="BJ1362">
        <v>18.3</v>
      </c>
      <c r="BK1362">
        <v>0.34</v>
      </c>
      <c r="BL1362">
        <v>7.3</v>
      </c>
      <c r="BM1362">
        <v>0.9</v>
      </c>
      <c r="BN1362">
        <v>7.5</v>
      </c>
      <c r="BO1362">
        <v>2.9</v>
      </c>
      <c r="BP1362">
        <f t="shared" si="42"/>
        <v>2.1108959067320825</v>
      </c>
      <c r="BQ1362">
        <f t="shared" si="43"/>
        <v>10.242333162237218</v>
      </c>
    </row>
    <row r="1363" spans="1:69" hidden="1" x14ac:dyDescent="0.2">
      <c r="A1363" t="s">
        <v>3251</v>
      </c>
      <c r="B1363" t="s">
        <v>68</v>
      </c>
      <c r="C1363" t="s">
        <v>1956</v>
      </c>
      <c r="D1363" t="s">
        <v>70</v>
      </c>
      <c r="E1363" t="s">
        <v>562</v>
      </c>
      <c r="F1363">
        <v>6</v>
      </c>
      <c r="G1363">
        <v>496</v>
      </c>
      <c r="H1363">
        <v>4</v>
      </c>
      <c r="I1363">
        <v>4</v>
      </c>
      <c r="J1363">
        <v>4</v>
      </c>
      <c r="K1363" t="s">
        <v>110</v>
      </c>
      <c r="L1363" t="s">
        <v>162</v>
      </c>
      <c r="M1363" s="4">
        <v>4000000000</v>
      </c>
      <c r="N1363">
        <v>0</v>
      </c>
      <c r="O1363">
        <v>4.690387726</v>
      </c>
      <c r="P1363">
        <v>-74.030044559999993</v>
      </c>
      <c r="Q1363" t="s">
        <v>3252</v>
      </c>
      <c r="R1363">
        <v>8064516.1289999997</v>
      </c>
      <c r="S1363">
        <v>0</v>
      </c>
      <c r="T1363" t="s">
        <v>104</v>
      </c>
      <c r="U1363" t="s">
        <v>105</v>
      </c>
      <c r="V1363" t="s">
        <v>77</v>
      </c>
      <c r="W1363" t="s">
        <v>104</v>
      </c>
      <c r="X1363" t="s">
        <v>106</v>
      </c>
      <c r="Y1363">
        <v>2.2225736212645102</v>
      </c>
      <c r="Z1363">
        <v>2222.5736212645102</v>
      </c>
      <c r="AA1363">
        <v>4.71035</v>
      </c>
      <c r="AB1363">
        <v>-74.030416666666696</v>
      </c>
      <c r="AC1363">
        <v>2570</v>
      </c>
      <c r="AD1363">
        <v>10</v>
      </c>
      <c r="AE1363" t="s">
        <v>80</v>
      </c>
      <c r="AF1363" t="s">
        <v>107</v>
      </c>
      <c r="AG1363" t="s">
        <v>82</v>
      </c>
      <c r="AH1363" t="s">
        <v>83</v>
      </c>
      <c r="AI1363" t="s">
        <v>108</v>
      </c>
      <c r="AJ1363">
        <v>2.9122832508346699</v>
      </c>
      <c r="AK1363">
        <v>0.38143562588220897</v>
      </c>
      <c r="AL1363">
        <v>0.45121698255704801</v>
      </c>
      <c r="AM1363">
        <v>0.28057465504944401</v>
      </c>
      <c r="AN1363">
        <v>5.6645226445565804</v>
      </c>
      <c r="AO1363">
        <v>0.80671417061018502</v>
      </c>
      <c r="AP1363">
        <v>0.80671417061018502</v>
      </c>
      <c r="AQ1363">
        <v>0</v>
      </c>
      <c r="AR1363">
        <v>0</v>
      </c>
      <c r="AS1363">
        <v>3</v>
      </c>
      <c r="AT1363">
        <v>30</v>
      </c>
      <c r="AU1363">
        <v>1</v>
      </c>
      <c r="AV1363">
        <v>87</v>
      </c>
      <c r="AW1363">
        <v>0</v>
      </c>
      <c r="AX1363">
        <v>0</v>
      </c>
      <c r="AY1363">
        <v>15.5</v>
      </c>
      <c r="AZ1363">
        <v>2.4</v>
      </c>
      <c r="BA1363">
        <v>10.9</v>
      </c>
      <c r="BB1363">
        <v>564</v>
      </c>
      <c r="BC1363">
        <v>68</v>
      </c>
      <c r="BD1363">
        <v>1.5</v>
      </c>
      <c r="BE1363">
        <v>135</v>
      </c>
      <c r="BF1363">
        <v>0</v>
      </c>
      <c r="BG1363">
        <v>162</v>
      </c>
      <c r="BH1363">
        <v>9.1</v>
      </c>
      <c r="BI1363">
        <v>9.1999999999999993</v>
      </c>
      <c r="BJ1363">
        <v>18.3</v>
      </c>
      <c r="BK1363">
        <v>0.34</v>
      </c>
      <c r="BL1363">
        <v>7.3</v>
      </c>
      <c r="BM1363">
        <v>0.9</v>
      </c>
      <c r="BN1363">
        <v>7.5</v>
      </c>
      <c r="BO1363">
        <v>2.9</v>
      </c>
      <c r="BP1363">
        <f t="shared" si="42"/>
        <v>2.1499645273603636</v>
      </c>
      <c r="BQ1363">
        <f t="shared" si="43"/>
        <v>10.33380977822989</v>
      </c>
    </row>
    <row r="1364" spans="1:69" hidden="1" x14ac:dyDescent="0.2">
      <c r="A1364" t="s">
        <v>2080</v>
      </c>
      <c r="B1364" t="s">
        <v>68</v>
      </c>
      <c r="C1364" t="s">
        <v>1956</v>
      </c>
      <c r="D1364" t="s">
        <v>70</v>
      </c>
      <c r="E1364" t="s">
        <v>562</v>
      </c>
      <c r="F1364">
        <v>6</v>
      </c>
      <c r="G1364">
        <v>492</v>
      </c>
      <c r="H1364">
        <v>4</v>
      </c>
      <c r="I1364">
        <v>5</v>
      </c>
      <c r="J1364">
        <v>4</v>
      </c>
      <c r="K1364" t="s">
        <v>110</v>
      </c>
      <c r="L1364" t="s">
        <v>162</v>
      </c>
      <c r="M1364" s="4">
        <v>4000000000</v>
      </c>
      <c r="N1364">
        <v>0</v>
      </c>
      <c r="O1364">
        <v>4.690387726</v>
      </c>
      <c r="P1364">
        <v>-74.030044559999993</v>
      </c>
      <c r="Q1364" t="s">
        <v>2081</v>
      </c>
      <c r="R1364">
        <v>8130081.301</v>
      </c>
      <c r="S1364">
        <v>0</v>
      </c>
      <c r="T1364" t="s">
        <v>104</v>
      </c>
      <c r="U1364" t="s">
        <v>105</v>
      </c>
      <c r="V1364" t="s">
        <v>77</v>
      </c>
      <c r="W1364" t="s">
        <v>104</v>
      </c>
      <c r="X1364" t="s">
        <v>106</v>
      </c>
      <c r="Y1364">
        <v>2.2225736212645102</v>
      </c>
      <c r="Z1364">
        <v>2222.5736212645102</v>
      </c>
      <c r="AA1364">
        <v>4.71035</v>
      </c>
      <c r="AB1364">
        <v>-74.030416666666696</v>
      </c>
      <c r="AC1364">
        <v>2570</v>
      </c>
      <c r="AD1364">
        <v>10</v>
      </c>
      <c r="AE1364" t="s">
        <v>80</v>
      </c>
      <c r="AF1364" t="s">
        <v>107</v>
      </c>
      <c r="AG1364" t="s">
        <v>82</v>
      </c>
      <c r="AH1364" t="s">
        <v>83</v>
      </c>
      <c r="AI1364" t="s">
        <v>108</v>
      </c>
      <c r="AJ1364">
        <v>2.9122832508346699</v>
      </c>
      <c r="AK1364">
        <v>0.38143562588220897</v>
      </c>
      <c r="AL1364">
        <v>0.45121698255704801</v>
      </c>
      <c r="AM1364">
        <v>0.28057465504944401</v>
      </c>
      <c r="AN1364">
        <v>5.6645226445565804</v>
      </c>
      <c r="AO1364">
        <v>0.80671417061018502</v>
      </c>
      <c r="AP1364">
        <v>0.80671417061018502</v>
      </c>
      <c r="AQ1364">
        <v>0</v>
      </c>
      <c r="AR1364">
        <v>0</v>
      </c>
      <c r="AS1364">
        <v>3</v>
      </c>
      <c r="AT1364">
        <v>30</v>
      </c>
      <c r="AU1364">
        <v>1</v>
      </c>
      <c r="AV1364">
        <v>87</v>
      </c>
      <c r="AW1364">
        <v>0</v>
      </c>
      <c r="AX1364">
        <v>0</v>
      </c>
      <c r="AY1364">
        <v>15.5</v>
      </c>
      <c r="AZ1364">
        <v>2.4</v>
      </c>
      <c r="BA1364">
        <v>10.9</v>
      </c>
      <c r="BB1364">
        <v>564</v>
      </c>
      <c r="BC1364">
        <v>68</v>
      </c>
      <c r="BD1364">
        <v>1.5</v>
      </c>
      <c r="BE1364">
        <v>135</v>
      </c>
      <c r="BF1364">
        <v>0</v>
      </c>
      <c r="BG1364">
        <v>162</v>
      </c>
      <c r="BH1364">
        <v>9.1</v>
      </c>
      <c r="BI1364">
        <v>9.1999999999999993</v>
      </c>
      <c r="BJ1364">
        <v>18.3</v>
      </c>
      <c r="BK1364">
        <v>0.34</v>
      </c>
      <c r="BL1364">
        <v>7.3</v>
      </c>
      <c r="BM1364">
        <v>0.9</v>
      </c>
      <c r="BN1364">
        <v>7.5</v>
      </c>
      <c r="BO1364">
        <v>2.9</v>
      </c>
      <c r="BP1364">
        <f t="shared" si="42"/>
        <v>2.1499645273603636</v>
      </c>
      <c r="BQ1364">
        <f t="shared" si="43"/>
        <v>10.33380977822989</v>
      </c>
    </row>
    <row r="1365" spans="1:69" hidden="1" x14ac:dyDescent="0.2">
      <c r="A1365" t="s">
        <v>2757</v>
      </c>
      <c r="B1365" t="s">
        <v>68</v>
      </c>
      <c r="C1365" t="s">
        <v>1956</v>
      </c>
      <c r="D1365" t="s">
        <v>70</v>
      </c>
      <c r="E1365" t="s">
        <v>562</v>
      </c>
      <c r="F1365">
        <v>6</v>
      </c>
      <c r="G1365">
        <v>492</v>
      </c>
      <c r="H1365">
        <v>4</v>
      </c>
      <c r="I1365">
        <v>5</v>
      </c>
      <c r="J1365">
        <v>4</v>
      </c>
      <c r="K1365" t="s">
        <v>110</v>
      </c>
      <c r="L1365" t="s">
        <v>115</v>
      </c>
      <c r="M1365" s="4">
        <v>4000000000</v>
      </c>
      <c r="N1365">
        <v>0</v>
      </c>
      <c r="O1365">
        <v>4.6913261410000002</v>
      </c>
      <c r="P1365">
        <v>-74.030227659999994</v>
      </c>
      <c r="Q1365" t="s">
        <v>2758</v>
      </c>
      <c r="R1365">
        <v>8130081.301</v>
      </c>
      <c r="S1365">
        <v>0</v>
      </c>
      <c r="T1365" t="s">
        <v>104</v>
      </c>
      <c r="U1365" t="s">
        <v>105</v>
      </c>
      <c r="V1365" t="s">
        <v>77</v>
      </c>
      <c r="W1365" t="s">
        <v>104</v>
      </c>
      <c r="X1365" t="s">
        <v>106</v>
      </c>
      <c r="Y1365">
        <v>2.1178301116573599</v>
      </c>
      <c r="Z1365">
        <v>2117.8301116573598</v>
      </c>
      <c r="AA1365">
        <v>4.71035</v>
      </c>
      <c r="AB1365">
        <v>-74.030416666666696</v>
      </c>
      <c r="AC1365">
        <v>2570</v>
      </c>
      <c r="AD1365">
        <v>10</v>
      </c>
      <c r="AE1365" t="s">
        <v>80</v>
      </c>
      <c r="AF1365" t="s">
        <v>107</v>
      </c>
      <c r="AG1365" t="s">
        <v>82</v>
      </c>
      <c r="AH1365" t="s">
        <v>83</v>
      </c>
      <c r="AI1365" t="s">
        <v>108</v>
      </c>
      <c r="AJ1365">
        <v>2.88071553534393</v>
      </c>
      <c r="AK1365">
        <v>0.388676804788607</v>
      </c>
      <c r="AL1365">
        <v>0.35072361174194799</v>
      </c>
      <c r="AM1365">
        <v>0.192494371024831</v>
      </c>
      <c r="AN1365">
        <v>5.5624175019725497</v>
      </c>
      <c r="AO1365">
        <v>0.70679026224377794</v>
      </c>
      <c r="AP1365">
        <v>0.70679026224377794</v>
      </c>
      <c r="AQ1365">
        <v>0</v>
      </c>
      <c r="AR1365">
        <v>0</v>
      </c>
      <c r="AS1365">
        <v>3</v>
      </c>
      <c r="AT1365">
        <v>31</v>
      </c>
      <c r="AU1365">
        <v>1</v>
      </c>
      <c r="AV1365">
        <v>104</v>
      </c>
      <c r="AW1365">
        <v>0</v>
      </c>
      <c r="AX1365">
        <v>0</v>
      </c>
      <c r="AY1365">
        <v>15.5</v>
      </c>
      <c r="AZ1365">
        <v>2.4</v>
      </c>
      <c r="BA1365">
        <v>10.9</v>
      </c>
      <c r="BB1365">
        <v>564</v>
      </c>
      <c r="BC1365">
        <v>68</v>
      </c>
      <c r="BD1365">
        <v>1.5</v>
      </c>
      <c r="BE1365">
        <v>135</v>
      </c>
      <c r="BF1365">
        <v>0</v>
      </c>
      <c r="BG1365">
        <v>162</v>
      </c>
      <c r="BH1365">
        <v>9.1</v>
      </c>
      <c r="BI1365">
        <v>9.1999999999999993</v>
      </c>
      <c r="BJ1365">
        <v>18.3</v>
      </c>
      <c r="BK1365">
        <v>0.34</v>
      </c>
      <c r="BL1365">
        <v>7.3</v>
      </c>
      <c r="BM1365">
        <v>0.9</v>
      </c>
      <c r="BN1365">
        <v>7.5</v>
      </c>
      <c r="BO1365">
        <v>2.9</v>
      </c>
      <c r="BP1365">
        <f t="shared" si="42"/>
        <v>2.1611406193368148</v>
      </c>
      <c r="BQ1365">
        <f t="shared" si="43"/>
        <v>10.359820045503414</v>
      </c>
    </row>
    <row r="1366" spans="1:69" hidden="1" x14ac:dyDescent="0.2">
      <c r="A1366" t="s">
        <v>245</v>
      </c>
      <c r="B1366" t="s">
        <v>68</v>
      </c>
      <c r="C1366" t="s">
        <v>69</v>
      </c>
      <c r="D1366" t="s">
        <v>70</v>
      </c>
      <c r="E1366" t="s">
        <v>246</v>
      </c>
      <c r="F1366">
        <v>6</v>
      </c>
      <c r="G1366">
        <v>480</v>
      </c>
      <c r="H1366">
        <v>4</v>
      </c>
      <c r="I1366">
        <v>5</v>
      </c>
      <c r="J1366">
        <v>4</v>
      </c>
      <c r="K1366" t="s">
        <v>110</v>
      </c>
      <c r="L1366" t="s">
        <v>162</v>
      </c>
      <c r="M1366" s="4">
        <v>3300000000</v>
      </c>
      <c r="N1366">
        <v>0</v>
      </c>
      <c r="O1366">
        <v>4.7161045069999998</v>
      </c>
      <c r="P1366">
        <v>-74.024803160000005</v>
      </c>
      <c r="Q1366" t="s">
        <v>247</v>
      </c>
      <c r="R1366">
        <v>6875000</v>
      </c>
      <c r="S1366">
        <v>0</v>
      </c>
      <c r="T1366" t="s">
        <v>104</v>
      </c>
      <c r="U1366" t="s">
        <v>105</v>
      </c>
      <c r="V1366" t="s">
        <v>77</v>
      </c>
      <c r="W1366" t="s">
        <v>104</v>
      </c>
      <c r="X1366" t="s">
        <v>106</v>
      </c>
      <c r="Y1366">
        <v>0.89342510542708198</v>
      </c>
      <c r="Z1366">
        <v>893.42510542708203</v>
      </c>
      <c r="AA1366">
        <v>4.71035</v>
      </c>
      <c r="AB1366">
        <v>-74.030416666666696</v>
      </c>
      <c r="AC1366">
        <v>2570</v>
      </c>
      <c r="AD1366">
        <v>10</v>
      </c>
      <c r="AE1366" t="s">
        <v>80</v>
      </c>
      <c r="AF1366" t="s">
        <v>107</v>
      </c>
      <c r="AG1366" t="s">
        <v>82</v>
      </c>
      <c r="AH1366" t="s">
        <v>83</v>
      </c>
      <c r="AI1366" t="s">
        <v>108</v>
      </c>
      <c r="AJ1366">
        <v>3.0077675406813902</v>
      </c>
      <c r="AK1366">
        <v>0.15781739542821299</v>
      </c>
      <c r="AL1366">
        <v>1.0644954566462299</v>
      </c>
      <c r="AM1366">
        <v>0.51751288040806298</v>
      </c>
      <c r="AN1366">
        <v>2.81873652359209</v>
      </c>
      <c r="AO1366">
        <v>0.481269011828796</v>
      </c>
      <c r="AP1366">
        <v>0.481269011828796</v>
      </c>
      <c r="AQ1366">
        <v>0</v>
      </c>
      <c r="AR1366">
        <v>0</v>
      </c>
      <c r="AS1366">
        <v>26</v>
      </c>
      <c r="AT1366">
        <v>33</v>
      </c>
      <c r="AU1366">
        <v>0</v>
      </c>
      <c r="AV1366">
        <v>65</v>
      </c>
      <c r="AW1366">
        <v>0</v>
      </c>
      <c r="AX1366">
        <v>0</v>
      </c>
      <c r="AY1366">
        <v>15.5</v>
      </c>
      <c r="AZ1366">
        <v>2.4</v>
      </c>
      <c r="BA1366">
        <v>10.9</v>
      </c>
      <c r="BB1366">
        <v>564</v>
      </c>
      <c r="BC1366">
        <v>68</v>
      </c>
      <c r="BD1366">
        <v>1.5</v>
      </c>
      <c r="BE1366">
        <v>135</v>
      </c>
      <c r="BF1366">
        <v>0</v>
      </c>
      <c r="BG1366">
        <v>162</v>
      </c>
      <c r="BH1366">
        <v>9.1</v>
      </c>
      <c r="BI1366">
        <v>9.1999999999999993</v>
      </c>
      <c r="BJ1366">
        <v>18.3</v>
      </c>
      <c r="BK1366">
        <v>0.34</v>
      </c>
      <c r="BL1366">
        <v>7.3</v>
      </c>
      <c r="BM1366">
        <v>0.9</v>
      </c>
      <c r="BN1366">
        <v>7.5</v>
      </c>
      <c r="BO1366">
        <v>2.9</v>
      </c>
      <c r="BP1366">
        <f t="shared" si="42"/>
        <v>2.2961738509261296</v>
      </c>
      <c r="BQ1366">
        <f t="shared" si="43"/>
        <v>10.668767914385091</v>
      </c>
    </row>
    <row r="1367" spans="1:69" hidden="1" x14ac:dyDescent="0.2">
      <c r="A1367" t="s">
        <v>1907</v>
      </c>
      <c r="B1367" t="s">
        <v>68</v>
      </c>
      <c r="C1367" t="s">
        <v>69</v>
      </c>
      <c r="D1367" t="s">
        <v>70</v>
      </c>
      <c r="E1367" t="s">
        <v>1649</v>
      </c>
      <c r="F1367">
        <v>6</v>
      </c>
      <c r="G1367">
        <v>467</v>
      </c>
      <c r="H1367">
        <v>5</v>
      </c>
      <c r="I1367">
        <v>5</v>
      </c>
      <c r="J1367">
        <v>4</v>
      </c>
      <c r="K1367" t="s">
        <v>110</v>
      </c>
      <c r="L1367" t="s">
        <v>162</v>
      </c>
      <c r="M1367" s="4">
        <v>2750000000</v>
      </c>
      <c r="N1367">
        <v>0</v>
      </c>
      <c r="O1367">
        <v>4.6892196000000004</v>
      </c>
      <c r="P1367">
        <v>-74.055499800000007</v>
      </c>
      <c r="Q1367" t="s">
        <v>1908</v>
      </c>
      <c r="R1367">
        <v>5888650.9639999997</v>
      </c>
      <c r="S1367">
        <v>0</v>
      </c>
      <c r="T1367" t="s">
        <v>104</v>
      </c>
      <c r="U1367" t="s">
        <v>105</v>
      </c>
      <c r="V1367" t="s">
        <v>77</v>
      </c>
      <c r="W1367" t="s">
        <v>104</v>
      </c>
      <c r="X1367" t="s">
        <v>106</v>
      </c>
      <c r="Y1367">
        <v>3.64379422645706</v>
      </c>
      <c r="Z1367">
        <v>3643.7942264570602</v>
      </c>
      <c r="AA1367">
        <v>4.71035</v>
      </c>
      <c r="AB1367">
        <v>-74.030416666666696</v>
      </c>
      <c r="AC1367">
        <v>2570</v>
      </c>
      <c r="AD1367">
        <v>10</v>
      </c>
      <c r="AE1367" t="s">
        <v>80</v>
      </c>
      <c r="AF1367" t="s">
        <v>107</v>
      </c>
      <c r="AG1367" t="s">
        <v>82</v>
      </c>
      <c r="AH1367" t="s">
        <v>83</v>
      </c>
      <c r="AI1367" t="s">
        <v>108</v>
      </c>
      <c r="AJ1367">
        <v>0.422688703718679</v>
      </c>
      <c r="AK1367">
        <v>2.42567408684328</v>
      </c>
      <c r="AL1367">
        <v>0.48508485296533199</v>
      </c>
      <c r="AM1367">
        <v>0.130681739157884</v>
      </c>
      <c r="AN1367">
        <v>3.3828229500232001</v>
      </c>
      <c r="AO1367">
        <v>0.47491804928029002</v>
      </c>
      <c r="AP1367">
        <v>0.47491804928029002</v>
      </c>
      <c r="AQ1367">
        <v>1</v>
      </c>
      <c r="AR1367">
        <v>4</v>
      </c>
      <c r="AS1367">
        <v>0</v>
      </c>
      <c r="AT1367">
        <v>0</v>
      </c>
      <c r="AU1367">
        <v>5</v>
      </c>
      <c r="AV1367">
        <v>213</v>
      </c>
      <c r="AW1367">
        <v>0</v>
      </c>
      <c r="AX1367">
        <v>0</v>
      </c>
      <c r="AY1367">
        <v>15.5</v>
      </c>
      <c r="AZ1367">
        <v>2.4</v>
      </c>
      <c r="BA1367">
        <v>10.9</v>
      </c>
      <c r="BB1367">
        <v>564</v>
      </c>
      <c r="BC1367">
        <v>68</v>
      </c>
      <c r="BD1367">
        <v>1.5</v>
      </c>
      <c r="BE1367">
        <v>135</v>
      </c>
      <c r="BF1367">
        <v>0</v>
      </c>
      <c r="BG1367">
        <v>162</v>
      </c>
      <c r="BH1367">
        <v>9.1</v>
      </c>
      <c r="BI1367">
        <v>9.1999999999999993</v>
      </c>
      <c r="BJ1367">
        <v>18.3</v>
      </c>
      <c r="BK1367">
        <v>0.34</v>
      </c>
      <c r="BL1367">
        <v>7.3</v>
      </c>
      <c r="BM1367">
        <v>0.9</v>
      </c>
      <c r="BN1367">
        <v>7.5</v>
      </c>
      <c r="BO1367">
        <v>2.9</v>
      </c>
      <c r="BP1367">
        <f t="shared" si="42"/>
        <v>2.0039113047658441</v>
      </c>
      <c r="BQ1367">
        <f t="shared" si="43"/>
        <v>9.9872744519153276</v>
      </c>
    </row>
    <row r="1368" spans="1:69" hidden="1" x14ac:dyDescent="0.2">
      <c r="A1368" t="s">
        <v>1911</v>
      </c>
      <c r="B1368" t="s">
        <v>68</v>
      </c>
      <c r="C1368" t="s">
        <v>69</v>
      </c>
      <c r="D1368" t="s">
        <v>70</v>
      </c>
      <c r="E1368" t="s">
        <v>1649</v>
      </c>
      <c r="F1368">
        <v>6</v>
      </c>
      <c r="G1368">
        <v>467</v>
      </c>
      <c r="H1368">
        <v>5</v>
      </c>
      <c r="I1368">
        <v>5</v>
      </c>
      <c r="J1368">
        <v>4</v>
      </c>
      <c r="K1368" t="s">
        <v>110</v>
      </c>
      <c r="L1368" t="s">
        <v>162</v>
      </c>
      <c r="M1368" s="4">
        <v>2750000000</v>
      </c>
      <c r="N1368">
        <v>0</v>
      </c>
      <c r="O1368">
        <v>4.6892196000000004</v>
      </c>
      <c r="P1368">
        <v>-74.055499800000007</v>
      </c>
      <c r="Q1368" t="s">
        <v>1912</v>
      </c>
      <c r="R1368">
        <v>5888650.9639999997</v>
      </c>
      <c r="S1368">
        <v>0</v>
      </c>
      <c r="T1368" t="s">
        <v>104</v>
      </c>
      <c r="U1368" t="s">
        <v>105</v>
      </c>
      <c r="V1368" t="s">
        <v>77</v>
      </c>
      <c r="W1368" t="s">
        <v>104</v>
      </c>
      <c r="X1368" t="s">
        <v>106</v>
      </c>
      <c r="Y1368">
        <v>3.64379422645706</v>
      </c>
      <c r="Z1368">
        <v>3643.7942264570602</v>
      </c>
      <c r="AA1368">
        <v>4.71035</v>
      </c>
      <c r="AB1368">
        <v>-74.030416666666696</v>
      </c>
      <c r="AC1368">
        <v>2570</v>
      </c>
      <c r="AD1368">
        <v>10</v>
      </c>
      <c r="AE1368" t="s">
        <v>80</v>
      </c>
      <c r="AF1368" t="s">
        <v>107</v>
      </c>
      <c r="AG1368" t="s">
        <v>82</v>
      </c>
      <c r="AH1368" t="s">
        <v>83</v>
      </c>
      <c r="AI1368" t="s">
        <v>108</v>
      </c>
      <c r="AJ1368">
        <v>0.422688703718679</v>
      </c>
      <c r="AK1368">
        <v>2.42567408684328</v>
      </c>
      <c r="AL1368">
        <v>0.48508485296533199</v>
      </c>
      <c r="AM1368">
        <v>0.130681739157884</v>
      </c>
      <c r="AN1368">
        <v>3.3828229500232001</v>
      </c>
      <c r="AO1368">
        <v>0.47491804928029002</v>
      </c>
      <c r="AP1368">
        <v>0.47491804928029002</v>
      </c>
      <c r="AQ1368">
        <v>1</v>
      </c>
      <c r="AR1368">
        <v>4</v>
      </c>
      <c r="AS1368">
        <v>0</v>
      </c>
      <c r="AT1368">
        <v>0</v>
      </c>
      <c r="AU1368">
        <v>5</v>
      </c>
      <c r="AV1368">
        <v>213</v>
      </c>
      <c r="AW1368">
        <v>0</v>
      </c>
      <c r="AX1368">
        <v>0</v>
      </c>
      <c r="AY1368">
        <v>15.5</v>
      </c>
      <c r="AZ1368">
        <v>2.4</v>
      </c>
      <c r="BA1368">
        <v>10.9</v>
      </c>
      <c r="BB1368">
        <v>564</v>
      </c>
      <c r="BC1368">
        <v>68</v>
      </c>
      <c r="BD1368">
        <v>1.5</v>
      </c>
      <c r="BE1368">
        <v>135</v>
      </c>
      <c r="BF1368">
        <v>0</v>
      </c>
      <c r="BG1368">
        <v>162</v>
      </c>
      <c r="BH1368">
        <v>9.1</v>
      </c>
      <c r="BI1368">
        <v>9.1999999999999993</v>
      </c>
      <c r="BJ1368">
        <v>18.3</v>
      </c>
      <c r="BK1368">
        <v>0.34</v>
      </c>
      <c r="BL1368">
        <v>7.3</v>
      </c>
      <c r="BM1368">
        <v>0.9</v>
      </c>
      <c r="BN1368">
        <v>7.5</v>
      </c>
      <c r="BO1368">
        <v>2.9</v>
      </c>
      <c r="BP1368">
        <f t="shared" si="42"/>
        <v>2.0039113047658441</v>
      </c>
      <c r="BQ1368">
        <f t="shared" si="43"/>
        <v>9.9872744519153276</v>
      </c>
    </row>
    <row r="1369" spans="1:69" hidden="1" x14ac:dyDescent="0.2">
      <c r="A1369" t="s">
        <v>2356</v>
      </c>
      <c r="B1369" t="s">
        <v>68</v>
      </c>
      <c r="C1369" t="s">
        <v>1956</v>
      </c>
      <c r="D1369" t="s">
        <v>70</v>
      </c>
      <c r="E1369" t="s">
        <v>1001</v>
      </c>
      <c r="F1369">
        <v>5</v>
      </c>
      <c r="G1369">
        <v>462.27</v>
      </c>
      <c r="H1369">
        <v>4</v>
      </c>
      <c r="I1369">
        <v>3</v>
      </c>
      <c r="J1369">
        <v>4</v>
      </c>
      <c r="K1369" t="s">
        <v>110</v>
      </c>
      <c r="L1369" t="s">
        <v>162</v>
      </c>
      <c r="M1369" s="4">
        <v>2400000000</v>
      </c>
      <c r="N1369">
        <v>0</v>
      </c>
      <c r="O1369">
        <v>4.6934399999999998</v>
      </c>
      <c r="P1369">
        <v>-74.064030000000002</v>
      </c>
      <c r="Q1369" t="s">
        <v>2357</v>
      </c>
      <c r="R1369">
        <v>5191771.0429999996</v>
      </c>
      <c r="S1369">
        <v>0</v>
      </c>
      <c r="T1369" t="s">
        <v>104</v>
      </c>
      <c r="U1369" t="s">
        <v>105</v>
      </c>
      <c r="V1369" t="s">
        <v>77</v>
      </c>
      <c r="W1369" t="s">
        <v>104</v>
      </c>
      <c r="X1369" t="s">
        <v>106</v>
      </c>
      <c r="Y1369">
        <v>4.1773926033196096</v>
      </c>
      <c r="Z1369">
        <v>4177.3926033196103</v>
      </c>
      <c r="AA1369">
        <v>4.71035</v>
      </c>
      <c r="AB1369">
        <v>-74.030416666666696</v>
      </c>
      <c r="AC1369">
        <v>2570</v>
      </c>
      <c r="AD1369">
        <v>10</v>
      </c>
      <c r="AE1369" t="s">
        <v>80</v>
      </c>
      <c r="AF1369" t="s">
        <v>107</v>
      </c>
      <c r="AG1369" t="s">
        <v>82</v>
      </c>
      <c r="AH1369" t="s">
        <v>83</v>
      </c>
      <c r="AI1369" t="s">
        <v>121</v>
      </c>
      <c r="AJ1369">
        <v>0.35248253820400299</v>
      </c>
      <c r="AK1369">
        <v>3.46404726006458</v>
      </c>
      <c r="AL1369">
        <v>0.78593028555199196</v>
      </c>
      <c r="AM1369">
        <v>0.15243771773603301</v>
      </c>
      <c r="AN1369">
        <v>2.93504893771716</v>
      </c>
      <c r="AO1369">
        <v>0.142758483451494</v>
      </c>
      <c r="AP1369">
        <v>0.142758483451494</v>
      </c>
      <c r="AQ1369">
        <v>1</v>
      </c>
      <c r="AR1369">
        <v>5</v>
      </c>
      <c r="AS1369">
        <v>0</v>
      </c>
      <c r="AT1369">
        <v>0</v>
      </c>
      <c r="AU1369">
        <v>1</v>
      </c>
      <c r="AV1369">
        <v>111</v>
      </c>
      <c r="AW1369">
        <v>0</v>
      </c>
      <c r="AX1369">
        <v>0</v>
      </c>
      <c r="AY1369">
        <v>15.5</v>
      </c>
      <c r="AZ1369">
        <v>2.4</v>
      </c>
      <c r="BA1369">
        <v>10.9</v>
      </c>
      <c r="BB1369">
        <v>564</v>
      </c>
      <c r="BC1369">
        <v>68</v>
      </c>
      <c r="BD1369">
        <v>1.5</v>
      </c>
      <c r="BE1369">
        <v>135</v>
      </c>
      <c r="BF1369">
        <v>0</v>
      </c>
      <c r="BG1369">
        <v>162</v>
      </c>
      <c r="BH1369">
        <v>9.1</v>
      </c>
      <c r="BI1369">
        <v>9.1999999999999993</v>
      </c>
      <c r="BJ1369">
        <v>18.3</v>
      </c>
      <c r="BK1369">
        <v>0.34</v>
      </c>
      <c r="BL1369">
        <v>7.3</v>
      </c>
      <c r="BM1369">
        <v>0.9</v>
      </c>
      <c r="BN1369">
        <v>7.5</v>
      </c>
      <c r="BO1369">
        <v>2.9</v>
      </c>
      <c r="BP1369">
        <f t="shared" si="42"/>
        <v>1.9516746589688274</v>
      </c>
      <c r="BQ1369">
        <f t="shared" si="43"/>
        <v>9.8601892954861654</v>
      </c>
    </row>
    <row r="1370" spans="1:69" hidden="1" x14ac:dyDescent="0.2">
      <c r="A1370" t="s">
        <v>2222</v>
      </c>
      <c r="B1370" t="s">
        <v>68</v>
      </c>
      <c r="C1370" t="s">
        <v>1956</v>
      </c>
      <c r="D1370" t="s">
        <v>70</v>
      </c>
      <c r="E1370" t="s">
        <v>1010</v>
      </c>
      <c r="F1370">
        <v>5</v>
      </c>
      <c r="G1370">
        <v>455</v>
      </c>
      <c r="H1370">
        <v>5</v>
      </c>
      <c r="I1370">
        <v>5</v>
      </c>
      <c r="J1370">
        <v>4</v>
      </c>
      <c r="K1370" t="s">
        <v>110</v>
      </c>
      <c r="L1370" t="s">
        <v>124</v>
      </c>
      <c r="M1370" s="4">
        <v>3200000000</v>
      </c>
      <c r="N1370">
        <v>0</v>
      </c>
      <c r="O1370">
        <v>4.6932210000000003</v>
      </c>
      <c r="P1370">
        <v>-74.060399000000004</v>
      </c>
      <c r="Q1370" t="s">
        <v>2223</v>
      </c>
      <c r="R1370">
        <v>7032967.0329999998</v>
      </c>
      <c r="S1370">
        <v>0</v>
      </c>
      <c r="T1370" t="s">
        <v>104</v>
      </c>
      <c r="U1370" t="s">
        <v>105</v>
      </c>
      <c r="V1370" t="s">
        <v>77</v>
      </c>
      <c r="W1370" t="s">
        <v>104</v>
      </c>
      <c r="X1370" t="s">
        <v>106</v>
      </c>
      <c r="Y1370">
        <v>3.8341492780887099</v>
      </c>
      <c r="Z1370">
        <v>3834.1492780887102</v>
      </c>
      <c r="AA1370">
        <v>4.71035</v>
      </c>
      <c r="AB1370">
        <v>-74.030416666666696</v>
      </c>
      <c r="AC1370">
        <v>2570</v>
      </c>
      <c r="AD1370">
        <v>10</v>
      </c>
      <c r="AE1370" t="s">
        <v>80</v>
      </c>
      <c r="AF1370" t="s">
        <v>107</v>
      </c>
      <c r="AG1370" t="s">
        <v>82</v>
      </c>
      <c r="AH1370" t="s">
        <v>83</v>
      </c>
      <c r="AI1370" t="s">
        <v>121</v>
      </c>
      <c r="AJ1370">
        <v>0.468270051422009</v>
      </c>
      <c r="AK1370">
        <v>3.1195878559921399</v>
      </c>
      <c r="AL1370">
        <v>1.14108009061391</v>
      </c>
      <c r="AM1370">
        <v>0.26747949217998501</v>
      </c>
      <c r="AN1370">
        <v>3.2037890555125701</v>
      </c>
      <c r="AO1370">
        <v>5.8671481378792599E-2</v>
      </c>
      <c r="AP1370">
        <v>5.8671481378792599E-2</v>
      </c>
      <c r="AQ1370">
        <v>1</v>
      </c>
      <c r="AR1370">
        <v>5</v>
      </c>
      <c r="AS1370">
        <v>0</v>
      </c>
      <c r="AT1370">
        <v>0</v>
      </c>
      <c r="AU1370">
        <v>0</v>
      </c>
      <c r="AV1370">
        <v>123</v>
      </c>
      <c r="AW1370">
        <v>0</v>
      </c>
      <c r="AX1370">
        <v>0</v>
      </c>
      <c r="AY1370">
        <v>15.5</v>
      </c>
      <c r="AZ1370">
        <v>2.4</v>
      </c>
      <c r="BA1370">
        <v>10.9</v>
      </c>
      <c r="BB1370">
        <v>564</v>
      </c>
      <c r="BC1370">
        <v>68</v>
      </c>
      <c r="BD1370">
        <v>1.5</v>
      </c>
      <c r="BE1370">
        <v>135</v>
      </c>
      <c r="BF1370">
        <v>0</v>
      </c>
      <c r="BG1370">
        <v>162</v>
      </c>
      <c r="BH1370">
        <v>9.1</v>
      </c>
      <c r="BI1370">
        <v>9.1999999999999993</v>
      </c>
      <c r="BJ1370">
        <v>18.3</v>
      </c>
      <c r="BK1370">
        <v>0.34</v>
      </c>
      <c r="BL1370">
        <v>7.3</v>
      </c>
      <c r="BM1370">
        <v>0.9</v>
      </c>
      <c r="BN1370">
        <v>7.5</v>
      </c>
      <c r="BO1370">
        <v>2.9</v>
      </c>
      <c r="BP1370">
        <f t="shared" si="42"/>
        <v>1.9851179798954404</v>
      </c>
      <c r="BQ1370">
        <f t="shared" si="43"/>
        <v>9.941751442056475</v>
      </c>
    </row>
    <row r="1371" spans="1:69" hidden="1" x14ac:dyDescent="0.2">
      <c r="A1371" t="s">
        <v>1760</v>
      </c>
      <c r="B1371" t="s">
        <v>68</v>
      </c>
      <c r="C1371" t="s">
        <v>69</v>
      </c>
      <c r="D1371" t="s">
        <v>70</v>
      </c>
      <c r="E1371" t="s">
        <v>102</v>
      </c>
      <c r="F1371">
        <v>6</v>
      </c>
      <c r="G1371">
        <v>454</v>
      </c>
      <c r="H1371">
        <v>4</v>
      </c>
      <c r="I1371">
        <v>5</v>
      </c>
      <c r="J1371">
        <v>4</v>
      </c>
      <c r="K1371" t="s">
        <v>110</v>
      </c>
      <c r="L1371" t="s">
        <v>162</v>
      </c>
      <c r="M1371" s="4">
        <v>2890000000</v>
      </c>
      <c r="N1371">
        <v>0</v>
      </c>
      <c r="O1371">
        <v>4.7012659000000001</v>
      </c>
      <c r="P1371">
        <v>-74.035718000000003</v>
      </c>
      <c r="Q1371" t="s">
        <v>1761</v>
      </c>
      <c r="R1371">
        <v>6365638.767</v>
      </c>
      <c r="S1371">
        <v>0</v>
      </c>
      <c r="T1371" t="s">
        <v>104</v>
      </c>
      <c r="U1371" t="s">
        <v>105</v>
      </c>
      <c r="V1371" t="s">
        <v>77</v>
      </c>
      <c r="W1371" t="s">
        <v>104</v>
      </c>
      <c r="X1371" t="s">
        <v>106</v>
      </c>
      <c r="Y1371">
        <v>1.1698394339564899</v>
      </c>
      <c r="Z1371">
        <v>1169.83943395649</v>
      </c>
      <c r="AA1371">
        <v>4.71035</v>
      </c>
      <c r="AB1371">
        <v>-74.030416666666696</v>
      </c>
      <c r="AC1371">
        <v>2570</v>
      </c>
      <c r="AD1371">
        <v>10</v>
      </c>
      <c r="AE1371" t="s">
        <v>80</v>
      </c>
      <c r="AF1371" t="s">
        <v>107</v>
      </c>
      <c r="AG1371" t="s">
        <v>82</v>
      </c>
      <c r="AH1371" t="s">
        <v>83</v>
      </c>
      <c r="AI1371" t="s">
        <v>108</v>
      </c>
      <c r="AJ1371">
        <v>2.0856124414703801</v>
      </c>
      <c r="AK1371">
        <v>1.11332721263274</v>
      </c>
      <c r="AL1371">
        <v>0.36084483886090701</v>
      </c>
      <c r="AM1371">
        <v>0.27310072545275998</v>
      </c>
      <c r="AN1371">
        <v>4.5606053606345496</v>
      </c>
      <c r="AO1371">
        <v>0.349415256263091</v>
      </c>
      <c r="AP1371">
        <v>0.349415256263091</v>
      </c>
      <c r="AQ1371">
        <v>0</v>
      </c>
      <c r="AR1371">
        <v>0</v>
      </c>
      <c r="AS1371">
        <v>0</v>
      </c>
      <c r="AT1371">
        <v>0</v>
      </c>
      <c r="AU1371">
        <v>1</v>
      </c>
      <c r="AV1371">
        <v>158</v>
      </c>
      <c r="AW1371">
        <v>0</v>
      </c>
      <c r="AX1371">
        <v>0</v>
      </c>
      <c r="AY1371">
        <v>15.5</v>
      </c>
      <c r="AZ1371">
        <v>2.4</v>
      </c>
      <c r="BA1371">
        <v>10.9</v>
      </c>
      <c r="BB1371">
        <v>564</v>
      </c>
      <c r="BC1371">
        <v>68</v>
      </c>
      <c r="BD1371">
        <v>1.5</v>
      </c>
      <c r="BE1371">
        <v>135</v>
      </c>
      <c r="BF1371">
        <v>0</v>
      </c>
      <c r="BG1371">
        <v>162</v>
      </c>
      <c r="BH1371">
        <v>9.1</v>
      </c>
      <c r="BI1371">
        <v>9.1999999999999993</v>
      </c>
      <c r="BJ1371">
        <v>18.3</v>
      </c>
      <c r="BK1371">
        <v>0.34</v>
      </c>
      <c r="BL1371">
        <v>7.3</v>
      </c>
      <c r="BM1371">
        <v>0.9</v>
      </c>
      <c r="BN1371">
        <v>7.5</v>
      </c>
      <c r="BO1371">
        <v>2.9</v>
      </c>
      <c r="BP1371">
        <f t="shared" si="42"/>
        <v>2.2649703885757613</v>
      </c>
      <c r="BQ1371">
        <f t="shared" si="43"/>
        <v>10.598226150480839</v>
      </c>
    </row>
    <row r="1372" spans="1:69" hidden="1" x14ac:dyDescent="0.2">
      <c r="A1372" t="s">
        <v>2810</v>
      </c>
      <c r="B1372" t="s">
        <v>68</v>
      </c>
      <c r="C1372" t="s">
        <v>1956</v>
      </c>
      <c r="D1372" t="s">
        <v>70</v>
      </c>
      <c r="E1372" t="s">
        <v>874</v>
      </c>
      <c r="F1372">
        <v>6</v>
      </c>
      <c r="G1372">
        <v>439</v>
      </c>
      <c r="H1372">
        <v>4</v>
      </c>
      <c r="I1372">
        <v>5</v>
      </c>
      <c r="J1372">
        <v>4</v>
      </c>
      <c r="K1372" t="s">
        <v>110</v>
      </c>
      <c r="L1372" t="s">
        <v>162</v>
      </c>
      <c r="M1372" s="4">
        <v>3500000000</v>
      </c>
      <c r="N1372">
        <v>0</v>
      </c>
      <c r="O1372">
        <v>4.7244999999999999</v>
      </c>
      <c r="P1372">
        <v>-74.020719999999997</v>
      </c>
      <c r="Q1372" t="s">
        <v>2811</v>
      </c>
      <c r="R1372">
        <v>7972665.148</v>
      </c>
      <c r="S1372">
        <v>0</v>
      </c>
      <c r="T1372" t="s">
        <v>104</v>
      </c>
      <c r="U1372" t="s">
        <v>105</v>
      </c>
      <c r="V1372" t="s">
        <v>77</v>
      </c>
      <c r="W1372" t="s">
        <v>104</v>
      </c>
      <c r="X1372" t="s">
        <v>106</v>
      </c>
      <c r="Y1372">
        <v>1.90747136823556</v>
      </c>
      <c r="Z1372">
        <v>1907.47136823556</v>
      </c>
      <c r="AA1372">
        <v>4.71035</v>
      </c>
      <c r="AB1372">
        <v>-74.030416666666696</v>
      </c>
      <c r="AC1372">
        <v>2570</v>
      </c>
      <c r="AD1372">
        <v>10</v>
      </c>
      <c r="AE1372" t="s">
        <v>80</v>
      </c>
      <c r="AF1372" t="s">
        <v>107</v>
      </c>
      <c r="AG1372" t="s">
        <v>82</v>
      </c>
      <c r="AH1372" t="s">
        <v>83</v>
      </c>
      <c r="AI1372" t="s">
        <v>108</v>
      </c>
      <c r="AJ1372">
        <v>3.30184432263116</v>
      </c>
      <c r="AK1372">
        <v>3.5060062805115901E-2</v>
      </c>
      <c r="AL1372">
        <v>2.02465960151005</v>
      </c>
      <c r="AM1372">
        <v>0.54443617269334299</v>
      </c>
      <c r="AN1372">
        <v>1.99732371304127</v>
      </c>
      <c r="AO1372">
        <v>0.87128956840130001</v>
      </c>
      <c r="AP1372">
        <v>0.87128956840130001</v>
      </c>
      <c r="AQ1372">
        <v>0</v>
      </c>
      <c r="AR1372">
        <v>0</v>
      </c>
      <c r="AS1372">
        <v>16</v>
      </c>
      <c r="AT1372">
        <v>42</v>
      </c>
      <c r="AU1372">
        <v>0</v>
      </c>
      <c r="AV1372">
        <v>3</v>
      </c>
      <c r="AW1372">
        <v>0</v>
      </c>
      <c r="AX1372">
        <v>0</v>
      </c>
      <c r="AY1372">
        <v>15.5</v>
      </c>
      <c r="AZ1372">
        <v>2.4</v>
      </c>
      <c r="BA1372">
        <v>10.9</v>
      </c>
      <c r="BB1372">
        <v>564</v>
      </c>
      <c r="BC1372">
        <v>68</v>
      </c>
      <c r="BD1372">
        <v>1.5</v>
      </c>
      <c r="BE1372">
        <v>135</v>
      </c>
      <c r="BF1372">
        <v>0</v>
      </c>
      <c r="BG1372">
        <v>162</v>
      </c>
      <c r="BH1372">
        <v>9.1</v>
      </c>
      <c r="BI1372">
        <v>9.1999999999999993</v>
      </c>
      <c r="BJ1372">
        <v>18.3</v>
      </c>
      <c r="BK1372">
        <v>0.34</v>
      </c>
      <c r="BL1372">
        <v>7.3</v>
      </c>
      <c r="BM1372">
        <v>0.9</v>
      </c>
      <c r="BN1372">
        <v>7.5</v>
      </c>
      <c r="BO1372">
        <v>2.9</v>
      </c>
      <c r="BP1372">
        <f t="shared" si="42"/>
        <v>2.1837616222980691</v>
      </c>
      <c r="BQ1372">
        <f t="shared" si="43"/>
        <v>10.412254985350677</v>
      </c>
    </row>
    <row r="1373" spans="1:69" hidden="1" x14ac:dyDescent="0.2">
      <c r="A1373" t="s">
        <v>234</v>
      </c>
      <c r="B1373" t="s">
        <v>68</v>
      </c>
      <c r="C1373" t="s">
        <v>69</v>
      </c>
      <c r="D1373" t="s">
        <v>70</v>
      </c>
      <c r="E1373" t="s">
        <v>235</v>
      </c>
      <c r="F1373">
        <v>6</v>
      </c>
      <c r="G1373">
        <v>430</v>
      </c>
      <c r="H1373">
        <v>5</v>
      </c>
      <c r="I1373">
        <v>4</v>
      </c>
      <c r="J1373">
        <v>2</v>
      </c>
      <c r="K1373" t="s">
        <v>110</v>
      </c>
      <c r="L1373" t="s">
        <v>162</v>
      </c>
      <c r="M1373" s="4">
        <v>3600000000</v>
      </c>
      <c r="N1373">
        <v>0</v>
      </c>
      <c r="O1373">
        <v>4.7056188580000002</v>
      </c>
      <c r="P1373">
        <v>-74.036598209999994</v>
      </c>
      <c r="Q1373" t="s">
        <v>236</v>
      </c>
      <c r="R1373">
        <v>8372093.023</v>
      </c>
      <c r="S1373">
        <v>0</v>
      </c>
      <c r="T1373" t="s">
        <v>104</v>
      </c>
      <c r="U1373" t="s">
        <v>105</v>
      </c>
      <c r="V1373" t="s">
        <v>77</v>
      </c>
      <c r="W1373" t="s">
        <v>104</v>
      </c>
      <c r="X1373" t="s">
        <v>106</v>
      </c>
      <c r="Y1373">
        <v>0.86470070855195202</v>
      </c>
      <c r="Z1373">
        <v>864.70070855195195</v>
      </c>
      <c r="AA1373">
        <v>4.71035</v>
      </c>
      <c r="AB1373">
        <v>-74.030416666666696</v>
      </c>
      <c r="AC1373">
        <v>2570</v>
      </c>
      <c r="AD1373">
        <v>10</v>
      </c>
      <c r="AE1373" t="s">
        <v>80</v>
      </c>
      <c r="AF1373" t="s">
        <v>107</v>
      </c>
      <c r="AG1373" t="s">
        <v>82</v>
      </c>
      <c r="AH1373" t="s">
        <v>83</v>
      </c>
      <c r="AI1373" t="s">
        <v>108</v>
      </c>
      <c r="AJ1373">
        <v>1.9574093959291301</v>
      </c>
      <c r="AK1373">
        <v>1.2777913188869101</v>
      </c>
      <c r="AL1373">
        <v>0.65906319848178796</v>
      </c>
      <c r="AM1373">
        <v>0.22131735313870499</v>
      </c>
      <c r="AN1373">
        <v>4.11736973953301</v>
      </c>
      <c r="AO1373">
        <v>0.21823092854884399</v>
      </c>
      <c r="AP1373">
        <v>0.21823092854884399</v>
      </c>
      <c r="AQ1373">
        <v>0</v>
      </c>
      <c r="AR1373">
        <v>0</v>
      </c>
      <c r="AS1373">
        <v>0</v>
      </c>
      <c r="AT1373">
        <v>0</v>
      </c>
      <c r="AU1373">
        <v>2</v>
      </c>
      <c r="AV1373">
        <v>122</v>
      </c>
      <c r="AW1373">
        <v>0</v>
      </c>
      <c r="AX1373">
        <v>0</v>
      </c>
      <c r="AY1373">
        <v>15.5</v>
      </c>
      <c r="AZ1373">
        <v>2.4</v>
      </c>
      <c r="BA1373">
        <v>10.9</v>
      </c>
      <c r="BB1373">
        <v>564</v>
      </c>
      <c r="BC1373">
        <v>68</v>
      </c>
      <c r="BD1373">
        <v>1.5</v>
      </c>
      <c r="BE1373">
        <v>135</v>
      </c>
      <c r="BF1373">
        <v>0</v>
      </c>
      <c r="BG1373">
        <v>162</v>
      </c>
      <c r="BH1373">
        <v>9.1</v>
      </c>
      <c r="BI1373">
        <v>9.1999999999999993</v>
      </c>
      <c r="BJ1373">
        <v>18.3</v>
      </c>
      <c r="BK1373">
        <v>0.34</v>
      </c>
      <c r="BL1373">
        <v>7.3</v>
      </c>
      <c r="BM1373">
        <v>0.9</v>
      </c>
      <c r="BN1373">
        <v>7.5</v>
      </c>
      <c r="BO1373">
        <v>2.9</v>
      </c>
      <c r="BP1373">
        <f t="shared" si="42"/>
        <v>2.2994410054349306</v>
      </c>
      <c r="BQ1373">
        <f t="shared" si="43"/>
        <v>10.676125344316347</v>
      </c>
    </row>
    <row r="1374" spans="1:69" hidden="1" x14ac:dyDescent="0.2">
      <c r="A1374" t="s">
        <v>1526</v>
      </c>
      <c r="B1374" t="s">
        <v>68</v>
      </c>
      <c r="C1374" t="s">
        <v>69</v>
      </c>
      <c r="D1374" t="s">
        <v>70</v>
      </c>
      <c r="E1374" t="s">
        <v>1527</v>
      </c>
      <c r="F1374">
        <v>6</v>
      </c>
      <c r="G1374">
        <v>420</v>
      </c>
      <c r="H1374">
        <v>4</v>
      </c>
      <c r="I1374">
        <v>4</v>
      </c>
      <c r="J1374">
        <v>2</v>
      </c>
      <c r="K1374" t="s">
        <v>110</v>
      </c>
      <c r="L1374" t="s">
        <v>162</v>
      </c>
      <c r="M1374" s="4">
        <v>2900000000</v>
      </c>
      <c r="N1374">
        <v>0</v>
      </c>
      <c r="O1374">
        <v>4.6713950000000004</v>
      </c>
      <c r="P1374">
        <v>-74.039820000000006</v>
      </c>
      <c r="Q1374" t="s">
        <v>1528</v>
      </c>
      <c r="R1374">
        <v>6904761.9050000003</v>
      </c>
      <c r="S1374">
        <v>0</v>
      </c>
      <c r="T1374" t="s">
        <v>104</v>
      </c>
      <c r="U1374" t="s">
        <v>105</v>
      </c>
      <c r="V1374" t="s">
        <v>77</v>
      </c>
      <c r="W1374" t="s">
        <v>104</v>
      </c>
      <c r="X1374" t="s">
        <v>106</v>
      </c>
      <c r="Y1374">
        <v>4.4601808675256001</v>
      </c>
      <c r="Z1374">
        <v>4460.1808675255998</v>
      </c>
      <c r="AA1374">
        <v>4.71035</v>
      </c>
      <c r="AB1374">
        <v>-74.030416666666696</v>
      </c>
      <c r="AC1374">
        <v>2570</v>
      </c>
      <c r="AD1374">
        <v>10</v>
      </c>
      <c r="AE1374" t="s">
        <v>80</v>
      </c>
      <c r="AF1374" t="s">
        <v>107</v>
      </c>
      <c r="AG1374" t="s">
        <v>82</v>
      </c>
      <c r="AH1374" t="s">
        <v>83</v>
      </c>
      <c r="AI1374" t="s">
        <v>130</v>
      </c>
      <c r="AJ1374">
        <v>2.18878844353699</v>
      </c>
      <c r="AK1374">
        <v>5.09398682531867E-2</v>
      </c>
      <c r="AL1374">
        <v>1.1496952939312299</v>
      </c>
      <c r="AM1374">
        <v>0.47565937270626402</v>
      </c>
      <c r="AN1374">
        <v>3.8823609308522</v>
      </c>
      <c r="AO1374">
        <v>1.16529564412383</v>
      </c>
      <c r="AP1374">
        <v>1.16529564412383</v>
      </c>
      <c r="AQ1374">
        <v>0</v>
      </c>
      <c r="AR1374">
        <v>0</v>
      </c>
      <c r="AS1374">
        <v>19</v>
      </c>
      <c r="AT1374">
        <v>30</v>
      </c>
      <c r="AU1374">
        <v>0</v>
      </c>
      <c r="AV1374">
        <v>10</v>
      </c>
      <c r="AW1374">
        <v>0</v>
      </c>
      <c r="AX1374">
        <v>0</v>
      </c>
      <c r="AY1374">
        <v>15.5</v>
      </c>
      <c r="AZ1374">
        <v>2.4</v>
      </c>
      <c r="BA1374">
        <v>10.9</v>
      </c>
      <c r="BB1374">
        <v>564</v>
      </c>
      <c r="BC1374">
        <v>68</v>
      </c>
      <c r="BD1374">
        <v>1.5</v>
      </c>
      <c r="BE1374">
        <v>135</v>
      </c>
      <c r="BF1374">
        <v>0</v>
      </c>
      <c r="BG1374">
        <v>162</v>
      </c>
      <c r="BH1374">
        <v>9.1</v>
      </c>
      <c r="BI1374">
        <v>9.1999999999999993</v>
      </c>
      <c r="BJ1374">
        <v>18.3</v>
      </c>
      <c r="BK1374">
        <v>0.34</v>
      </c>
      <c r="BL1374">
        <v>7.3</v>
      </c>
      <c r="BM1374">
        <v>0.9</v>
      </c>
      <c r="BN1374">
        <v>7.5</v>
      </c>
      <c r="BO1374">
        <v>2.9</v>
      </c>
      <c r="BP1374">
        <f t="shared" si="42"/>
        <v>1.9245454007793894</v>
      </c>
      <c r="BQ1374">
        <f t="shared" si="43"/>
        <v>9.7934955743362018</v>
      </c>
    </row>
    <row r="1375" spans="1:69" hidden="1" x14ac:dyDescent="0.2">
      <c r="A1375" t="s">
        <v>1188</v>
      </c>
      <c r="B1375" t="s">
        <v>68</v>
      </c>
      <c r="C1375" t="s">
        <v>69</v>
      </c>
      <c r="D1375" t="s">
        <v>70</v>
      </c>
      <c r="E1375" t="s">
        <v>468</v>
      </c>
      <c r="F1375">
        <v>6</v>
      </c>
      <c r="G1375">
        <v>416.36</v>
      </c>
      <c r="H1375">
        <v>5</v>
      </c>
      <c r="I1375">
        <v>5</v>
      </c>
      <c r="J1375">
        <v>4</v>
      </c>
      <c r="K1375" t="s">
        <v>110</v>
      </c>
      <c r="L1375" t="s">
        <v>162</v>
      </c>
      <c r="M1375" s="4">
        <v>2800000000</v>
      </c>
      <c r="N1375">
        <v>0</v>
      </c>
      <c r="O1375">
        <v>4.688771</v>
      </c>
      <c r="P1375">
        <v>-74.050594000000004</v>
      </c>
      <c r="Q1375" t="s">
        <v>1189</v>
      </c>
      <c r="R1375">
        <v>6724949.5630000001</v>
      </c>
      <c r="S1375">
        <v>0</v>
      </c>
      <c r="T1375" t="s">
        <v>104</v>
      </c>
      <c r="U1375" t="s">
        <v>105</v>
      </c>
      <c r="V1375" t="s">
        <v>77</v>
      </c>
      <c r="W1375" t="s">
        <v>104</v>
      </c>
      <c r="X1375" t="s">
        <v>106</v>
      </c>
      <c r="Y1375">
        <v>3.2835384009698898</v>
      </c>
      <c r="Z1375">
        <v>3283.5384009698901</v>
      </c>
      <c r="AA1375">
        <v>4.71035</v>
      </c>
      <c r="AB1375">
        <v>-74.030416666666696</v>
      </c>
      <c r="AC1375">
        <v>2570</v>
      </c>
      <c r="AD1375">
        <v>10</v>
      </c>
      <c r="AE1375" t="s">
        <v>80</v>
      </c>
      <c r="AF1375" t="s">
        <v>107</v>
      </c>
      <c r="AG1375" t="s">
        <v>82</v>
      </c>
      <c r="AH1375" t="s">
        <v>83</v>
      </c>
      <c r="AI1375" t="s">
        <v>108</v>
      </c>
      <c r="AJ1375">
        <v>0.77497166876244405</v>
      </c>
      <c r="AK1375">
        <v>1.94401701467002</v>
      </c>
      <c r="AL1375">
        <v>7.4569548341072697E-2</v>
      </c>
      <c r="AM1375">
        <v>0.118917203605947</v>
      </c>
      <c r="AN1375">
        <v>3.8409686520228399</v>
      </c>
      <c r="AO1375">
        <v>0.386549919038919</v>
      </c>
      <c r="AP1375">
        <v>0.386549919038919</v>
      </c>
      <c r="AQ1375">
        <v>0</v>
      </c>
      <c r="AR1375">
        <v>2</v>
      </c>
      <c r="AS1375">
        <v>0</v>
      </c>
      <c r="AT1375">
        <v>0</v>
      </c>
      <c r="AU1375">
        <v>5</v>
      </c>
      <c r="AV1375">
        <v>187</v>
      </c>
      <c r="AW1375">
        <v>0</v>
      </c>
      <c r="AX1375">
        <v>0</v>
      </c>
      <c r="AY1375">
        <v>15.5</v>
      </c>
      <c r="AZ1375">
        <v>2.4</v>
      </c>
      <c r="BA1375">
        <v>10.9</v>
      </c>
      <c r="BB1375">
        <v>564</v>
      </c>
      <c r="BC1375">
        <v>68</v>
      </c>
      <c r="BD1375">
        <v>1.5</v>
      </c>
      <c r="BE1375">
        <v>135</v>
      </c>
      <c r="BF1375">
        <v>0</v>
      </c>
      <c r="BG1375">
        <v>162</v>
      </c>
      <c r="BH1375">
        <v>9.1</v>
      </c>
      <c r="BI1375">
        <v>9.1999999999999993</v>
      </c>
      <c r="BJ1375">
        <v>18.3</v>
      </c>
      <c r="BK1375">
        <v>0.34</v>
      </c>
      <c r="BL1375">
        <v>7.3</v>
      </c>
      <c r="BM1375">
        <v>0.9</v>
      </c>
      <c r="BN1375">
        <v>7.5</v>
      </c>
      <c r="BO1375">
        <v>2.9</v>
      </c>
      <c r="BP1375">
        <f t="shared" si="42"/>
        <v>2.0399669087139145</v>
      </c>
      <c r="BQ1375">
        <f t="shared" si="43"/>
        <v>10.07400020438496</v>
      </c>
    </row>
    <row r="1376" spans="1:69" hidden="1" x14ac:dyDescent="0.2">
      <c r="A1376" t="s">
        <v>2119</v>
      </c>
      <c r="B1376" t="s">
        <v>68</v>
      </c>
      <c r="C1376" t="s">
        <v>1956</v>
      </c>
      <c r="D1376" t="s">
        <v>70</v>
      </c>
      <c r="E1376" t="s">
        <v>226</v>
      </c>
      <c r="F1376">
        <v>6</v>
      </c>
      <c r="G1376">
        <v>413</v>
      </c>
      <c r="H1376">
        <v>5</v>
      </c>
      <c r="I1376">
        <v>5</v>
      </c>
      <c r="J1376">
        <v>4</v>
      </c>
      <c r="K1376" t="s">
        <v>110</v>
      </c>
      <c r="L1376" t="s">
        <v>162</v>
      </c>
      <c r="M1376" s="4">
        <v>1590000000</v>
      </c>
      <c r="N1376">
        <v>0</v>
      </c>
      <c r="O1376">
        <v>4.6954650879999997</v>
      </c>
      <c r="P1376">
        <v>-74.042587280000006</v>
      </c>
      <c r="Q1376" t="s">
        <v>2120</v>
      </c>
      <c r="R1376">
        <v>3849878.9350000001</v>
      </c>
      <c r="S1376">
        <v>0</v>
      </c>
      <c r="T1376" t="s">
        <v>104</v>
      </c>
      <c r="U1376" t="s">
        <v>105</v>
      </c>
      <c r="V1376" t="s">
        <v>77</v>
      </c>
      <c r="W1376" t="s">
        <v>104</v>
      </c>
      <c r="X1376" t="s">
        <v>106</v>
      </c>
      <c r="Y1376">
        <v>2.1374754373078</v>
      </c>
      <c r="Z1376">
        <v>2137.4754373077999</v>
      </c>
      <c r="AA1376">
        <v>4.71035</v>
      </c>
      <c r="AB1376">
        <v>-74.030416666666696</v>
      </c>
      <c r="AC1376">
        <v>2570</v>
      </c>
      <c r="AD1376">
        <v>10</v>
      </c>
      <c r="AE1376" t="s">
        <v>80</v>
      </c>
      <c r="AF1376" t="s">
        <v>107</v>
      </c>
      <c r="AG1376" t="s">
        <v>82</v>
      </c>
      <c r="AH1376" t="s">
        <v>83</v>
      </c>
      <c r="AI1376" t="s">
        <v>108</v>
      </c>
      <c r="AJ1376">
        <v>1.4408829332575399</v>
      </c>
      <c r="AK1376">
        <v>1.8158291635891199</v>
      </c>
      <c r="AL1376">
        <v>0.84034559994782598</v>
      </c>
      <c r="AM1376">
        <v>6.3029592167782797E-2</v>
      </c>
      <c r="AN1376">
        <v>4.9689189326265604</v>
      </c>
      <c r="AO1376">
        <v>0.28454107249999</v>
      </c>
      <c r="AP1376">
        <v>0.28454107249999</v>
      </c>
      <c r="AQ1376">
        <v>0</v>
      </c>
      <c r="AR1376">
        <v>0</v>
      </c>
      <c r="AS1376">
        <v>0</v>
      </c>
      <c r="AT1376">
        <v>0</v>
      </c>
      <c r="AU1376">
        <v>1</v>
      </c>
      <c r="AV1376">
        <v>133</v>
      </c>
      <c r="AW1376">
        <v>0</v>
      </c>
      <c r="AX1376">
        <v>0</v>
      </c>
      <c r="AY1376">
        <v>15.5</v>
      </c>
      <c r="AZ1376">
        <v>2.4</v>
      </c>
      <c r="BA1376">
        <v>10.9</v>
      </c>
      <c r="BB1376">
        <v>564</v>
      </c>
      <c r="BC1376">
        <v>68</v>
      </c>
      <c r="BD1376">
        <v>1.5</v>
      </c>
      <c r="BE1376">
        <v>135</v>
      </c>
      <c r="BF1376">
        <v>0</v>
      </c>
      <c r="BG1376">
        <v>162</v>
      </c>
      <c r="BH1376">
        <v>9.1</v>
      </c>
      <c r="BI1376">
        <v>9.1999999999999993</v>
      </c>
      <c r="BJ1376">
        <v>18.3</v>
      </c>
      <c r="BK1376">
        <v>0.34</v>
      </c>
      <c r="BL1376">
        <v>7.3</v>
      </c>
      <c r="BM1376">
        <v>0.9</v>
      </c>
      <c r="BN1376">
        <v>7.5</v>
      </c>
      <c r="BO1376">
        <v>2.9</v>
      </c>
      <c r="BP1376">
        <f t="shared" si="42"/>
        <v>2.1590400534367595</v>
      </c>
      <c r="BQ1376">
        <f t="shared" si="43"/>
        <v>10.354936667897025</v>
      </c>
    </row>
    <row r="1377" spans="1:69" hidden="1" x14ac:dyDescent="0.2">
      <c r="A1377" t="s">
        <v>2339</v>
      </c>
      <c r="B1377" t="s">
        <v>68</v>
      </c>
      <c r="C1377" t="s">
        <v>1956</v>
      </c>
      <c r="D1377" t="s">
        <v>70</v>
      </c>
      <c r="E1377" t="s">
        <v>562</v>
      </c>
      <c r="F1377">
        <v>6</v>
      </c>
      <c r="G1377">
        <v>408</v>
      </c>
      <c r="H1377">
        <v>3</v>
      </c>
      <c r="I1377">
        <v>3</v>
      </c>
      <c r="J1377">
        <v>2</v>
      </c>
      <c r="K1377" t="s">
        <v>110</v>
      </c>
      <c r="L1377" t="s">
        <v>162</v>
      </c>
      <c r="M1377" s="4">
        <v>2100000000</v>
      </c>
      <c r="N1377">
        <v>0</v>
      </c>
      <c r="O1377">
        <v>4.6924949619999996</v>
      </c>
      <c r="P1377">
        <v>-74.030342099999999</v>
      </c>
      <c r="Q1377" t="s">
        <v>2340</v>
      </c>
      <c r="R1377">
        <v>5147058.824</v>
      </c>
      <c r="S1377">
        <v>0</v>
      </c>
      <c r="T1377" t="s">
        <v>104</v>
      </c>
      <c r="U1377" t="s">
        <v>105</v>
      </c>
      <c r="V1377" t="s">
        <v>77</v>
      </c>
      <c r="W1377" t="s">
        <v>104</v>
      </c>
      <c r="X1377" t="s">
        <v>106</v>
      </c>
      <c r="Y1377">
        <v>1.98763095458497</v>
      </c>
      <c r="Z1377">
        <v>1987.6309545849699</v>
      </c>
      <c r="AA1377">
        <v>4.71035</v>
      </c>
      <c r="AB1377">
        <v>-74.030416666666696</v>
      </c>
      <c r="AC1377">
        <v>2570</v>
      </c>
      <c r="AD1377">
        <v>10</v>
      </c>
      <c r="AE1377" t="s">
        <v>80</v>
      </c>
      <c r="AF1377" t="s">
        <v>107</v>
      </c>
      <c r="AG1377" t="s">
        <v>82</v>
      </c>
      <c r="AH1377" t="s">
        <v>83</v>
      </c>
      <c r="AI1377" t="s">
        <v>108</v>
      </c>
      <c r="AJ1377">
        <v>2.8373623317762302</v>
      </c>
      <c r="AK1377">
        <v>0.41941551998646298</v>
      </c>
      <c r="AL1377">
        <v>0.22789257304708499</v>
      </c>
      <c r="AM1377">
        <v>0.14056199959108001</v>
      </c>
      <c r="AN1377">
        <v>5.4344911325178398</v>
      </c>
      <c r="AO1377">
        <v>0.59263819994200095</v>
      </c>
      <c r="AP1377">
        <v>0.59263819994200095</v>
      </c>
      <c r="AQ1377">
        <v>0</v>
      </c>
      <c r="AR1377">
        <v>0</v>
      </c>
      <c r="AS1377">
        <v>2</v>
      </c>
      <c r="AT1377">
        <v>22</v>
      </c>
      <c r="AU1377">
        <v>1</v>
      </c>
      <c r="AV1377">
        <v>108</v>
      </c>
      <c r="AW1377">
        <v>0</v>
      </c>
      <c r="AX1377">
        <v>0</v>
      </c>
      <c r="AY1377">
        <v>15.5</v>
      </c>
      <c r="AZ1377">
        <v>2.4</v>
      </c>
      <c r="BA1377">
        <v>10.9</v>
      </c>
      <c r="BB1377">
        <v>564</v>
      </c>
      <c r="BC1377">
        <v>68</v>
      </c>
      <c r="BD1377">
        <v>1.5</v>
      </c>
      <c r="BE1377">
        <v>135</v>
      </c>
      <c r="BF1377">
        <v>0</v>
      </c>
      <c r="BG1377">
        <v>162</v>
      </c>
      <c r="BH1377">
        <v>9.1</v>
      </c>
      <c r="BI1377">
        <v>9.1999999999999993</v>
      </c>
      <c r="BJ1377">
        <v>18.3</v>
      </c>
      <c r="BK1377">
        <v>0.34</v>
      </c>
      <c r="BL1377">
        <v>7.3</v>
      </c>
      <c r="BM1377">
        <v>0.9</v>
      </c>
      <c r="BN1377">
        <v>7.5</v>
      </c>
      <c r="BO1377">
        <v>2.9</v>
      </c>
      <c r="BP1377">
        <f t="shared" si="42"/>
        <v>2.1751138437001152</v>
      </c>
      <c r="BQ1377">
        <f t="shared" si="43"/>
        <v>10.392242832251767</v>
      </c>
    </row>
    <row r="1378" spans="1:69" hidden="1" x14ac:dyDescent="0.2">
      <c r="A1378" t="s">
        <v>1180</v>
      </c>
      <c r="B1378" t="s">
        <v>68</v>
      </c>
      <c r="C1378" t="s">
        <v>69</v>
      </c>
      <c r="D1378" t="s">
        <v>70</v>
      </c>
      <c r="E1378" t="s">
        <v>1181</v>
      </c>
      <c r="F1378">
        <v>6</v>
      </c>
      <c r="G1378">
        <v>402</v>
      </c>
      <c r="H1378">
        <v>4</v>
      </c>
      <c r="I1378">
        <v>5</v>
      </c>
      <c r="J1378">
        <v>3</v>
      </c>
      <c r="K1378" t="s">
        <v>110</v>
      </c>
      <c r="L1378" t="s">
        <v>162</v>
      </c>
      <c r="M1378" s="4">
        <v>4000000000</v>
      </c>
      <c r="N1378">
        <v>0</v>
      </c>
      <c r="O1378">
        <v>4.6716329999999999</v>
      </c>
      <c r="P1378">
        <v>-74.044578000000001</v>
      </c>
      <c r="Q1378" t="s">
        <v>1182</v>
      </c>
      <c r="R1378">
        <v>9950248.7559999991</v>
      </c>
      <c r="S1378">
        <v>0</v>
      </c>
      <c r="T1378" t="s">
        <v>104</v>
      </c>
      <c r="U1378" t="s">
        <v>105</v>
      </c>
      <c r="V1378" t="s">
        <v>77</v>
      </c>
      <c r="W1378" t="s">
        <v>104</v>
      </c>
      <c r="X1378" t="s">
        <v>106</v>
      </c>
      <c r="Y1378">
        <v>4.5874006550149602</v>
      </c>
      <c r="Z1378">
        <v>4587.4006550149597</v>
      </c>
      <c r="AA1378">
        <v>4.71035</v>
      </c>
      <c r="AB1378">
        <v>-74.030416666666696</v>
      </c>
      <c r="AC1378">
        <v>2570</v>
      </c>
      <c r="AD1378">
        <v>10</v>
      </c>
      <c r="AE1378" t="s">
        <v>80</v>
      </c>
      <c r="AF1378" t="s">
        <v>107</v>
      </c>
      <c r="AG1378" t="s">
        <v>82</v>
      </c>
      <c r="AH1378" t="s">
        <v>83</v>
      </c>
      <c r="AI1378" t="s">
        <v>130</v>
      </c>
      <c r="AJ1378">
        <v>1.67219583864826</v>
      </c>
      <c r="AK1378">
        <v>0.38836419354459101</v>
      </c>
      <c r="AL1378">
        <v>1.25824960476814</v>
      </c>
      <c r="AM1378">
        <v>0.51245431742255598</v>
      </c>
      <c r="AN1378">
        <v>3.6540592351285501</v>
      </c>
      <c r="AO1378">
        <v>0.75774982013083902</v>
      </c>
      <c r="AP1378">
        <v>0.75774982013083902</v>
      </c>
      <c r="AQ1378">
        <v>0</v>
      </c>
      <c r="AR1378">
        <v>0</v>
      </c>
      <c r="AS1378">
        <v>6</v>
      </c>
      <c r="AT1378">
        <v>31</v>
      </c>
      <c r="AU1378">
        <v>0</v>
      </c>
      <c r="AV1378">
        <v>38</v>
      </c>
      <c r="AW1378">
        <v>0</v>
      </c>
      <c r="AX1378">
        <v>0</v>
      </c>
      <c r="AY1378">
        <v>15.5</v>
      </c>
      <c r="AZ1378">
        <v>2.4</v>
      </c>
      <c r="BA1378">
        <v>10.9</v>
      </c>
      <c r="BB1378">
        <v>564</v>
      </c>
      <c r="BC1378">
        <v>68</v>
      </c>
      <c r="BD1378">
        <v>1.5</v>
      </c>
      <c r="BE1378">
        <v>135</v>
      </c>
      <c r="BF1378">
        <v>0</v>
      </c>
      <c r="BG1378">
        <v>162</v>
      </c>
      <c r="BH1378">
        <v>9.1</v>
      </c>
      <c r="BI1378">
        <v>9.1999999999999993</v>
      </c>
      <c r="BJ1378">
        <v>18.3</v>
      </c>
      <c r="BK1378">
        <v>0.34</v>
      </c>
      <c r="BL1378">
        <v>7.3</v>
      </c>
      <c r="BM1378">
        <v>0.9</v>
      </c>
      <c r="BN1378">
        <v>7.5</v>
      </c>
      <c r="BO1378">
        <v>2.9</v>
      </c>
      <c r="BP1378">
        <f t="shared" si="42"/>
        <v>1.9124638889215737</v>
      </c>
      <c r="BQ1378">
        <f t="shared" si="43"/>
        <v>9.7636389435638211</v>
      </c>
    </row>
    <row r="1379" spans="1:69" hidden="1" x14ac:dyDescent="0.2">
      <c r="A1379" t="s">
        <v>1706</v>
      </c>
      <c r="B1379" t="s">
        <v>68</v>
      </c>
      <c r="C1379" t="s">
        <v>69</v>
      </c>
      <c r="D1379" t="s">
        <v>70</v>
      </c>
      <c r="E1379" t="s">
        <v>1707</v>
      </c>
      <c r="F1379">
        <v>6</v>
      </c>
      <c r="G1379">
        <v>402</v>
      </c>
      <c r="H1379">
        <v>4</v>
      </c>
      <c r="I1379">
        <v>5</v>
      </c>
      <c r="J1379">
        <v>4</v>
      </c>
      <c r="K1379" t="s">
        <v>110</v>
      </c>
      <c r="L1379" t="s">
        <v>162</v>
      </c>
      <c r="M1379" s="4">
        <v>2700000000</v>
      </c>
      <c r="N1379">
        <v>0</v>
      </c>
      <c r="O1379">
        <v>4.7168889050000002</v>
      </c>
      <c r="P1379">
        <v>-74.023139950000001</v>
      </c>
      <c r="Q1379" t="s">
        <v>1708</v>
      </c>
      <c r="R1379">
        <v>6716417.9100000001</v>
      </c>
      <c r="S1379">
        <v>0</v>
      </c>
      <c r="T1379" t="s">
        <v>104</v>
      </c>
      <c r="U1379" t="s">
        <v>105</v>
      </c>
      <c r="V1379" t="s">
        <v>77</v>
      </c>
      <c r="W1379" t="s">
        <v>104</v>
      </c>
      <c r="X1379" t="s">
        <v>106</v>
      </c>
      <c r="Y1379">
        <v>1.0870068647438</v>
      </c>
      <c r="Z1379">
        <v>1087.0068647438</v>
      </c>
      <c r="AA1379">
        <v>4.71035</v>
      </c>
      <c r="AB1379">
        <v>-74.030416666666696</v>
      </c>
      <c r="AC1379">
        <v>2570</v>
      </c>
      <c r="AD1379">
        <v>10</v>
      </c>
      <c r="AE1379" t="s">
        <v>80</v>
      </c>
      <c r="AF1379" t="s">
        <v>107</v>
      </c>
      <c r="AG1379" t="s">
        <v>82</v>
      </c>
      <c r="AH1379" t="s">
        <v>83</v>
      </c>
      <c r="AI1379" t="s">
        <v>108</v>
      </c>
      <c r="AJ1379">
        <v>3.1751156759663899</v>
      </c>
      <c r="AK1379">
        <v>7.1089377615250998E-2</v>
      </c>
      <c r="AL1379">
        <v>1.26631163095744</v>
      </c>
      <c r="AM1379">
        <v>0.70228327644065403</v>
      </c>
      <c r="AN1379">
        <v>2.7528873948267201</v>
      </c>
      <c r="AO1379">
        <v>0.60070654022855297</v>
      </c>
      <c r="AP1379">
        <v>0.60070654022855297</v>
      </c>
      <c r="AQ1379">
        <v>0</v>
      </c>
      <c r="AR1379">
        <v>0</v>
      </c>
      <c r="AS1379">
        <v>25</v>
      </c>
      <c r="AT1379">
        <v>38</v>
      </c>
      <c r="AU1379">
        <v>0</v>
      </c>
      <c r="AV1379">
        <v>39</v>
      </c>
      <c r="AW1379">
        <v>0</v>
      </c>
      <c r="AX1379">
        <v>0</v>
      </c>
      <c r="AY1379">
        <v>15.5</v>
      </c>
      <c r="AZ1379">
        <v>2.4</v>
      </c>
      <c r="BA1379">
        <v>10.9</v>
      </c>
      <c r="BB1379">
        <v>564</v>
      </c>
      <c r="BC1379">
        <v>68</v>
      </c>
      <c r="BD1379">
        <v>1.5</v>
      </c>
      <c r="BE1379">
        <v>135</v>
      </c>
      <c r="BF1379">
        <v>0</v>
      </c>
      <c r="BG1379">
        <v>162</v>
      </c>
      <c r="BH1379">
        <v>9.1</v>
      </c>
      <c r="BI1379">
        <v>9.1999999999999993</v>
      </c>
      <c r="BJ1379">
        <v>18.3</v>
      </c>
      <c r="BK1379">
        <v>0.34</v>
      </c>
      <c r="BL1379">
        <v>7.3</v>
      </c>
      <c r="BM1379">
        <v>0.9</v>
      </c>
      <c r="BN1379">
        <v>7.5</v>
      </c>
      <c r="BO1379">
        <v>2.9</v>
      </c>
      <c r="BP1379">
        <f t="shared" si="42"/>
        <v>2.2742763128359287</v>
      </c>
      <c r="BQ1379">
        <f t="shared" si="43"/>
        <v>10.619316186064443</v>
      </c>
    </row>
    <row r="1380" spans="1:69" hidden="1" x14ac:dyDescent="0.2">
      <c r="A1380" t="s">
        <v>890</v>
      </c>
      <c r="B1380" t="s">
        <v>68</v>
      </c>
      <c r="C1380" t="s">
        <v>69</v>
      </c>
      <c r="D1380" t="s">
        <v>70</v>
      </c>
      <c r="E1380" t="s">
        <v>891</v>
      </c>
      <c r="F1380">
        <v>6</v>
      </c>
      <c r="G1380">
        <v>400</v>
      </c>
      <c r="H1380">
        <v>4</v>
      </c>
      <c r="I1380">
        <v>5</v>
      </c>
      <c r="J1380">
        <v>4</v>
      </c>
      <c r="K1380" t="s">
        <v>110</v>
      </c>
      <c r="L1380" t="s">
        <v>124</v>
      </c>
      <c r="M1380" s="4">
        <v>3500000000</v>
      </c>
      <c r="N1380">
        <v>0</v>
      </c>
      <c r="O1380">
        <v>4.6755659950000004</v>
      </c>
      <c r="P1380">
        <v>-74.045463810000001</v>
      </c>
      <c r="Q1380" t="s">
        <v>892</v>
      </c>
      <c r="R1380">
        <v>8750000</v>
      </c>
      <c r="S1380">
        <v>0</v>
      </c>
      <c r="T1380" t="s">
        <v>104</v>
      </c>
      <c r="U1380" t="s">
        <v>105</v>
      </c>
      <c r="V1380" t="s">
        <v>77</v>
      </c>
      <c r="W1380" t="s">
        <v>104</v>
      </c>
      <c r="X1380" t="s">
        <v>106</v>
      </c>
      <c r="Y1380">
        <v>4.2166846244701102</v>
      </c>
      <c r="Z1380">
        <v>4216.6846244701101</v>
      </c>
      <c r="AA1380">
        <v>4.71035</v>
      </c>
      <c r="AB1380">
        <v>-74.030416666666696</v>
      </c>
      <c r="AC1380">
        <v>2570</v>
      </c>
      <c r="AD1380">
        <v>10</v>
      </c>
      <c r="AE1380" t="s">
        <v>80</v>
      </c>
      <c r="AF1380" t="s">
        <v>107</v>
      </c>
      <c r="AG1380" t="s">
        <v>82</v>
      </c>
      <c r="AH1380" t="s">
        <v>83</v>
      </c>
      <c r="AI1380" t="s">
        <v>130</v>
      </c>
      <c r="AJ1380">
        <v>1.5038318193588101</v>
      </c>
      <c r="AK1380">
        <v>0.67790609230999199</v>
      </c>
      <c r="AL1380">
        <v>1.02352164553092</v>
      </c>
      <c r="AM1380">
        <v>0.13712165647140601</v>
      </c>
      <c r="AN1380">
        <v>4.0166863926072303</v>
      </c>
      <c r="AO1380">
        <v>1.0785416572804101</v>
      </c>
      <c r="AP1380">
        <v>1.0785416572804101</v>
      </c>
      <c r="AQ1380">
        <v>0</v>
      </c>
      <c r="AR1380">
        <v>0</v>
      </c>
      <c r="AS1380">
        <v>0</v>
      </c>
      <c r="AT1380">
        <v>18</v>
      </c>
      <c r="AU1380">
        <v>0</v>
      </c>
      <c r="AV1380">
        <v>86</v>
      </c>
      <c r="AW1380">
        <v>0</v>
      </c>
      <c r="AX1380">
        <v>0</v>
      </c>
      <c r="AY1380">
        <v>15.5</v>
      </c>
      <c r="AZ1380">
        <v>2.4</v>
      </c>
      <c r="BA1380">
        <v>10.9</v>
      </c>
      <c r="BB1380">
        <v>564</v>
      </c>
      <c r="BC1380">
        <v>68</v>
      </c>
      <c r="BD1380">
        <v>1.5</v>
      </c>
      <c r="BE1380">
        <v>135</v>
      </c>
      <c r="BF1380">
        <v>0</v>
      </c>
      <c r="BG1380">
        <v>162</v>
      </c>
      <c r="BH1380">
        <v>9.1</v>
      </c>
      <c r="BI1380">
        <v>9.1999999999999993</v>
      </c>
      <c r="BJ1380">
        <v>18.3</v>
      </c>
      <c r="BK1380">
        <v>0.34</v>
      </c>
      <c r="BL1380">
        <v>7.3</v>
      </c>
      <c r="BM1380">
        <v>0.9</v>
      </c>
      <c r="BN1380">
        <v>7.5</v>
      </c>
      <c r="BO1380">
        <v>2.9</v>
      </c>
      <c r="BP1380">
        <f t="shared" si="42"/>
        <v>1.9478824285451659</v>
      </c>
      <c r="BQ1380">
        <f t="shared" si="43"/>
        <v>9.8508954358769216</v>
      </c>
    </row>
    <row r="1381" spans="1:69" hidden="1" x14ac:dyDescent="0.2">
      <c r="A1381" t="s">
        <v>2681</v>
      </c>
      <c r="B1381" t="s">
        <v>68</v>
      </c>
      <c r="C1381" t="s">
        <v>1956</v>
      </c>
      <c r="D1381" t="s">
        <v>70</v>
      </c>
      <c r="E1381" t="s">
        <v>344</v>
      </c>
      <c r="F1381">
        <v>5</v>
      </c>
      <c r="G1381">
        <v>400</v>
      </c>
      <c r="H1381">
        <v>5</v>
      </c>
      <c r="I1381">
        <v>5</v>
      </c>
      <c r="J1381">
        <v>4</v>
      </c>
      <c r="K1381" t="s">
        <v>110</v>
      </c>
      <c r="L1381" t="s">
        <v>111</v>
      </c>
      <c r="M1381" s="4">
        <v>2090000000</v>
      </c>
      <c r="N1381">
        <v>0</v>
      </c>
      <c r="O1381">
        <v>4.6990603560000004</v>
      </c>
      <c r="P1381">
        <v>-74.061605929999999</v>
      </c>
      <c r="Q1381" t="s">
        <v>2682</v>
      </c>
      <c r="R1381">
        <v>5225000</v>
      </c>
      <c r="S1381">
        <v>0</v>
      </c>
      <c r="T1381" t="s">
        <v>104</v>
      </c>
      <c r="U1381" t="s">
        <v>105</v>
      </c>
      <c r="V1381" t="s">
        <v>77</v>
      </c>
      <c r="W1381" t="s">
        <v>104</v>
      </c>
      <c r="X1381" t="s">
        <v>106</v>
      </c>
      <c r="Y1381">
        <v>3.6814317506401499</v>
      </c>
      <c r="Z1381">
        <v>3681.4317506401499</v>
      </c>
      <c r="AA1381">
        <v>4.71035</v>
      </c>
      <c r="AB1381">
        <v>-74.030416666666696</v>
      </c>
      <c r="AC1381">
        <v>2570</v>
      </c>
      <c r="AD1381">
        <v>10</v>
      </c>
      <c r="AE1381" t="s">
        <v>80</v>
      </c>
      <c r="AF1381" t="s">
        <v>107</v>
      </c>
      <c r="AG1381" t="s">
        <v>82</v>
      </c>
      <c r="AH1381" t="s">
        <v>83</v>
      </c>
      <c r="AI1381" t="s">
        <v>121</v>
      </c>
      <c r="AJ1381">
        <v>0.70579309451306904</v>
      </c>
      <c r="AK1381">
        <v>3.6074106137531201</v>
      </c>
      <c r="AL1381">
        <v>0.89801036556459402</v>
      </c>
      <c r="AM1381">
        <v>0.24523718339433201</v>
      </c>
      <c r="AN1381">
        <v>3.58189485012793</v>
      </c>
      <c r="AO1381">
        <v>9.2323187370896106E-2</v>
      </c>
      <c r="AP1381">
        <v>9.2323187370896106E-2</v>
      </c>
      <c r="AQ1381">
        <v>0</v>
      </c>
      <c r="AR1381">
        <v>4</v>
      </c>
      <c r="AS1381">
        <v>0</v>
      </c>
      <c r="AT1381">
        <v>0</v>
      </c>
      <c r="AU1381">
        <v>1</v>
      </c>
      <c r="AV1381">
        <v>76</v>
      </c>
      <c r="AW1381">
        <v>0</v>
      </c>
      <c r="AX1381">
        <v>0</v>
      </c>
      <c r="AY1381">
        <v>15.5</v>
      </c>
      <c r="AZ1381">
        <v>2.4</v>
      </c>
      <c r="BA1381">
        <v>10.9</v>
      </c>
      <c r="BB1381">
        <v>564</v>
      </c>
      <c r="BC1381">
        <v>68</v>
      </c>
      <c r="BD1381">
        <v>1.5</v>
      </c>
      <c r="BE1381">
        <v>135</v>
      </c>
      <c r="BF1381">
        <v>0</v>
      </c>
      <c r="BG1381">
        <v>162</v>
      </c>
      <c r="BH1381">
        <v>9.1</v>
      </c>
      <c r="BI1381">
        <v>9.1999999999999993</v>
      </c>
      <c r="BJ1381">
        <v>18.3</v>
      </c>
      <c r="BK1381">
        <v>0.34</v>
      </c>
      <c r="BL1381">
        <v>7.3</v>
      </c>
      <c r="BM1381">
        <v>0.9</v>
      </c>
      <c r="BN1381">
        <v>7.5</v>
      </c>
      <c r="BO1381">
        <v>2.9</v>
      </c>
      <c r="BP1381">
        <f t="shared" si="42"/>
        <v>2.0001813784985769</v>
      </c>
      <c r="BQ1381">
        <f t="shared" si="43"/>
        <v>9.9782570144477543</v>
      </c>
    </row>
    <row r="1382" spans="1:69" hidden="1" x14ac:dyDescent="0.2">
      <c r="A1382" t="s">
        <v>2764</v>
      </c>
      <c r="B1382" t="s">
        <v>68</v>
      </c>
      <c r="C1382" t="s">
        <v>1956</v>
      </c>
      <c r="D1382" t="s">
        <v>70</v>
      </c>
      <c r="E1382" t="s">
        <v>2765</v>
      </c>
      <c r="F1382">
        <v>6</v>
      </c>
      <c r="G1382">
        <v>400</v>
      </c>
      <c r="H1382">
        <v>4</v>
      </c>
      <c r="I1382">
        <v>5</v>
      </c>
      <c r="J1382">
        <v>4</v>
      </c>
      <c r="K1382" t="s">
        <v>110</v>
      </c>
      <c r="L1382" t="s">
        <v>162</v>
      </c>
      <c r="M1382" s="4">
        <v>1800000000</v>
      </c>
      <c r="N1382">
        <v>0</v>
      </c>
      <c r="O1382">
        <v>4.7071687999999998</v>
      </c>
      <c r="P1382">
        <v>-74.048203000000001</v>
      </c>
      <c r="Q1382" t="s">
        <v>2766</v>
      </c>
      <c r="R1382">
        <v>4500000</v>
      </c>
      <c r="S1382">
        <v>0</v>
      </c>
      <c r="T1382" t="s">
        <v>104</v>
      </c>
      <c r="U1382" t="s">
        <v>105</v>
      </c>
      <c r="V1382" t="s">
        <v>77</v>
      </c>
      <c r="W1382" t="s">
        <v>104</v>
      </c>
      <c r="X1382" t="s">
        <v>106</v>
      </c>
      <c r="Y1382">
        <v>2.0048074955311299</v>
      </c>
      <c r="Z1382">
        <v>2004.8074955311299</v>
      </c>
      <c r="AA1382">
        <v>4.71035</v>
      </c>
      <c r="AB1382">
        <v>-74.030416666666696</v>
      </c>
      <c r="AC1382">
        <v>2570</v>
      </c>
      <c r="AD1382">
        <v>10</v>
      </c>
      <c r="AE1382" t="s">
        <v>80</v>
      </c>
      <c r="AF1382" t="s">
        <v>107</v>
      </c>
      <c r="AG1382" t="s">
        <v>82</v>
      </c>
      <c r="AH1382" t="s">
        <v>83</v>
      </c>
      <c r="AI1382" t="s">
        <v>108</v>
      </c>
      <c r="AJ1382">
        <v>0.72385635439185503</v>
      </c>
      <c r="AK1382">
        <v>2.5674103216287198</v>
      </c>
      <c r="AL1382">
        <v>1.5442418300408001</v>
      </c>
      <c r="AM1382">
        <v>0.14544788952815499</v>
      </c>
      <c r="AN1382">
        <v>4.4824948568540899</v>
      </c>
      <c r="AO1382">
        <v>0.28342745562864602</v>
      </c>
      <c r="AP1382">
        <v>0.28342745562864602</v>
      </c>
      <c r="AQ1382">
        <v>0</v>
      </c>
      <c r="AR1382">
        <v>2</v>
      </c>
      <c r="AS1382">
        <v>0</v>
      </c>
      <c r="AT1382">
        <v>0</v>
      </c>
      <c r="AU1382">
        <v>0</v>
      </c>
      <c r="AV1382">
        <v>146</v>
      </c>
      <c r="AW1382">
        <v>0</v>
      </c>
      <c r="AX1382">
        <v>0</v>
      </c>
      <c r="AY1382">
        <v>15.5</v>
      </c>
      <c r="AZ1382">
        <v>2.4</v>
      </c>
      <c r="BA1382">
        <v>10.9</v>
      </c>
      <c r="BB1382">
        <v>564</v>
      </c>
      <c r="BC1382">
        <v>68</v>
      </c>
      <c r="BD1382">
        <v>1.5</v>
      </c>
      <c r="BE1382">
        <v>135</v>
      </c>
      <c r="BF1382">
        <v>0</v>
      </c>
      <c r="BG1382">
        <v>162</v>
      </c>
      <c r="BH1382">
        <v>9.1</v>
      </c>
      <c r="BI1382">
        <v>9.1999999999999993</v>
      </c>
      <c r="BJ1382">
        <v>18.3</v>
      </c>
      <c r="BK1382">
        <v>0.34</v>
      </c>
      <c r="BL1382">
        <v>7.3</v>
      </c>
      <c r="BM1382">
        <v>0.9</v>
      </c>
      <c r="BN1382">
        <v>7.5</v>
      </c>
      <c r="BO1382">
        <v>2.9</v>
      </c>
      <c r="BP1382">
        <f t="shared" si="42"/>
        <v>2.1732652635447987</v>
      </c>
      <c r="BQ1382">
        <f t="shared" si="43"/>
        <v>10.387959648327099</v>
      </c>
    </row>
    <row r="1383" spans="1:69" hidden="1" x14ac:dyDescent="0.2">
      <c r="A1383" t="s">
        <v>1800</v>
      </c>
      <c r="B1383" t="s">
        <v>68</v>
      </c>
      <c r="C1383" t="s">
        <v>69</v>
      </c>
      <c r="D1383" t="s">
        <v>70</v>
      </c>
      <c r="E1383" t="s">
        <v>1707</v>
      </c>
      <c r="F1383">
        <v>6</v>
      </c>
      <c r="G1383">
        <v>400</v>
      </c>
      <c r="H1383">
        <v>4</v>
      </c>
      <c r="I1383">
        <v>5</v>
      </c>
      <c r="J1383">
        <v>4</v>
      </c>
      <c r="K1383" t="s">
        <v>110</v>
      </c>
      <c r="L1383" t="s">
        <v>162</v>
      </c>
      <c r="M1383" s="4">
        <v>3300000000</v>
      </c>
      <c r="N1383">
        <v>0</v>
      </c>
      <c r="O1383">
        <v>4.7168889050000002</v>
      </c>
      <c r="P1383">
        <v>-74.023139950000001</v>
      </c>
      <c r="Q1383" t="s">
        <v>1801</v>
      </c>
      <c r="R1383">
        <v>8250000</v>
      </c>
      <c r="S1383">
        <v>0</v>
      </c>
      <c r="T1383" t="s">
        <v>104</v>
      </c>
      <c r="U1383" t="s">
        <v>105</v>
      </c>
      <c r="V1383" t="s">
        <v>77</v>
      </c>
      <c r="W1383" t="s">
        <v>104</v>
      </c>
      <c r="X1383" t="s">
        <v>106</v>
      </c>
      <c r="Y1383">
        <v>1.0870068647438</v>
      </c>
      <c r="Z1383">
        <v>1087.0068647438</v>
      </c>
      <c r="AA1383">
        <v>4.71035</v>
      </c>
      <c r="AB1383">
        <v>-74.030416666666696</v>
      </c>
      <c r="AC1383">
        <v>2570</v>
      </c>
      <c r="AD1383">
        <v>10</v>
      </c>
      <c r="AE1383" t="s">
        <v>80</v>
      </c>
      <c r="AF1383" t="s">
        <v>107</v>
      </c>
      <c r="AG1383" t="s">
        <v>82</v>
      </c>
      <c r="AH1383" t="s">
        <v>83</v>
      </c>
      <c r="AI1383" t="s">
        <v>108</v>
      </c>
      <c r="AJ1383">
        <v>3.1751156759663899</v>
      </c>
      <c r="AK1383">
        <v>7.1089377615250998E-2</v>
      </c>
      <c r="AL1383">
        <v>1.26631163095744</v>
      </c>
      <c r="AM1383">
        <v>0.70228327644065403</v>
      </c>
      <c r="AN1383">
        <v>2.7528873948267201</v>
      </c>
      <c r="AO1383">
        <v>0.60070654022855297</v>
      </c>
      <c r="AP1383">
        <v>0.60070654022855297</v>
      </c>
      <c r="AQ1383">
        <v>0</v>
      </c>
      <c r="AR1383">
        <v>0</v>
      </c>
      <c r="AS1383">
        <v>25</v>
      </c>
      <c r="AT1383">
        <v>38</v>
      </c>
      <c r="AU1383">
        <v>0</v>
      </c>
      <c r="AV1383">
        <v>39</v>
      </c>
      <c r="AW1383">
        <v>0</v>
      </c>
      <c r="AX1383">
        <v>0</v>
      </c>
      <c r="AY1383">
        <v>15.5</v>
      </c>
      <c r="AZ1383">
        <v>2.4</v>
      </c>
      <c r="BA1383">
        <v>10.9</v>
      </c>
      <c r="BB1383">
        <v>564</v>
      </c>
      <c r="BC1383">
        <v>68</v>
      </c>
      <c r="BD1383">
        <v>1.5</v>
      </c>
      <c r="BE1383">
        <v>135</v>
      </c>
      <c r="BF1383">
        <v>0</v>
      </c>
      <c r="BG1383">
        <v>162</v>
      </c>
      <c r="BH1383">
        <v>9.1</v>
      </c>
      <c r="BI1383">
        <v>9.1999999999999993</v>
      </c>
      <c r="BJ1383">
        <v>18.3</v>
      </c>
      <c r="BK1383">
        <v>0.34</v>
      </c>
      <c r="BL1383">
        <v>7.3</v>
      </c>
      <c r="BM1383">
        <v>0.9</v>
      </c>
      <c r="BN1383">
        <v>7.5</v>
      </c>
      <c r="BO1383">
        <v>2.9</v>
      </c>
      <c r="BP1383">
        <f t="shared" si="42"/>
        <v>2.2742763128359287</v>
      </c>
      <c r="BQ1383">
        <f t="shared" si="43"/>
        <v>10.619316186064443</v>
      </c>
    </row>
    <row r="1384" spans="1:69" hidden="1" x14ac:dyDescent="0.2">
      <c r="A1384" t="s">
        <v>2966</v>
      </c>
      <c r="B1384" t="s">
        <v>68</v>
      </c>
      <c r="C1384" t="s">
        <v>1956</v>
      </c>
      <c r="D1384" t="s">
        <v>70</v>
      </c>
      <c r="E1384" t="s">
        <v>432</v>
      </c>
      <c r="F1384">
        <v>5</v>
      </c>
      <c r="G1384">
        <v>399</v>
      </c>
      <c r="H1384">
        <v>5</v>
      </c>
      <c r="I1384">
        <v>4</v>
      </c>
      <c r="J1384">
        <v>1</v>
      </c>
      <c r="K1384" t="s">
        <v>110</v>
      </c>
      <c r="L1384" t="s">
        <v>162</v>
      </c>
      <c r="M1384" s="4">
        <v>1400000000</v>
      </c>
      <c r="N1384">
        <v>0</v>
      </c>
      <c r="O1384">
        <v>4.6899967189999998</v>
      </c>
      <c r="P1384">
        <v>-74.060043329999999</v>
      </c>
      <c r="Q1384" t="s">
        <v>2967</v>
      </c>
      <c r="R1384">
        <v>3508771.93</v>
      </c>
      <c r="S1384">
        <v>0</v>
      </c>
      <c r="T1384" t="s">
        <v>104</v>
      </c>
      <c r="U1384" t="s">
        <v>105</v>
      </c>
      <c r="V1384" t="s">
        <v>77</v>
      </c>
      <c r="W1384" t="s">
        <v>104</v>
      </c>
      <c r="X1384" t="s">
        <v>106</v>
      </c>
      <c r="Y1384">
        <v>3.9921685564190801</v>
      </c>
      <c r="Z1384">
        <v>3992.1685564190798</v>
      </c>
      <c r="AA1384">
        <v>4.71035</v>
      </c>
      <c r="AB1384">
        <v>-74.030416666666696</v>
      </c>
      <c r="AC1384">
        <v>2570</v>
      </c>
      <c r="AD1384">
        <v>10</v>
      </c>
      <c r="AE1384" t="s">
        <v>80</v>
      </c>
      <c r="AF1384" t="s">
        <v>107</v>
      </c>
      <c r="AG1384" t="s">
        <v>82</v>
      </c>
      <c r="AH1384" t="s">
        <v>83</v>
      </c>
      <c r="AI1384" t="s">
        <v>121</v>
      </c>
      <c r="AJ1384">
        <v>0.54050692915227705</v>
      </c>
      <c r="AK1384">
        <v>2.8816928736482699</v>
      </c>
      <c r="AL1384">
        <v>0.92890731399241799</v>
      </c>
      <c r="AM1384">
        <v>0.108002561519125</v>
      </c>
      <c r="AN1384">
        <v>3.0086431284389801</v>
      </c>
      <c r="AO1384">
        <v>0.15614391902274299</v>
      </c>
      <c r="AP1384">
        <v>0.15614391902274299</v>
      </c>
      <c r="AQ1384">
        <v>0</v>
      </c>
      <c r="AR1384">
        <v>5</v>
      </c>
      <c r="AS1384">
        <v>0</v>
      </c>
      <c r="AT1384">
        <v>0</v>
      </c>
      <c r="AU1384">
        <v>1</v>
      </c>
      <c r="AV1384">
        <v>194</v>
      </c>
      <c r="AW1384">
        <v>0</v>
      </c>
      <c r="AX1384">
        <v>0</v>
      </c>
      <c r="AY1384">
        <v>15.5</v>
      </c>
      <c r="AZ1384">
        <v>2.4</v>
      </c>
      <c r="BA1384">
        <v>10.9</v>
      </c>
      <c r="BB1384">
        <v>564</v>
      </c>
      <c r="BC1384">
        <v>68</v>
      </c>
      <c r="BD1384">
        <v>1.5</v>
      </c>
      <c r="BE1384">
        <v>135</v>
      </c>
      <c r="BF1384">
        <v>0</v>
      </c>
      <c r="BG1384">
        <v>162</v>
      </c>
      <c r="BH1384">
        <v>9.1</v>
      </c>
      <c r="BI1384">
        <v>9.1999999999999993</v>
      </c>
      <c r="BJ1384">
        <v>18.3</v>
      </c>
      <c r="BK1384">
        <v>0.34</v>
      </c>
      <c r="BL1384">
        <v>7.3</v>
      </c>
      <c r="BM1384">
        <v>0.9</v>
      </c>
      <c r="BN1384">
        <v>7.5</v>
      </c>
      <c r="BO1384">
        <v>2.9</v>
      </c>
      <c r="BP1384">
        <f t="shared" si="42"/>
        <v>1.9696510474998741</v>
      </c>
      <c r="BQ1384">
        <f t="shared" si="43"/>
        <v>9.9041191254222891</v>
      </c>
    </row>
    <row r="1385" spans="1:69" hidden="1" x14ac:dyDescent="0.2">
      <c r="A1385" t="s">
        <v>2945</v>
      </c>
      <c r="B1385" t="s">
        <v>68</v>
      </c>
      <c r="C1385" t="s">
        <v>1956</v>
      </c>
      <c r="D1385" t="s">
        <v>70</v>
      </c>
      <c r="E1385" t="s">
        <v>562</v>
      </c>
      <c r="F1385">
        <v>6</v>
      </c>
      <c r="G1385">
        <v>394</v>
      </c>
      <c r="H1385">
        <v>3</v>
      </c>
      <c r="I1385">
        <v>3</v>
      </c>
      <c r="J1385">
        <v>3</v>
      </c>
      <c r="K1385" t="s">
        <v>110</v>
      </c>
      <c r="L1385" t="s">
        <v>162</v>
      </c>
      <c r="M1385" s="4">
        <v>3000000000</v>
      </c>
      <c r="N1385">
        <v>0</v>
      </c>
      <c r="O1385">
        <v>4.6927099999999999</v>
      </c>
      <c r="P1385">
        <v>-74.031170000000003</v>
      </c>
      <c r="Q1385" t="s">
        <v>2946</v>
      </c>
      <c r="R1385">
        <v>7614213.1979999999</v>
      </c>
      <c r="S1385">
        <v>0</v>
      </c>
      <c r="T1385" t="s">
        <v>104</v>
      </c>
      <c r="U1385" t="s">
        <v>105</v>
      </c>
      <c r="V1385" t="s">
        <v>77</v>
      </c>
      <c r="W1385" t="s">
        <v>104</v>
      </c>
      <c r="X1385" t="s">
        <v>106</v>
      </c>
      <c r="Y1385">
        <v>1.9654536584790201</v>
      </c>
      <c r="Z1385">
        <v>1965.4536584790201</v>
      </c>
      <c r="AA1385">
        <v>4.71035</v>
      </c>
      <c r="AB1385">
        <v>-74.030416666666696</v>
      </c>
      <c r="AC1385">
        <v>2570</v>
      </c>
      <c r="AD1385">
        <v>10</v>
      </c>
      <c r="AE1385" t="s">
        <v>80</v>
      </c>
      <c r="AF1385" t="s">
        <v>107</v>
      </c>
      <c r="AG1385" t="s">
        <v>82</v>
      </c>
      <c r="AH1385" t="s">
        <v>83</v>
      </c>
      <c r="AI1385" t="s">
        <v>108</v>
      </c>
      <c r="AJ1385">
        <v>2.7425909676882698</v>
      </c>
      <c r="AK1385">
        <v>0.51419048018620805</v>
      </c>
      <c r="AL1385">
        <v>0.25201749952332297</v>
      </c>
      <c r="AM1385">
        <v>6.0067891675904199E-2</v>
      </c>
      <c r="AN1385">
        <v>5.41835626898773</v>
      </c>
      <c r="AO1385">
        <v>0.52190146648384195</v>
      </c>
      <c r="AP1385">
        <v>0.52190146648384195</v>
      </c>
      <c r="AQ1385">
        <v>0</v>
      </c>
      <c r="AR1385">
        <v>0</v>
      </c>
      <c r="AS1385">
        <v>0</v>
      </c>
      <c r="AT1385">
        <v>20</v>
      </c>
      <c r="AU1385">
        <v>2</v>
      </c>
      <c r="AV1385">
        <v>109</v>
      </c>
      <c r="AW1385">
        <v>0</v>
      </c>
      <c r="AX1385">
        <v>0</v>
      </c>
      <c r="AY1385">
        <v>15.5</v>
      </c>
      <c r="AZ1385">
        <v>2.4</v>
      </c>
      <c r="BA1385">
        <v>10.9</v>
      </c>
      <c r="BB1385">
        <v>564</v>
      </c>
      <c r="BC1385">
        <v>68</v>
      </c>
      <c r="BD1385">
        <v>1.5</v>
      </c>
      <c r="BE1385">
        <v>135</v>
      </c>
      <c r="BF1385">
        <v>0</v>
      </c>
      <c r="BG1385">
        <v>162</v>
      </c>
      <c r="BH1385">
        <v>9.1</v>
      </c>
      <c r="BI1385">
        <v>9.1999999999999993</v>
      </c>
      <c r="BJ1385">
        <v>18.3</v>
      </c>
      <c r="BK1385">
        <v>0.34</v>
      </c>
      <c r="BL1385">
        <v>7.3</v>
      </c>
      <c r="BM1385">
        <v>0.9</v>
      </c>
      <c r="BN1385">
        <v>7.5</v>
      </c>
      <c r="BO1385">
        <v>2.9</v>
      </c>
      <c r="BP1385">
        <f t="shared" si="42"/>
        <v>2.1775029429251775</v>
      </c>
      <c r="BQ1385">
        <f t="shared" si="43"/>
        <v>10.397775628866674</v>
      </c>
    </row>
    <row r="1386" spans="1:69" hidden="1" x14ac:dyDescent="0.2">
      <c r="A1386" t="s">
        <v>2746</v>
      </c>
      <c r="B1386" t="s">
        <v>68</v>
      </c>
      <c r="C1386" t="s">
        <v>1956</v>
      </c>
      <c r="D1386" t="s">
        <v>70</v>
      </c>
      <c r="E1386" t="s">
        <v>1279</v>
      </c>
      <c r="F1386">
        <v>5</v>
      </c>
      <c r="G1386">
        <v>391</v>
      </c>
      <c r="H1386">
        <v>5</v>
      </c>
      <c r="I1386">
        <v>4</v>
      </c>
      <c r="J1386">
        <v>4</v>
      </c>
      <c r="K1386" t="s">
        <v>110</v>
      </c>
      <c r="L1386" t="s">
        <v>162</v>
      </c>
      <c r="M1386" s="4">
        <v>930000000</v>
      </c>
      <c r="N1386">
        <v>0</v>
      </c>
      <c r="O1386">
        <v>4.7027299999999999</v>
      </c>
      <c r="P1386">
        <v>-74.059709999999995</v>
      </c>
      <c r="Q1386" t="s">
        <v>2747</v>
      </c>
      <c r="R1386">
        <v>2378516.6239999998</v>
      </c>
      <c r="S1386">
        <v>0</v>
      </c>
      <c r="T1386" t="s">
        <v>104</v>
      </c>
      <c r="U1386" t="s">
        <v>105</v>
      </c>
      <c r="V1386" t="s">
        <v>77</v>
      </c>
      <c r="W1386" t="s">
        <v>104</v>
      </c>
      <c r="X1386" t="s">
        <v>106</v>
      </c>
      <c r="Y1386">
        <v>3.35879988344848</v>
      </c>
      <c r="Z1386">
        <v>3358.7998834484802</v>
      </c>
      <c r="AA1386">
        <v>4.71035</v>
      </c>
      <c r="AB1386">
        <v>-74.030416666666696</v>
      </c>
      <c r="AC1386">
        <v>2570</v>
      </c>
      <c r="AD1386">
        <v>10</v>
      </c>
      <c r="AE1386" t="s">
        <v>80</v>
      </c>
      <c r="AF1386" t="s">
        <v>107</v>
      </c>
      <c r="AG1386" t="s">
        <v>82</v>
      </c>
      <c r="AH1386" t="s">
        <v>83</v>
      </c>
      <c r="AI1386" t="s">
        <v>121</v>
      </c>
      <c r="AJ1386">
        <v>0.64371974327405002</v>
      </c>
      <c r="AK1386">
        <v>3.7261988008491702</v>
      </c>
      <c r="AL1386">
        <v>1.22433873805603</v>
      </c>
      <c r="AM1386">
        <v>0.13979593211390201</v>
      </c>
      <c r="AN1386">
        <v>4.0306361298799001</v>
      </c>
      <c r="AO1386">
        <v>7.6909055449124006E-2</v>
      </c>
      <c r="AP1386">
        <v>7.6909055449124006E-2</v>
      </c>
      <c r="AQ1386">
        <v>0</v>
      </c>
      <c r="AR1386">
        <v>2</v>
      </c>
      <c r="AS1386">
        <v>0</v>
      </c>
      <c r="AT1386">
        <v>0</v>
      </c>
      <c r="AU1386">
        <v>0</v>
      </c>
      <c r="AV1386">
        <v>74</v>
      </c>
      <c r="AW1386">
        <v>0</v>
      </c>
      <c r="AX1386">
        <v>0</v>
      </c>
      <c r="AY1386">
        <v>15.5</v>
      </c>
      <c r="AZ1386">
        <v>2.4</v>
      </c>
      <c r="BA1386">
        <v>10.9</v>
      </c>
      <c r="BB1386">
        <v>564</v>
      </c>
      <c r="BC1386">
        <v>68</v>
      </c>
      <c r="BD1386">
        <v>1.5</v>
      </c>
      <c r="BE1386">
        <v>135</v>
      </c>
      <c r="BF1386">
        <v>0</v>
      </c>
      <c r="BG1386">
        <v>162</v>
      </c>
      <c r="BH1386">
        <v>9.1</v>
      </c>
      <c r="BI1386">
        <v>9.1999999999999993</v>
      </c>
      <c r="BJ1386">
        <v>18.3</v>
      </c>
      <c r="BK1386">
        <v>0.34</v>
      </c>
      <c r="BL1386">
        <v>7.3</v>
      </c>
      <c r="BM1386">
        <v>0.9</v>
      </c>
      <c r="BN1386">
        <v>7.5</v>
      </c>
      <c r="BO1386">
        <v>2.9</v>
      </c>
      <c r="BP1386">
        <f t="shared" si="42"/>
        <v>2.0323812662071599</v>
      </c>
      <c r="BQ1386">
        <f t="shared" si="43"/>
        <v>10.055820207812848</v>
      </c>
    </row>
    <row r="1387" spans="1:69" hidden="1" x14ac:dyDescent="0.2">
      <c r="A1387" t="s">
        <v>747</v>
      </c>
      <c r="B1387" t="s">
        <v>68</v>
      </c>
      <c r="C1387" t="s">
        <v>69</v>
      </c>
      <c r="D1387" t="s">
        <v>70</v>
      </c>
      <c r="E1387" t="s">
        <v>748</v>
      </c>
      <c r="F1387">
        <v>6</v>
      </c>
      <c r="G1387">
        <v>390</v>
      </c>
      <c r="H1387">
        <v>3</v>
      </c>
      <c r="I1387">
        <v>3</v>
      </c>
      <c r="J1387">
        <v>3</v>
      </c>
      <c r="K1387" t="s">
        <v>110</v>
      </c>
      <c r="L1387" t="s">
        <v>124</v>
      </c>
      <c r="M1387" s="4">
        <v>2500000000</v>
      </c>
      <c r="N1387">
        <v>0</v>
      </c>
      <c r="O1387">
        <v>4.6927950000000003</v>
      </c>
      <c r="P1387">
        <v>-74.041478100000006</v>
      </c>
      <c r="Q1387" t="s">
        <v>749</v>
      </c>
      <c r="R1387">
        <v>6410256.4100000001</v>
      </c>
      <c r="S1387">
        <v>0</v>
      </c>
      <c r="T1387" t="s">
        <v>104</v>
      </c>
      <c r="U1387" t="s">
        <v>105</v>
      </c>
      <c r="V1387" t="s">
        <v>77</v>
      </c>
      <c r="W1387" t="s">
        <v>104</v>
      </c>
      <c r="X1387" t="s">
        <v>106</v>
      </c>
      <c r="Y1387">
        <v>2.3075950456274801</v>
      </c>
      <c r="Z1387">
        <v>2307.59504562748</v>
      </c>
      <c r="AA1387">
        <v>4.71035</v>
      </c>
      <c r="AB1387">
        <v>-74.030416666666696</v>
      </c>
      <c r="AC1387">
        <v>2570</v>
      </c>
      <c r="AD1387">
        <v>10</v>
      </c>
      <c r="AE1387" t="s">
        <v>80</v>
      </c>
      <c r="AF1387" t="s">
        <v>107</v>
      </c>
      <c r="AG1387" t="s">
        <v>82</v>
      </c>
      <c r="AH1387" t="s">
        <v>83</v>
      </c>
      <c r="AI1387" t="s">
        <v>108</v>
      </c>
      <c r="AJ1387">
        <v>1.63052768434225</v>
      </c>
      <c r="AK1387">
        <v>1.64393272308927</v>
      </c>
      <c r="AL1387">
        <v>0.92996307121532296</v>
      </c>
      <c r="AM1387">
        <v>0.26725121734341201</v>
      </c>
      <c r="AN1387">
        <v>4.9448330507736999</v>
      </c>
      <c r="AO1387">
        <v>0.36375982159352699</v>
      </c>
      <c r="AP1387">
        <v>0.36375982159352699</v>
      </c>
      <c r="AQ1387">
        <v>0</v>
      </c>
      <c r="AR1387">
        <v>0</v>
      </c>
      <c r="AS1387">
        <v>0</v>
      </c>
      <c r="AT1387">
        <v>0</v>
      </c>
      <c r="AU1387">
        <v>1</v>
      </c>
      <c r="AV1387">
        <v>107</v>
      </c>
      <c r="AW1387">
        <v>0</v>
      </c>
      <c r="AX1387">
        <v>0</v>
      </c>
      <c r="AY1387">
        <v>15.5</v>
      </c>
      <c r="AZ1387">
        <v>2.4</v>
      </c>
      <c r="BA1387">
        <v>10.9</v>
      </c>
      <c r="BB1387">
        <v>564</v>
      </c>
      <c r="BC1387">
        <v>68</v>
      </c>
      <c r="BD1387">
        <v>1.5</v>
      </c>
      <c r="BE1387">
        <v>135</v>
      </c>
      <c r="BF1387">
        <v>0</v>
      </c>
      <c r="BG1387">
        <v>162</v>
      </c>
      <c r="BH1387">
        <v>9.1</v>
      </c>
      <c r="BI1387">
        <v>9.1999999999999993</v>
      </c>
      <c r="BJ1387">
        <v>18.3</v>
      </c>
      <c r="BK1387">
        <v>0.34</v>
      </c>
      <c r="BL1387">
        <v>7.3</v>
      </c>
      <c r="BM1387">
        <v>0.9</v>
      </c>
      <c r="BN1387">
        <v>7.5</v>
      </c>
      <c r="BO1387">
        <v>2.9</v>
      </c>
      <c r="BP1387">
        <f t="shared" si="42"/>
        <v>2.140935284944943</v>
      </c>
      <c r="BQ1387">
        <f t="shared" si="43"/>
        <v>10.31274499160221</v>
      </c>
    </row>
    <row r="1388" spans="1:69" hidden="1" x14ac:dyDescent="0.2">
      <c r="A1388" t="s">
        <v>3032</v>
      </c>
      <c r="B1388" t="s">
        <v>68</v>
      </c>
      <c r="C1388" t="s">
        <v>1956</v>
      </c>
      <c r="D1388" t="s">
        <v>70</v>
      </c>
      <c r="E1388" t="s">
        <v>562</v>
      </c>
      <c r="F1388">
        <v>6</v>
      </c>
      <c r="G1388">
        <v>390</v>
      </c>
      <c r="H1388">
        <v>3</v>
      </c>
      <c r="I1388">
        <v>3</v>
      </c>
      <c r="J1388">
        <v>4</v>
      </c>
      <c r="K1388" t="s">
        <v>110</v>
      </c>
      <c r="L1388" t="s">
        <v>162</v>
      </c>
      <c r="M1388" s="4">
        <v>3300000000</v>
      </c>
      <c r="N1388">
        <v>0</v>
      </c>
      <c r="O1388">
        <v>4.69285</v>
      </c>
      <c r="P1388">
        <v>-74.031090000000006</v>
      </c>
      <c r="Q1388" t="s">
        <v>3033</v>
      </c>
      <c r="R1388">
        <v>8461538.4619999994</v>
      </c>
      <c r="S1388">
        <v>0</v>
      </c>
      <c r="T1388" t="s">
        <v>104</v>
      </c>
      <c r="U1388" t="s">
        <v>105</v>
      </c>
      <c r="V1388" t="s">
        <v>77</v>
      </c>
      <c r="W1388" t="s">
        <v>104</v>
      </c>
      <c r="X1388" t="s">
        <v>106</v>
      </c>
      <c r="Y1388">
        <v>1.94952286851906</v>
      </c>
      <c r="Z1388">
        <v>1949.52286851906</v>
      </c>
      <c r="AA1388">
        <v>4.71035</v>
      </c>
      <c r="AB1388">
        <v>-74.030416666666696</v>
      </c>
      <c r="AC1388">
        <v>2570</v>
      </c>
      <c r="AD1388">
        <v>10</v>
      </c>
      <c r="AE1388" t="s">
        <v>80</v>
      </c>
      <c r="AF1388" t="s">
        <v>107</v>
      </c>
      <c r="AG1388" t="s">
        <v>82</v>
      </c>
      <c r="AH1388" t="s">
        <v>83</v>
      </c>
      <c r="AI1388" t="s">
        <v>108</v>
      </c>
      <c r="AJ1388">
        <v>2.7479228231239898</v>
      </c>
      <c r="AK1388">
        <v>0.51026647176749795</v>
      </c>
      <c r="AL1388">
        <v>0.234485381402879</v>
      </c>
      <c r="AM1388">
        <v>7.6741301944738494E-2</v>
      </c>
      <c r="AN1388">
        <v>5.4021481819572399</v>
      </c>
      <c r="AO1388">
        <v>0.51327163188087699</v>
      </c>
      <c r="AP1388">
        <v>0.51327163188087699</v>
      </c>
      <c r="AQ1388">
        <v>0</v>
      </c>
      <c r="AR1388">
        <v>0</v>
      </c>
      <c r="AS1388">
        <v>0</v>
      </c>
      <c r="AT1388">
        <v>20</v>
      </c>
      <c r="AU1388">
        <v>2</v>
      </c>
      <c r="AV1388">
        <v>109</v>
      </c>
      <c r="AW1388">
        <v>0</v>
      </c>
      <c r="AX1388">
        <v>0</v>
      </c>
      <c r="AY1388">
        <v>15.5</v>
      </c>
      <c r="AZ1388">
        <v>2.4</v>
      </c>
      <c r="BA1388">
        <v>10.9</v>
      </c>
      <c r="BB1388">
        <v>564</v>
      </c>
      <c r="BC1388">
        <v>68</v>
      </c>
      <c r="BD1388">
        <v>1.5</v>
      </c>
      <c r="BE1388">
        <v>135</v>
      </c>
      <c r="BF1388">
        <v>0</v>
      </c>
      <c r="BG1388">
        <v>162</v>
      </c>
      <c r="BH1388">
        <v>9.1</v>
      </c>
      <c r="BI1388">
        <v>9.1999999999999993</v>
      </c>
      <c r="BJ1388">
        <v>18.3</v>
      </c>
      <c r="BK1388">
        <v>0.34</v>
      </c>
      <c r="BL1388">
        <v>7.3</v>
      </c>
      <c r="BM1388">
        <v>0.9</v>
      </c>
      <c r="BN1388">
        <v>7.5</v>
      </c>
      <c r="BO1388">
        <v>2.9</v>
      </c>
      <c r="BP1388">
        <f t="shared" si="42"/>
        <v>2.1792207425723542</v>
      </c>
      <c r="BQ1388">
        <f t="shared" si="43"/>
        <v>10.401751863663236</v>
      </c>
    </row>
    <row r="1389" spans="1:69" hidden="1" x14ac:dyDescent="0.2">
      <c r="A1389" t="s">
        <v>2545</v>
      </c>
      <c r="B1389" t="s">
        <v>68</v>
      </c>
      <c r="C1389" t="s">
        <v>1956</v>
      </c>
      <c r="D1389" t="s">
        <v>70</v>
      </c>
      <c r="E1389" t="s">
        <v>1545</v>
      </c>
      <c r="F1389">
        <v>5</v>
      </c>
      <c r="G1389">
        <v>378.5</v>
      </c>
      <c r="H1389">
        <v>4</v>
      </c>
      <c r="I1389">
        <v>3</v>
      </c>
      <c r="J1389">
        <v>3</v>
      </c>
      <c r="K1389" t="s">
        <v>110</v>
      </c>
      <c r="L1389" t="s">
        <v>162</v>
      </c>
      <c r="M1389" s="4">
        <v>3100000000</v>
      </c>
      <c r="N1389">
        <v>0</v>
      </c>
      <c r="O1389">
        <v>4.70953</v>
      </c>
      <c r="P1389">
        <v>-74.026409999999998</v>
      </c>
      <c r="Q1389" t="s">
        <v>2546</v>
      </c>
      <c r="R1389">
        <v>8190224.5710000005</v>
      </c>
      <c r="S1389">
        <v>0</v>
      </c>
      <c r="T1389" t="s">
        <v>104</v>
      </c>
      <c r="U1389" t="s">
        <v>105</v>
      </c>
      <c r="V1389" t="s">
        <v>77</v>
      </c>
      <c r="W1389" t="s">
        <v>104</v>
      </c>
      <c r="X1389" t="s">
        <v>106</v>
      </c>
      <c r="Y1389">
        <v>0.453789659251146</v>
      </c>
      <c r="Z1389">
        <v>453.78965925114602</v>
      </c>
      <c r="AA1389">
        <v>4.71035</v>
      </c>
      <c r="AB1389">
        <v>-74.030416666666696</v>
      </c>
      <c r="AC1389">
        <v>2570</v>
      </c>
      <c r="AD1389">
        <v>10</v>
      </c>
      <c r="AE1389" t="s">
        <v>80</v>
      </c>
      <c r="AF1389" t="s">
        <v>107</v>
      </c>
      <c r="AG1389" t="s">
        <v>82</v>
      </c>
      <c r="AH1389" t="s">
        <v>83</v>
      </c>
      <c r="AI1389" t="s">
        <v>108</v>
      </c>
      <c r="AJ1389">
        <v>2.9519741749371802</v>
      </c>
      <c r="AK1389">
        <v>0.15202734664571799</v>
      </c>
      <c r="AL1389">
        <v>0.71868777391808403</v>
      </c>
      <c r="AM1389">
        <v>0.420718937119337</v>
      </c>
      <c r="AN1389">
        <v>3.5373486185783398</v>
      </c>
      <c r="AO1389">
        <v>0.45981818850020501</v>
      </c>
      <c r="AP1389">
        <v>0.45981818850020501</v>
      </c>
      <c r="AQ1389">
        <v>0</v>
      </c>
      <c r="AR1389">
        <v>0</v>
      </c>
      <c r="AS1389">
        <v>12</v>
      </c>
      <c r="AT1389">
        <v>43</v>
      </c>
      <c r="AU1389">
        <v>1</v>
      </c>
      <c r="AV1389">
        <v>83</v>
      </c>
      <c r="AW1389">
        <v>0</v>
      </c>
      <c r="AX1389">
        <v>0</v>
      </c>
      <c r="AY1389">
        <v>15.5</v>
      </c>
      <c r="AZ1389">
        <v>2.4</v>
      </c>
      <c r="BA1389">
        <v>10.9</v>
      </c>
      <c r="BB1389">
        <v>564</v>
      </c>
      <c r="BC1389">
        <v>68</v>
      </c>
      <c r="BD1389">
        <v>1.5</v>
      </c>
      <c r="BE1389">
        <v>135</v>
      </c>
      <c r="BF1389">
        <v>0</v>
      </c>
      <c r="BG1389">
        <v>162</v>
      </c>
      <c r="BH1389">
        <v>9.1</v>
      </c>
      <c r="BI1389">
        <v>9.1999999999999993</v>
      </c>
      <c r="BJ1389">
        <v>18.3</v>
      </c>
      <c r="BK1389">
        <v>0.34</v>
      </c>
      <c r="BL1389">
        <v>7.3</v>
      </c>
      <c r="BM1389">
        <v>0.9</v>
      </c>
      <c r="BN1389">
        <v>7.5</v>
      </c>
      <c r="BO1389">
        <v>2.9</v>
      </c>
      <c r="BP1389">
        <f t="shared" si="42"/>
        <v>2.3466907617045849</v>
      </c>
      <c r="BQ1389">
        <f t="shared" si="43"/>
        <v>10.781932724665792</v>
      </c>
    </row>
    <row r="1390" spans="1:69" hidden="1" x14ac:dyDescent="0.2">
      <c r="A1390" t="s">
        <v>1663</v>
      </c>
      <c r="B1390" t="s">
        <v>68</v>
      </c>
      <c r="C1390" t="s">
        <v>69</v>
      </c>
      <c r="D1390" t="s">
        <v>70</v>
      </c>
      <c r="E1390" t="s">
        <v>235</v>
      </c>
      <c r="F1390">
        <v>6</v>
      </c>
      <c r="G1390">
        <v>375</v>
      </c>
      <c r="H1390">
        <v>3</v>
      </c>
      <c r="I1390">
        <v>4</v>
      </c>
      <c r="J1390">
        <v>4</v>
      </c>
      <c r="K1390" t="s">
        <v>110</v>
      </c>
      <c r="L1390" t="s">
        <v>162</v>
      </c>
      <c r="M1390" s="4">
        <v>3300000000</v>
      </c>
      <c r="N1390">
        <v>0</v>
      </c>
      <c r="O1390">
        <v>4.7081081640000004</v>
      </c>
      <c r="P1390">
        <v>-74.042424589999996</v>
      </c>
      <c r="Q1390" t="s">
        <v>1664</v>
      </c>
      <c r="R1390">
        <v>8800000</v>
      </c>
      <c r="S1390">
        <v>0</v>
      </c>
      <c r="T1390" t="s">
        <v>104</v>
      </c>
      <c r="U1390" t="s">
        <v>105</v>
      </c>
      <c r="V1390" t="s">
        <v>77</v>
      </c>
      <c r="W1390" t="s">
        <v>104</v>
      </c>
      <c r="X1390" t="s">
        <v>106</v>
      </c>
      <c r="Y1390">
        <v>1.35537673481406</v>
      </c>
      <c r="Z1390">
        <v>1355.37673481406</v>
      </c>
      <c r="AA1390">
        <v>4.71035</v>
      </c>
      <c r="AB1390">
        <v>-74.030416666666696</v>
      </c>
      <c r="AC1390">
        <v>2570</v>
      </c>
      <c r="AD1390">
        <v>10</v>
      </c>
      <c r="AE1390" t="s">
        <v>80</v>
      </c>
      <c r="AF1390" t="s">
        <v>107</v>
      </c>
      <c r="AG1390" t="s">
        <v>82</v>
      </c>
      <c r="AH1390" t="s">
        <v>83</v>
      </c>
      <c r="AI1390" t="s">
        <v>108</v>
      </c>
      <c r="AJ1390">
        <v>1.3306238892107001</v>
      </c>
      <c r="AK1390">
        <v>1.9277606398419</v>
      </c>
      <c r="AL1390">
        <v>1.10841090979541</v>
      </c>
      <c r="AM1390">
        <v>0.12443888441414799</v>
      </c>
      <c r="AN1390">
        <v>4.0835140842235704</v>
      </c>
      <c r="AO1390">
        <v>7.18328413785672E-2</v>
      </c>
      <c r="AP1390">
        <v>7.18328413785672E-2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93</v>
      </c>
      <c r="AW1390">
        <v>0</v>
      </c>
      <c r="AX1390">
        <v>0</v>
      </c>
      <c r="AY1390">
        <v>15.5</v>
      </c>
      <c r="AZ1390">
        <v>2.4</v>
      </c>
      <c r="BA1390">
        <v>10.9</v>
      </c>
      <c r="BB1390">
        <v>564</v>
      </c>
      <c r="BC1390">
        <v>68</v>
      </c>
      <c r="BD1390">
        <v>1.5</v>
      </c>
      <c r="BE1390">
        <v>135</v>
      </c>
      <c r="BF1390">
        <v>0</v>
      </c>
      <c r="BG1390">
        <v>162</v>
      </c>
      <c r="BH1390">
        <v>9.1</v>
      </c>
      <c r="BI1390">
        <v>9.1999999999999993</v>
      </c>
      <c r="BJ1390">
        <v>18.3</v>
      </c>
      <c r="BK1390">
        <v>0.34</v>
      </c>
      <c r="BL1390">
        <v>7.3</v>
      </c>
      <c r="BM1390">
        <v>0.9</v>
      </c>
      <c r="BN1390">
        <v>7.5</v>
      </c>
      <c r="BO1390">
        <v>2.9</v>
      </c>
      <c r="BP1390">
        <f t="shared" si="42"/>
        <v>2.2442639128803732</v>
      </c>
      <c r="BQ1390">
        <f t="shared" si="43"/>
        <v>10.551138276399362</v>
      </c>
    </row>
    <row r="1391" spans="1:69" hidden="1" x14ac:dyDescent="0.2">
      <c r="A1391" t="s">
        <v>2916</v>
      </c>
      <c r="B1391" t="s">
        <v>68</v>
      </c>
      <c r="C1391" t="s">
        <v>1956</v>
      </c>
      <c r="D1391" t="s">
        <v>70</v>
      </c>
      <c r="E1391" t="s">
        <v>2220</v>
      </c>
      <c r="F1391">
        <v>5</v>
      </c>
      <c r="G1391">
        <v>372.49</v>
      </c>
      <c r="H1391">
        <v>4</v>
      </c>
      <c r="I1391">
        <v>4</v>
      </c>
      <c r="J1391">
        <v>3</v>
      </c>
      <c r="K1391" t="s">
        <v>110</v>
      </c>
      <c r="L1391" t="s">
        <v>162</v>
      </c>
      <c r="M1391" s="4">
        <v>1400000000</v>
      </c>
      <c r="N1391">
        <v>0</v>
      </c>
      <c r="O1391">
        <v>4.6978299999999997</v>
      </c>
      <c r="P1391">
        <v>-74.061179999999993</v>
      </c>
      <c r="Q1391" t="s">
        <v>2917</v>
      </c>
      <c r="R1391">
        <v>3758490.1609999998</v>
      </c>
      <c r="S1391">
        <v>0</v>
      </c>
      <c r="T1391" t="s">
        <v>104</v>
      </c>
      <c r="U1391" t="s">
        <v>105</v>
      </c>
      <c r="V1391" t="s">
        <v>77</v>
      </c>
      <c r="W1391" t="s">
        <v>104</v>
      </c>
      <c r="X1391" t="s">
        <v>106</v>
      </c>
      <c r="Y1391">
        <v>3.6866220468240001</v>
      </c>
      <c r="Z1391">
        <v>3686.6220468239999</v>
      </c>
      <c r="AA1391">
        <v>4.71035</v>
      </c>
      <c r="AB1391">
        <v>-74.030416666666696</v>
      </c>
      <c r="AC1391">
        <v>2570</v>
      </c>
      <c r="AD1391">
        <v>10</v>
      </c>
      <c r="AE1391" t="s">
        <v>80</v>
      </c>
      <c r="AF1391" t="s">
        <v>107</v>
      </c>
      <c r="AG1391" t="s">
        <v>82</v>
      </c>
      <c r="AH1391" t="s">
        <v>83</v>
      </c>
      <c r="AI1391" t="s">
        <v>121</v>
      </c>
      <c r="AJ1391">
        <v>0.65181399695584596</v>
      </c>
      <c r="AK1391">
        <v>3.4850418988901901</v>
      </c>
      <c r="AL1391">
        <v>0.934791707460354</v>
      </c>
      <c r="AM1391">
        <v>0.179450834914478</v>
      </c>
      <c r="AN1391">
        <v>3.5077139040603198</v>
      </c>
      <c r="AO1391">
        <v>8.6887825938218893E-2</v>
      </c>
      <c r="AP1391">
        <v>8.6887825938218893E-2</v>
      </c>
      <c r="AQ1391">
        <v>0</v>
      </c>
      <c r="AR1391">
        <v>4</v>
      </c>
      <c r="AS1391">
        <v>0</v>
      </c>
      <c r="AT1391">
        <v>0</v>
      </c>
      <c r="AU1391">
        <v>1</v>
      </c>
      <c r="AV1391">
        <v>92</v>
      </c>
      <c r="AW1391">
        <v>0</v>
      </c>
      <c r="AX1391">
        <v>0</v>
      </c>
      <c r="AY1391">
        <v>15.5</v>
      </c>
      <c r="AZ1391">
        <v>2.4</v>
      </c>
      <c r="BA1391">
        <v>10.9</v>
      </c>
      <c r="BB1391">
        <v>564</v>
      </c>
      <c r="BC1391">
        <v>68</v>
      </c>
      <c r="BD1391">
        <v>1.5</v>
      </c>
      <c r="BE1391">
        <v>135</v>
      </c>
      <c r="BF1391">
        <v>0</v>
      </c>
      <c r="BG1391">
        <v>162</v>
      </c>
      <c r="BH1391">
        <v>9.1</v>
      </c>
      <c r="BI1391">
        <v>9.1999999999999993</v>
      </c>
      <c r="BJ1391">
        <v>18.3</v>
      </c>
      <c r="BK1391">
        <v>0.34</v>
      </c>
      <c r="BL1391">
        <v>7.3</v>
      </c>
      <c r="BM1391">
        <v>0.9</v>
      </c>
      <c r="BN1391">
        <v>7.5</v>
      </c>
      <c r="BO1391">
        <v>2.9</v>
      </c>
      <c r="BP1391">
        <f t="shared" si="42"/>
        <v>1.9996675585847188</v>
      </c>
      <c r="BQ1391">
        <f t="shared" si="43"/>
        <v>9.9770141292373857</v>
      </c>
    </row>
    <row r="1392" spans="1:69" hidden="1" x14ac:dyDescent="0.2">
      <c r="A1392" t="s">
        <v>908</v>
      </c>
      <c r="B1392" t="s">
        <v>68</v>
      </c>
      <c r="C1392" t="s">
        <v>69</v>
      </c>
      <c r="D1392" t="s">
        <v>70</v>
      </c>
      <c r="E1392" t="s">
        <v>370</v>
      </c>
      <c r="F1392">
        <v>6</v>
      </c>
      <c r="G1392">
        <v>370</v>
      </c>
      <c r="H1392">
        <v>3</v>
      </c>
      <c r="I1392">
        <v>4</v>
      </c>
      <c r="J1392">
        <v>3</v>
      </c>
      <c r="K1392" t="s">
        <v>110</v>
      </c>
      <c r="L1392" t="s">
        <v>124</v>
      </c>
      <c r="M1392" s="4">
        <v>2190000000</v>
      </c>
      <c r="N1392">
        <v>0</v>
      </c>
      <c r="O1392">
        <v>4.7247762680000003</v>
      </c>
      <c r="P1392">
        <v>-74.02218628</v>
      </c>
      <c r="Q1392" t="s">
        <v>909</v>
      </c>
      <c r="R1392">
        <v>5918918.9189999998</v>
      </c>
      <c r="S1392">
        <v>0</v>
      </c>
      <c r="T1392" t="s">
        <v>104</v>
      </c>
      <c r="U1392" t="s">
        <v>105</v>
      </c>
      <c r="V1392" t="s">
        <v>77</v>
      </c>
      <c r="W1392" t="s">
        <v>104</v>
      </c>
      <c r="X1392" t="s">
        <v>106</v>
      </c>
      <c r="Y1392">
        <v>1.84736121803794</v>
      </c>
      <c r="Z1392">
        <v>1847.36121803794</v>
      </c>
      <c r="AA1392">
        <v>4.71035</v>
      </c>
      <c r="AB1392">
        <v>-74.030416666666696</v>
      </c>
      <c r="AC1392">
        <v>2570</v>
      </c>
      <c r="AD1392">
        <v>10</v>
      </c>
      <c r="AE1392" t="s">
        <v>80</v>
      </c>
      <c r="AF1392" t="s">
        <v>107</v>
      </c>
      <c r="AG1392" t="s">
        <v>82</v>
      </c>
      <c r="AH1392" t="s">
        <v>83</v>
      </c>
      <c r="AI1392" t="s">
        <v>108</v>
      </c>
      <c r="AJ1392">
        <v>3.1365101705787399</v>
      </c>
      <c r="AK1392">
        <v>0.13870276792929001</v>
      </c>
      <c r="AL1392">
        <v>1.94544147221575</v>
      </c>
      <c r="AM1392">
        <v>0.40696922580357098</v>
      </c>
      <c r="AN1392">
        <v>1.9196283738826101</v>
      </c>
      <c r="AO1392">
        <v>0.758519023597099</v>
      </c>
      <c r="AP1392">
        <v>0.758519023597099</v>
      </c>
      <c r="AQ1392">
        <v>0</v>
      </c>
      <c r="AR1392">
        <v>0</v>
      </c>
      <c r="AS1392">
        <v>16</v>
      </c>
      <c r="AT1392">
        <v>40</v>
      </c>
      <c r="AU1392">
        <v>0</v>
      </c>
      <c r="AV1392">
        <v>6</v>
      </c>
      <c r="AW1392">
        <v>0</v>
      </c>
      <c r="AX1392">
        <v>0</v>
      </c>
      <c r="AY1392">
        <v>15.5</v>
      </c>
      <c r="AZ1392">
        <v>2.4</v>
      </c>
      <c r="BA1392">
        <v>10.9</v>
      </c>
      <c r="BB1392">
        <v>564</v>
      </c>
      <c r="BC1392">
        <v>68</v>
      </c>
      <c r="BD1392">
        <v>1.5</v>
      </c>
      <c r="BE1392">
        <v>135</v>
      </c>
      <c r="BF1392">
        <v>0</v>
      </c>
      <c r="BG1392">
        <v>162</v>
      </c>
      <c r="BH1392">
        <v>9.1</v>
      </c>
      <c r="BI1392">
        <v>9.1999999999999993</v>
      </c>
      <c r="BJ1392">
        <v>18.3</v>
      </c>
      <c r="BK1392">
        <v>0.34</v>
      </c>
      <c r="BL1392">
        <v>7.3</v>
      </c>
      <c r="BM1392">
        <v>0.9</v>
      </c>
      <c r="BN1392">
        <v>7.5</v>
      </c>
      <c r="BO1392">
        <v>2.9</v>
      </c>
      <c r="BP1392">
        <f t="shared" si="42"/>
        <v>2.1902689774960811</v>
      </c>
      <c r="BQ1392">
        <f t="shared" si="43"/>
        <v>10.427286998728151</v>
      </c>
    </row>
    <row r="1393" spans="1:69" hidden="1" x14ac:dyDescent="0.2">
      <c r="A1393" t="s">
        <v>559</v>
      </c>
      <c r="B1393" t="s">
        <v>68</v>
      </c>
      <c r="C1393" t="s">
        <v>69</v>
      </c>
      <c r="D1393" t="s">
        <v>70</v>
      </c>
      <c r="E1393" t="s">
        <v>560</v>
      </c>
      <c r="F1393">
        <v>5</v>
      </c>
      <c r="G1393">
        <v>367.13</v>
      </c>
      <c r="H1393">
        <v>3</v>
      </c>
      <c r="I1393">
        <v>5</v>
      </c>
      <c r="J1393">
        <v>4</v>
      </c>
      <c r="K1393" t="s">
        <v>110</v>
      </c>
      <c r="L1393" t="s">
        <v>124</v>
      </c>
      <c r="M1393" s="4">
        <v>2300000000</v>
      </c>
      <c r="N1393">
        <v>0</v>
      </c>
      <c r="O1393">
        <v>4.7136849999999999</v>
      </c>
      <c r="P1393">
        <v>-74.031560999999996</v>
      </c>
      <c r="Q1393" t="s">
        <v>561</v>
      </c>
      <c r="R1393">
        <v>6264810.8300000001</v>
      </c>
      <c r="S1393">
        <v>0</v>
      </c>
      <c r="T1393" t="s">
        <v>104</v>
      </c>
      <c r="U1393" t="s">
        <v>105</v>
      </c>
      <c r="V1393" t="s">
        <v>77</v>
      </c>
      <c r="W1393" t="s">
        <v>104</v>
      </c>
      <c r="X1393" t="s">
        <v>106</v>
      </c>
      <c r="Y1393">
        <v>0.39235796952728103</v>
      </c>
      <c r="Z1393">
        <v>392.357969527281</v>
      </c>
      <c r="AA1393">
        <v>4.71035</v>
      </c>
      <c r="AB1393">
        <v>-74.030416666666696</v>
      </c>
      <c r="AC1393">
        <v>2570</v>
      </c>
      <c r="AD1393">
        <v>10</v>
      </c>
      <c r="AE1393" t="s">
        <v>80</v>
      </c>
      <c r="AF1393" t="s">
        <v>107</v>
      </c>
      <c r="AG1393" t="s">
        <v>82</v>
      </c>
      <c r="AH1393" t="s">
        <v>83</v>
      </c>
      <c r="AI1393" t="s">
        <v>108</v>
      </c>
      <c r="AJ1393">
        <v>2.3300749421995302</v>
      </c>
      <c r="AK1393">
        <v>0.77173511149160601</v>
      </c>
      <c r="AL1393">
        <v>0.35216852575492802</v>
      </c>
      <c r="AM1393">
        <v>0.11413378332904001</v>
      </c>
      <c r="AN1393">
        <v>3.12421532485808</v>
      </c>
      <c r="AO1393">
        <v>0.36998193743465102</v>
      </c>
      <c r="AP1393">
        <v>0.36998193743465102</v>
      </c>
      <c r="AQ1393">
        <v>0</v>
      </c>
      <c r="AR1393">
        <v>0</v>
      </c>
      <c r="AS1393">
        <v>0</v>
      </c>
      <c r="AT1393">
        <v>17</v>
      </c>
      <c r="AU1393">
        <v>1</v>
      </c>
      <c r="AV1393">
        <v>79</v>
      </c>
      <c r="AW1393">
        <v>0</v>
      </c>
      <c r="AX1393">
        <v>0</v>
      </c>
      <c r="AY1393">
        <v>15.5</v>
      </c>
      <c r="AZ1393">
        <v>2.4</v>
      </c>
      <c r="BA1393">
        <v>10.9</v>
      </c>
      <c r="BB1393">
        <v>564</v>
      </c>
      <c r="BC1393">
        <v>68</v>
      </c>
      <c r="BD1393">
        <v>1.5</v>
      </c>
      <c r="BE1393">
        <v>135</v>
      </c>
      <c r="BF1393">
        <v>0</v>
      </c>
      <c r="BG1393">
        <v>162</v>
      </c>
      <c r="BH1393">
        <v>9.1</v>
      </c>
      <c r="BI1393">
        <v>9.1999999999999993</v>
      </c>
      <c r="BJ1393">
        <v>18.3</v>
      </c>
      <c r="BK1393">
        <v>0.34</v>
      </c>
      <c r="BL1393">
        <v>7.3</v>
      </c>
      <c r="BM1393">
        <v>0.9</v>
      </c>
      <c r="BN1393">
        <v>7.5</v>
      </c>
      <c r="BO1393">
        <v>2.9</v>
      </c>
      <c r="BP1393">
        <f t="shared" si="42"/>
        <v>2.3538376008451034</v>
      </c>
      <c r="BQ1393">
        <f t="shared" si="43"/>
        <v>10.797840905279459</v>
      </c>
    </row>
    <row r="1394" spans="1:69" hidden="1" x14ac:dyDescent="0.2">
      <c r="A1394" t="s">
        <v>2155</v>
      </c>
      <c r="B1394" t="s">
        <v>68</v>
      </c>
      <c r="C1394" t="s">
        <v>1956</v>
      </c>
      <c r="D1394" t="s">
        <v>70</v>
      </c>
      <c r="E1394" t="s">
        <v>1677</v>
      </c>
      <c r="F1394">
        <v>6</v>
      </c>
      <c r="G1394">
        <v>365</v>
      </c>
      <c r="H1394">
        <v>3</v>
      </c>
      <c r="I1394">
        <v>5</v>
      </c>
      <c r="J1394">
        <v>4</v>
      </c>
      <c r="K1394" t="s">
        <v>110</v>
      </c>
      <c r="L1394" t="s">
        <v>162</v>
      </c>
      <c r="M1394" s="4">
        <v>3000000000</v>
      </c>
      <c r="N1394">
        <v>0</v>
      </c>
      <c r="O1394">
        <v>4.7099690000000001</v>
      </c>
      <c r="P1394">
        <v>-74.026144000000002</v>
      </c>
      <c r="Q1394" t="s">
        <v>2156</v>
      </c>
      <c r="R1394">
        <v>8219178.0820000004</v>
      </c>
      <c r="S1394">
        <v>0</v>
      </c>
      <c r="T1394" t="s">
        <v>104</v>
      </c>
      <c r="U1394" t="s">
        <v>105</v>
      </c>
      <c r="V1394" t="s">
        <v>77</v>
      </c>
      <c r="W1394" t="s">
        <v>104</v>
      </c>
      <c r="X1394" t="s">
        <v>106</v>
      </c>
      <c r="Y1394">
        <v>0.475918424657856</v>
      </c>
      <c r="Z1394">
        <v>475.91842465785601</v>
      </c>
      <c r="AA1394">
        <v>4.71035</v>
      </c>
      <c r="AB1394">
        <v>-74.030416666666696</v>
      </c>
      <c r="AC1394">
        <v>2570</v>
      </c>
      <c r="AD1394">
        <v>10</v>
      </c>
      <c r="AE1394" t="s">
        <v>80</v>
      </c>
      <c r="AF1394" t="s">
        <v>107</v>
      </c>
      <c r="AG1394" t="s">
        <v>82</v>
      </c>
      <c r="AH1394" t="s">
        <v>83</v>
      </c>
      <c r="AI1394" t="s">
        <v>108</v>
      </c>
      <c r="AJ1394">
        <v>2.9722821155758101</v>
      </c>
      <c r="AK1394">
        <v>0.139002227816199</v>
      </c>
      <c r="AL1394">
        <v>0.74053545996980696</v>
      </c>
      <c r="AM1394">
        <v>0.43113931334412597</v>
      </c>
      <c r="AN1394">
        <v>3.4892630817999</v>
      </c>
      <c r="AO1394">
        <v>0.51042977128700096</v>
      </c>
      <c r="AP1394">
        <v>0.51042977128700096</v>
      </c>
      <c r="AQ1394">
        <v>0</v>
      </c>
      <c r="AR1394">
        <v>0</v>
      </c>
      <c r="AS1394">
        <v>13</v>
      </c>
      <c r="AT1394">
        <v>46</v>
      </c>
      <c r="AU1394">
        <v>1</v>
      </c>
      <c r="AV1394">
        <v>82</v>
      </c>
      <c r="AW1394">
        <v>0</v>
      </c>
      <c r="AX1394">
        <v>0</v>
      </c>
      <c r="AY1394">
        <v>15.5</v>
      </c>
      <c r="AZ1394">
        <v>2.4</v>
      </c>
      <c r="BA1394">
        <v>10.9</v>
      </c>
      <c r="BB1394">
        <v>564</v>
      </c>
      <c r="BC1394">
        <v>68</v>
      </c>
      <c r="BD1394">
        <v>1.5</v>
      </c>
      <c r="BE1394">
        <v>135</v>
      </c>
      <c r="BF1394">
        <v>0</v>
      </c>
      <c r="BG1394">
        <v>162</v>
      </c>
      <c r="BH1394">
        <v>9.1</v>
      </c>
      <c r="BI1394">
        <v>9.1999999999999993</v>
      </c>
      <c r="BJ1394">
        <v>18.3</v>
      </c>
      <c r="BK1394">
        <v>0.34</v>
      </c>
      <c r="BL1394">
        <v>7.3</v>
      </c>
      <c r="BM1394">
        <v>0.9</v>
      </c>
      <c r="BN1394">
        <v>7.5</v>
      </c>
      <c r="BO1394">
        <v>2.9</v>
      </c>
      <c r="BP1394">
        <f t="shared" si="42"/>
        <v>2.3441216652393337</v>
      </c>
      <c r="BQ1394">
        <f t="shared" si="43"/>
        <v>10.776208064318856</v>
      </c>
    </row>
    <row r="1395" spans="1:69" hidden="1" x14ac:dyDescent="0.2">
      <c r="A1395" t="s">
        <v>2737</v>
      </c>
      <c r="B1395" t="s">
        <v>68</v>
      </c>
      <c r="C1395" t="s">
        <v>1956</v>
      </c>
      <c r="D1395" t="s">
        <v>70</v>
      </c>
      <c r="E1395" t="s">
        <v>2220</v>
      </c>
      <c r="F1395">
        <v>5</v>
      </c>
      <c r="G1395">
        <v>363.5</v>
      </c>
      <c r="H1395">
        <v>4</v>
      </c>
      <c r="I1395">
        <v>4</v>
      </c>
      <c r="J1395">
        <v>3</v>
      </c>
      <c r="K1395" t="s">
        <v>110</v>
      </c>
      <c r="L1395" t="s">
        <v>162</v>
      </c>
      <c r="M1395" s="4">
        <v>1588942000</v>
      </c>
      <c r="N1395">
        <v>0</v>
      </c>
      <c r="O1395">
        <v>4.7021899999999999</v>
      </c>
      <c r="P1395">
        <v>-74.062830000000005</v>
      </c>
      <c r="Q1395" t="s">
        <v>2738</v>
      </c>
      <c r="R1395">
        <v>4371229.7110000001</v>
      </c>
      <c r="S1395">
        <v>0</v>
      </c>
      <c r="T1395" t="s">
        <v>104</v>
      </c>
      <c r="U1395" t="s">
        <v>105</v>
      </c>
      <c r="V1395" t="s">
        <v>77</v>
      </c>
      <c r="W1395" t="s">
        <v>104</v>
      </c>
      <c r="X1395" t="s">
        <v>106</v>
      </c>
      <c r="Y1395">
        <v>3.70902307321925</v>
      </c>
      <c r="Z1395">
        <v>3709.0230732192499</v>
      </c>
      <c r="AA1395">
        <v>4.71035</v>
      </c>
      <c r="AB1395">
        <v>-74.030416666666696</v>
      </c>
      <c r="AC1395">
        <v>2570</v>
      </c>
      <c r="AD1395">
        <v>10</v>
      </c>
      <c r="AE1395" t="s">
        <v>80</v>
      </c>
      <c r="AF1395" t="s">
        <v>107</v>
      </c>
      <c r="AG1395" t="s">
        <v>82</v>
      </c>
      <c r="AH1395" t="s">
        <v>83</v>
      </c>
      <c r="AI1395" t="s">
        <v>121</v>
      </c>
      <c r="AJ1395">
        <v>0.84321301255413506</v>
      </c>
      <c r="AK1395">
        <v>3.9365036561198798</v>
      </c>
      <c r="AL1395">
        <v>0.89331357687416602</v>
      </c>
      <c r="AM1395">
        <v>0.43929340028331398</v>
      </c>
      <c r="AN1395">
        <v>3.7800047144632898</v>
      </c>
      <c r="AO1395">
        <v>0.18560547652840101</v>
      </c>
      <c r="AP1395">
        <v>0.18560547652840101</v>
      </c>
      <c r="AQ1395">
        <v>0</v>
      </c>
      <c r="AR1395">
        <v>3</v>
      </c>
      <c r="AS1395">
        <v>0</v>
      </c>
      <c r="AT1395">
        <v>0</v>
      </c>
      <c r="AU1395">
        <v>1</v>
      </c>
      <c r="AV1395">
        <v>37</v>
      </c>
      <c r="AW1395">
        <v>0</v>
      </c>
      <c r="AX1395">
        <v>0</v>
      </c>
      <c r="AY1395">
        <v>15.5</v>
      </c>
      <c r="AZ1395">
        <v>2.4</v>
      </c>
      <c r="BA1395">
        <v>10.9</v>
      </c>
      <c r="BB1395">
        <v>564</v>
      </c>
      <c r="BC1395">
        <v>68</v>
      </c>
      <c r="BD1395">
        <v>1.5</v>
      </c>
      <c r="BE1395">
        <v>135</v>
      </c>
      <c r="BF1395">
        <v>0</v>
      </c>
      <c r="BG1395">
        <v>162</v>
      </c>
      <c r="BH1395">
        <v>9.1</v>
      </c>
      <c r="BI1395">
        <v>9.1999999999999993</v>
      </c>
      <c r="BJ1395">
        <v>18.3</v>
      </c>
      <c r="BK1395">
        <v>0.34</v>
      </c>
      <c r="BL1395">
        <v>7.3</v>
      </c>
      <c r="BM1395">
        <v>0.9</v>
      </c>
      <c r="BN1395">
        <v>7.5</v>
      </c>
      <c r="BO1395">
        <v>2.9</v>
      </c>
      <c r="BP1395">
        <f t="shared" si="42"/>
        <v>1.997451454490994</v>
      </c>
      <c r="BQ1395">
        <f t="shared" si="43"/>
        <v>9.9716516822938193</v>
      </c>
    </row>
    <row r="1396" spans="1:69" hidden="1" x14ac:dyDescent="0.2">
      <c r="A1396" t="s">
        <v>2779</v>
      </c>
      <c r="B1396" t="s">
        <v>68</v>
      </c>
      <c r="C1396" t="s">
        <v>1956</v>
      </c>
      <c r="D1396" t="s">
        <v>70</v>
      </c>
      <c r="E1396" t="s">
        <v>1184</v>
      </c>
      <c r="F1396">
        <v>6</v>
      </c>
      <c r="G1396">
        <v>360</v>
      </c>
      <c r="H1396">
        <v>4</v>
      </c>
      <c r="I1396">
        <v>5</v>
      </c>
      <c r="J1396">
        <v>4</v>
      </c>
      <c r="K1396" t="s">
        <v>110</v>
      </c>
      <c r="L1396" t="s">
        <v>124</v>
      </c>
      <c r="M1396" s="4">
        <v>1800000000</v>
      </c>
      <c r="N1396">
        <v>0</v>
      </c>
      <c r="O1396">
        <v>4.7240000000000002</v>
      </c>
      <c r="P1396">
        <v>-74.022999999999996</v>
      </c>
      <c r="Q1396" t="s">
        <v>2780</v>
      </c>
      <c r="R1396">
        <v>5000000</v>
      </c>
      <c r="S1396">
        <v>0</v>
      </c>
      <c r="T1396" t="s">
        <v>104</v>
      </c>
      <c r="U1396" t="s">
        <v>105</v>
      </c>
      <c r="V1396" t="s">
        <v>77</v>
      </c>
      <c r="W1396" t="s">
        <v>104</v>
      </c>
      <c r="X1396" t="s">
        <v>106</v>
      </c>
      <c r="Y1396">
        <v>1.7279906012375199</v>
      </c>
      <c r="Z1396">
        <v>1727.99060123752</v>
      </c>
      <c r="AA1396">
        <v>4.71035</v>
      </c>
      <c r="AB1396">
        <v>-74.030416666666696</v>
      </c>
      <c r="AC1396">
        <v>2570</v>
      </c>
      <c r="AD1396">
        <v>10</v>
      </c>
      <c r="AE1396" t="s">
        <v>80</v>
      </c>
      <c r="AF1396" t="s">
        <v>107</v>
      </c>
      <c r="AG1396" t="s">
        <v>82</v>
      </c>
      <c r="AH1396" t="s">
        <v>83</v>
      </c>
      <c r="AI1396" t="s">
        <v>108</v>
      </c>
      <c r="AJ1396">
        <v>3.0656007304394302</v>
      </c>
      <c r="AK1396">
        <v>0.204706350117006</v>
      </c>
      <c r="AL1396">
        <v>1.8226984255713199</v>
      </c>
      <c r="AM1396">
        <v>0.41458475451016302</v>
      </c>
      <c r="AN1396">
        <v>1.98175049896203</v>
      </c>
      <c r="AO1396">
        <v>0.634197398489455</v>
      </c>
      <c r="AP1396">
        <v>0.634197398489455</v>
      </c>
      <c r="AQ1396">
        <v>0</v>
      </c>
      <c r="AR1396">
        <v>0</v>
      </c>
      <c r="AS1396">
        <v>18</v>
      </c>
      <c r="AT1396">
        <v>44</v>
      </c>
      <c r="AU1396">
        <v>0</v>
      </c>
      <c r="AV1396">
        <v>5</v>
      </c>
      <c r="AW1396">
        <v>0</v>
      </c>
      <c r="AX1396">
        <v>0</v>
      </c>
      <c r="AY1396">
        <v>15.5</v>
      </c>
      <c r="AZ1396">
        <v>2.4</v>
      </c>
      <c r="BA1396">
        <v>10.9</v>
      </c>
      <c r="BB1396">
        <v>564</v>
      </c>
      <c r="BC1396">
        <v>68</v>
      </c>
      <c r="BD1396">
        <v>1.5</v>
      </c>
      <c r="BE1396">
        <v>135</v>
      </c>
      <c r="BF1396">
        <v>0</v>
      </c>
      <c r="BG1396">
        <v>162</v>
      </c>
      <c r="BH1396">
        <v>9.1</v>
      </c>
      <c r="BI1396">
        <v>9.1999999999999993</v>
      </c>
      <c r="BJ1396">
        <v>18.3</v>
      </c>
      <c r="BK1396">
        <v>0.34</v>
      </c>
      <c r="BL1396">
        <v>7.3</v>
      </c>
      <c r="BM1396">
        <v>0.9</v>
      </c>
      <c r="BN1396">
        <v>7.5</v>
      </c>
      <c r="BO1396">
        <v>2.9</v>
      </c>
      <c r="BP1396">
        <f t="shared" si="42"/>
        <v>2.2032492500028331</v>
      </c>
      <c r="BQ1396">
        <f t="shared" si="43"/>
        <v>10.457202911572468</v>
      </c>
    </row>
    <row r="1397" spans="1:69" hidden="1" x14ac:dyDescent="0.2">
      <c r="A1397" t="s">
        <v>2912</v>
      </c>
      <c r="B1397" t="s">
        <v>68</v>
      </c>
      <c r="C1397" t="s">
        <v>1956</v>
      </c>
      <c r="D1397" t="s">
        <v>70</v>
      </c>
      <c r="E1397" t="s">
        <v>1677</v>
      </c>
      <c r="F1397">
        <v>6</v>
      </c>
      <c r="G1397">
        <v>360</v>
      </c>
      <c r="H1397">
        <v>4</v>
      </c>
      <c r="I1397">
        <v>5</v>
      </c>
      <c r="J1397">
        <v>3</v>
      </c>
      <c r="K1397" t="s">
        <v>110</v>
      </c>
      <c r="L1397" t="s">
        <v>162</v>
      </c>
      <c r="M1397" s="4">
        <v>2150000000</v>
      </c>
      <c r="N1397">
        <v>0</v>
      </c>
      <c r="O1397">
        <v>4.7114399999999996</v>
      </c>
      <c r="P1397">
        <v>-74.026679999999999</v>
      </c>
      <c r="Q1397" t="s">
        <v>2913</v>
      </c>
      <c r="R1397">
        <v>5972222.2220000001</v>
      </c>
      <c r="S1397">
        <v>0</v>
      </c>
      <c r="T1397" t="s">
        <v>104</v>
      </c>
      <c r="U1397" t="s">
        <v>105</v>
      </c>
      <c r="V1397" t="s">
        <v>77</v>
      </c>
      <c r="W1397" t="s">
        <v>104</v>
      </c>
      <c r="X1397" t="s">
        <v>106</v>
      </c>
      <c r="Y1397">
        <v>0.431951173445834</v>
      </c>
      <c r="Z1397">
        <v>431.951173445834</v>
      </c>
      <c r="AA1397">
        <v>4.71035</v>
      </c>
      <c r="AB1397">
        <v>-74.030416666666696</v>
      </c>
      <c r="AC1397">
        <v>2570</v>
      </c>
      <c r="AD1397">
        <v>10</v>
      </c>
      <c r="AE1397" t="s">
        <v>80</v>
      </c>
      <c r="AF1397" t="s">
        <v>107</v>
      </c>
      <c r="AG1397" t="s">
        <v>82</v>
      </c>
      <c r="AH1397" t="s">
        <v>83</v>
      </c>
      <c r="AI1397" t="s">
        <v>108</v>
      </c>
      <c r="AJ1397">
        <v>2.8898799935576802</v>
      </c>
      <c r="AK1397">
        <v>0.24739248206677</v>
      </c>
      <c r="AL1397">
        <v>0.68055624204423304</v>
      </c>
      <c r="AM1397">
        <v>0.35479457679882698</v>
      </c>
      <c r="AN1397">
        <v>3.3260974883791801</v>
      </c>
      <c r="AO1397">
        <v>0.60297364134613796</v>
      </c>
      <c r="AP1397">
        <v>0.60297364134613796</v>
      </c>
      <c r="AQ1397">
        <v>0</v>
      </c>
      <c r="AR1397">
        <v>0</v>
      </c>
      <c r="AS1397">
        <v>16</v>
      </c>
      <c r="AT1397">
        <v>45</v>
      </c>
      <c r="AU1397">
        <v>1</v>
      </c>
      <c r="AV1397">
        <v>82</v>
      </c>
      <c r="AW1397">
        <v>0</v>
      </c>
      <c r="AX1397">
        <v>0</v>
      </c>
      <c r="AY1397">
        <v>15.5</v>
      </c>
      <c r="AZ1397">
        <v>2.4</v>
      </c>
      <c r="BA1397">
        <v>10.9</v>
      </c>
      <c r="BB1397">
        <v>564</v>
      </c>
      <c r="BC1397">
        <v>68</v>
      </c>
      <c r="BD1397">
        <v>1.5</v>
      </c>
      <c r="BE1397">
        <v>135</v>
      </c>
      <c r="BF1397">
        <v>0</v>
      </c>
      <c r="BG1397">
        <v>162</v>
      </c>
      <c r="BH1397">
        <v>9.1</v>
      </c>
      <c r="BI1397">
        <v>9.1999999999999993</v>
      </c>
      <c r="BJ1397">
        <v>18.3</v>
      </c>
      <c r="BK1397">
        <v>0.34</v>
      </c>
      <c r="BL1397">
        <v>7.3</v>
      </c>
      <c r="BM1397">
        <v>0.9</v>
      </c>
      <c r="BN1397">
        <v>7.5</v>
      </c>
      <c r="BO1397">
        <v>2.9</v>
      </c>
      <c r="BP1397">
        <f t="shared" si="42"/>
        <v>2.3492289178952457</v>
      </c>
      <c r="BQ1397">
        <f t="shared" si="43"/>
        <v>10.787585271887535</v>
      </c>
    </row>
    <row r="1398" spans="1:69" hidden="1" x14ac:dyDescent="0.2">
      <c r="A1398" t="s">
        <v>2588</v>
      </c>
      <c r="B1398" t="s">
        <v>68</v>
      </c>
      <c r="C1398" t="s">
        <v>1956</v>
      </c>
      <c r="D1398" t="s">
        <v>70</v>
      </c>
      <c r="E1398" t="s">
        <v>1142</v>
      </c>
      <c r="F1398">
        <v>5</v>
      </c>
      <c r="G1398">
        <v>358</v>
      </c>
      <c r="H1398">
        <v>5</v>
      </c>
      <c r="I1398">
        <v>3</v>
      </c>
      <c r="J1398">
        <v>3</v>
      </c>
      <c r="K1398" t="s">
        <v>110</v>
      </c>
      <c r="L1398" t="s">
        <v>162</v>
      </c>
      <c r="M1398" s="4">
        <v>1950000000</v>
      </c>
      <c r="N1398">
        <v>0</v>
      </c>
      <c r="O1398">
        <v>4.7050299640000004</v>
      </c>
      <c r="P1398">
        <v>-74.055130000000005</v>
      </c>
      <c r="Q1398" t="s">
        <v>2589</v>
      </c>
      <c r="R1398">
        <v>5446927.3739999998</v>
      </c>
      <c r="S1398">
        <v>0</v>
      </c>
      <c r="T1398" t="s">
        <v>104</v>
      </c>
      <c r="U1398" t="s">
        <v>105</v>
      </c>
      <c r="V1398" t="s">
        <v>77</v>
      </c>
      <c r="W1398" t="s">
        <v>104</v>
      </c>
      <c r="X1398" t="s">
        <v>106</v>
      </c>
      <c r="Y1398">
        <v>2.80502522799561</v>
      </c>
      <c r="Z1398">
        <v>2805.0252279956098</v>
      </c>
      <c r="AA1398">
        <v>4.71035</v>
      </c>
      <c r="AB1398">
        <v>-74.030416666666696</v>
      </c>
      <c r="AC1398">
        <v>2570</v>
      </c>
      <c r="AD1398">
        <v>10</v>
      </c>
      <c r="AE1398" t="s">
        <v>80</v>
      </c>
      <c r="AF1398" t="s">
        <v>107</v>
      </c>
      <c r="AG1398" t="s">
        <v>82</v>
      </c>
      <c r="AH1398" t="s">
        <v>83</v>
      </c>
      <c r="AI1398" t="s">
        <v>121</v>
      </c>
      <c r="AJ1398">
        <v>0.109205749089758</v>
      </c>
      <c r="AK1398">
        <v>3.29184028412203</v>
      </c>
      <c r="AL1398">
        <v>1.4230071149390899</v>
      </c>
      <c r="AM1398">
        <v>4.5443514017731799E-2</v>
      </c>
      <c r="AN1398">
        <v>4.5483745738141002</v>
      </c>
      <c r="AO1398">
        <v>0.22155961695382001</v>
      </c>
      <c r="AP1398">
        <v>0.22155961695382001</v>
      </c>
      <c r="AQ1398">
        <v>1</v>
      </c>
      <c r="AR1398">
        <v>2</v>
      </c>
      <c r="AS1398">
        <v>0</v>
      </c>
      <c r="AT1398">
        <v>0</v>
      </c>
      <c r="AU1398">
        <v>0</v>
      </c>
      <c r="AV1398">
        <v>127</v>
      </c>
      <c r="AW1398">
        <v>0</v>
      </c>
      <c r="AX1398">
        <v>0</v>
      </c>
      <c r="AY1398">
        <v>15.5</v>
      </c>
      <c r="AZ1398">
        <v>2.4</v>
      </c>
      <c r="BA1398">
        <v>10.9</v>
      </c>
      <c r="BB1398">
        <v>564</v>
      </c>
      <c r="BC1398">
        <v>68</v>
      </c>
      <c r="BD1398">
        <v>1.5</v>
      </c>
      <c r="BE1398">
        <v>135</v>
      </c>
      <c r="BF1398">
        <v>0</v>
      </c>
      <c r="BG1398">
        <v>162</v>
      </c>
      <c r="BH1398">
        <v>9.1</v>
      </c>
      <c r="BI1398">
        <v>9.1999999999999993</v>
      </c>
      <c r="BJ1398">
        <v>18.3</v>
      </c>
      <c r="BK1398">
        <v>0.34</v>
      </c>
      <c r="BL1398">
        <v>7.3</v>
      </c>
      <c r="BM1398">
        <v>0.9</v>
      </c>
      <c r="BN1398">
        <v>7.5</v>
      </c>
      <c r="BO1398">
        <v>2.9</v>
      </c>
      <c r="BP1398">
        <f t="shared" si="42"/>
        <v>2.0888631875010635</v>
      </c>
      <c r="BQ1398">
        <f t="shared" si="43"/>
        <v>10.190360085588178</v>
      </c>
    </row>
    <row r="1399" spans="1:69" hidden="1" x14ac:dyDescent="0.2">
      <c r="A1399" t="s">
        <v>269</v>
      </c>
      <c r="B1399" t="s">
        <v>68</v>
      </c>
      <c r="C1399" t="s">
        <v>69</v>
      </c>
      <c r="D1399" t="s">
        <v>70</v>
      </c>
      <c r="E1399" t="s">
        <v>270</v>
      </c>
      <c r="F1399">
        <v>6</v>
      </c>
      <c r="G1399">
        <v>354</v>
      </c>
      <c r="H1399">
        <v>3</v>
      </c>
      <c r="I1399">
        <v>5</v>
      </c>
      <c r="J1399">
        <v>4</v>
      </c>
      <c r="K1399" t="s">
        <v>110</v>
      </c>
      <c r="L1399" t="s">
        <v>162</v>
      </c>
      <c r="M1399" s="4">
        <v>3690000000</v>
      </c>
      <c r="N1399">
        <v>0</v>
      </c>
      <c r="O1399">
        <v>4.6916637420000002</v>
      </c>
      <c r="P1399">
        <v>-74.028251650000001</v>
      </c>
      <c r="Q1399" t="s">
        <v>271</v>
      </c>
      <c r="R1399">
        <v>10423728.810000001</v>
      </c>
      <c r="S1399">
        <v>0</v>
      </c>
      <c r="T1399" t="s">
        <v>104</v>
      </c>
      <c r="U1399" t="s">
        <v>105</v>
      </c>
      <c r="V1399" t="s">
        <v>77</v>
      </c>
      <c r="W1399" t="s">
        <v>104</v>
      </c>
      <c r="X1399" t="s">
        <v>106</v>
      </c>
      <c r="Y1399">
        <v>2.09396682281962</v>
      </c>
      <c r="Z1399">
        <v>2093.9668228196201</v>
      </c>
      <c r="AA1399">
        <v>4.71035</v>
      </c>
      <c r="AB1399">
        <v>-74.030416666666696</v>
      </c>
      <c r="AC1399">
        <v>2570</v>
      </c>
      <c r="AD1399">
        <v>10</v>
      </c>
      <c r="AE1399" t="s">
        <v>80</v>
      </c>
      <c r="AF1399" t="s">
        <v>107</v>
      </c>
      <c r="AG1399" t="s">
        <v>82</v>
      </c>
      <c r="AH1399" t="s">
        <v>83</v>
      </c>
      <c r="AI1399" t="s">
        <v>108</v>
      </c>
      <c r="AJ1399">
        <v>3.08389656397505</v>
      </c>
      <c r="AK1399">
        <v>0.17251351816677099</v>
      </c>
      <c r="AL1399">
        <v>0.34839425484366998</v>
      </c>
      <c r="AM1399">
        <v>0.38030952448176703</v>
      </c>
      <c r="AN1399">
        <v>5.5141627876281003</v>
      </c>
      <c r="AO1399">
        <v>0.815692329272798</v>
      </c>
      <c r="AP1399">
        <v>0.815692329272798</v>
      </c>
      <c r="AQ1399">
        <v>0</v>
      </c>
      <c r="AR1399">
        <v>0</v>
      </c>
      <c r="AS1399">
        <v>3</v>
      </c>
      <c r="AT1399">
        <v>31</v>
      </c>
      <c r="AU1399">
        <v>1</v>
      </c>
      <c r="AV1399">
        <v>97</v>
      </c>
      <c r="AW1399">
        <v>0</v>
      </c>
      <c r="AX1399">
        <v>0</v>
      </c>
      <c r="AY1399">
        <v>15.5</v>
      </c>
      <c r="AZ1399">
        <v>2.4</v>
      </c>
      <c r="BA1399">
        <v>10.9</v>
      </c>
      <c r="BB1399">
        <v>564</v>
      </c>
      <c r="BC1399">
        <v>68</v>
      </c>
      <c r="BD1399">
        <v>1.5</v>
      </c>
      <c r="BE1399">
        <v>135</v>
      </c>
      <c r="BF1399">
        <v>0</v>
      </c>
      <c r="BG1399">
        <v>162</v>
      </c>
      <c r="BH1399">
        <v>9.1</v>
      </c>
      <c r="BI1399">
        <v>9.1999999999999993</v>
      </c>
      <c r="BJ1399">
        <v>18.3</v>
      </c>
      <c r="BK1399">
        <v>0.34</v>
      </c>
      <c r="BL1399">
        <v>7.3</v>
      </c>
      <c r="BM1399">
        <v>0.9</v>
      </c>
      <c r="BN1399">
        <v>7.5</v>
      </c>
      <c r="BO1399">
        <v>2.9</v>
      </c>
      <c r="BP1399">
        <f t="shared" si="42"/>
        <v>2.163694937841707</v>
      </c>
      <c r="BQ1399">
        <f t="shared" si="43"/>
        <v>10.365755009947705</v>
      </c>
    </row>
    <row r="1400" spans="1:69" hidden="1" x14ac:dyDescent="0.2">
      <c r="A1400" t="s">
        <v>2219</v>
      </c>
      <c r="B1400" t="s">
        <v>68</v>
      </c>
      <c r="C1400" t="s">
        <v>1956</v>
      </c>
      <c r="D1400" t="s">
        <v>70</v>
      </c>
      <c r="E1400" t="s">
        <v>2220</v>
      </c>
      <c r="F1400">
        <v>5</v>
      </c>
      <c r="G1400">
        <v>350</v>
      </c>
      <c r="H1400">
        <v>3</v>
      </c>
      <c r="I1400">
        <v>5</v>
      </c>
      <c r="J1400">
        <v>4</v>
      </c>
      <c r="K1400" t="s">
        <v>110</v>
      </c>
      <c r="L1400" t="s">
        <v>162</v>
      </c>
      <c r="M1400" s="4">
        <v>1580000000</v>
      </c>
      <c r="N1400">
        <v>0</v>
      </c>
      <c r="O1400">
        <v>4.7032679999999996</v>
      </c>
      <c r="P1400">
        <v>-74.062642999999994</v>
      </c>
      <c r="Q1400" t="s">
        <v>2221</v>
      </c>
      <c r="R1400">
        <v>4514285.7139999997</v>
      </c>
      <c r="S1400">
        <v>0</v>
      </c>
      <c r="T1400" t="s">
        <v>104</v>
      </c>
      <c r="U1400" t="s">
        <v>105</v>
      </c>
      <c r="V1400" t="s">
        <v>77</v>
      </c>
      <c r="W1400" t="s">
        <v>104</v>
      </c>
      <c r="X1400" t="s">
        <v>106</v>
      </c>
      <c r="Y1400">
        <v>3.66120727613235</v>
      </c>
      <c r="Z1400">
        <v>3661.2072761323502</v>
      </c>
      <c r="AA1400">
        <v>4.71035</v>
      </c>
      <c r="AB1400">
        <v>-74.030416666666696</v>
      </c>
      <c r="AC1400">
        <v>2570</v>
      </c>
      <c r="AD1400">
        <v>10</v>
      </c>
      <c r="AE1400" t="s">
        <v>80</v>
      </c>
      <c r="AF1400" t="s">
        <v>107</v>
      </c>
      <c r="AG1400" t="s">
        <v>82</v>
      </c>
      <c r="AH1400" t="s">
        <v>83</v>
      </c>
      <c r="AI1400" t="s">
        <v>121</v>
      </c>
      <c r="AJ1400">
        <v>0.91407170454232101</v>
      </c>
      <c r="AK1400">
        <v>4.0016751889873499</v>
      </c>
      <c r="AL1400">
        <v>0.97916087326158796</v>
      </c>
      <c r="AM1400">
        <v>0.45694486408866197</v>
      </c>
      <c r="AN1400">
        <v>3.8907313475849401</v>
      </c>
      <c r="AO1400">
        <v>0.118472689652751</v>
      </c>
      <c r="AP1400">
        <v>0.118472689652751</v>
      </c>
      <c r="AQ1400">
        <v>0</v>
      </c>
      <c r="AR1400">
        <v>3</v>
      </c>
      <c r="AS1400">
        <v>0</v>
      </c>
      <c r="AT1400">
        <v>0</v>
      </c>
      <c r="AU1400">
        <v>1</v>
      </c>
      <c r="AV1400">
        <v>34</v>
      </c>
      <c r="AW1400">
        <v>0</v>
      </c>
      <c r="AX1400">
        <v>0</v>
      </c>
      <c r="AY1400">
        <v>15.5</v>
      </c>
      <c r="AZ1400">
        <v>2.4</v>
      </c>
      <c r="BA1400">
        <v>10.9</v>
      </c>
      <c r="BB1400">
        <v>564</v>
      </c>
      <c r="BC1400">
        <v>68</v>
      </c>
      <c r="BD1400">
        <v>1.5</v>
      </c>
      <c r="BE1400">
        <v>135</v>
      </c>
      <c r="BF1400">
        <v>0</v>
      </c>
      <c r="BG1400">
        <v>162</v>
      </c>
      <c r="BH1400">
        <v>9.1</v>
      </c>
      <c r="BI1400">
        <v>9.1999999999999993</v>
      </c>
      <c r="BJ1400">
        <v>18.3</v>
      </c>
      <c r="BK1400">
        <v>0.34</v>
      </c>
      <c r="BL1400">
        <v>7.3</v>
      </c>
      <c r="BM1400">
        <v>0.9</v>
      </c>
      <c r="BN1400">
        <v>7.5</v>
      </c>
      <c r="BO1400">
        <v>2.9</v>
      </c>
      <c r="BP1400">
        <f t="shared" si="42"/>
        <v>2.0021847857046104</v>
      </c>
      <c r="BQ1400">
        <f t="shared" si="43"/>
        <v>9.9831015101921121</v>
      </c>
    </row>
    <row r="1401" spans="1:69" hidden="1" x14ac:dyDescent="0.2">
      <c r="A1401" t="s">
        <v>2445</v>
      </c>
      <c r="B1401" t="s">
        <v>68</v>
      </c>
      <c r="C1401" t="s">
        <v>1956</v>
      </c>
      <c r="D1401" t="s">
        <v>70</v>
      </c>
      <c r="E1401" t="s">
        <v>344</v>
      </c>
      <c r="F1401">
        <v>5</v>
      </c>
      <c r="G1401">
        <v>350</v>
      </c>
      <c r="H1401">
        <v>3</v>
      </c>
      <c r="I1401">
        <v>5</v>
      </c>
      <c r="J1401">
        <v>4</v>
      </c>
      <c r="K1401" t="s">
        <v>110</v>
      </c>
      <c r="L1401" t="s">
        <v>162</v>
      </c>
      <c r="M1401" s="4">
        <v>1900000000</v>
      </c>
      <c r="N1401">
        <v>0</v>
      </c>
      <c r="O1401">
        <v>4.6987692890000003</v>
      </c>
      <c r="P1401">
        <v>-74.058200549999995</v>
      </c>
      <c r="Q1401" t="s">
        <v>2446</v>
      </c>
      <c r="R1401">
        <v>5428571.4289999995</v>
      </c>
      <c r="S1401">
        <v>0</v>
      </c>
      <c r="T1401" t="s">
        <v>104</v>
      </c>
      <c r="U1401" t="s">
        <v>105</v>
      </c>
      <c r="V1401" t="s">
        <v>77</v>
      </c>
      <c r="W1401" t="s">
        <v>104</v>
      </c>
      <c r="X1401" t="s">
        <v>106</v>
      </c>
      <c r="Y1401">
        <v>3.3411877637136702</v>
      </c>
      <c r="Z1401">
        <v>3341.1877637136699</v>
      </c>
      <c r="AA1401">
        <v>4.71035</v>
      </c>
      <c r="AB1401">
        <v>-74.030416666666696</v>
      </c>
      <c r="AC1401">
        <v>2570</v>
      </c>
      <c r="AD1401">
        <v>10</v>
      </c>
      <c r="AE1401" t="s">
        <v>80</v>
      </c>
      <c r="AF1401" t="s">
        <v>107</v>
      </c>
      <c r="AG1401" t="s">
        <v>82</v>
      </c>
      <c r="AH1401" t="s">
        <v>83</v>
      </c>
      <c r="AI1401" t="s">
        <v>121</v>
      </c>
      <c r="AJ1401">
        <v>0.32839692276740001</v>
      </c>
      <c r="AK1401">
        <v>3.3023639027527398</v>
      </c>
      <c r="AL1401">
        <v>1.1060595891073499</v>
      </c>
      <c r="AM1401">
        <v>3.4958729130208401E-2</v>
      </c>
      <c r="AN1401">
        <v>3.8065966178419299</v>
      </c>
      <c r="AO1401">
        <v>0.16017537931545001</v>
      </c>
      <c r="AP1401">
        <v>0.16017537931545001</v>
      </c>
      <c r="AQ1401">
        <v>1</v>
      </c>
      <c r="AR1401">
        <v>3</v>
      </c>
      <c r="AS1401">
        <v>0</v>
      </c>
      <c r="AT1401">
        <v>0</v>
      </c>
      <c r="AU1401">
        <v>0</v>
      </c>
      <c r="AV1401">
        <v>113</v>
      </c>
      <c r="AW1401">
        <v>0</v>
      </c>
      <c r="AX1401">
        <v>0</v>
      </c>
      <c r="AY1401">
        <v>15.5</v>
      </c>
      <c r="AZ1401">
        <v>2.4</v>
      </c>
      <c r="BA1401">
        <v>10.9</v>
      </c>
      <c r="BB1401">
        <v>564</v>
      </c>
      <c r="BC1401">
        <v>68</v>
      </c>
      <c r="BD1401">
        <v>1.5</v>
      </c>
      <c r="BE1401">
        <v>135</v>
      </c>
      <c r="BF1401">
        <v>0</v>
      </c>
      <c r="BG1401">
        <v>162</v>
      </c>
      <c r="BH1401">
        <v>9.1</v>
      </c>
      <c r="BI1401">
        <v>9.1999999999999993</v>
      </c>
      <c r="BJ1401">
        <v>18.3</v>
      </c>
      <c r="BK1401">
        <v>0.34</v>
      </c>
      <c r="BL1401">
        <v>7.3</v>
      </c>
      <c r="BM1401">
        <v>0.9</v>
      </c>
      <c r="BN1401">
        <v>7.5</v>
      </c>
      <c r="BO1401">
        <v>2.9</v>
      </c>
      <c r="BP1401">
        <f t="shared" si="42"/>
        <v>2.0341538686114706</v>
      </c>
      <c r="BQ1401">
        <f t="shared" si="43"/>
        <v>10.060071609692697</v>
      </c>
    </row>
    <row r="1402" spans="1:69" hidden="1" x14ac:dyDescent="0.2">
      <c r="A1402" t="s">
        <v>2573</v>
      </c>
      <c r="B1402" t="s">
        <v>68</v>
      </c>
      <c r="C1402" t="s">
        <v>1956</v>
      </c>
      <c r="D1402" t="s">
        <v>70</v>
      </c>
      <c r="E1402" t="s">
        <v>344</v>
      </c>
      <c r="F1402">
        <v>5</v>
      </c>
      <c r="G1402">
        <v>350</v>
      </c>
      <c r="H1402">
        <v>5</v>
      </c>
      <c r="I1402">
        <v>3</v>
      </c>
      <c r="J1402">
        <v>4</v>
      </c>
      <c r="K1402" t="s">
        <v>110</v>
      </c>
      <c r="L1402" t="s">
        <v>162</v>
      </c>
      <c r="M1402" s="4">
        <v>1700000000</v>
      </c>
      <c r="N1402">
        <v>0</v>
      </c>
      <c r="O1402">
        <v>4.7012759659999999</v>
      </c>
      <c r="P1402">
        <v>-74.056278849999998</v>
      </c>
      <c r="Q1402" t="s">
        <v>2574</v>
      </c>
      <c r="R1402">
        <v>4857142.8569999998</v>
      </c>
      <c r="S1402">
        <v>0</v>
      </c>
      <c r="T1402" t="s">
        <v>104</v>
      </c>
      <c r="U1402" t="s">
        <v>105</v>
      </c>
      <c r="V1402" t="s">
        <v>77</v>
      </c>
      <c r="W1402" t="s">
        <v>104</v>
      </c>
      <c r="X1402" t="s">
        <v>106</v>
      </c>
      <c r="Y1402">
        <v>3.0418728781829998</v>
      </c>
      <c r="Z1402">
        <v>3041.872878183</v>
      </c>
      <c r="AA1402">
        <v>4.71035</v>
      </c>
      <c r="AB1402">
        <v>-74.030416666666696</v>
      </c>
      <c r="AC1402">
        <v>2570</v>
      </c>
      <c r="AD1402">
        <v>10</v>
      </c>
      <c r="AE1402" t="s">
        <v>80</v>
      </c>
      <c r="AF1402" t="s">
        <v>107</v>
      </c>
      <c r="AG1402" t="s">
        <v>82</v>
      </c>
      <c r="AH1402" t="s">
        <v>83</v>
      </c>
      <c r="AI1402" t="s">
        <v>121</v>
      </c>
      <c r="AJ1402">
        <v>0.36425268931050903</v>
      </c>
      <c r="AK1402">
        <v>3.3479862206564799</v>
      </c>
      <c r="AL1402">
        <v>1.1341255955439</v>
      </c>
      <c r="AM1402">
        <v>4.91548054642389E-2</v>
      </c>
      <c r="AN1402">
        <v>4.1543258521982898</v>
      </c>
      <c r="AO1402">
        <v>0.20876188663443901</v>
      </c>
      <c r="AP1402">
        <v>0.20876188663443901</v>
      </c>
      <c r="AQ1402">
        <v>2</v>
      </c>
      <c r="AR1402">
        <v>3</v>
      </c>
      <c r="AS1402">
        <v>0</v>
      </c>
      <c r="AT1402">
        <v>0</v>
      </c>
      <c r="AU1402">
        <v>0</v>
      </c>
      <c r="AV1402">
        <v>144</v>
      </c>
      <c r="AW1402">
        <v>0</v>
      </c>
      <c r="AX1402">
        <v>0</v>
      </c>
      <c r="AY1402">
        <v>15.5</v>
      </c>
      <c r="AZ1402">
        <v>2.4</v>
      </c>
      <c r="BA1402">
        <v>10.9</v>
      </c>
      <c r="BB1402">
        <v>564</v>
      </c>
      <c r="BC1402">
        <v>68</v>
      </c>
      <c r="BD1402">
        <v>1.5</v>
      </c>
      <c r="BE1402">
        <v>135</v>
      </c>
      <c r="BF1402">
        <v>0</v>
      </c>
      <c r="BG1402">
        <v>162</v>
      </c>
      <c r="BH1402">
        <v>9.1</v>
      </c>
      <c r="BI1402">
        <v>9.1999999999999993</v>
      </c>
      <c r="BJ1402">
        <v>18.3</v>
      </c>
      <c r="BK1402">
        <v>0.34</v>
      </c>
      <c r="BL1402">
        <v>7.3</v>
      </c>
      <c r="BM1402">
        <v>0.9</v>
      </c>
      <c r="BN1402">
        <v>7.5</v>
      </c>
      <c r="BO1402">
        <v>2.9</v>
      </c>
      <c r="BP1402">
        <f t="shared" si="42"/>
        <v>2.06451644079345</v>
      </c>
      <c r="BQ1402">
        <f t="shared" si="43"/>
        <v>10.132598900151043</v>
      </c>
    </row>
    <row r="1403" spans="1:69" hidden="1" x14ac:dyDescent="0.2">
      <c r="A1403" t="s">
        <v>3061</v>
      </c>
      <c r="B1403" t="s">
        <v>68</v>
      </c>
      <c r="C1403" t="s">
        <v>1956</v>
      </c>
      <c r="D1403" t="s">
        <v>70</v>
      </c>
      <c r="E1403" t="s">
        <v>442</v>
      </c>
      <c r="F1403">
        <v>4</v>
      </c>
      <c r="G1403">
        <v>348</v>
      </c>
      <c r="H1403">
        <v>5</v>
      </c>
      <c r="I1403">
        <v>5</v>
      </c>
      <c r="J1403">
        <v>4</v>
      </c>
      <c r="K1403" t="s">
        <v>110</v>
      </c>
      <c r="L1403" t="s">
        <v>162</v>
      </c>
      <c r="M1403" s="4">
        <v>3400000000</v>
      </c>
      <c r="N1403">
        <v>0</v>
      </c>
      <c r="O1403">
        <v>4.7180163049999999</v>
      </c>
      <c r="P1403">
        <v>-74.042104839999993</v>
      </c>
      <c r="Q1403" t="s">
        <v>3062</v>
      </c>
      <c r="R1403">
        <v>9770114.943</v>
      </c>
      <c r="S1403">
        <v>0</v>
      </c>
      <c r="T1403" t="s">
        <v>104</v>
      </c>
      <c r="U1403" t="s">
        <v>105</v>
      </c>
      <c r="V1403" t="s">
        <v>77</v>
      </c>
      <c r="W1403" t="s">
        <v>104</v>
      </c>
      <c r="X1403" t="s">
        <v>106</v>
      </c>
      <c r="Y1403">
        <v>1.55234974093114</v>
      </c>
      <c r="Z1403">
        <v>1552.3497409311401</v>
      </c>
      <c r="AA1403">
        <v>4.71035</v>
      </c>
      <c r="AB1403">
        <v>-74.030416666666696</v>
      </c>
      <c r="AC1403">
        <v>2570</v>
      </c>
      <c r="AD1403">
        <v>10</v>
      </c>
      <c r="AE1403" t="s">
        <v>80</v>
      </c>
      <c r="AF1403" t="s">
        <v>107</v>
      </c>
      <c r="AG1403" t="s">
        <v>82</v>
      </c>
      <c r="AH1403" t="s">
        <v>83</v>
      </c>
      <c r="AI1403" t="s">
        <v>108</v>
      </c>
      <c r="AJ1403">
        <v>1.09373100984356</v>
      </c>
      <c r="AK1403">
        <v>2.0209597508958401</v>
      </c>
      <c r="AL1403">
        <v>1.3098043757989299</v>
      </c>
      <c r="AM1403">
        <v>0.13486216297137901</v>
      </c>
      <c r="AN1403">
        <v>3.1083165225111302</v>
      </c>
      <c r="AO1403">
        <v>0.37676475188237202</v>
      </c>
      <c r="AP1403">
        <v>0.37676475188237202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33</v>
      </c>
      <c r="AW1403">
        <v>0</v>
      </c>
      <c r="AX1403">
        <v>0</v>
      </c>
      <c r="AY1403">
        <v>15.5</v>
      </c>
      <c r="AZ1403">
        <v>2.4</v>
      </c>
      <c r="BA1403">
        <v>10.9</v>
      </c>
      <c r="BB1403">
        <v>564</v>
      </c>
      <c r="BC1403">
        <v>68</v>
      </c>
      <c r="BD1403">
        <v>1.5</v>
      </c>
      <c r="BE1403">
        <v>135</v>
      </c>
      <c r="BF1403">
        <v>0</v>
      </c>
      <c r="BG1403">
        <v>162</v>
      </c>
      <c r="BH1403">
        <v>9.1</v>
      </c>
      <c r="BI1403">
        <v>9.1999999999999993</v>
      </c>
      <c r="BJ1403">
        <v>18.3</v>
      </c>
      <c r="BK1403">
        <v>0.34</v>
      </c>
      <c r="BL1403">
        <v>7.3</v>
      </c>
      <c r="BM1403">
        <v>0.9</v>
      </c>
      <c r="BN1403">
        <v>7.5</v>
      </c>
      <c r="BO1403">
        <v>2.9</v>
      </c>
      <c r="BP1403">
        <f t="shared" si="42"/>
        <v>2.2224883025062998</v>
      </c>
      <c r="BQ1403">
        <f t="shared" si="43"/>
        <v>10.50137704232688</v>
      </c>
    </row>
    <row r="1404" spans="1:69" hidden="1" x14ac:dyDescent="0.2">
      <c r="A1404" t="s">
        <v>688</v>
      </c>
      <c r="B1404" t="s">
        <v>68</v>
      </c>
      <c r="C1404" t="s">
        <v>69</v>
      </c>
      <c r="D1404" t="s">
        <v>70</v>
      </c>
      <c r="E1404" t="s">
        <v>689</v>
      </c>
      <c r="F1404">
        <v>6</v>
      </c>
      <c r="G1404">
        <v>346.57</v>
      </c>
      <c r="H1404">
        <v>4</v>
      </c>
      <c r="I1404">
        <v>5</v>
      </c>
      <c r="J1404">
        <v>4</v>
      </c>
      <c r="K1404" t="s">
        <v>110</v>
      </c>
      <c r="L1404" t="s">
        <v>162</v>
      </c>
      <c r="M1404" s="4">
        <v>2950000000</v>
      </c>
      <c r="N1404">
        <v>0</v>
      </c>
      <c r="O1404">
        <v>4.7062200000000001</v>
      </c>
      <c r="P1404">
        <v>-74.036437000000006</v>
      </c>
      <c r="Q1404" t="s">
        <v>690</v>
      </c>
      <c r="R1404">
        <v>8511988.9199999999</v>
      </c>
      <c r="S1404">
        <v>0</v>
      </c>
      <c r="T1404" t="s">
        <v>104</v>
      </c>
      <c r="U1404" t="s">
        <v>105</v>
      </c>
      <c r="V1404" t="s">
        <v>77</v>
      </c>
      <c r="W1404" t="s">
        <v>104</v>
      </c>
      <c r="X1404" t="s">
        <v>106</v>
      </c>
      <c r="Y1404">
        <v>0.81085467551145596</v>
      </c>
      <c r="Z1404">
        <v>810.85467551145598</v>
      </c>
      <c r="AA1404">
        <v>4.71035</v>
      </c>
      <c r="AB1404">
        <v>-74.030416666666696</v>
      </c>
      <c r="AC1404">
        <v>2570</v>
      </c>
      <c r="AD1404">
        <v>10</v>
      </c>
      <c r="AE1404" t="s">
        <v>80</v>
      </c>
      <c r="AF1404" t="s">
        <v>107</v>
      </c>
      <c r="AG1404" t="s">
        <v>82</v>
      </c>
      <c r="AH1404" t="s">
        <v>83</v>
      </c>
      <c r="AI1404" t="s">
        <v>108</v>
      </c>
      <c r="AJ1404">
        <v>1.9800068469568499</v>
      </c>
      <c r="AK1404">
        <v>1.2817933679612501</v>
      </c>
      <c r="AL1404">
        <v>0.64361621506735101</v>
      </c>
      <c r="AM1404">
        <v>0.28727719626563802</v>
      </c>
      <c r="AN1404">
        <v>4.0485754004373904</v>
      </c>
      <c r="AO1404">
        <v>0.14996050752508699</v>
      </c>
      <c r="AP1404">
        <v>0.14996050752508699</v>
      </c>
      <c r="AQ1404">
        <v>0</v>
      </c>
      <c r="AR1404">
        <v>0</v>
      </c>
      <c r="AS1404">
        <v>0</v>
      </c>
      <c r="AT1404">
        <v>0</v>
      </c>
      <c r="AU1404">
        <v>2</v>
      </c>
      <c r="AV1404">
        <v>116</v>
      </c>
      <c r="AW1404">
        <v>0</v>
      </c>
      <c r="AX1404">
        <v>0</v>
      </c>
      <c r="AY1404">
        <v>15.5</v>
      </c>
      <c r="AZ1404">
        <v>2.4</v>
      </c>
      <c r="BA1404">
        <v>10.9</v>
      </c>
      <c r="BB1404">
        <v>564</v>
      </c>
      <c r="BC1404">
        <v>68</v>
      </c>
      <c r="BD1404">
        <v>1.5</v>
      </c>
      <c r="BE1404">
        <v>135</v>
      </c>
      <c r="BF1404">
        <v>0</v>
      </c>
      <c r="BG1404">
        <v>162</v>
      </c>
      <c r="BH1404">
        <v>9.1</v>
      </c>
      <c r="BI1404">
        <v>9.1999999999999993</v>
      </c>
      <c r="BJ1404">
        <v>18.3</v>
      </c>
      <c r="BK1404">
        <v>0.34</v>
      </c>
      <c r="BL1404">
        <v>7.3</v>
      </c>
      <c r="BM1404">
        <v>0.9</v>
      </c>
      <c r="BN1404">
        <v>7.5</v>
      </c>
      <c r="BO1404">
        <v>2.9</v>
      </c>
      <c r="BP1404">
        <f t="shared" si="42"/>
        <v>2.3055780615202459</v>
      </c>
      <c r="BQ1404">
        <f t="shared" si="43"/>
        <v>10.68993107095117</v>
      </c>
    </row>
    <row r="1405" spans="1:69" hidden="1" x14ac:dyDescent="0.2">
      <c r="A1405" t="s">
        <v>1712</v>
      </c>
      <c r="B1405" t="s">
        <v>68</v>
      </c>
      <c r="C1405" t="s">
        <v>69</v>
      </c>
      <c r="D1405" t="s">
        <v>70</v>
      </c>
      <c r="E1405" t="s">
        <v>270</v>
      </c>
      <c r="F1405">
        <v>6</v>
      </c>
      <c r="G1405">
        <v>343</v>
      </c>
      <c r="H1405">
        <v>3</v>
      </c>
      <c r="I1405">
        <v>5</v>
      </c>
      <c r="J1405">
        <v>3</v>
      </c>
      <c r="K1405" t="s">
        <v>110</v>
      </c>
      <c r="L1405" t="s">
        <v>162</v>
      </c>
      <c r="M1405" s="4">
        <v>2850000000</v>
      </c>
      <c r="N1405">
        <v>0</v>
      </c>
      <c r="O1405">
        <v>4.6974010469999996</v>
      </c>
      <c r="P1405">
        <v>-74.028007509999995</v>
      </c>
      <c r="Q1405" t="s">
        <v>1713</v>
      </c>
      <c r="R1405">
        <v>8309037.9009999996</v>
      </c>
      <c r="S1405">
        <v>0</v>
      </c>
      <c r="T1405" t="s">
        <v>104</v>
      </c>
      <c r="U1405" t="s">
        <v>105</v>
      </c>
      <c r="V1405" t="s">
        <v>77</v>
      </c>
      <c r="W1405" t="s">
        <v>104</v>
      </c>
      <c r="X1405" t="s">
        <v>106</v>
      </c>
      <c r="Y1405">
        <v>1.4660417179316001</v>
      </c>
      <c r="Z1405">
        <v>1466.0417179316</v>
      </c>
      <c r="AA1405">
        <v>4.71035</v>
      </c>
      <c r="AB1405">
        <v>-74.030416666666696</v>
      </c>
      <c r="AC1405">
        <v>2570</v>
      </c>
      <c r="AD1405">
        <v>10</v>
      </c>
      <c r="AE1405" t="s">
        <v>80</v>
      </c>
      <c r="AF1405" t="s">
        <v>107</v>
      </c>
      <c r="AG1405" t="s">
        <v>82</v>
      </c>
      <c r="AH1405" t="s">
        <v>83</v>
      </c>
      <c r="AI1405" t="s">
        <v>108</v>
      </c>
      <c r="AJ1405">
        <v>3.01499465463238</v>
      </c>
      <c r="AK1405">
        <v>0.23765733561307201</v>
      </c>
      <c r="AL1405">
        <v>0.37609905813070699</v>
      </c>
      <c r="AM1405">
        <v>0.257587999793363</v>
      </c>
      <c r="AN1405">
        <v>4.8796021734834598</v>
      </c>
      <c r="AO1405">
        <v>0.61829919085756002</v>
      </c>
      <c r="AP1405">
        <v>0.61829919085756002</v>
      </c>
      <c r="AQ1405">
        <v>0</v>
      </c>
      <c r="AR1405">
        <v>0</v>
      </c>
      <c r="AS1405">
        <v>14</v>
      </c>
      <c r="AT1405">
        <v>26</v>
      </c>
      <c r="AU1405">
        <v>2</v>
      </c>
      <c r="AV1405">
        <v>111</v>
      </c>
      <c r="AW1405">
        <v>0</v>
      </c>
      <c r="AX1405">
        <v>0</v>
      </c>
      <c r="AY1405">
        <v>15.5</v>
      </c>
      <c r="AZ1405">
        <v>2.4</v>
      </c>
      <c r="BA1405">
        <v>10.9</v>
      </c>
      <c r="BB1405">
        <v>564</v>
      </c>
      <c r="BC1405">
        <v>68</v>
      </c>
      <c r="BD1405">
        <v>1.5</v>
      </c>
      <c r="BE1405">
        <v>135</v>
      </c>
      <c r="BF1405">
        <v>0</v>
      </c>
      <c r="BG1405">
        <v>162</v>
      </c>
      <c r="BH1405">
        <v>9.1</v>
      </c>
      <c r="BI1405">
        <v>9.1999999999999993</v>
      </c>
      <c r="BJ1405">
        <v>18.3</v>
      </c>
      <c r="BK1405">
        <v>0.34</v>
      </c>
      <c r="BL1405">
        <v>7.3</v>
      </c>
      <c r="BM1405">
        <v>0.9</v>
      </c>
      <c r="BN1405">
        <v>7.5</v>
      </c>
      <c r="BO1405">
        <v>2.9</v>
      </c>
      <c r="BP1405">
        <f t="shared" si="42"/>
        <v>2.2320036332463546</v>
      </c>
      <c r="BQ1405">
        <f t="shared" si="43"/>
        <v>10.523152061037994</v>
      </c>
    </row>
    <row r="1406" spans="1:69" hidden="1" x14ac:dyDescent="0.2">
      <c r="A1406" t="s">
        <v>2934</v>
      </c>
      <c r="B1406" t="s">
        <v>68</v>
      </c>
      <c r="C1406" t="s">
        <v>1956</v>
      </c>
      <c r="D1406" t="s">
        <v>70</v>
      </c>
      <c r="E1406" t="s">
        <v>442</v>
      </c>
      <c r="F1406">
        <v>5</v>
      </c>
      <c r="G1406">
        <v>340</v>
      </c>
      <c r="H1406">
        <v>5</v>
      </c>
      <c r="I1406">
        <v>5</v>
      </c>
      <c r="J1406">
        <v>4</v>
      </c>
      <c r="K1406" t="s">
        <v>110</v>
      </c>
      <c r="L1406" t="s">
        <v>162</v>
      </c>
      <c r="M1406" s="4">
        <v>1800000000</v>
      </c>
      <c r="N1406">
        <v>0</v>
      </c>
      <c r="O1406">
        <v>4.7172231240000002</v>
      </c>
      <c r="P1406">
        <v>-74.041968679999997</v>
      </c>
      <c r="Q1406" t="s">
        <v>2935</v>
      </c>
      <c r="R1406">
        <v>5294117.6469999999</v>
      </c>
      <c r="S1406">
        <v>0</v>
      </c>
      <c r="T1406" t="s">
        <v>104</v>
      </c>
      <c r="U1406" t="s">
        <v>105</v>
      </c>
      <c r="V1406" t="s">
        <v>77</v>
      </c>
      <c r="W1406" t="s">
        <v>104</v>
      </c>
      <c r="X1406" t="s">
        <v>106</v>
      </c>
      <c r="Y1406">
        <v>1.49262637592303</v>
      </c>
      <c r="Z1406">
        <v>1492.6263759230301</v>
      </c>
      <c r="AA1406">
        <v>4.71035</v>
      </c>
      <c r="AB1406">
        <v>-74.030416666666696</v>
      </c>
      <c r="AC1406">
        <v>2570</v>
      </c>
      <c r="AD1406">
        <v>10</v>
      </c>
      <c r="AE1406" t="s">
        <v>80</v>
      </c>
      <c r="AF1406" t="s">
        <v>107</v>
      </c>
      <c r="AG1406" t="s">
        <v>82</v>
      </c>
      <c r="AH1406" t="s">
        <v>83</v>
      </c>
      <c r="AI1406" t="s">
        <v>108</v>
      </c>
      <c r="AJ1406">
        <v>1.13857204606551</v>
      </c>
      <c r="AK1406">
        <v>1.9827859249936599</v>
      </c>
      <c r="AL1406">
        <v>1.24552804991129</v>
      </c>
      <c r="AM1406">
        <v>9.0371791310661601E-2</v>
      </c>
      <c r="AN1406">
        <v>3.17392160728786</v>
      </c>
      <c r="AO1406">
        <v>0.451743133963454</v>
      </c>
      <c r="AP1406">
        <v>0.451743133963454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36</v>
      </c>
      <c r="AW1406">
        <v>0</v>
      </c>
      <c r="AX1406">
        <v>0</v>
      </c>
      <c r="AY1406">
        <v>15.5</v>
      </c>
      <c r="AZ1406">
        <v>2.4</v>
      </c>
      <c r="BA1406">
        <v>10.9</v>
      </c>
      <c r="BB1406">
        <v>564</v>
      </c>
      <c r="BC1406">
        <v>68</v>
      </c>
      <c r="BD1406">
        <v>1.5</v>
      </c>
      <c r="BE1406">
        <v>135</v>
      </c>
      <c r="BF1406">
        <v>0</v>
      </c>
      <c r="BG1406">
        <v>162</v>
      </c>
      <c r="BH1406">
        <v>9.1</v>
      </c>
      <c r="BI1406">
        <v>9.1999999999999993</v>
      </c>
      <c r="BJ1406">
        <v>18.3</v>
      </c>
      <c r="BK1406">
        <v>0.34</v>
      </c>
      <c r="BL1406">
        <v>7.3</v>
      </c>
      <c r="BM1406">
        <v>0.9</v>
      </c>
      <c r="BN1406">
        <v>7.5</v>
      </c>
      <c r="BO1406">
        <v>2.9</v>
      </c>
      <c r="BP1406">
        <f t="shared" si="42"/>
        <v>2.2290683808441352</v>
      </c>
      <c r="BQ1406">
        <f t="shared" si="43"/>
        <v>10.516440096924105</v>
      </c>
    </row>
    <row r="1407" spans="1:69" hidden="1" x14ac:dyDescent="0.2">
      <c r="A1407" t="s">
        <v>1005</v>
      </c>
      <c r="B1407" t="s">
        <v>68</v>
      </c>
      <c r="C1407" t="s">
        <v>69</v>
      </c>
      <c r="D1407" t="s">
        <v>70</v>
      </c>
      <c r="E1407" t="s">
        <v>865</v>
      </c>
      <c r="F1407">
        <v>6</v>
      </c>
      <c r="G1407">
        <v>340</v>
      </c>
      <c r="H1407">
        <v>4</v>
      </c>
      <c r="I1407">
        <v>3</v>
      </c>
      <c r="J1407">
        <v>3</v>
      </c>
      <c r="K1407" t="s">
        <v>110</v>
      </c>
      <c r="L1407" t="s">
        <v>162</v>
      </c>
      <c r="M1407" s="4">
        <v>2900000000</v>
      </c>
      <c r="N1407">
        <v>0</v>
      </c>
      <c r="O1407">
        <v>4.7167405279999999</v>
      </c>
      <c r="P1407">
        <v>-74.026573249999998</v>
      </c>
      <c r="Q1407" t="s">
        <v>1006</v>
      </c>
      <c r="R1407">
        <v>8529411.7650000006</v>
      </c>
      <c r="S1407">
        <v>0</v>
      </c>
      <c r="T1407" t="s">
        <v>104</v>
      </c>
      <c r="U1407" t="s">
        <v>105</v>
      </c>
      <c r="V1407" t="s">
        <v>77</v>
      </c>
      <c r="W1407" t="s">
        <v>104</v>
      </c>
      <c r="X1407" t="s">
        <v>106</v>
      </c>
      <c r="Y1407">
        <v>0.82939334663362896</v>
      </c>
      <c r="Z1407">
        <v>829.39334663362899</v>
      </c>
      <c r="AA1407">
        <v>4.71035</v>
      </c>
      <c r="AB1407">
        <v>-74.030416666666696</v>
      </c>
      <c r="AC1407">
        <v>2570</v>
      </c>
      <c r="AD1407">
        <v>10</v>
      </c>
      <c r="AE1407" t="s">
        <v>80</v>
      </c>
      <c r="AF1407" t="s">
        <v>107</v>
      </c>
      <c r="AG1407" t="s">
        <v>82</v>
      </c>
      <c r="AH1407" t="s">
        <v>83</v>
      </c>
      <c r="AI1407" t="s">
        <v>108</v>
      </c>
      <c r="AJ1407">
        <v>2.8020615472302501</v>
      </c>
      <c r="AK1407">
        <v>0.36383360245106999</v>
      </c>
      <c r="AL1407">
        <v>0.95542390423553902</v>
      </c>
      <c r="AM1407">
        <v>0.32157102954462802</v>
      </c>
      <c r="AN1407">
        <v>2.7403820677993802</v>
      </c>
      <c r="AO1407">
        <v>0.288508215773641</v>
      </c>
      <c r="AP1407">
        <v>0.288508215773641</v>
      </c>
      <c r="AQ1407">
        <v>0</v>
      </c>
      <c r="AR1407">
        <v>0</v>
      </c>
      <c r="AS1407">
        <v>15</v>
      </c>
      <c r="AT1407">
        <v>33</v>
      </c>
      <c r="AU1407">
        <v>1</v>
      </c>
      <c r="AV1407">
        <v>70</v>
      </c>
      <c r="AW1407">
        <v>0</v>
      </c>
      <c r="AX1407">
        <v>0</v>
      </c>
      <c r="AY1407">
        <v>15.5</v>
      </c>
      <c r="AZ1407">
        <v>2.4</v>
      </c>
      <c r="BA1407">
        <v>10.9</v>
      </c>
      <c r="BB1407">
        <v>564</v>
      </c>
      <c r="BC1407">
        <v>68</v>
      </c>
      <c r="BD1407">
        <v>1.5</v>
      </c>
      <c r="BE1407">
        <v>135</v>
      </c>
      <c r="BF1407">
        <v>0</v>
      </c>
      <c r="BG1407">
        <v>162</v>
      </c>
      <c r="BH1407">
        <v>9.1</v>
      </c>
      <c r="BI1407">
        <v>9.1999999999999993</v>
      </c>
      <c r="BJ1407">
        <v>18.3</v>
      </c>
      <c r="BK1407">
        <v>0.34</v>
      </c>
      <c r="BL1407">
        <v>7.3</v>
      </c>
      <c r="BM1407">
        <v>0.9</v>
      </c>
      <c r="BN1407">
        <v>7.5</v>
      </c>
      <c r="BO1407">
        <v>2.9</v>
      </c>
      <c r="BP1407">
        <f t="shared" si="42"/>
        <v>2.3034632855010591</v>
      </c>
      <c r="BQ1407">
        <f t="shared" si="43"/>
        <v>10.68517587809446</v>
      </c>
    </row>
    <row r="1408" spans="1:69" hidden="1" x14ac:dyDescent="0.2">
      <c r="A1408" t="s">
        <v>4229</v>
      </c>
      <c r="B1408" t="s">
        <v>68</v>
      </c>
      <c r="C1408" t="s">
        <v>3294</v>
      </c>
      <c r="D1408" t="s">
        <v>70</v>
      </c>
      <c r="E1408" t="s">
        <v>468</v>
      </c>
      <c r="F1408">
        <v>6</v>
      </c>
      <c r="G1408">
        <v>337.73</v>
      </c>
      <c r="H1408">
        <v>4</v>
      </c>
      <c r="I1408">
        <v>4</v>
      </c>
      <c r="J1408">
        <v>4</v>
      </c>
      <c r="K1408" t="s">
        <v>110</v>
      </c>
      <c r="L1408" t="s">
        <v>162</v>
      </c>
      <c r="M1408" s="4">
        <v>2750000000</v>
      </c>
      <c r="N1408">
        <v>0</v>
      </c>
      <c r="O1408">
        <v>4.6893137820000002</v>
      </c>
      <c r="P1408">
        <v>-74.055364870000005</v>
      </c>
      <c r="Q1408" t="s">
        <v>4230</v>
      </c>
      <c r="R1408">
        <v>8142599.1179999998</v>
      </c>
      <c r="S1408">
        <v>0</v>
      </c>
      <c r="T1408" t="s">
        <v>104</v>
      </c>
      <c r="U1408" t="s">
        <v>105</v>
      </c>
      <c r="V1408" t="s">
        <v>77</v>
      </c>
      <c r="W1408" t="s">
        <v>104</v>
      </c>
      <c r="X1408" t="s">
        <v>106</v>
      </c>
      <c r="Y1408">
        <v>3.62559357865607</v>
      </c>
      <c r="Z1408">
        <v>3625.5935786560699</v>
      </c>
      <c r="AA1408">
        <v>4.71035</v>
      </c>
      <c r="AB1408">
        <v>-74.030416666666696</v>
      </c>
      <c r="AC1408">
        <v>2570</v>
      </c>
      <c r="AD1408">
        <v>10</v>
      </c>
      <c r="AE1408" t="s">
        <v>80</v>
      </c>
      <c r="AF1408" t="s">
        <v>107</v>
      </c>
      <c r="AG1408" t="s">
        <v>82</v>
      </c>
      <c r="AH1408" t="s">
        <v>83</v>
      </c>
      <c r="AI1408" t="s">
        <v>108</v>
      </c>
      <c r="AJ1408">
        <v>0.41545877781885299</v>
      </c>
      <c r="AK1408">
        <v>2.4180692747577299</v>
      </c>
      <c r="AL1408">
        <v>0.484427413676283</v>
      </c>
      <c r="AM1408">
        <v>0.14730079808574101</v>
      </c>
      <c r="AN1408">
        <v>3.4009897260947599</v>
      </c>
      <c r="AO1408">
        <v>0.46219709652090102</v>
      </c>
      <c r="AP1408">
        <v>0.46219709652090102</v>
      </c>
      <c r="AQ1408">
        <v>1</v>
      </c>
      <c r="AR1408">
        <v>3</v>
      </c>
      <c r="AS1408">
        <v>0</v>
      </c>
      <c r="AT1408">
        <v>0</v>
      </c>
      <c r="AU1408">
        <v>5</v>
      </c>
      <c r="AV1408">
        <v>211</v>
      </c>
      <c r="AW1408">
        <v>0</v>
      </c>
      <c r="AX1408">
        <v>0</v>
      </c>
      <c r="AY1408">
        <v>15.5</v>
      </c>
      <c r="AZ1408">
        <v>2.4</v>
      </c>
      <c r="BA1408">
        <v>10.9</v>
      </c>
      <c r="BB1408">
        <v>564</v>
      </c>
      <c r="BC1408">
        <v>68</v>
      </c>
      <c r="BD1408">
        <v>1.5</v>
      </c>
      <c r="BE1408">
        <v>135</v>
      </c>
      <c r="BF1408">
        <v>0</v>
      </c>
      <c r="BG1408">
        <v>162</v>
      </c>
      <c r="BH1408">
        <v>9.1</v>
      </c>
      <c r="BI1408">
        <v>9.1999999999999993</v>
      </c>
      <c r="BJ1408">
        <v>18.3</v>
      </c>
      <c r="BK1408">
        <v>0.34</v>
      </c>
      <c r="BL1408">
        <v>7.3</v>
      </c>
      <c r="BM1408">
        <v>0.9</v>
      </c>
      <c r="BN1408">
        <v>7.5</v>
      </c>
      <c r="BO1408">
        <v>2.9</v>
      </c>
      <c r="BP1408">
        <f t="shared" si="42"/>
        <v>2.0057175062282626</v>
      </c>
      <c r="BQ1408">
        <f t="shared" si="43"/>
        <v>9.9916380016341115</v>
      </c>
    </row>
    <row r="1409" spans="1:69" hidden="1" x14ac:dyDescent="0.2">
      <c r="A1409" t="s">
        <v>4369</v>
      </c>
      <c r="B1409" t="s">
        <v>68</v>
      </c>
      <c r="C1409" t="s">
        <v>3294</v>
      </c>
      <c r="D1409" t="s">
        <v>70</v>
      </c>
      <c r="E1409" t="s">
        <v>1649</v>
      </c>
      <c r="F1409">
        <v>6</v>
      </c>
      <c r="G1409">
        <v>337</v>
      </c>
      <c r="H1409">
        <v>4</v>
      </c>
      <c r="I1409">
        <v>5</v>
      </c>
      <c r="J1409">
        <v>4</v>
      </c>
      <c r="K1409" t="s">
        <v>110</v>
      </c>
      <c r="L1409" t="s">
        <v>162</v>
      </c>
      <c r="M1409" s="4">
        <v>2650000000</v>
      </c>
      <c r="N1409">
        <v>0</v>
      </c>
      <c r="O1409">
        <v>4.6954299559999999</v>
      </c>
      <c r="P1409">
        <v>-74.053917549999994</v>
      </c>
      <c r="Q1409" t="s">
        <v>4370</v>
      </c>
      <c r="R1409">
        <v>7863501.4840000002</v>
      </c>
      <c r="S1409">
        <v>0</v>
      </c>
      <c r="T1409" t="s">
        <v>104</v>
      </c>
      <c r="U1409" t="s">
        <v>105</v>
      </c>
      <c r="V1409" t="s">
        <v>77</v>
      </c>
      <c r="W1409" t="s">
        <v>104</v>
      </c>
      <c r="X1409" t="s">
        <v>106</v>
      </c>
      <c r="Y1409">
        <v>3.0913697891401299</v>
      </c>
      <c r="Z1409">
        <v>3091.3697891401298</v>
      </c>
      <c r="AA1409">
        <v>4.71035</v>
      </c>
      <c r="AB1409">
        <v>-74.030416666666696</v>
      </c>
      <c r="AC1409">
        <v>2570</v>
      </c>
      <c r="AD1409">
        <v>10</v>
      </c>
      <c r="AE1409" t="s">
        <v>80</v>
      </c>
      <c r="AF1409" t="s">
        <v>107</v>
      </c>
      <c r="AG1409" t="s">
        <v>82</v>
      </c>
      <c r="AH1409" t="s">
        <v>83</v>
      </c>
      <c r="AI1409" t="s">
        <v>108</v>
      </c>
      <c r="AJ1409">
        <v>0.33559772476378202</v>
      </c>
      <c r="AK1409">
        <v>2.7033717565407298</v>
      </c>
      <c r="AL1409">
        <v>0.50901398853771995</v>
      </c>
      <c r="AM1409">
        <v>0.14520252025715999</v>
      </c>
      <c r="AN1409">
        <v>3.9125576181444899</v>
      </c>
      <c r="AO1409">
        <v>0.23088253813044499</v>
      </c>
      <c r="AP1409">
        <v>0.23088253813044499</v>
      </c>
      <c r="AQ1409">
        <v>2</v>
      </c>
      <c r="AR1409">
        <v>2</v>
      </c>
      <c r="AS1409">
        <v>0</v>
      </c>
      <c r="AT1409">
        <v>0</v>
      </c>
      <c r="AU1409">
        <v>3</v>
      </c>
      <c r="AV1409">
        <v>160</v>
      </c>
      <c r="AW1409">
        <v>0</v>
      </c>
      <c r="AX1409">
        <v>0</v>
      </c>
      <c r="AY1409">
        <v>15.5</v>
      </c>
      <c r="AZ1409">
        <v>2.4</v>
      </c>
      <c r="BA1409">
        <v>10.9</v>
      </c>
      <c r="BB1409">
        <v>564</v>
      </c>
      <c r="BC1409">
        <v>68</v>
      </c>
      <c r="BD1409">
        <v>1.5</v>
      </c>
      <c r="BE1409">
        <v>135</v>
      </c>
      <c r="BF1409">
        <v>0</v>
      </c>
      <c r="BG1409">
        <v>162</v>
      </c>
      <c r="BH1409">
        <v>9.1</v>
      </c>
      <c r="BI1409">
        <v>9.1999999999999993</v>
      </c>
      <c r="BJ1409">
        <v>18.3</v>
      </c>
      <c r="BK1409">
        <v>0.34</v>
      </c>
      <c r="BL1409">
        <v>7.3</v>
      </c>
      <c r="BM1409">
        <v>0.9</v>
      </c>
      <c r="BN1409">
        <v>7.5</v>
      </c>
      <c r="BO1409">
        <v>2.9</v>
      </c>
      <c r="BP1409">
        <f t="shared" si="42"/>
        <v>2.0594643666280965</v>
      </c>
      <c r="BQ1409">
        <f t="shared" si="43"/>
        <v>10.120569270427229</v>
      </c>
    </row>
    <row r="1410" spans="1:69" hidden="1" x14ac:dyDescent="0.2">
      <c r="A1410" t="s">
        <v>1933</v>
      </c>
      <c r="B1410" t="s">
        <v>68</v>
      </c>
      <c r="C1410" t="s">
        <v>69</v>
      </c>
      <c r="D1410" t="s">
        <v>70</v>
      </c>
      <c r="E1410" t="s">
        <v>270</v>
      </c>
      <c r="F1410">
        <v>6</v>
      </c>
      <c r="G1410">
        <v>327.39</v>
      </c>
      <c r="H1410">
        <v>4</v>
      </c>
      <c r="I1410">
        <v>5</v>
      </c>
      <c r="J1410">
        <v>3</v>
      </c>
      <c r="K1410" t="s">
        <v>110</v>
      </c>
      <c r="L1410" t="s">
        <v>124</v>
      </c>
      <c r="M1410" s="4">
        <v>3972000000</v>
      </c>
      <c r="N1410">
        <v>0</v>
      </c>
      <c r="O1410">
        <v>4.6929999999999996</v>
      </c>
      <c r="P1410">
        <v>-74.025999999999996</v>
      </c>
      <c r="Q1410" t="s">
        <v>1934</v>
      </c>
      <c r="R1410">
        <v>12132319.25</v>
      </c>
      <c r="S1410">
        <v>0</v>
      </c>
      <c r="T1410" t="s">
        <v>104</v>
      </c>
      <c r="U1410" t="s">
        <v>105</v>
      </c>
      <c r="V1410" t="s">
        <v>77</v>
      </c>
      <c r="W1410" t="s">
        <v>104</v>
      </c>
      <c r="X1410" t="s">
        <v>106</v>
      </c>
      <c r="Y1410">
        <v>1.9925827622822001</v>
      </c>
      <c r="Z1410">
        <v>1992.5827622822001</v>
      </c>
      <c r="AA1410">
        <v>4.71035</v>
      </c>
      <c r="AB1410">
        <v>-74.030416666666696</v>
      </c>
      <c r="AC1410">
        <v>2570</v>
      </c>
      <c r="AD1410">
        <v>10</v>
      </c>
      <c r="AE1410" t="s">
        <v>80</v>
      </c>
      <c r="AF1410" t="s">
        <v>107</v>
      </c>
      <c r="AG1410" t="s">
        <v>82</v>
      </c>
      <c r="AH1410" t="s">
        <v>83</v>
      </c>
      <c r="AI1410" t="s">
        <v>108</v>
      </c>
      <c r="AJ1410">
        <v>3.2987193796940599</v>
      </c>
      <c r="AK1410">
        <v>0.153758755332293</v>
      </c>
      <c r="AL1410">
        <v>0.441617853266627</v>
      </c>
      <c r="AM1410">
        <v>0.56050356660281997</v>
      </c>
      <c r="AN1410">
        <v>5.3645290260406799</v>
      </c>
      <c r="AO1410">
        <v>0.93578080541461295</v>
      </c>
      <c r="AP1410">
        <v>0.93578080541461295</v>
      </c>
      <c r="AQ1410">
        <v>0</v>
      </c>
      <c r="AR1410">
        <v>0</v>
      </c>
      <c r="AS1410">
        <v>13</v>
      </c>
      <c r="AT1410">
        <v>26</v>
      </c>
      <c r="AU1410">
        <v>1</v>
      </c>
      <c r="AV1410">
        <v>80</v>
      </c>
      <c r="AW1410">
        <v>0</v>
      </c>
      <c r="AX1410">
        <v>0</v>
      </c>
      <c r="AY1410">
        <v>15.5</v>
      </c>
      <c r="AZ1410">
        <v>2.4</v>
      </c>
      <c r="BA1410">
        <v>10.9</v>
      </c>
      <c r="BB1410">
        <v>564</v>
      </c>
      <c r="BC1410">
        <v>68</v>
      </c>
      <c r="BD1410">
        <v>1.5</v>
      </c>
      <c r="BE1410">
        <v>135</v>
      </c>
      <c r="BF1410">
        <v>0</v>
      </c>
      <c r="BG1410">
        <v>162</v>
      </c>
      <c r="BH1410">
        <v>9.1</v>
      </c>
      <c r="BI1410">
        <v>9.1999999999999993</v>
      </c>
      <c r="BJ1410">
        <v>18.3</v>
      </c>
      <c r="BK1410">
        <v>0.34</v>
      </c>
      <c r="BL1410">
        <v>7.3</v>
      </c>
      <c r="BM1410">
        <v>0.9</v>
      </c>
      <c r="BN1410">
        <v>7.5</v>
      </c>
      <c r="BO1410">
        <v>2.9</v>
      </c>
      <c r="BP1410">
        <f t="shared" ref="BP1410:BP1473" si="44">+AZ1410*EXP(-0.0495*Y1410)</f>
        <v>2.1745807571354603</v>
      </c>
      <c r="BQ1410">
        <f t="shared" ref="BQ1410:BQ1473" si="45">+BA1410*EXP(-0.024*Y1410)</f>
        <v>10.391007856324425</v>
      </c>
    </row>
    <row r="1411" spans="1:69" hidden="1" x14ac:dyDescent="0.2">
      <c r="A1411" t="s">
        <v>1758</v>
      </c>
      <c r="B1411" t="s">
        <v>68</v>
      </c>
      <c r="C1411" t="s">
        <v>69</v>
      </c>
      <c r="D1411" t="s">
        <v>70</v>
      </c>
      <c r="E1411" t="s">
        <v>270</v>
      </c>
      <c r="F1411">
        <v>6</v>
      </c>
      <c r="G1411">
        <v>327</v>
      </c>
      <c r="H1411">
        <v>4</v>
      </c>
      <c r="I1411">
        <v>4</v>
      </c>
      <c r="J1411">
        <v>4</v>
      </c>
      <c r="K1411" t="s">
        <v>110</v>
      </c>
      <c r="L1411" t="s">
        <v>124</v>
      </c>
      <c r="M1411" s="4">
        <v>3550000000</v>
      </c>
      <c r="N1411">
        <v>0</v>
      </c>
      <c r="O1411">
        <v>4.6937456129999999</v>
      </c>
      <c r="P1411">
        <v>-74.02638245</v>
      </c>
      <c r="Q1411" t="s">
        <v>1759</v>
      </c>
      <c r="R1411">
        <v>10856269.109999999</v>
      </c>
      <c r="S1411">
        <v>0</v>
      </c>
      <c r="T1411" t="s">
        <v>104</v>
      </c>
      <c r="U1411" t="s">
        <v>105</v>
      </c>
      <c r="V1411" t="s">
        <v>77</v>
      </c>
      <c r="W1411" t="s">
        <v>104</v>
      </c>
      <c r="X1411" t="s">
        <v>106</v>
      </c>
      <c r="Y1411">
        <v>1.90180874052294</v>
      </c>
      <c r="Z1411">
        <v>1901.8087405229401</v>
      </c>
      <c r="AA1411">
        <v>4.71035</v>
      </c>
      <c r="AB1411">
        <v>-74.030416666666696</v>
      </c>
      <c r="AC1411">
        <v>2570</v>
      </c>
      <c r="AD1411">
        <v>10</v>
      </c>
      <c r="AE1411" t="s">
        <v>80</v>
      </c>
      <c r="AF1411" t="s">
        <v>107</v>
      </c>
      <c r="AG1411" t="s">
        <v>82</v>
      </c>
      <c r="AH1411" t="s">
        <v>83</v>
      </c>
      <c r="AI1411" t="s">
        <v>108</v>
      </c>
      <c r="AJ1411">
        <v>3.2436319328369501</v>
      </c>
      <c r="AK1411">
        <v>0.204079722848208</v>
      </c>
      <c r="AL1411">
        <v>0.37710261382055499</v>
      </c>
      <c r="AM1411">
        <v>0.48697550439486198</v>
      </c>
      <c r="AN1411">
        <v>5.2816591241398596</v>
      </c>
      <c r="AO1411">
        <v>0.862759610236709</v>
      </c>
      <c r="AP1411">
        <v>0.862759610236709</v>
      </c>
      <c r="AQ1411">
        <v>0</v>
      </c>
      <c r="AR1411">
        <v>0</v>
      </c>
      <c r="AS1411">
        <v>15</v>
      </c>
      <c r="AT1411">
        <v>23</v>
      </c>
      <c r="AU1411">
        <v>1</v>
      </c>
      <c r="AV1411">
        <v>86</v>
      </c>
      <c r="AW1411">
        <v>0</v>
      </c>
      <c r="AX1411">
        <v>0</v>
      </c>
      <c r="AY1411">
        <v>15.5</v>
      </c>
      <c r="AZ1411">
        <v>2.4</v>
      </c>
      <c r="BA1411">
        <v>10.9</v>
      </c>
      <c r="BB1411">
        <v>564</v>
      </c>
      <c r="BC1411">
        <v>68</v>
      </c>
      <c r="BD1411">
        <v>1.5</v>
      </c>
      <c r="BE1411">
        <v>135</v>
      </c>
      <c r="BF1411">
        <v>0</v>
      </c>
      <c r="BG1411">
        <v>162</v>
      </c>
      <c r="BH1411">
        <v>9.1</v>
      </c>
      <c r="BI1411">
        <v>9.1999999999999993</v>
      </c>
      <c r="BJ1411">
        <v>18.3</v>
      </c>
      <c r="BK1411">
        <v>0.34</v>
      </c>
      <c r="BL1411">
        <v>7.3</v>
      </c>
      <c r="BM1411">
        <v>0.9</v>
      </c>
      <c r="BN1411">
        <v>7.5</v>
      </c>
      <c r="BO1411">
        <v>2.9</v>
      </c>
      <c r="BP1411">
        <f t="shared" si="44"/>
        <v>2.1843738166325877</v>
      </c>
      <c r="BQ1411">
        <f t="shared" si="45"/>
        <v>10.413670138877492</v>
      </c>
    </row>
    <row r="1412" spans="1:69" hidden="1" x14ac:dyDescent="0.2">
      <c r="A1412" t="s">
        <v>3205</v>
      </c>
      <c r="B1412" t="s">
        <v>68</v>
      </c>
      <c r="C1412" t="s">
        <v>1956</v>
      </c>
      <c r="D1412" t="s">
        <v>70</v>
      </c>
      <c r="E1412" t="s">
        <v>235</v>
      </c>
      <c r="F1412">
        <v>6</v>
      </c>
      <c r="G1412">
        <v>325</v>
      </c>
      <c r="H1412">
        <v>4</v>
      </c>
      <c r="I1412">
        <v>5</v>
      </c>
      <c r="J1412">
        <v>2</v>
      </c>
      <c r="K1412" t="s">
        <v>110</v>
      </c>
      <c r="L1412" t="s">
        <v>162</v>
      </c>
      <c r="M1412" s="4">
        <v>1800000000</v>
      </c>
      <c r="N1412">
        <v>0</v>
      </c>
      <c r="O1412">
        <v>4.7049136159999998</v>
      </c>
      <c r="P1412">
        <v>-74.036468510000006</v>
      </c>
      <c r="Q1412" t="s">
        <v>3206</v>
      </c>
      <c r="R1412">
        <v>5538461.5379999997</v>
      </c>
      <c r="S1412">
        <v>0</v>
      </c>
      <c r="T1412" t="s">
        <v>104</v>
      </c>
      <c r="U1412" t="s">
        <v>105</v>
      </c>
      <c r="V1412" t="s">
        <v>77</v>
      </c>
      <c r="W1412" t="s">
        <v>104</v>
      </c>
      <c r="X1412" t="s">
        <v>106</v>
      </c>
      <c r="Y1412">
        <v>0.90390045496274496</v>
      </c>
      <c r="Z1412">
        <v>903.90045496274502</v>
      </c>
      <c r="AA1412">
        <v>4.71035</v>
      </c>
      <c r="AB1412">
        <v>-74.030416666666696</v>
      </c>
      <c r="AC1412">
        <v>2570</v>
      </c>
      <c r="AD1412">
        <v>10</v>
      </c>
      <c r="AE1412" t="s">
        <v>80</v>
      </c>
      <c r="AF1412" t="s">
        <v>107</v>
      </c>
      <c r="AG1412" t="s">
        <v>82</v>
      </c>
      <c r="AH1412" t="s">
        <v>83</v>
      </c>
      <c r="AI1412" t="s">
        <v>108</v>
      </c>
      <c r="AJ1412">
        <v>1.9690302064526599</v>
      </c>
      <c r="AK1412">
        <v>1.2434255545661399</v>
      </c>
      <c r="AL1412">
        <v>0.594680407897485</v>
      </c>
      <c r="AM1412">
        <v>0.142890079659173</v>
      </c>
      <c r="AN1412">
        <v>4.1888281511641301</v>
      </c>
      <c r="AO1412">
        <v>0.293410267622844</v>
      </c>
      <c r="AP1412">
        <v>0.293410267622844</v>
      </c>
      <c r="AQ1412">
        <v>0</v>
      </c>
      <c r="AR1412">
        <v>0</v>
      </c>
      <c r="AS1412">
        <v>0</v>
      </c>
      <c r="AT1412">
        <v>0</v>
      </c>
      <c r="AU1412">
        <v>2</v>
      </c>
      <c r="AV1412">
        <v>121</v>
      </c>
      <c r="AW1412">
        <v>0</v>
      </c>
      <c r="AX1412">
        <v>0</v>
      </c>
      <c r="AY1412">
        <v>15.5</v>
      </c>
      <c r="AZ1412">
        <v>2.4</v>
      </c>
      <c r="BA1412">
        <v>10.9</v>
      </c>
      <c r="BB1412">
        <v>564</v>
      </c>
      <c r="BC1412">
        <v>68</v>
      </c>
      <c r="BD1412">
        <v>1.5</v>
      </c>
      <c r="BE1412">
        <v>135</v>
      </c>
      <c r="BF1412">
        <v>0</v>
      </c>
      <c r="BG1412">
        <v>162</v>
      </c>
      <c r="BH1412">
        <v>9.1</v>
      </c>
      <c r="BI1412">
        <v>9.1999999999999993</v>
      </c>
      <c r="BJ1412">
        <v>18.3</v>
      </c>
      <c r="BK1412">
        <v>0.34</v>
      </c>
      <c r="BL1412">
        <v>7.3</v>
      </c>
      <c r="BM1412">
        <v>0.9</v>
      </c>
      <c r="BN1412">
        <v>7.5</v>
      </c>
      <c r="BO1412">
        <v>2.9</v>
      </c>
      <c r="BP1412">
        <f t="shared" si="44"/>
        <v>2.2949835249902226</v>
      </c>
      <c r="BQ1412">
        <f t="shared" si="45"/>
        <v>10.666086033770426</v>
      </c>
    </row>
    <row r="1413" spans="1:69" hidden="1" x14ac:dyDescent="0.2">
      <c r="A1413" t="s">
        <v>756</v>
      </c>
      <c r="B1413" t="s">
        <v>68</v>
      </c>
      <c r="C1413" t="s">
        <v>69</v>
      </c>
      <c r="D1413" t="s">
        <v>70</v>
      </c>
      <c r="E1413" t="s">
        <v>270</v>
      </c>
      <c r="F1413">
        <v>6</v>
      </c>
      <c r="G1413">
        <v>322</v>
      </c>
      <c r="H1413">
        <v>3</v>
      </c>
      <c r="I1413">
        <v>5</v>
      </c>
      <c r="J1413">
        <v>3</v>
      </c>
      <c r="K1413" t="s">
        <v>110</v>
      </c>
      <c r="L1413" t="s">
        <v>162</v>
      </c>
      <c r="M1413" s="4">
        <v>3300000000</v>
      </c>
      <c r="N1413">
        <v>0</v>
      </c>
      <c r="O1413">
        <v>4.6930570600000001</v>
      </c>
      <c r="P1413">
        <v>-74.029975890000003</v>
      </c>
      <c r="Q1413" t="s">
        <v>757</v>
      </c>
      <c r="R1413">
        <v>10248447.199999999</v>
      </c>
      <c r="S1413">
        <v>0</v>
      </c>
      <c r="T1413" t="s">
        <v>104</v>
      </c>
      <c r="U1413" t="s">
        <v>105</v>
      </c>
      <c r="V1413" t="s">
        <v>77</v>
      </c>
      <c r="W1413" t="s">
        <v>104</v>
      </c>
      <c r="X1413" t="s">
        <v>106</v>
      </c>
      <c r="Y1413">
        <v>1.92566230392978</v>
      </c>
      <c r="Z1413">
        <v>1925.6623039297799</v>
      </c>
      <c r="AA1413">
        <v>4.71035</v>
      </c>
      <c r="AB1413">
        <v>-74.030416666666696</v>
      </c>
      <c r="AC1413">
        <v>2570</v>
      </c>
      <c r="AD1413">
        <v>10</v>
      </c>
      <c r="AE1413" t="s">
        <v>80</v>
      </c>
      <c r="AF1413" t="s">
        <v>107</v>
      </c>
      <c r="AG1413" t="s">
        <v>82</v>
      </c>
      <c r="AH1413" t="s">
        <v>83</v>
      </c>
      <c r="AI1413" t="s">
        <v>108</v>
      </c>
      <c r="AJ1413">
        <v>2.8641943604332001</v>
      </c>
      <c r="AK1413">
        <v>0.40444045858183603</v>
      </c>
      <c r="AL1413">
        <v>0.15749645726363701</v>
      </c>
      <c r="AM1413">
        <v>0.195270350723908</v>
      </c>
      <c r="AN1413">
        <v>5.3696710978179603</v>
      </c>
      <c r="AO1413">
        <v>0.57159362864920404</v>
      </c>
      <c r="AP1413">
        <v>0.57159362864920404</v>
      </c>
      <c r="AQ1413">
        <v>0</v>
      </c>
      <c r="AR1413">
        <v>0</v>
      </c>
      <c r="AS1413">
        <v>2</v>
      </c>
      <c r="AT1413">
        <v>21</v>
      </c>
      <c r="AU1413">
        <v>2</v>
      </c>
      <c r="AV1413">
        <v>106</v>
      </c>
      <c r="AW1413">
        <v>0</v>
      </c>
      <c r="AX1413">
        <v>0</v>
      </c>
      <c r="AY1413">
        <v>15.5</v>
      </c>
      <c r="AZ1413">
        <v>2.4</v>
      </c>
      <c r="BA1413">
        <v>10.9</v>
      </c>
      <c r="BB1413">
        <v>564</v>
      </c>
      <c r="BC1413">
        <v>68</v>
      </c>
      <c r="BD1413">
        <v>1.5</v>
      </c>
      <c r="BE1413">
        <v>135</v>
      </c>
      <c r="BF1413">
        <v>0</v>
      </c>
      <c r="BG1413">
        <v>162</v>
      </c>
      <c r="BH1413">
        <v>9.1</v>
      </c>
      <c r="BI1413">
        <v>9.1999999999999993</v>
      </c>
      <c r="BJ1413">
        <v>18.3</v>
      </c>
      <c r="BK1413">
        <v>0.34</v>
      </c>
      <c r="BL1413">
        <v>7.3</v>
      </c>
      <c r="BM1413">
        <v>0.9</v>
      </c>
      <c r="BN1413">
        <v>7.5</v>
      </c>
      <c r="BO1413">
        <v>2.9</v>
      </c>
      <c r="BP1413">
        <f t="shared" si="44"/>
        <v>2.1817961363145781</v>
      </c>
      <c r="BQ1413">
        <f t="shared" si="45"/>
        <v>10.407710169655379</v>
      </c>
    </row>
    <row r="1414" spans="1:69" hidden="1" x14ac:dyDescent="0.2">
      <c r="A1414" t="s">
        <v>3016</v>
      </c>
      <c r="B1414" t="s">
        <v>68</v>
      </c>
      <c r="C1414" t="s">
        <v>1956</v>
      </c>
      <c r="D1414" t="s">
        <v>70</v>
      </c>
      <c r="E1414" t="s">
        <v>3017</v>
      </c>
      <c r="F1414">
        <v>4</v>
      </c>
      <c r="G1414">
        <v>320.60000000000002</v>
      </c>
      <c r="H1414">
        <v>3</v>
      </c>
      <c r="I1414">
        <v>3</v>
      </c>
      <c r="J1414">
        <v>4</v>
      </c>
      <c r="K1414" t="s">
        <v>110</v>
      </c>
      <c r="L1414" t="s">
        <v>133</v>
      </c>
      <c r="M1414" s="4">
        <v>1900000000</v>
      </c>
      <c r="N1414">
        <v>0</v>
      </c>
      <c r="O1414">
        <v>4.7063800000000002</v>
      </c>
      <c r="P1414">
        <v>-74.056849999999997</v>
      </c>
      <c r="Q1414" t="s">
        <v>3018</v>
      </c>
      <c r="R1414">
        <v>5926388.0219999999</v>
      </c>
      <c r="S1414">
        <v>0</v>
      </c>
      <c r="T1414" t="s">
        <v>104</v>
      </c>
      <c r="U1414" t="s">
        <v>105</v>
      </c>
      <c r="V1414" t="s">
        <v>77</v>
      </c>
      <c r="W1414" t="s">
        <v>104</v>
      </c>
      <c r="X1414" t="s">
        <v>106</v>
      </c>
      <c r="Y1414">
        <v>2.9657279406338999</v>
      </c>
      <c r="Z1414">
        <v>2965.7279406338998</v>
      </c>
      <c r="AA1414">
        <v>4.71035</v>
      </c>
      <c r="AB1414">
        <v>-74.030416666666696</v>
      </c>
      <c r="AC1414">
        <v>2570</v>
      </c>
      <c r="AD1414">
        <v>10</v>
      </c>
      <c r="AE1414" t="s">
        <v>80</v>
      </c>
      <c r="AF1414" t="s">
        <v>107</v>
      </c>
      <c r="AG1414" t="s">
        <v>82</v>
      </c>
      <c r="AH1414" t="s">
        <v>83</v>
      </c>
      <c r="AI1414" t="s">
        <v>121</v>
      </c>
      <c r="AJ1414">
        <v>0.34884348100027202</v>
      </c>
      <c r="AK1414">
        <v>3.49801461455856</v>
      </c>
      <c r="AL1414">
        <v>1.64130168501438</v>
      </c>
      <c r="AM1414">
        <v>0.121102269591296</v>
      </c>
      <c r="AN1414">
        <v>4.5437019922595896</v>
      </c>
      <c r="AO1414">
        <v>0.167559090006136</v>
      </c>
      <c r="AP1414">
        <v>0.167559090006136</v>
      </c>
      <c r="AQ1414">
        <v>1</v>
      </c>
      <c r="AR1414">
        <v>2</v>
      </c>
      <c r="AS1414">
        <v>0</v>
      </c>
      <c r="AT1414">
        <v>0</v>
      </c>
      <c r="AU1414">
        <v>0</v>
      </c>
      <c r="AV1414">
        <v>113</v>
      </c>
      <c r="AW1414">
        <v>0</v>
      </c>
      <c r="AX1414">
        <v>0</v>
      </c>
      <c r="AY1414">
        <v>15.5</v>
      </c>
      <c r="AZ1414">
        <v>2.4</v>
      </c>
      <c r="BA1414">
        <v>10.9</v>
      </c>
      <c r="BB1414">
        <v>564</v>
      </c>
      <c r="BC1414">
        <v>68</v>
      </c>
      <c r="BD1414">
        <v>1.5</v>
      </c>
      <c r="BE1414">
        <v>135</v>
      </c>
      <c r="BF1414">
        <v>0</v>
      </c>
      <c r="BG1414">
        <v>162</v>
      </c>
      <c r="BH1414">
        <v>9.1</v>
      </c>
      <c r="BI1414">
        <v>9.1999999999999993</v>
      </c>
      <c r="BJ1414">
        <v>18.3</v>
      </c>
      <c r="BK1414">
        <v>0.34</v>
      </c>
      <c r="BL1414">
        <v>7.3</v>
      </c>
      <c r="BM1414">
        <v>0.9</v>
      </c>
      <c r="BN1414">
        <v>7.5</v>
      </c>
      <c r="BO1414">
        <v>2.9</v>
      </c>
      <c r="BP1414">
        <f t="shared" si="44"/>
        <v>2.0723126467284909</v>
      </c>
      <c r="BQ1414">
        <f t="shared" si="45"/>
        <v>10.15113293692086</v>
      </c>
    </row>
    <row r="1415" spans="1:69" hidden="1" x14ac:dyDescent="0.2">
      <c r="A1415" t="s">
        <v>2856</v>
      </c>
      <c r="B1415" t="s">
        <v>68</v>
      </c>
      <c r="C1415" t="s">
        <v>1956</v>
      </c>
      <c r="D1415" t="s">
        <v>70</v>
      </c>
      <c r="E1415" t="s">
        <v>1142</v>
      </c>
      <c r="F1415">
        <v>5</v>
      </c>
      <c r="G1415">
        <v>320</v>
      </c>
      <c r="H1415">
        <v>5</v>
      </c>
      <c r="I1415">
        <v>5</v>
      </c>
      <c r="J1415">
        <v>3</v>
      </c>
      <c r="K1415" t="s">
        <v>110</v>
      </c>
      <c r="L1415" t="s">
        <v>162</v>
      </c>
      <c r="M1415" s="4">
        <v>1100000000</v>
      </c>
      <c r="N1415">
        <v>0</v>
      </c>
      <c r="O1415">
        <v>4.7061796190000003</v>
      </c>
      <c r="P1415">
        <v>-74.061988830000004</v>
      </c>
      <c r="Q1415" t="s">
        <v>2857</v>
      </c>
      <c r="R1415">
        <v>3437500</v>
      </c>
      <c r="S1415">
        <v>0</v>
      </c>
      <c r="T1415" t="s">
        <v>104</v>
      </c>
      <c r="U1415" t="s">
        <v>105</v>
      </c>
      <c r="V1415" t="s">
        <v>77</v>
      </c>
      <c r="W1415" t="s">
        <v>104</v>
      </c>
      <c r="X1415" t="s">
        <v>106</v>
      </c>
      <c r="Y1415">
        <v>3.5333683618747198</v>
      </c>
      <c r="Z1415">
        <v>3533.36836187472</v>
      </c>
      <c r="AA1415">
        <v>4.71035</v>
      </c>
      <c r="AB1415">
        <v>-74.030416666666696</v>
      </c>
      <c r="AC1415">
        <v>2570</v>
      </c>
      <c r="AD1415">
        <v>10</v>
      </c>
      <c r="AE1415" t="s">
        <v>80</v>
      </c>
      <c r="AF1415" t="s">
        <v>107</v>
      </c>
      <c r="AG1415" t="s">
        <v>82</v>
      </c>
      <c r="AH1415" t="s">
        <v>83</v>
      </c>
      <c r="AI1415" t="s">
        <v>121</v>
      </c>
      <c r="AJ1415">
        <v>0.87747374327718197</v>
      </c>
      <c r="AK1415">
        <v>4.0612182940154504</v>
      </c>
      <c r="AL1415">
        <v>1.2517021082525399</v>
      </c>
      <c r="AM1415">
        <v>0.39882176711721301</v>
      </c>
      <c r="AN1415">
        <v>4.2012613507334802</v>
      </c>
      <c r="AO1415">
        <v>0.11967069476953</v>
      </c>
      <c r="AP1415">
        <v>0.11967069476953</v>
      </c>
      <c r="AQ1415">
        <v>0</v>
      </c>
      <c r="AR1415">
        <v>1</v>
      </c>
      <c r="AS1415">
        <v>0</v>
      </c>
      <c r="AT1415">
        <v>0</v>
      </c>
      <c r="AU1415">
        <v>0</v>
      </c>
      <c r="AV1415">
        <v>33</v>
      </c>
      <c r="AW1415">
        <v>0</v>
      </c>
      <c r="AX1415">
        <v>0</v>
      </c>
      <c r="AY1415">
        <v>15.5</v>
      </c>
      <c r="AZ1415">
        <v>2.4</v>
      </c>
      <c r="BA1415">
        <v>10.9</v>
      </c>
      <c r="BB1415">
        <v>564</v>
      </c>
      <c r="BC1415">
        <v>68</v>
      </c>
      <c r="BD1415">
        <v>1.5</v>
      </c>
      <c r="BE1415">
        <v>135</v>
      </c>
      <c r="BF1415">
        <v>0</v>
      </c>
      <c r="BG1415">
        <v>162</v>
      </c>
      <c r="BH1415">
        <v>9.1</v>
      </c>
      <c r="BI1415">
        <v>9.1999999999999993</v>
      </c>
      <c r="BJ1415">
        <v>18.3</v>
      </c>
      <c r="BK1415">
        <v>0.34</v>
      </c>
      <c r="BL1415">
        <v>7.3</v>
      </c>
      <c r="BM1415">
        <v>0.9</v>
      </c>
      <c r="BN1415">
        <v>7.5</v>
      </c>
      <c r="BO1415">
        <v>2.9</v>
      </c>
      <c r="BP1415">
        <f t="shared" si="44"/>
        <v>2.0148948359499292</v>
      </c>
      <c r="BQ1415">
        <f t="shared" si="45"/>
        <v>10.013778038568447</v>
      </c>
    </row>
    <row r="1416" spans="1:69" hidden="1" x14ac:dyDescent="0.2">
      <c r="A1416" t="s">
        <v>3088</v>
      </c>
      <c r="B1416" t="s">
        <v>68</v>
      </c>
      <c r="C1416" t="s">
        <v>1956</v>
      </c>
      <c r="D1416" t="s">
        <v>70</v>
      </c>
      <c r="E1416" t="s">
        <v>344</v>
      </c>
      <c r="F1416">
        <v>5</v>
      </c>
      <c r="G1416">
        <v>320</v>
      </c>
      <c r="H1416">
        <v>5</v>
      </c>
      <c r="I1416">
        <v>5</v>
      </c>
      <c r="J1416">
        <v>4</v>
      </c>
      <c r="K1416" t="s">
        <v>110</v>
      </c>
      <c r="L1416" t="s">
        <v>162</v>
      </c>
      <c r="M1416" s="4">
        <v>1200000000</v>
      </c>
      <c r="N1416">
        <v>0</v>
      </c>
      <c r="O1416">
        <v>4.7000112999999999</v>
      </c>
      <c r="P1416">
        <v>-74.060326000000003</v>
      </c>
      <c r="Q1416" t="s">
        <v>3089</v>
      </c>
      <c r="R1416">
        <v>3750000</v>
      </c>
      <c r="S1416">
        <v>0</v>
      </c>
      <c r="T1416" t="s">
        <v>104</v>
      </c>
      <c r="U1416" t="s">
        <v>105</v>
      </c>
      <c r="V1416" t="s">
        <v>77</v>
      </c>
      <c r="W1416" t="s">
        <v>104</v>
      </c>
      <c r="X1416" t="s">
        <v>106</v>
      </c>
      <c r="Y1416">
        <v>3.5121919601756799</v>
      </c>
      <c r="Z1416">
        <v>3512.1919601756799</v>
      </c>
      <c r="AA1416">
        <v>4.71035</v>
      </c>
      <c r="AB1416">
        <v>-74.030416666666696</v>
      </c>
      <c r="AC1416">
        <v>2570</v>
      </c>
      <c r="AD1416">
        <v>10</v>
      </c>
      <c r="AE1416" t="s">
        <v>80</v>
      </c>
      <c r="AF1416" t="s">
        <v>107</v>
      </c>
      <c r="AG1416" t="s">
        <v>82</v>
      </c>
      <c r="AH1416" t="s">
        <v>83</v>
      </c>
      <c r="AI1416" t="s">
        <v>121</v>
      </c>
      <c r="AJ1416">
        <v>0.5939985615283</v>
      </c>
      <c r="AK1416">
        <v>3.5690470778255099</v>
      </c>
      <c r="AL1416">
        <v>1.05746411256969</v>
      </c>
      <c r="AM1416">
        <v>0.190065445913149</v>
      </c>
      <c r="AN1416">
        <v>3.7530122959123098</v>
      </c>
      <c r="AO1416">
        <v>9.5386973237823094E-2</v>
      </c>
      <c r="AP1416">
        <v>9.5386973237823094E-2</v>
      </c>
      <c r="AQ1416">
        <v>0</v>
      </c>
      <c r="AR1416">
        <v>3</v>
      </c>
      <c r="AS1416">
        <v>0</v>
      </c>
      <c r="AT1416">
        <v>0</v>
      </c>
      <c r="AU1416">
        <v>0</v>
      </c>
      <c r="AV1416">
        <v>75</v>
      </c>
      <c r="AW1416">
        <v>0</v>
      </c>
      <c r="AX1416">
        <v>0</v>
      </c>
      <c r="AY1416">
        <v>15.5</v>
      </c>
      <c r="AZ1416">
        <v>2.4</v>
      </c>
      <c r="BA1416">
        <v>10.9</v>
      </c>
      <c r="BB1416">
        <v>564</v>
      </c>
      <c r="BC1416">
        <v>68</v>
      </c>
      <c r="BD1416">
        <v>1.5</v>
      </c>
      <c r="BE1416">
        <v>135</v>
      </c>
      <c r="BF1416">
        <v>0</v>
      </c>
      <c r="BG1416">
        <v>162</v>
      </c>
      <c r="BH1416">
        <v>9.1</v>
      </c>
      <c r="BI1416">
        <v>9.1999999999999993</v>
      </c>
      <c r="BJ1416">
        <v>18.3</v>
      </c>
      <c r="BK1416">
        <v>0.34</v>
      </c>
      <c r="BL1416">
        <v>7.3</v>
      </c>
      <c r="BM1416">
        <v>0.9</v>
      </c>
      <c r="BN1416">
        <v>7.5</v>
      </c>
      <c r="BO1416">
        <v>2.9</v>
      </c>
      <c r="BP1416">
        <f t="shared" si="44"/>
        <v>2.017008020320207</v>
      </c>
      <c r="BQ1416">
        <f t="shared" si="45"/>
        <v>10.018868670944657</v>
      </c>
    </row>
    <row r="1417" spans="1:69" hidden="1" x14ac:dyDescent="0.2">
      <c r="A1417" t="s">
        <v>2535</v>
      </c>
      <c r="B1417" t="s">
        <v>68</v>
      </c>
      <c r="C1417" t="s">
        <v>1956</v>
      </c>
      <c r="D1417" t="s">
        <v>70</v>
      </c>
      <c r="E1417" t="s">
        <v>344</v>
      </c>
      <c r="F1417">
        <v>5</v>
      </c>
      <c r="G1417">
        <v>320</v>
      </c>
      <c r="H1417">
        <v>4</v>
      </c>
      <c r="I1417">
        <v>3</v>
      </c>
      <c r="J1417">
        <v>2</v>
      </c>
      <c r="K1417" t="s">
        <v>110</v>
      </c>
      <c r="L1417" t="s">
        <v>124</v>
      </c>
      <c r="M1417" s="4">
        <v>1750000000</v>
      </c>
      <c r="N1417">
        <v>0</v>
      </c>
      <c r="O1417">
        <v>4.6983886999999998</v>
      </c>
      <c r="P1417">
        <v>-74.058655970000004</v>
      </c>
      <c r="Q1417" t="s">
        <v>2536</v>
      </c>
      <c r="R1417">
        <v>5468750</v>
      </c>
      <c r="S1417">
        <v>0</v>
      </c>
      <c r="T1417" t="s">
        <v>104</v>
      </c>
      <c r="U1417" t="s">
        <v>105</v>
      </c>
      <c r="V1417" t="s">
        <v>77</v>
      </c>
      <c r="W1417" t="s">
        <v>104</v>
      </c>
      <c r="X1417" t="s">
        <v>106</v>
      </c>
      <c r="Y1417">
        <v>3.4042056150889799</v>
      </c>
      <c r="Z1417">
        <v>3404.2056150889798</v>
      </c>
      <c r="AA1417">
        <v>4.71035</v>
      </c>
      <c r="AB1417">
        <v>-74.030416666666696</v>
      </c>
      <c r="AC1417">
        <v>2570</v>
      </c>
      <c r="AD1417">
        <v>10</v>
      </c>
      <c r="AE1417" t="s">
        <v>80</v>
      </c>
      <c r="AF1417" t="s">
        <v>107</v>
      </c>
      <c r="AG1417" t="s">
        <v>82</v>
      </c>
      <c r="AH1417" t="s">
        <v>83</v>
      </c>
      <c r="AI1417" t="s">
        <v>121</v>
      </c>
      <c r="AJ1417">
        <v>0.37225378914475898</v>
      </c>
      <c r="AK1417">
        <v>3.3114969013267999</v>
      </c>
      <c r="AL1417">
        <v>1.1270686691727601</v>
      </c>
      <c r="AM1417">
        <v>6.3807929625097903E-2</v>
      </c>
      <c r="AN1417">
        <v>3.7413269315772801</v>
      </c>
      <c r="AO1417">
        <v>0.11722802509496499</v>
      </c>
      <c r="AP1417">
        <v>0.11722802509496499</v>
      </c>
      <c r="AQ1417">
        <v>1</v>
      </c>
      <c r="AR1417">
        <v>3</v>
      </c>
      <c r="AS1417">
        <v>0</v>
      </c>
      <c r="AT1417">
        <v>0</v>
      </c>
      <c r="AU1417">
        <v>0</v>
      </c>
      <c r="AV1417">
        <v>115</v>
      </c>
      <c r="AW1417">
        <v>0</v>
      </c>
      <c r="AX1417">
        <v>0</v>
      </c>
      <c r="AY1417">
        <v>15.5</v>
      </c>
      <c r="AZ1417">
        <v>2.4</v>
      </c>
      <c r="BA1417">
        <v>10.9</v>
      </c>
      <c r="BB1417">
        <v>564</v>
      </c>
      <c r="BC1417">
        <v>68</v>
      </c>
      <c r="BD1417">
        <v>1.5</v>
      </c>
      <c r="BE1417">
        <v>135</v>
      </c>
      <c r="BF1417">
        <v>0</v>
      </c>
      <c r="BG1417">
        <v>162</v>
      </c>
      <c r="BH1417">
        <v>9.1</v>
      </c>
      <c r="BI1417">
        <v>9.1999999999999993</v>
      </c>
      <c r="BJ1417">
        <v>18.3</v>
      </c>
      <c r="BK1417">
        <v>0.34</v>
      </c>
      <c r="BL1417">
        <v>7.3</v>
      </c>
      <c r="BM1417">
        <v>0.9</v>
      </c>
      <c r="BN1417">
        <v>7.5</v>
      </c>
      <c r="BO1417">
        <v>2.9</v>
      </c>
      <c r="BP1417">
        <f t="shared" si="44"/>
        <v>2.0278184487460322</v>
      </c>
      <c r="BQ1417">
        <f t="shared" si="45"/>
        <v>10.044867971457601</v>
      </c>
    </row>
    <row r="1418" spans="1:69" hidden="1" x14ac:dyDescent="0.2">
      <c r="A1418" t="s">
        <v>2801</v>
      </c>
      <c r="B1418" t="s">
        <v>68</v>
      </c>
      <c r="C1418" t="s">
        <v>1956</v>
      </c>
      <c r="D1418" t="s">
        <v>70</v>
      </c>
      <c r="E1418" t="s">
        <v>2802</v>
      </c>
      <c r="F1418">
        <v>4</v>
      </c>
      <c r="G1418">
        <v>320</v>
      </c>
      <c r="H1418">
        <v>5</v>
      </c>
      <c r="I1418">
        <v>5</v>
      </c>
      <c r="J1418">
        <v>2</v>
      </c>
      <c r="K1418" t="s">
        <v>110</v>
      </c>
      <c r="L1418" t="s">
        <v>162</v>
      </c>
      <c r="M1418" s="4">
        <v>1450000000</v>
      </c>
      <c r="N1418">
        <v>0</v>
      </c>
      <c r="O1418">
        <v>4.7303575999999996</v>
      </c>
      <c r="P1418">
        <v>-74.041420000000002</v>
      </c>
      <c r="Q1418" t="s">
        <v>2803</v>
      </c>
      <c r="R1418">
        <v>4531250</v>
      </c>
      <c r="S1418">
        <v>0</v>
      </c>
      <c r="T1418" t="s">
        <v>104</v>
      </c>
      <c r="U1418" t="s">
        <v>105</v>
      </c>
      <c r="V1418" t="s">
        <v>77</v>
      </c>
      <c r="W1418" t="s">
        <v>104</v>
      </c>
      <c r="X1418" t="s">
        <v>106</v>
      </c>
      <c r="Y1418">
        <v>2.5398353215435301</v>
      </c>
      <c r="Z1418">
        <v>2539.83532154353</v>
      </c>
      <c r="AA1418">
        <v>4.71035</v>
      </c>
      <c r="AB1418">
        <v>-74.030416666666696</v>
      </c>
      <c r="AC1418">
        <v>2570</v>
      </c>
      <c r="AD1418">
        <v>10</v>
      </c>
      <c r="AE1418" t="s">
        <v>80</v>
      </c>
      <c r="AF1418" t="s">
        <v>107</v>
      </c>
      <c r="AG1418" t="s">
        <v>82</v>
      </c>
      <c r="AH1418" t="s">
        <v>83</v>
      </c>
      <c r="AI1418" t="s">
        <v>108</v>
      </c>
      <c r="AJ1418">
        <v>0.93222254379554303</v>
      </c>
      <c r="AK1418">
        <v>2.1687788777875601</v>
      </c>
      <c r="AL1418">
        <v>0.32204580890620299</v>
      </c>
      <c r="AM1418">
        <v>0.18125915353201399</v>
      </c>
      <c r="AN1418">
        <v>2.0441047634129101</v>
      </c>
      <c r="AO1418">
        <v>0.203643082394006</v>
      </c>
      <c r="AP1418">
        <v>0.203643082394006</v>
      </c>
      <c r="AQ1418">
        <v>0</v>
      </c>
      <c r="AR1418">
        <v>2</v>
      </c>
      <c r="AS1418">
        <v>0</v>
      </c>
      <c r="AT1418">
        <v>0</v>
      </c>
      <c r="AU1418">
        <v>1</v>
      </c>
      <c r="AV1418">
        <v>22</v>
      </c>
      <c r="AW1418">
        <v>0</v>
      </c>
      <c r="AX1418">
        <v>0</v>
      </c>
      <c r="AY1418">
        <v>15.5</v>
      </c>
      <c r="AZ1418">
        <v>2.4</v>
      </c>
      <c r="BA1418">
        <v>10.9</v>
      </c>
      <c r="BB1418">
        <v>564</v>
      </c>
      <c r="BC1418">
        <v>68</v>
      </c>
      <c r="BD1418">
        <v>1.5</v>
      </c>
      <c r="BE1418">
        <v>135</v>
      </c>
      <c r="BF1418">
        <v>0</v>
      </c>
      <c r="BG1418">
        <v>162</v>
      </c>
      <c r="BH1418">
        <v>9.1</v>
      </c>
      <c r="BI1418">
        <v>9.1999999999999993</v>
      </c>
      <c r="BJ1418">
        <v>18.3</v>
      </c>
      <c r="BK1418">
        <v>0.34</v>
      </c>
      <c r="BL1418">
        <v>7.3</v>
      </c>
      <c r="BM1418">
        <v>0.9</v>
      </c>
      <c r="BN1418">
        <v>7.5</v>
      </c>
      <c r="BO1418">
        <v>2.9</v>
      </c>
      <c r="BP1418">
        <f t="shared" si="44"/>
        <v>2.1164642482964511</v>
      </c>
      <c r="BQ1418">
        <f t="shared" si="45"/>
        <v>10.255424052952723</v>
      </c>
    </row>
    <row r="1419" spans="1:69" hidden="1" x14ac:dyDescent="0.2">
      <c r="A1419" t="s">
        <v>1607</v>
      </c>
      <c r="B1419" t="s">
        <v>68</v>
      </c>
      <c r="C1419" t="s">
        <v>69</v>
      </c>
      <c r="D1419" t="s">
        <v>70</v>
      </c>
      <c r="E1419" t="s">
        <v>270</v>
      </c>
      <c r="F1419">
        <v>6</v>
      </c>
      <c r="G1419">
        <v>315</v>
      </c>
      <c r="H1419">
        <v>3</v>
      </c>
      <c r="I1419">
        <v>5</v>
      </c>
      <c r="J1419">
        <v>4</v>
      </c>
      <c r="K1419" t="s">
        <v>110</v>
      </c>
      <c r="L1419" t="s">
        <v>162</v>
      </c>
      <c r="M1419" s="4">
        <v>2930000000</v>
      </c>
      <c r="N1419">
        <v>0</v>
      </c>
      <c r="O1419">
        <v>4.6974010469999996</v>
      </c>
      <c r="P1419">
        <v>-74.028007509999995</v>
      </c>
      <c r="Q1419" t="s">
        <v>1608</v>
      </c>
      <c r="R1419">
        <v>9301587.3019999992</v>
      </c>
      <c r="S1419">
        <v>0</v>
      </c>
      <c r="T1419" t="s">
        <v>104</v>
      </c>
      <c r="U1419" t="s">
        <v>105</v>
      </c>
      <c r="V1419" t="s">
        <v>77</v>
      </c>
      <c r="W1419" t="s">
        <v>104</v>
      </c>
      <c r="X1419" t="s">
        <v>106</v>
      </c>
      <c r="Y1419">
        <v>1.4660417179316001</v>
      </c>
      <c r="Z1419">
        <v>1466.0417179316</v>
      </c>
      <c r="AA1419">
        <v>4.71035</v>
      </c>
      <c r="AB1419">
        <v>-74.030416666666696</v>
      </c>
      <c r="AC1419">
        <v>2570</v>
      </c>
      <c r="AD1419">
        <v>10</v>
      </c>
      <c r="AE1419" t="s">
        <v>80</v>
      </c>
      <c r="AF1419" t="s">
        <v>107</v>
      </c>
      <c r="AG1419" t="s">
        <v>82</v>
      </c>
      <c r="AH1419" t="s">
        <v>83</v>
      </c>
      <c r="AI1419" t="s">
        <v>108</v>
      </c>
      <c r="AJ1419">
        <v>3.01499465463238</v>
      </c>
      <c r="AK1419">
        <v>0.23765733561307201</v>
      </c>
      <c r="AL1419">
        <v>0.37609905813070699</v>
      </c>
      <c r="AM1419">
        <v>0.257587999793363</v>
      </c>
      <c r="AN1419">
        <v>4.8796021734834598</v>
      </c>
      <c r="AO1419">
        <v>0.61829919085756002</v>
      </c>
      <c r="AP1419">
        <v>0.61829919085756002</v>
      </c>
      <c r="AQ1419">
        <v>0</v>
      </c>
      <c r="AR1419">
        <v>0</v>
      </c>
      <c r="AS1419">
        <v>14</v>
      </c>
      <c r="AT1419">
        <v>26</v>
      </c>
      <c r="AU1419">
        <v>2</v>
      </c>
      <c r="AV1419">
        <v>111</v>
      </c>
      <c r="AW1419">
        <v>0</v>
      </c>
      <c r="AX1419">
        <v>0</v>
      </c>
      <c r="AY1419">
        <v>15.5</v>
      </c>
      <c r="AZ1419">
        <v>2.4</v>
      </c>
      <c r="BA1419">
        <v>10.9</v>
      </c>
      <c r="BB1419">
        <v>564</v>
      </c>
      <c r="BC1419">
        <v>68</v>
      </c>
      <c r="BD1419">
        <v>1.5</v>
      </c>
      <c r="BE1419">
        <v>135</v>
      </c>
      <c r="BF1419">
        <v>0</v>
      </c>
      <c r="BG1419">
        <v>162</v>
      </c>
      <c r="BH1419">
        <v>9.1</v>
      </c>
      <c r="BI1419">
        <v>9.1999999999999993</v>
      </c>
      <c r="BJ1419">
        <v>18.3</v>
      </c>
      <c r="BK1419">
        <v>0.34</v>
      </c>
      <c r="BL1419">
        <v>7.3</v>
      </c>
      <c r="BM1419">
        <v>0.9</v>
      </c>
      <c r="BN1419">
        <v>7.5</v>
      </c>
      <c r="BO1419">
        <v>2.9</v>
      </c>
      <c r="BP1419">
        <f t="shared" si="44"/>
        <v>2.2320036332463546</v>
      </c>
      <c r="BQ1419">
        <f t="shared" si="45"/>
        <v>10.523152061037994</v>
      </c>
    </row>
    <row r="1420" spans="1:69" hidden="1" x14ac:dyDescent="0.2">
      <c r="A1420" t="s">
        <v>2569</v>
      </c>
      <c r="B1420" t="s">
        <v>68</v>
      </c>
      <c r="C1420" t="s">
        <v>1956</v>
      </c>
      <c r="D1420" t="s">
        <v>70</v>
      </c>
      <c r="E1420" t="s">
        <v>205</v>
      </c>
      <c r="F1420">
        <v>4</v>
      </c>
      <c r="G1420">
        <v>314.31</v>
      </c>
      <c r="H1420">
        <v>5</v>
      </c>
      <c r="I1420">
        <v>3</v>
      </c>
      <c r="J1420">
        <v>4</v>
      </c>
      <c r="K1420" t="s">
        <v>110</v>
      </c>
      <c r="L1420" t="s">
        <v>162</v>
      </c>
      <c r="M1420" s="4">
        <v>1100000000</v>
      </c>
      <c r="N1420">
        <v>0</v>
      </c>
      <c r="O1420">
        <v>4.717312336</v>
      </c>
      <c r="P1420">
        <v>-74.034828189999999</v>
      </c>
      <c r="Q1420" t="s">
        <v>2570</v>
      </c>
      <c r="R1420">
        <v>3499729.5660000001</v>
      </c>
      <c r="S1420">
        <v>0</v>
      </c>
      <c r="T1420" t="s">
        <v>104</v>
      </c>
      <c r="U1420" t="s">
        <v>105</v>
      </c>
      <c r="V1420" t="s">
        <v>77</v>
      </c>
      <c r="W1420" t="s">
        <v>104</v>
      </c>
      <c r="X1420" t="s">
        <v>106</v>
      </c>
      <c r="Y1420">
        <v>0.91664168289662395</v>
      </c>
      <c r="Z1420">
        <v>916.64168289662405</v>
      </c>
      <c r="AA1420">
        <v>4.71035</v>
      </c>
      <c r="AB1420">
        <v>-74.030416666666696</v>
      </c>
      <c r="AC1420">
        <v>2570</v>
      </c>
      <c r="AD1420">
        <v>10</v>
      </c>
      <c r="AE1420" t="s">
        <v>80</v>
      </c>
      <c r="AF1420" t="s">
        <v>107</v>
      </c>
      <c r="AG1420" t="s">
        <v>82</v>
      </c>
      <c r="AH1420" t="s">
        <v>83</v>
      </c>
      <c r="AI1420" t="s">
        <v>108</v>
      </c>
      <c r="AJ1420">
        <v>1.8922932197414899</v>
      </c>
      <c r="AK1420">
        <v>1.2356285261993301</v>
      </c>
      <c r="AL1420">
        <v>0.76086709703698496</v>
      </c>
      <c r="AM1420">
        <v>0.154008442327671</v>
      </c>
      <c r="AN1420">
        <v>2.8236187023425399</v>
      </c>
      <c r="AO1420">
        <v>0.13875468440956801</v>
      </c>
      <c r="AP1420">
        <v>0.13875468440956801</v>
      </c>
      <c r="AQ1420">
        <v>0</v>
      </c>
      <c r="AR1420">
        <v>0</v>
      </c>
      <c r="AS1420">
        <v>0</v>
      </c>
      <c r="AT1420">
        <v>0</v>
      </c>
      <c r="AU1420">
        <v>1</v>
      </c>
      <c r="AV1420">
        <v>74</v>
      </c>
      <c r="AW1420">
        <v>0</v>
      </c>
      <c r="AX1420">
        <v>0</v>
      </c>
      <c r="AY1420">
        <v>15.5</v>
      </c>
      <c r="AZ1420">
        <v>2.4</v>
      </c>
      <c r="BA1420">
        <v>10.9</v>
      </c>
      <c r="BB1420">
        <v>564</v>
      </c>
      <c r="BC1420">
        <v>68</v>
      </c>
      <c r="BD1420">
        <v>1.5</v>
      </c>
      <c r="BE1420">
        <v>135</v>
      </c>
      <c r="BF1420">
        <v>0</v>
      </c>
      <c r="BG1420">
        <v>162</v>
      </c>
      <c r="BH1420">
        <v>9.1</v>
      </c>
      <c r="BI1420">
        <v>9.1999999999999993</v>
      </c>
      <c r="BJ1420">
        <v>18.3</v>
      </c>
      <c r="BK1420">
        <v>0.34</v>
      </c>
      <c r="BL1420">
        <v>7.3</v>
      </c>
      <c r="BM1420">
        <v>0.9</v>
      </c>
      <c r="BN1420">
        <v>7.5</v>
      </c>
      <c r="BO1420">
        <v>2.9</v>
      </c>
      <c r="BP1420">
        <f t="shared" si="44"/>
        <v>2.2935365563773478</v>
      </c>
      <c r="BQ1420">
        <f t="shared" si="45"/>
        <v>10.662824955597873</v>
      </c>
    </row>
    <row r="1421" spans="1:69" hidden="1" x14ac:dyDescent="0.2">
      <c r="A1421" t="s">
        <v>1342</v>
      </c>
      <c r="B1421" t="s">
        <v>68</v>
      </c>
      <c r="C1421" t="s">
        <v>69</v>
      </c>
      <c r="D1421" t="s">
        <v>70</v>
      </c>
      <c r="E1421" t="s">
        <v>202</v>
      </c>
      <c r="F1421">
        <v>6</v>
      </c>
      <c r="G1421">
        <v>312</v>
      </c>
      <c r="H1421">
        <v>3</v>
      </c>
      <c r="I1421">
        <v>5</v>
      </c>
      <c r="J1421">
        <v>4</v>
      </c>
      <c r="K1421" t="s">
        <v>110</v>
      </c>
      <c r="L1421" t="s">
        <v>133</v>
      </c>
      <c r="M1421" s="4">
        <v>3850000000</v>
      </c>
      <c r="N1421">
        <v>0</v>
      </c>
      <c r="O1421">
        <v>4.6998691560000001</v>
      </c>
      <c r="P1421">
        <v>-74.027954100000002</v>
      </c>
      <c r="Q1421" t="s">
        <v>1343</v>
      </c>
      <c r="R1421">
        <v>12339743.59</v>
      </c>
      <c r="S1421">
        <v>0</v>
      </c>
      <c r="T1421" t="s">
        <v>104</v>
      </c>
      <c r="U1421" t="s">
        <v>105</v>
      </c>
      <c r="V1421" t="s">
        <v>77</v>
      </c>
      <c r="W1421" t="s">
        <v>104</v>
      </c>
      <c r="X1421" t="s">
        <v>106</v>
      </c>
      <c r="Y1421">
        <v>1.1982834677076699</v>
      </c>
      <c r="Z1421">
        <v>1198.2834677076701</v>
      </c>
      <c r="AA1421">
        <v>4.71035</v>
      </c>
      <c r="AB1421">
        <v>-74.030416666666696</v>
      </c>
      <c r="AC1421">
        <v>2570</v>
      </c>
      <c r="AD1421">
        <v>10</v>
      </c>
      <c r="AE1421" t="s">
        <v>80</v>
      </c>
      <c r="AF1421" t="s">
        <v>107</v>
      </c>
      <c r="AG1421" t="s">
        <v>82</v>
      </c>
      <c r="AH1421" t="s">
        <v>83</v>
      </c>
      <c r="AI1421" t="s">
        <v>108</v>
      </c>
      <c r="AJ1421">
        <v>2.9601763089172599</v>
      </c>
      <c r="AK1421">
        <v>0.23884285088726001</v>
      </c>
      <c r="AL1421">
        <v>0.52560379124396905</v>
      </c>
      <c r="AM1421">
        <v>0.16080832835405601</v>
      </c>
      <c r="AN1421">
        <v>4.6067922477359797</v>
      </c>
      <c r="AO1421">
        <v>0.37196602403544499</v>
      </c>
      <c r="AP1421">
        <v>0.37196602403544499</v>
      </c>
      <c r="AQ1421">
        <v>0</v>
      </c>
      <c r="AR1421">
        <v>0</v>
      </c>
      <c r="AS1421">
        <v>11</v>
      </c>
      <c r="AT1421">
        <v>30</v>
      </c>
      <c r="AU1421">
        <v>2</v>
      </c>
      <c r="AV1421">
        <v>103</v>
      </c>
      <c r="AW1421">
        <v>0</v>
      </c>
      <c r="AX1421">
        <v>0</v>
      </c>
      <c r="AY1421">
        <v>15.5</v>
      </c>
      <c r="AZ1421">
        <v>2.4</v>
      </c>
      <c r="BA1421">
        <v>10.9</v>
      </c>
      <c r="BB1421">
        <v>564</v>
      </c>
      <c r="BC1421">
        <v>68</v>
      </c>
      <c r="BD1421">
        <v>1.5</v>
      </c>
      <c r="BE1421">
        <v>135</v>
      </c>
      <c r="BF1421">
        <v>0</v>
      </c>
      <c r="BG1421">
        <v>162</v>
      </c>
      <c r="BH1421">
        <v>9.1</v>
      </c>
      <c r="BI1421">
        <v>9.1999999999999993</v>
      </c>
      <c r="BJ1421">
        <v>18.3</v>
      </c>
      <c r="BK1421">
        <v>0.34</v>
      </c>
      <c r="BL1421">
        <v>7.3</v>
      </c>
      <c r="BM1421">
        <v>0.9</v>
      </c>
      <c r="BN1421">
        <v>7.5</v>
      </c>
      <c r="BO1421">
        <v>2.9</v>
      </c>
      <c r="BP1421">
        <f t="shared" si="44"/>
        <v>2.2617836003069547</v>
      </c>
      <c r="BQ1421">
        <f t="shared" si="45"/>
        <v>10.590993668157523</v>
      </c>
    </row>
    <row r="1422" spans="1:69" hidden="1" x14ac:dyDescent="0.2">
      <c r="A1422" t="s">
        <v>1883</v>
      </c>
      <c r="B1422" t="s">
        <v>68</v>
      </c>
      <c r="C1422" t="s">
        <v>69</v>
      </c>
      <c r="D1422" t="s">
        <v>70</v>
      </c>
      <c r="E1422" t="s">
        <v>270</v>
      </c>
      <c r="F1422">
        <v>6</v>
      </c>
      <c r="G1422">
        <v>311.01</v>
      </c>
      <c r="H1422">
        <v>3</v>
      </c>
      <c r="I1422">
        <v>5</v>
      </c>
      <c r="J1422">
        <v>2</v>
      </c>
      <c r="K1422" t="s">
        <v>110</v>
      </c>
      <c r="L1422" t="s">
        <v>124</v>
      </c>
      <c r="M1422" s="4">
        <v>3500000000</v>
      </c>
      <c r="N1422">
        <v>0</v>
      </c>
      <c r="O1422">
        <v>4.6964944080000004</v>
      </c>
      <c r="P1422">
        <v>-74.027485799999994</v>
      </c>
      <c r="Q1422" t="s">
        <v>1884</v>
      </c>
      <c r="R1422">
        <v>11253657.439999999</v>
      </c>
      <c r="S1422">
        <v>0</v>
      </c>
      <c r="T1422" t="s">
        <v>104</v>
      </c>
      <c r="U1422" t="s">
        <v>105</v>
      </c>
      <c r="V1422" t="s">
        <v>77</v>
      </c>
      <c r="W1422" t="s">
        <v>104</v>
      </c>
      <c r="X1422" t="s">
        <v>106</v>
      </c>
      <c r="Y1422">
        <v>1.5762999201514001</v>
      </c>
      <c r="Z1422">
        <v>1576.2999201514001</v>
      </c>
      <c r="AA1422">
        <v>4.71035</v>
      </c>
      <c r="AB1422">
        <v>-74.030416666666696</v>
      </c>
      <c r="AC1422">
        <v>2570</v>
      </c>
      <c r="AD1422">
        <v>10</v>
      </c>
      <c r="AE1422" t="s">
        <v>80</v>
      </c>
      <c r="AF1422" t="s">
        <v>107</v>
      </c>
      <c r="AG1422" t="s">
        <v>82</v>
      </c>
      <c r="AH1422" t="s">
        <v>83</v>
      </c>
      <c r="AI1422" t="s">
        <v>108</v>
      </c>
      <c r="AJ1422">
        <v>3.0902192118019101</v>
      </c>
      <c r="AK1422">
        <v>0.21397818509573299</v>
      </c>
      <c r="AL1422">
        <v>0.33385497782282297</v>
      </c>
      <c r="AM1422">
        <v>0.33448799823807601</v>
      </c>
      <c r="AN1422">
        <v>4.9784472368853301</v>
      </c>
      <c r="AO1422">
        <v>0.67314272688798205</v>
      </c>
      <c r="AP1422">
        <v>0.67314272688798205</v>
      </c>
      <c r="AQ1422">
        <v>0</v>
      </c>
      <c r="AR1422">
        <v>0</v>
      </c>
      <c r="AS1422">
        <v>14</v>
      </c>
      <c r="AT1422">
        <v>26</v>
      </c>
      <c r="AU1422">
        <v>2</v>
      </c>
      <c r="AV1422">
        <v>100</v>
      </c>
      <c r="AW1422">
        <v>0</v>
      </c>
      <c r="AX1422">
        <v>0</v>
      </c>
      <c r="AY1422">
        <v>15.5</v>
      </c>
      <c r="AZ1422">
        <v>2.4</v>
      </c>
      <c r="BA1422">
        <v>10.9</v>
      </c>
      <c r="BB1422">
        <v>564</v>
      </c>
      <c r="BC1422">
        <v>68</v>
      </c>
      <c r="BD1422">
        <v>1.5</v>
      </c>
      <c r="BE1422">
        <v>135</v>
      </c>
      <c r="BF1422">
        <v>0</v>
      </c>
      <c r="BG1422">
        <v>162</v>
      </c>
      <c r="BH1422">
        <v>9.1</v>
      </c>
      <c r="BI1422">
        <v>9.1999999999999993</v>
      </c>
      <c r="BJ1422">
        <v>18.3</v>
      </c>
      <c r="BK1422">
        <v>0.34</v>
      </c>
      <c r="BL1422">
        <v>7.3</v>
      </c>
      <c r="BM1422">
        <v>0.9</v>
      </c>
      <c r="BN1422">
        <v>7.5</v>
      </c>
      <c r="BO1422">
        <v>2.9</v>
      </c>
      <c r="BP1422">
        <f t="shared" si="44"/>
        <v>2.2198550285710232</v>
      </c>
      <c r="BQ1422">
        <f t="shared" si="45"/>
        <v>10.495342540128583</v>
      </c>
    </row>
    <row r="1423" spans="1:69" hidden="1" x14ac:dyDescent="0.2">
      <c r="A1423" t="s">
        <v>2822</v>
      </c>
      <c r="B1423" t="s">
        <v>68</v>
      </c>
      <c r="C1423" t="s">
        <v>1956</v>
      </c>
      <c r="D1423" t="s">
        <v>70</v>
      </c>
      <c r="E1423" t="s">
        <v>748</v>
      </c>
      <c r="F1423">
        <v>6</v>
      </c>
      <c r="G1423">
        <v>310.19</v>
      </c>
      <c r="H1423">
        <v>5</v>
      </c>
      <c r="I1423">
        <v>3</v>
      </c>
      <c r="J1423">
        <v>4</v>
      </c>
      <c r="K1423" t="s">
        <v>110</v>
      </c>
      <c r="L1423" t="s">
        <v>162</v>
      </c>
      <c r="M1423" s="4">
        <v>2400000000</v>
      </c>
      <c r="N1423">
        <v>0</v>
      </c>
      <c r="O1423">
        <v>4.6922540000000001</v>
      </c>
      <c r="P1423">
        <v>-74.041736</v>
      </c>
      <c r="Q1423" t="s">
        <v>2823</v>
      </c>
      <c r="R1423">
        <v>7737193.3329999996</v>
      </c>
      <c r="S1423">
        <v>0</v>
      </c>
      <c r="T1423" t="s">
        <v>104</v>
      </c>
      <c r="U1423" t="s">
        <v>105</v>
      </c>
      <c r="V1423" t="s">
        <v>77</v>
      </c>
      <c r="W1423" t="s">
        <v>104</v>
      </c>
      <c r="X1423" t="s">
        <v>106</v>
      </c>
      <c r="Y1423">
        <v>2.3738259816342202</v>
      </c>
      <c r="Z1423">
        <v>2373.8259816342202</v>
      </c>
      <c r="AA1423">
        <v>4.71035</v>
      </c>
      <c r="AB1423">
        <v>-74.030416666666696</v>
      </c>
      <c r="AC1423">
        <v>2570</v>
      </c>
      <c r="AD1423">
        <v>10</v>
      </c>
      <c r="AE1423" t="s">
        <v>80</v>
      </c>
      <c r="AF1423" t="s">
        <v>107</v>
      </c>
      <c r="AG1423" t="s">
        <v>82</v>
      </c>
      <c r="AH1423" t="s">
        <v>83</v>
      </c>
      <c r="AI1423" t="s">
        <v>108</v>
      </c>
      <c r="AJ1423">
        <v>1.60382344250105</v>
      </c>
      <c r="AK1423">
        <v>1.6169857523883999</v>
      </c>
      <c r="AL1423">
        <v>0.90703778981067995</v>
      </c>
      <c r="AM1423">
        <v>0.21074084357272399</v>
      </c>
      <c r="AN1423">
        <v>4.8937552992451598</v>
      </c>
      <c r="AO1423">
        <v>0.35052106262240401</v>
      </c>
      <c r="AP1423">
        <v>0.35052106262240401</v>
      </c>
      <c r="AQ1423">
        <v>0</v>
      </c>
      <c r="AR1423">
        <v>0</v>
      </c>
      <c r="AS1423">
        <v>0</v>
      </c>
      <c r="AT1423">
        <v>0</v>
      </c>
      <c r="AU1423">
        <v>1</v>
      </c>
      <c r="AV1423">
        <v>106</v>
      </c>
      <c r="AW1423">
        <v>0</v>
      </c>
      <c r="AX1423">
        <v>0</v>
      </c>
      <c r="AY1423">
        <v>15.5</v>
      </c>
      <c r="AZ1423">
        <v>2.4</v>
      </c>
      <c r="BA1423">
        <v>10.9</v>
      </c>
      <c r="BB1423">
        <v>564</v>
      </c>
      <c r="BC1423">
        <v>68</v>
      </c>
      <c r="BD1423">
        <v>1.5</v>
      </c>
      <c r="BE1423">
        <v>135</v>
      </c>
      <c r="BF1423">
        <v>0</v>
      </c>
      <c r="BG1423">
        <v>162</v>
      </c>
      <c r="BH1423">
        <v>9.1</v>
      </c>
      <c r="BI1423">
        <v>9.1999999999999993</v>
      </c>
      <c r="BJ1423">
        <v>18.3</v>
      </c>
      <c r="BK1423">
        <v>0.34</v>
      </c>
      <c r="BL1423">
        <v>7.3</v>
      </c>
      <c r="BM1423">
        <v>0.9</v>
      </c>
      <c r="BN1423">
        <v>7.5</v>
      </c>
      <c r="BO1423">
        <v>2.9</v>
      </c>
      <c r="BP1423">
        <f t="shared" si="44"/>
        <v>2.1339278685693563</v>
      </c>
      <c r="BQ1423">
        <f t="shared" si="45"/>
        <v>10.296365466939754</v>
      </c>
    </row>
    <row r="1424" spans="1:69" hidden="1" x14ac:dyDescent="0.2">
      <c r="A1424" t="s">
        <v>1648</v>
      </c>
      <c r="B1424" t="s">
        <v>68</v>
      </c>
      <c r="C1424" t="s">
        <v>69</v>
      </c>
      <c r="D1424" t="s">
        <v>70</v>
      </c>
      <c r="E1424" t="s">
        <v>1649</v>
      </c>
      <c r="F1424">
        <v>6</v>
      </c>
      <c r="G1424">
        <v>306</v>
      </c>
      <c r="H1424">
        <v>5</v>
      </c>
      <c r="I1424">
        <v>5</v>
      </c>
      <c r="J1424">
        <v>2</v>
      </c>
      <c r="K1424" t="s">
        <v>110</v>
      </c>
      <c r="L1424" t="s">
        <v>162</v>
      </c>
      <c r="M1424" s="4">
        <v>1380000000</v>
      </c>
      <c r="N1424">
        <v>0</v>
      </c>
      <c r="O1424">
        <v>4.6909149000000001</v>
      </c>
      <c r="P1424">
        <v>-74.052761200000006</v>
      </c>
      <c r="Q1424" t="s">
        <v>1650</v>
      </c>
      <c r="R1424">
        <v>4509803.9220000003</v>
      </c>
      <c r="S1424">
        <v>0</v>
      </c>
      <c r="T1424" t="s">
        <v>104</v>
      </c>
      <c r="U1424" t="s">
        <v>105</v>
      </c>
      <c r="V1424" t="s">
        <v>77</v>
      </c>
      <c r="W1424" t="s">
        <v>104</v>
      </c>
      <c r="X1424" t="s">
        <v>106</v>
      </c>
      <c r="Y1424">
        <v>3.2903304764238501</v>
      </c>
      <c r="Z1424">
        <v>3290.3304764238501</v>
      </c>
      <c r="AA1424">
        <v>4.71035</v>
      </c>
      <c r="AB1424">
        <v>-74.030416666666696</v>
      </c>
      <c r="AC1424">
        <v>2570</v>
      </c>
      <c r="AD1424">
        <v>10</v>
      </c>
      <c r="AE1424" t="s">
        <v>80</v>
      </c>
      <c r="AF1424" t="s">
        <v>107</v>
      </c>
      <c r="AG1424" t="s">
        <v>82</v>
      </c>
      <c r="AH1424" t="s">
        <v>83</v>
      </c>
      <c r="AI1424" t="s">
        <v>108</v>
      </c>
      <c r="AJ1424">
        <v>0.44284954812757399</v>
      </c>
      <c r="AK1424">
        <v>2.27886061971541</v>
      </c>
      <c r="AL1424">
        <v>0.37921209261935002</v>
      </c>
      <c r="AM1424">
        <v>0.131000612911091</v>
      </c>
      <c r="AN1424">
        <v>3.7395188018655898</v>
      </c>
      <c r="AO1424">
        <v>0.23888139515842899</v>
      </c>
      <c r="AP1424">
        <v>0.23888139515842899</v>
      </c>
      <c r="AQ1424">
        <v>1</v>
      </c>
      <c r="AR1424">
        <v>3</v>
      </c>
      <c r="AS1424">
        <v>0</v>
      </c>
      <c r="AT1424">
        <v>0</v>
      </c>
      <c r="AU1424">
        <v>5</v>
      </c>
      <c r="AV1424">
        <v>180</v>
      </c>
      <c r="AW1424">
        <v>0</v>
      </c>
      <c r="AX1424">
        <v>0</v>
      </c>
      <c r="AY1424">
        <v>15.5</v>
      </c>
      <c r="AZ1424">
        <v>2.4</v>
      </c>
      <c r="BA1424">
        <v>10.9</v>
      </c>
      <c r="BB1424">
        <v>564</v>
      </c>
      <c r="BC1424">
        <v>68</v>
      </c>
      <c r="BD1424">
        <v>1.5</v>
      </c>
      <c r="BE1424">
        <v>135</v>
      </c>
      <c r="BF1424">
        <v>0</v>
      </c>
      <c r="BG1424">
        <v>162</v>
      </c>
      <c r="BH1424">
        <v>9.1</v>
      </c>
      <c r="BI1424">
        <v>9.1999999999999993</v>
      </c>
      <c r="BJ1424">
        <v>18.3</v>
      </c>
      <c r="BK1424">
        <v>0.34</v>
      </c>
      <c r="BL1424">
        <v>7.3</v>
      </c>
      <c r="BM1424">
        <v>0.9</v>
      </c>
      <c r="BN1424">
        <v>7.5</v>
      </c>
      <c r="BO1424">
        <v>2.9</v>
      </c>
      <c r="BP1424">
        <f t="shared" si="44"/>
        <v>2.0392811713416839</v>
      </c>
      <c r="BQ1424">
        <f t="shared" si="45"/>
        <v>10.07235817735358</v>
      </c>
    </row>
    <row r="1425" spans="1:69" hidden="1" x14ac:dyDescent="0.2">
      <c r="A1425" t="s">
        <v>1500</v>
      </c>
      <c r="B1425" t="s">
        <v>68</v>
      </c>
      <c r="C1425" t="s">
        <v>69</v>
      </c>
      <c r="D1425" t="s">
        <v>70</v>
      </c>
      <c r="E1425" t="s">
        <v>560</v>
      </c>
      <c r="F1425">
        <v>5</v>
      </c>
      <c r="G1425">
        <v>302.72000000000003</v>
      </c>
      <c r="H1425">
        <v>3</v>
      </c>
      <c r="I1425">
        <v>5</v>
      </c>
      <c r="J1425">
        <v>3</v>
      </c>
      <c r="K1425" t="s">
        <v>110</v>
      </c>
      <c r="L1425" t="s">
        <v>124</v>
      </c>
      <c r="M1425" s="4">
        <v>1900000000</v>
      </c>
      <c r="N1425">
        <v>0</v>
      </c>
      <c r="O1425">
        <v>4.7140000000000004</v>
      </c>
      <c r="P1425">
        <v>-74.031000000000006</v>
      </c>
      <c r="Q1425" t="s">
        <v>1501</v>
      </c>
      <c r="R1425">
        <v>6276427.0609999998</v>
      </c>
      <c r="S1425">
        <v>0</v>
      </c>
      <c r="T1425" t="s">
        <v>104</v>
      </c>
      <c r="U1425" t="s">
        <v>105</v>
      </c>
      <c r="V1425" t="s">
        <v>77</v>
      </c>
      <c r="W1425" t="s">
        <v>104</v>
      </c>
      <c r="X1425" t="s">
        <v>106</v>
      </c>
      <c r="Y1425">
        <v>0.41143782218763503</v>
      </c>
      <c r="Z1425">
        <v>411.43782218763499</v>
      </c>
      <c r="AA1425">
        <v>4.71035</v>
      </c>
      <c r="AB1425">
        <v>-74.030416666666696</v>
      </c>
      <c r="AC1425">
        <v>2570</v>
      </c>
      <c r="AD1425">
        <v>10</v>
      </c>
      <c r="AE1425" t="s">
        <v>80</v>
      </c>
      <c r="AF1425" t="s">
        <v>107</v>
      </c>
      <c r="AG1425" t="s">
        <v>82</v>
      </c>
      <c r="AH1425" t="s">
        <v>83</v>
      </c>
      <c r="AI1425" t="s">
        <v>108</v>
      </c>
      <c r="AJ1425">
        <v>2.3910714756903801</v>
      </c>
      <c r="AK1425">
        <v>0.71698286846805803</v>
      </c>
      <c r="AL1425">
        <v>0.41053849154833</v>
      </c>
      <c r="AM1425">
        <v>4.3336721973876301E-2</v>
      </c>
      <c r="AN1425">
        <v>3.0797566045306302</v>
      </c>
      <c r="AO1425">
        <v>0.314382224594704</v>
      </c>
      <c r="AP1425">
        <v>0.314382224594704</v>
      </c>
      <c r="AQ1425">
        <v>0</v>
      </c>
      <c r="AR1425">
        <v>0</v>
      </c>
      <c r="AS1425">
        <v>0</v>
      </c>
      <c r="AT1425">
        <v>22</v>
      </c>
      <c r="AU1425">
        <v>1</v>
      </c>
      <c r="AV1425">
        <v>77</v>
      </c>
      <c r="AW1425">
        <v>0</v>
      </c>
      <c r="AX1425">
        <v>0</v>
      </c>
      <c r="AY1425">
        <v>15.5</v>
      </c>
      <c r="AZ1425">
        <v>2.4</v>
      </c>
      <c r="BA1425">
        <v>10.9</v>
      </c>
      <c r="BB1425">
        <v>564</v>
      </c>
      <c r="BC1425">
        <v>68</v>
      </c>
      <c r="BD1425">
        <v>1.5</v>
      </c>
      <c r="BE1425">
        <v>135</v>
      </c>
      <c r="BF1425">
        <v>0</v>
      </c>
      <c r="BG1425">
        <v>162</v>
      </c>
      <c r="BH1425">
        <v>9.1</v>
      </c>
      <c r="BI1425">
        <v>9.1999999999999993</v>
      </c>
      <c r="BJ1425">
        <v>18.3</v>
      </c>
      <c r="BK1425">
        <v>0.34</v>
      </c>
      <c r="BL1425">
        <v>7.3</v>
      </c>
      <c r="BM1425">
        <v>0.9</v>
      </c>
      <c r="BN1425">
        <v>7.5</v>
      </c>
      <c r="BO1425">
        <v>2.9</v>
      </c>
      <c r="BP1425">
        <f t="shared" si="44"/>
        <v>2.3516155620223427</v>
      </c>
      <c r="BQ1425">
        <f t="shared" si="45"/>
        <v>10.792897528068201</v>
      </c>
    </row>
    <row r="1426" spans="1:69" hidden="1" x14ac:dyDescent="0.2">
      <c r="A1426" t="s">
        <v>243</v>
      </c>
      <c r="B1426" t="s">
        <v>68</v>
      </c>
      <c r="C1426" t="s">
        <v>69</v>
      </c>
      <c r="D1426" t="s">
        <v>70</v>
      </c>
      <c r="E1426" t="s">
        <v>179</v>
      </c>
      <c r="F1426">
        <v>6</v>
      </c>
      <c r="G1426">
        <v>300</v>
      </c>
      <c r="H1426">
        <v>3</v>
      </c>
      <c r="I1426">
        <v>5</v>
      </c>
      <c r="J1426">
        <v>4</v>
      </c>
      <c r="K1426" t="s">
        <v>110</v>
      </c>
      <c r="L1426" t="s">
        <v>133</v>
      </c>
      <c r="M1426" s="4">
        <v>3950000000</v>
      </c>
      <c r="N1426">
        <v>0</v>
      </c>
      <c r="O1426">
        <v>4.6775307660000003</v>
      </c>
      <c r="P1426">
        <v>-74.043189999999996</v>
      </c>
      <c r="Q1426" t="s">
        <v>244</v>
      </c>
      <c r="R1426">
        <v>13166666.67</v>
      </c>
      <c r="S1426">
        <v>0</v>
      </c>
      <c r="T1426" t="s">
        <v>104</v>
      </c>
      <c r="U1426" t="s">
        <v>105</v>
      </c>
      <c r="V1426" t="s">
        <v>77</v>
      </c>
      <c r="W1426" t="s">
        <v>104</v>
      </c>
      <c r="X1426" t="s">
        <v>106</v>
      </c>
      <c r="Y1426">
        <v>3.9186477532391</v>
      </c>
      <c r="Z1426">
        <v>3918.6477532391</v>
      </c>
      <c r="AA1426">
        <v>4.71035</v>
      </c>
      <c r="AB1426">
        <v>-74.030416666666696</v>
      </c>
      <c r="AC1426">
        <v>2570</v>
      </c>
      <c r="AD1426">
        <v>10</v>
      </c>
      <c r="AE1426" t="s">
        <v>80</v>
      </c>
      <c r="AF1426" t="s">
        <v>107</v>
      </c>
      <c r="AG1426" t="s">
        <v>82</v>
      </c>
      <c r="AH1426" t="s">
        <v>83</v>
      </c>
      <c r="AI1426" t="s">
        <v>130</v>
      </c>
      <c r="AJ1426">
        <v>1.7595558088899499</v>
      </c>
      <c r="AK1426">
        <v>0.56128304864846601</v>
      </c>
      <c r="AL1426">
        <v>0.69434067426996804</v>
      </c>
      <c r="AM1426">
        <v>0.215022141695452</v>
      </c>
      <c r="AN1426">
        <v>4.3076459442664703</v>
      </c>
      <c r="AO1426">
        <v>1.12350928573715</v>
      </c>
      <c r="AP1426">
        <v>1.12350928573715</v>
      </c>
      <c r="AQ1426">
        <v>0</v>
      </c>
      <c r="AR1426">
        <v>0</v>
      </c>
      <c r="AS1426">
        <v>0</v>
      </c>
      <c r="AT1426">
        <v>11</v>
      </c>
      <c r="AU1426">
        <v>3</v>
      </c>
      <c r="AV1426">
        <v>76</v>
      </c>
      <c r="AW1426">
        <v>0</v>
      </c>
      <c r="AX1426">
        <v>0</v>
      </c>
      <c r="AY1426">
        <v>15.5</v>
      </c>
      <c r="AZ1426">
        <v>2.4</v>
      </c>
      <c r="BA1426">
        <v>10.9</v>
      </c>
      <c r="BB1426">
        <v>564</v>
      </c>
      <c r="BC1426">
        <v>68</v>
      </c>
      <c r="BD1426">
        <v>1.5</v>
      </c>
      <c r="BE1426">
        <v>135</v>
      </c>
      <c r="BF1426">
        <v>0</v>
      </c>
      <c r="BG1426">
        <v>162</v>
      </c>
      <c r="BH1426">
        <v>9.1</v>
      </c>
      <c r="BI1426">
        <v>9.1999999999999993</v>
      </c>
      <c r="BJ1426">
        <v>18.3</v>
      </c>
      <c r="BK1426">
        <v>0.34</v>
      </c>
      <c r="BL1426">
        <v>7.3</v>
      </c>
      <c r="BM1426">
        <v>0.9</v>
      </c>
      <c r="BN1426">
        <v>7.5</v>
      </c>
      <c r="BO1426">
        <v>2.9</v>
      </c>
      <c r="BP1426">
        <f t="shared" si="44"/>
        <v>1.9768322179044131</v>
      </c>
      <c r="BQ1426">
        <f t="shared" si="45"/>
        <v>9.9216103635520039</v>
      </c>
    </row>
    <row r="1427" spans="1:69" hidden="1" x14ac:dyDescent="0.2">
      <c r="A1427" t="s">
        <v>3050</v>
      </c>
      <c r="B1427" t="s">
        <v>68</v>
      </c>
      <c r="C1427" t="s">
        <v>1956</v>
      </c>
      <c r="D1427" t="s">
        <v>70</v>
      </c>
      <c r="E1427" t="s">
        <v>3051</v>
      </c>
      <c r="F1427">
        <v>4</v>
      </c>
      <c r="G1427">
        <v>300</v>
      </c>
      <c r="H1427">
        <v>5</v>
      </c>
      <c r="I1427">
        <v>5</v>
      </c>
      <c r="J1427">
        <v>2</v>
      </c>
      <c r="K1427" t="s">
        <v>110</v>
      </c>
      <c r="L1427" t="s">
        <v>162</v>
      </c>
      <c r="M1427" s="4">
        <v>1800000000</v>
      </c>
      <c r="N1427">
        <v>0</v>
      </c>
      <c r="O1427">
        <v>4.7321782109999999</v>
      </c>
      <c r="P1427">
        <v>-74.041603089999995</v>
      </c>
      <c r="Q1427" t="s">
        <v>3052</v>
      </c>
      <c r="R1427">
        <v>6000000</v>
      </c>
      <c r="S1427">
        <v>0</v>
      </c>
      <c r="T1427" t="s">
        <v>104</v>
      </c>
      <c r="U1427" t="s">
        <v>105</v>
      </c>
      <c r="V1427" t="s">
        <v>77</v>
      </c>
      <c r="W1427" t="s">
        <v>104</v>
      </c>
      <c r="X1427" t="s">
        <v>106</v>
      </c>
      <c r="Y1427">
        <v>2.7284838782504801</v>
      </c>
      <c r="Z1427">
        <v>2728.4838782504798</v>
      </c>
      <c r="AA1427">
        <v>4.71035</v>
      </c>
      <c r="AB1427">
        <v>-74.030416666666696</v>
      </c>
      <c r="AC1427">
        <v>2570</v>
      </c>
      <c r="AD1427">
        <v>10</v>
      </c>
      <c r="AE1427" t="s">
        <v>80</v>
      </c>
      <c r="AF1427" t="s">
        <v>107</v>
      </c>
      <c r="AG1427" t="s">
        <v>82</v>
      </c>
      <c r="AH1427" t="s">
        <v>83</v>
      </c>
      <c r="AI1427" t="s">
        <v>108</v>
      </c>
      <c r="AJ1427">
        <v>0.886175185344386</v>
      </c>
      <c r="AK1427">
        <v>2.1745671260158201</v>
      </c>
      <c r="AL1427">
        <v>0.196906688775558</v>
      </c>
      <c r="AM1427">
        <v>6.1401258951798203E-2</v>
      </c>
      <c r="AN1427">
        <v>1.9463317139666001</v>
      </c>
      <c r="AO1427">
        <v>1.05141315079896E-2</v>
      </c>
      <c r="AP1427">
        <v>1.05141315079896E-2</v>
      </c>
      <c r="AQ1427">
        <v>0</v>
      </c>
      <c r="AR1427">
        <v>2</v>
      </c>
      <c r="AS1427">
        <v>0</v>
      </c>
      <c r="AT1427">
        <v>0</v>
      </c>
      <c r="AU1427">
        <v>1</v>
      </c>
      <c r="AV1427">
        <v>17</v>
      </c>
      <c r="AW1427">
        <v>0</v>
      </c>
      <c r="AX1427">
        <v>0</v>
      </c>
      <c r="AY1427">
        <v>15.5</v>
      </c>
      <c r="AZ1427">
        <v>2.4</v>
      </c>
      <c r="BA1427">
        <v>10.9</v>
      </c>
      <c r="BB1427">
        <v>564</v>
      </c>
      <c r="BC1427">
        <v>68</v>
      </c>
      <c r="BD1427">
        <v>1.5</v>
      </c>
      <c r="BE1427">
        <v>135</v>
      </c>
      <c r="BF1427">
        <v>0</v>
      </c>
      <c r="BG1427">
        <v>162</v>
      </c>
      <c r="BH1427">
        <v>9.1</v>
      </c>
      <c r="BI1427">
        <v>9.1999999999999993</v>
      </c>
      <c r="BJ1427">
        <v>18.3</v>
      </c>
      <c r="BK1427">
        <v>0.34</v>
      </c>
      <c r="BL1427">
        <v>7.3</v>
      </c>
      <c r="BM1427">
        <v>0.9</v>
      </c>
      <c r="BN1427">
        <v>7.5</v>
      </c>
      <c r="BO1427">
        <v>2.9</v>
      </c>
      <c r="BP1427">
        <f t="shared" si="44"/>
        <v>2.0967924774361903</v>
      </c>
      <c r="BQ1427">
        <f t="shared" si="45"/>
        <v>10.209096903983758</v>
      </c>
    </row>
    <row r="1428" spans="1:69" hidden="1" x14ac:dyDescent="0.2">
      <c r="A1428" t="s">
        <v>2718</v>
      </c>
      <c r="B1428" t="s">
        <v>68</v>
      </c>
      <c r="C1428" t="s">
        <v>1956</v>
      </c>
      <c r="D1428" t="s">
        <v>70</v>
      </c>
      <c r="E1428" t="s">
        <v>2719</v>
      </c>
      <c r="F1428">
        <v>5</v>
      </c>
      <c r="G1428">
        <v>300</v>
      </c>
      <c r="H1428">
        <v>4</v>
      </c>
      <c r="I1428">
        <v>5</v>
      </c>
      <c r="J1428">
        <v>4</v>
      </c>
      <c r="K1428" t="s">
        <v>110</v>
      </c>
      <c r="L1428" t="s">
        <v>124</v>
      </c>
      <c r="M1428" s="4">
        <v>2200000000</v>
      </c>
      <c r="N1428">
        <v>0</v>
      </c>
      <c r="O1428">
        <v>4.7266599999999999</v>
      </c>
      <c r="P1428">
        <v>-74.024810000000002</v>
      </c>
      <c r="Q1428" t="s">
        <v>2720</v>
      </c>
      <c r="R1428">
        <v>7333333.3329999996</v>
      </c>
      <c r="S1428">
        <v>0</v>
      </c>
      <c r="T1428" t="s">
        <v>104</v>
      </c>
      <c r="U1428" t="s">
        <v>105</v>
      </c>
      <c r="V1428" t="s">
        <v>77</v>
      </c>
      <c r="W1428" t="s">
        <v>104</v>
      </c>
      <c r="X1428" t="s">
        <v>106</v>
      </c>
      <c r="Y1428">
        <v>1.9192142028413</v>
      </c>
      <c r="Z1428">
        <v>1919.2142028413</v>
      </c>
      <c r="AA1428">
        <v>4.71035</v>
      </c>
      <c r="AB1428">
        <v>-74.030416666666696</v>
      </c>
      <c r="AC1428">
        <v>2570</v>
      </c>
      <c r="AD1428">
        <v>10</v>
      </c>
      <c r="AE1428" t="s">
        <v>80</v>
      </c>
      <c r="AF1428" t="s">
        <v>107</v>
      </c>
      <c r="AG1428" t="s">
        <v>82</v>
      </c>
      <c r="AH1428" t="s">
        <v>83</v>
      </c>
      <c r="AI1428" t="s">
        <v>108</v>
      </c>
      <c r="AJ1428">
        <v>2.8111088526166701</v>
      </c>
      <c r="AK1428">
        <v>0.39139352083179002</v>
      </c>
      <c r="AL1428">
        <v>1.8163610144881599</v>
      </c>
      <c r="AM1428">
        <v>0.110266907547847</v>
      </c>
      <c r="AN1428">
        <v>1.6578661625011599</v>
      </c>
      <c r="AO1428">
        <v>0.54344488555744397</v>
      </c>
      <c r="AP1428">
        <v>0.54344488555744397</v>
      </c>
      <c r="AQ1428">
        <v>0</v>
      </c>
      <c r="AR1428">
        <v>0</v>
      </c>
      <c r="AS1428">
        <v>11</v>
      </c>
      <c r="AT1428">
        <v>33</v>
      </c>
      <c r="AU1428">
        <v>0</v>
      </c>
      <c r="AV1428">
        <v>7</v>
      </c>
      <c r="AW1428">
        <v>0</v>
      </c>
      <c r="AX1428">
        <v>0</v>
      </c>
      <c r="AY1428">
        <v>15.5</v>
      </c>
      <c r="AZ1428">
        <v>2.4</v>
      </c>
      <c r="BA1428">
        <v>10.9</v>
      </c>
      <c r="BB1428">
        <v>564</v>
      </c>
      <c r="BC1428">
        <v>68</v>
      </c>
      <c r="BD1428">
        <v>1.5</v>
      </c>
      <c r="BE1428">
        <v>135</v>
      </c>
      <c r="BF1428">
        <v>0</v>
      </c>
      <c r="BG1428">
        <v>162</v>
      </c>
      <c r="BH1428">
        <v>9.1</v>
      </c>
      <c r="BI1428">
        <v>9.1999999999999993</v>
      </c>
      <c r="BJ1428">
        <v>18.3</v>
      </c>
      <c r="BK1428">
        <v>0.34</v>
      </c>
      <c r="BL1428">
        <v>7.3</v>
      </c>
      <c r="BM1428">
        <v>0.9</v>
      </c>
      <c r="BN1428">
        <v>7.5</v>
      </c>
      <c r="BO1428">
        <v>2.9</v>
      </c>
      <c r="BP1428">
        <f t="shared" si="44"/>
        <v>2.182492635344345</v>
      </c>
      <c r="BQ1428">
        <f t="shared" si="45"/>
        <v>10.409320933503146</v>
      </c>
    </row>
    <row r="1429" spans="1:69" hidden="1" x14ac:dyDescent="0.2">
      <c r="A1429" t="s">
        <v>1868</v>
      </c>
      <c r="B1429" t="s">
        <v>68</v>
      </c>
      <c r="C1429" t="s">
        <v>69</v>
      </c>
      <c r="D1429" t="s">
        <v>70</v>
      </c>
      <c r="E1429" t="s">
        <v>891</v>
      </c>
      <c r="F1429">
        <v>6</v>
      </c>
      <c r="G1429">
        <v>291</v>
      </c>
      <c r="H1429">
        <v>3</v>
      </c>
      <c r="I1429">
        <v>5</v>
      </c>
      <c r="J1429">
        <v>3</v>
      </c>
      <c r="K1429" t="s">
        <v>110</v>
      </c>
      <c r="L1429" t="s">
        <v>162</v>
      </c>
      <c r="M1429" s="4">
        <v>2800000000</v>
      </c>
      <c r="N1429">
        <v>0</v>
      </c>
      <c r="O1429">
        <v>4.6769666000000001</v>
      </c>
      <c r="P1429">
        <v>-74.040443199999999</v>
      </c>
      <c r="Q1429" t="s">
        <v>1869</v>
      </c>
      <c r="R1429">
        <v>9621993.1270000003</v>
      </c>
      <c r="S1429">
        <v>0</v>
      </c>
      <c r="T1429" t="s">
        <v>104</v>
      </c>
      <c r="U1429" t="s">
        <v>105</v>
      </c>
      <c r="V1429" t="s">
        <v>77</v>
      </c>
      <c r="W1429" t="s">
        <v>104</v>
      </c>
      <c r="X1429" t="s">
        <v>106</v>
      </c>
      <c r="Y1429">
        <v>3.8791442436499901</v>
      </c>
      <c r="Z1429">
        <v>3879.1442436499901</v>
      </c>
      <c r="AA1429">
        <v>4.71035</v>
      </c>
      <c r="AB1429">
        <v>-74.030416666666696</v>
      </c>
      <c r="AC1429">
        <v>2570</v>
      </c>
      <c r="AD1429">
        <v>10</v>
      </c>
      <c r="AE1429" t="s">
        <v>80</v>
      </c>
      <c r="AF1429" t="s">
        <v>107</v>
      </c>
      <c r="AG1429" t="s">
        <v>82</v>
      </c>
      <c r="AH1429" t="s">
        <v>83</v>
      </c>
      <c r="AI1429" t="s">
        <v>130</v>
      </c>
      <c r="AJ1429">
        <v>2.0625477706884801</v>
      </c>
      <c r="AK1429">
        <v>0.31156215501588502</v>
      </c>
      <c r="AL1429">
        <v>0.59781188602765201</v>
      </c>
      <c r="AM1429">
        <v>0.20945683771609999</v>
      </c>
      <c r="AN1429">
        <v>4.3846414048580398</v>
      </c>
      <c r="AO1429">
        <v>1.0415985780825601</v>
      </c>
      <c r="AP1429">
        <v>1.0415985780825601</v>
      </c>
      <c r="AQ1429">
        <v>0</v>
      </c>
      <c r="AR1429">
        <v>0</v>
      </c>
      <c r="AS1429">
        <v>1</v>
      </c>
      <c r="AT1429">
        <v>19</v>
      </c>
      <c r="AU1429">
        <v>3</v>
      </c>
      <c r="AV1429">
        <v>40</v>
      </c>
      <c r="AW1429">
        <v>0</v>
      </c>
      <c r="AX1429">
        <v>0</v>
      </c>
      <c r="AY1429">
        <v>15.5</v>
      </c>
      <c r="AZ1429">
        <v>2.4</v>
      </c>
      <c r="BA1429">
        <v>10.9</v>
      </c>
      <c r="BB1429">
        <v>564</v>
      </c>
      <c r="BC1429">
        <v>68</v>
      </c>
      <c r="BD1429">
        <v>1.5</v>
      </c>
      <c r="BE1429">
        <v>135</v>
      </c>
      <c r="BF1429">
        <v>0</v>
      </c>
      <c r="BG1429">
        <v>162</v>
      </c>
      <c r="BH1429">
        <v>9.1</v>
      </c>
      <c r="BI1429">
        <v>9.1999999999999993</v>
      </c>
      <c r="BJ1429">
        <v>18.3</v>
      </c>
      <c r="BK1429">
        <v>0.34</v>
      </c>
      <c r="BL1429">
        <v>7.3</v>
      </c>
      <c r="BM1429">
        <v>0.9</v>
      </c>
      <c r="BN1429">
        <v>7.5</v>
      </c>
      <c r="BO1429">
        <v>2.9</v>
      </c>
      <c r="BP1429">
        <f t="shared" si="44"/>
        <v>1.9807015443764457</v>
      </c>
      <c r="BQ1429">
        <f t="shared" si="45"/>
        <v>9.9310213463725372</v>
      </c>
    </row>
    <row r="1430" spans="1:69" hidden="1" x14ac:dyDescent="0.2">
      <c r="A1430" t="s">
        <v>1450</v>
      </c>
      <c r="B1430" t="s">
        <v>68</v>
      </c>
      <c r="C1430" t="s">
        <v>69</v>
      </c>
      <c r="D1430" t="s">
        <v>70</v>
      </c>
      <c r="E1430" t="s">
        <v>1451</v>
      </c>
      <c r="F1430">
        <v>6</v>
      </c>
      <c r="G1430">
        <v>291</v>
      </c>
      <c r="H1430">
        <v>3</v>
      </c>
      <c r="I1430">
        <v>4</v>
      </c>
      <c r="J1430">
        <v>3</v>
      </c>
      <c r="K1430" t="s">
        <v>110</v>
      </c>
      <c r="L1430" t="s">
        <v>133</v>
      </c>
      <c r="M1430" s="4">
        <v>2826000000</v>
      </c>
      <c r="N1430">
        <v>0</v>
      </c>
      <c r="O1430">
        <v>4.70214</v>
      </c>
      <c r="P1430">
        <v>-74.033990000000003</v>
      </c>
      <c r="Q1430" t="s">
        <v>1452</v>
      </c>
      <c r="R1430">
        <v>9711340.2060000002</v>
      </c>
      <c r="S1430">
        <v>0</v>
      </c>
      <c r="T1430" t="s">
        <v>104</v>
      </c>
      <c r="U1430" t="s">
        <v>105</v>
      </c>
      <c r="V1430" t="s">
        <v>77</v>
      </c>
      <c r="W1430" t="s">
        <v>104</v>
      </c>
      <c r="X1430" t="s">
        <v>106</v>
      </c>
      <c r="Y1430">
        <v>0.99621214547221804</v>
      </c>
      <c r="Z1430">
        <v>996.21214547221803</v>
      </c>
      <c r="AA1430">
        <v>4.71035</v>
      </c>
      <c r="AB1430">
        <v>-74.030416666666696</v>
      </c>
      <c r="AC1430">
        <v>2570</v>
      </c>
      <c r="AD1430">
        <v>10</v>
      </c>
      <c r="AE1430" t="s">
        <v>80</v>
      </c>
      <c r="AF1430" t="s">
        <v>107</v>
      </c>
      <c r="AG1430" t="s">
        <v>82</v>
      </c>
      <c r="AH1430" t="s">
        <v>83</v>
      </c>
      <c r="AI1430" t="s">
        <v>108</v>
      </c>
      <c r="AJ1430">
        <v>2.26055136656433</v>
      </c>
      <c r="AK1430">
        <v>0.93381085723280399</v>
      </c>
      <c r="AL1430">
        <v>0.19120994653124401</v>
      </c>
      <c r="AM1430">
        <v>0.233661714741318</v>
      </c>
      <c r="AN1430">
        <v>4.4275926955526899</v>
      </c>
      <c r="AO1430">
        <v>0.51270392948964505</v>
      </c>
      <c r="AP1430">
        <v>0.51270392948964505</v>
      </c>
      <c r="AQ1430">
        <v>0</v>
      </c>
      <c r="AR1430">
        <v>0</v>
      </c>
      <c r="AS1430">
        <v>0</v>
      </c>
      <c r="AT1430">
        <v>6</v>
      </c>
      <c r="AU1430">
        <v>3</v>
      </c>
      <c r="AV1430">
        <v>139</v>
      </c>
      <c r="AW1430">
        <v>0</v>
      </c>
      <c r="AX1430">
        <v>0</v>
      </c>
      <c r="AY1430">
        <v>15.5</v>
      </c>
      <c r="AZ1430">
        <v>2.4</v>
      </c>
      <c r="BA1430">
        <v>10.9</v>
      </c>
      <c r="BB1430">
        <v>564</v>
      </c>
      <c r="BC1430">
        <v>68</v>
      </c>
      <c r="BD1430">
        <v>1.5</v>
      </c>
      <c r="BE1430">
        <v>135</v>
      </c>
      <c r="BF1430">
        <v>0</v>
      </c>
      <c r="BG1430">
        <v>162</v>
      </c>
      <c r="BH1430">
        <v>9.1</v>
      </c>
      <c r="BI1430">
        <v>9.1999999999999993</v>
      </c>
      <c r="BJ1430">
        <v>18.3</v>
      </c>
      <c r="BK1430">
        <v>0.34</v>
      </c>
      <c r="BL1430">
        <v>7.3</v>
      </c>
      <c r="BM1430">
        <v>0.9</v>
      </c>
      <c r="BN1430">
        <v>7.5</v>
      </c>
      <c r="BO1430">
        <v>2.9</v>
      </c>
      <c r="BP1430">
        <f t="shared" si="44"/>
        <v>2.2845206842578181</v>
      </c>
      <c r="BQ1430">
        <f t="shared" si="45"/>
        <v>10.642481684524364</v>
      </c>
    </row>
    <row r="1431" spans="1:69" hidden="1" x14ac:dyDescent="0.2">
      <c r="A1431" t="s">
        <v>1901</v>
      </c>
      <c r="B1431" t="s">
        <v>68</v>
      </c>
      <c r="C1431" t="s">
        <v>69</v>
      </c>
      <c r="D1431" t="s">
        <v>70</v>
      </c>
      <c r="E1431" t="s">
        <v>193</v>
      </c>
      <c r="F1431">
        <v>6</v>
      </c>
      <c r="G1431">
        <v>290.88</v>
      </c>
      <c r="H1431">
        <v>3</v>
      </c>
      <c r="I1431">
        <v>4</v>
      </c>
      <c r="J1431">
        <v>4</v>
      </c>
      <c r="K1431" t="s">
        <v>110</v>
      </c>
      <c r="L1431" t="s">
        <v>124</v>
      </c>
      <c r="M1431" s="4">
        <v>2850000000</v>
      </c>
      <c r="N1431">
        <v>0</v>
      </c>
      <c r="O1431">
        <v>4.6934199999999997</v>
      </c>
      <c r="P1431">
        <v>-74.035210000000006</v>
      </c>
      <c r="Q1431" t="s">
        <v>1902</v>
      </c>
      <c r="R1431">
        <v>9797854.7850000001</v>
      </c>
      <c r="S1431">
        <v>0</v>
      </c>
      <c r="T1431" t="s">
        <v>104</v>
      </c>
      <c r="U1431" t="s">
        <v>105</v>
      </c>
      <c r="V1431" t="s">
        <v>77</v>
      </c>
      <c r="W1431" t="s">
        <v>104</v>
      </c>
      <c r="X1431" t="s">
        <v>106</v>
      </c>
      <c r="Y1431">
        <v>1.9582315423161301</v>
      </c>
      <c r="Z1431">
        <v>1958.2315423161299</v>
      </c>
      <c r="AA1431">
        <v>4.71035</v>
      </c>
      <c r="AB1431">
        <v>-74.030416666666696</v>
      </c>
      <c r="AC1431">
        <v>2570</v>
      </c>
      <c r="AD1431">
        <v>10</v>
      </c>
      <c r="AE1431" t="s">
        <v>80</v>
      </c>
      <c r="AF1431" t="s">
        <v>107</v>
      </c>
      <c r="AG1431" t="s">
        <v>82</v>
      </c>
      <c r="AH1431" t="s">
        <v>83</v>
      </c>
      <c r="AI1431" t="s">
        <v>108</v>
      </c>
      <c r="AJ1431">
        <v>2.2884170026593802</v>
      </c>
      <c r="AK1431">
        <v>0.96754075195971201</v>
      </c>
      <c r="AL1431">
        <v>0.62062627538663095</v>
      </c>
      <c r="AM1431">
        <v>5.6225881997624398E-2</v>
      </c>
      <c r="AN1431">
        <v>5.3999507130464401</v>
      </c>
      <c r="AO1431">
        <v>0.41419421422747399</v>
      </c>
      <c r="AP1431">
        <v>0.41419421422747399</v>
      </c>
      <c r="AQ1431">
        <v>0</v>
      </c>
      <c r="AR1431">
        <v>0</v>
      </c>
      <c r="AS1431">
        <v>0</v>
      </c>
      <c r="AT1431">
        <v>2</v>
      </c>
      <c r="AU1431">
        <v>2</v>
      </c>
      <c r="AV1431">
        <v>126</v>
      </c>
      <c r="AW1431">
        <v>0</v>
      </c>
      <c r="AX1431">
        <v>0</v>
      </c>
      <c r="AY1431">
        <v>15.5</v>
      </c>
      <c r="AZ1431">
        <v>2.4</v>
      </c>
      <c r="BA1431">
        <v>10.9</v>
      </c>
      <c r="BB1431">
        <v>564</v>
      </c>
      <c r="BC1431">
        <v>68</v>
      </c>
      <c r="BD1431">
        <v>1.5</v>
      </c>
      <c r="BE1431">
        <v>135</v>
      </c>
      <c r="BF1431">
        <v>0</v>
      </c>
      <c r="BG1431">
        <v>162</v>
      </c>
      <c r="BH1431">
        <v>9.1</v>
      </c>
      <c r="BI1431">
        <v>9.1999999999999993</v>
      </c>
      <c r="BJ1431">
        <v>18.3</v>
      </c>
      <c r="BK1431">
        <v>0.34</v>
      </c>
      <c r="BL1431">
        <v>7.3</v>
      </c>
      <c r="BM1431">
        <v>0.9</v>
      </c>
      <c r="BN1431">
        <v>7.5</v>
      </c>
      <c r="BO1431">
        <v>2.9</v>
      </c>
      <c r="BP1431">
        <f t="shared" si="44"/>
        <v>2.1782815279572585</v>
      </c>
      <c r="BQ1431">
        <f t="shared" si="45"/>
        <v>10.399578039711065</v>
      </c>
    </row>
    <row r="1432" spans="1:69" hidden="1" x14ac:dyDescent="0.2">
      <c r="A1432" t="s">
        <v>2858</v>
      </c>
      <c r="B1432" t="s">
        <v>68</v>
      </c>
      <c r="C1432" t="s">
        <v>1956</v>
      </c>
      <c r="D1432" t="s">
        <v>70</v>
      </c>
      <c r="E1432" t="s">
        <v>2341</v>
      </c>
      <c r="F1432">
        <v>4</v>
      </c>
      <c r="G1432">
        <v>290</v>
      </c>
      <c r="H1432">
        <v>3</v>
      </c>
      <c r="I1432">
        <v>3</v>
      </c>
      <c r="J1432">
        <v>3</v>
      </c>
      <c r="K1432" t="s">
        <v>110</v>
      </c>
      <c r="L1432" t="s">
        <v>162</v>
      </c>
      <c r="M1432" s="4">
        <v>2100000000</v>
      </c>
      <c r="N1432">
        <v>0</v>
      </c>
      <c r="O1432">
        <v>4.7108359340000003</v>
      </c>
      <c r="P1432">
        <v>-74.05435181</v>
      </c>
      <c r="Q1432" t="s">
        <v>2859</v>
      </c>
      <c r="R1432">
        <v>7241379.3099999996</v>
      </c>
      <c r="S1432">
        <v>0</v>
      </c>
      <c r="T1432" t="s">
        <v>104</v>
      </c>
      <c r="U1432" t="s">
        <v>105</v>
      </c>
      <c r="V1432" t="s">
        <v>77</v>
      </c>
      <c r="W1432" t="s">
        <v>104</v>
      </c>
      <c r="X1432" t="s">
        <v>106</v>
      </c>
      <c r="Y1432">
        <v>2.6559989653359102</v>
      </c>
      <c r="Z1432">
        <v>2655.9989653359098</v>
      </c>
      <c r="AA1432">
        <v>4.71035</v>
      </c>
      <c r="AB1432">
        <v>-74.030416666666696</v>
      </c>
      <c r="AC1432">
        <v>2570</v>
      </c>
      <c r="AD1432">
        <v>10</v>
      </c>
      <c r="AE1432" t="s">
        <v>80</v>
      </c>
      <c r="AF1432" t="s">
        <v>107</v>
      </c>
      <c r="AG1432" t="s">
        <v>82</v>
      </c>
      <c r="AH1432" t="s">
        <v>83</v>
      </c>
      <c r="AI1432" t="s">
        <v>121</v>
      </c>
      <c r="AJ1432">
        <v>0.45692203833495298</v>
      </c>
      <c r="AK1432">
        <v>3.2511473543473501</v>
      </c>
      <c r="AL1432">
        <v>2.00187190973528</v>
      </c>
      <c r="AM1432">
        <v>0.13576803096368101</v>
      </c>
      <c r="AN1432">
        <v>4.5704631021911704</v>
      </c>
      <c r="AO1432">
        <v>2.25006985460842E-3</v>
      </c>
      <c r="AP1432">
        <v>2.25006985460842E-3</v>
      </c>
      <c r="AQ1432">
        <v>1</v>
      </c>
      <c r="AR1432">
        <v>2</v>
      </c>
      <c r="AS1432">
        <v>0</v>
      </c>
      <c r="AT1432">
        <v>0</v>
      </c>
      <c r="AU1432">
        <v>0</v>
      </c>
      <c r="AV1432">
        <v>98</v>
      </c>
      <c r="AW1432">
        <v>0</v>
      </c>
      <c r="AX1432">
        <v>0</v>
      </c>
      <c r="AY1432">
        <v>15.5</v>
      </c>
      <c r="AZ1432">
        <v>2.4</v>
      </c>
      <c r="BA1432">
        <v>10.9</v>
      </c>
      <c r="BB1432">
        <v>564</v>
      </c>
      <c r="BC1432">
        <v>68</v>
      </c>
      <c r="BD1432">
        <v>1.5</v>
      </c>
      <c r="BE1432">
        <v>135</v>
      </c>
      <c r="BF1432">
        <v>0</v>
      </c>
      <c r="BG1432">
        <v>162</v>
      </c>
      <c r="BH1432">
        <v>9.1</v>
      </c>
      <c r="BI1432">
        <v>9.1999999999999993</v>
      </c>
      <c r="BJ1432">
        <v>18.3</v>
      </c>
      <c r="BK1432">
        <v>0.34</v>
      </c>
      <c r="BL1432">
        <v>7.3</v>
      </c>
      <c r="BM1432">
        <v>0.9</v>
      </c>
      <c r="BN1432">
        <v>7.5</v>
      </c>
      <c r="BO1432">
        <v>2.9</v>
      </c>
      <c r="BP1432">
        <f t="shared" si="44"/>
        <v>2.1043292884979405</v>
      </c>
      <c r="BQ1432">
        <f t="shared" si="45"/>
        <v>10.226872493045667</v>
      </c>
    </row>
    <row r="1433" spans="1:69" hidden="1" x14ac:dyDescent="0.2">
      <c r="A1433" t="s">
        <v>1299</v>
      </c>
      <c r="B1433" t="s">
        <v>68</v>
      </c>
      <c r="C1433" t="s">
        <v>69</v>
      </c>
      <c r="D1433" t="s">
        <v>70</v>
      </c>
      <c r="E1433" t="s">
        <v>370</v>
      </c>
      <c r="F1433">
        <v>6</v>
      </c>
      <c r="G1433">
        <v>290</v>
      </c>
      <c r="H1433">
        <v>3</v>
      </c>
      <c r="I1433">
        <v>4</v>
      </c>
      <c r="J1433">
        <v>3</v>
      </c>
      <c r="K1433" t="s">
        <v>110</v>
      </c>
      <c r="L1433" t="s">
        <v>162</v>
      </c>
      <c r="M1433" s="4">
        <v>2850000000</v>
      </c>
      <c r="N1433">
        <v>0</v>
      </c>
      <c r="O1433">
        <v>4.6966403000000003</v>
      </c>
      <c r="P1433">
        <v>-74.027643879999999</v>
      </c>
      <c r="Q1433" t="s">
        <v>1300</v>
      </c>
      <c r="R1433">
        <v>9827586.2070000004</v>
      </c>
      <c r="S1433">
        <v>0</v>
      </c>
      <c r="T1433" t="s">
        <v>104</v>
      </c>
      <c r="U1433" t="s">
        <v>105</v>
      </c>
      <c r="V1433" t="s">
        <v>77</v>
      </c>
      <c r="W1433" t="s">
        <v>104</v>
      </c>
      <c r="X1433" t="s">
        <v>106</v>
      </c>
      <c r="Y1433">
        <v>1.5568520290582899</v>
      </c>
      <c r="Z1433">
        <v>1556.8520290582901</v>
      </c>
      <c r="AA1433">
        <v>4.71035</v>
      </c>
      <c r="AB1433">
        <v>-74.030416666666696</v>
      </c>
      <c r="AC1433">
        <v>2570</v>
      </c>
      <c r="AD1433">
        <v>10</v>
      </c>
      <c r="AE1433" t="s">
        <v>80</v>
      </c>
      <c r="AF1433" t="s">
        <v>107</v>
      </c>
      <c r="AG1433" t="s">
        <v>82</v>
      </c>
      <c r="AH1433" t="s">
        <v>83</v>
      </c>
      <c r="AI1433" t="s">
        <v>108</v>
      </c>
      <c r="AJ1433">
        <v>3.0718170519969199</v>
      </c>
      <c r="AK1433">
        <v>0.22105887929955301</v>
      </c>
      <c r="AL1433">
        <v>0.332636003056063</v>
      </c>
      <c r="AM1433">
        <v>0.318208752327311</v>
      </c>
      <c r="AN1433">
        <v>4.9626530881618702</v>
      </c>
      <c r="AO1433">
        <v>0.655045345055142</v>
      </c>
      <c r="AP1433">
        <v>0.655045345055142</v>
      </c>
      <c r="AQ1433">
        <v>0</v>
      </c>
      <c r="AR1433">
        <v>0</v>
      </c>
      <c r="AS1433">
        <v>14</v>
      </c>
      <c r="AT1433">
        <v>26</v>
      </c>
      <c r="AU1433">
        <v>2</v>
      </c>
      <c r="AV1433">
        <v>109</v>
      </c>
      <c r="AW1433">
        <v>0</v>
      </c>
      <c r="AX1433">
        <v>0</v>
      </c>
      <c r="AY1433">
        <v>15.5</v>
      </c>
      <c r="AZ1433">
        <v>2.4</v>
      </c>
      <c r="BA1433">
        <v>10.9</v>
      </c>
      <c r="BB1433">
        <v>564</v>
      </c>
      <c r="BC1433">
        <v>68</v>
      </c>
      <c r="BD1433">
        <v>1.5</v>
      </c>
      <c r="BE1433">
        <v>135</v>
      </c>
      <c r="BF1433">
        <v>0</v>
      </c>
      <c r="BG1433">
        <v>162</v>
      </c>
      <c r="BH1433">
        <v>9.1</v>
      </c>
      <c r="BI1433">
        <v>9.1999999999999993</v>
      </c>
      <c r="BJ1433">
        <v>18.3</v>
      </c>
      <c r="BK1433">
        <v>0.34</v>
      </c>
      <c r="BL1433">
        <v>7.3</v>
      </c>
      <c r="BM1433">
        <v>0.9</v>
      </c>
      <c r="BN1433">
        <v>7.5</v>
      </c>
      <c r="BO1433">
        <v>2.9</v>
      </c>
      <c r="BP1433">
        <f t="shared" si="44"/>
        <v>2.2219930467020053</v>
      </c>
      <c r="BQ1433">
        <f t="shared" si="45"/>
        <v>10.500242378226767</v>
      </c>
    </row>
    <row r="1434" spans="1:69" hidden="1" x14ac:dyDescent="0.2">
      <c r="A1434" t="s">
        <v>2887</v>
      </c>
      <c r="B1434" t="s">
        <v>68</v>
      </c>
      <c r="C1434" t="s">
        <v>1956</v>
      </c>
      <c r="D1434" t="s">
        <v>70</v>
      </c>
      <c r="E1434" t="s">
        <v>1649</v>
      </c>
      <c r="F1434">
        <v>6</v>
      </c>
      <c r="G1434">
        <v>289.14999999999998</v>
      </c>
      <c r="H1434">
        <v>3</v>
      </c>
      <c r="I1434">
        <v>3</v>
      </c>
      <c r="J1434">
        <v>3</v>
      </c>
      <c r="K1434" t="s">
        <v>110</v>
      </c>
      <c r="L1434" t="s">
        <v>162</v>
      </c>
      <c r="M1434" s="4">
        <v>1460000000</v>
      </c>
      <c r="N1434">
        <v>0</v>
      </c>
      <c r="O1434">
        <v>4.6892199999999997</v>
      </c>
      <c r="P1434">
        <v>-74.053380000000004</v>
      </c>
      <c r="Q1434" t="s">
        <v>2888</v>
      </c>
      <c r="R1434">
        <v>5049282.3789999997</v>
      </c>
      <c r="S1434">
        <v>0</v>
      </c>
      <c r="T1434" t="s">
        <v>104</v>
      </c>
      <c r="U1434" t="s">
        <v>105</v>
      </c>
      <c r="V1434" t="s">
        <v>77</v>
      </c>
      <c r="W1434" t="s">
        <v>104</v>
      </c>
      <c r="X1434" t="s">
        <v>106</v>
      </c>
      <c r="Y1434">
        <v>3.4674753544399701</v>
      </c>
      <c r="Z1434">
        <v>3467.47535443997</v>
      </c>
      <c r="AA1434">
        <v>4.71035</v>
      </c>
      <c r="AB1434">
        <v>-74.030416666666696</v>
      </c>
      <c r="AC1434">
        <v>2570</v>
      </c>
      <c r="AD1434">
        <v>10</v>
      </c>
      <c r="AE1434" t="s">
        <v>80</v>
      </c>
      <c r="AF1434" t="s">
        <v>107</v>
      </c>
      <c r="AG1434" t="s">
        <v>82</v>
      </c>
      <c r="AH1434" t="s">
        <v>83</v>
      </c>
      <c r="AI1434" t="s">
        <v>108</v>
      </c>
      <c r="AJ1434">
        <v>0.51908941623982097</v>
      </c>
      <c r="AK1434">
        <v>2.22569295727852</v>
      </c>
      <c r="AL1434">
        <v>0.31329400785525202</v>
      </c>
      <c r="AM1434">
        <v>0.16787383095387701</v>
      </c>
      <c r="AN1434">
        <v>3.58789329898184</v>
      </c>
      <c r="AO1434">
        <v>0.435160520397878</v>
      </c>
      <c r="AP1434">
        <v>0.435160520397878</v>
      </c>
      <c r="AQ1434">
        <v>0</v>
      </c>
      <c r="AR1434">
        <v>2</v>
      </c>
      <c r="AS1434">
        <v>0</v>
      </c>
      <c r="AT1434">
        <v>0</v>
      </c>
      <c r="AU1434">
        <v>5</v>
      </c>
      <c r="AV1434">
        <v>207</v>
      </c>
      <c r="AW1434">
        <v>0</v>
      </c>
      <c r="AX1434">
        <v>0</v>
      </c>
      <c r="AY1434">
        <v>15.5</v>
      </c>
      <c r="AZ1434">
        <v>2.4</v>
      </c>
      <c r="BA1434">
        <v>10.9</v>
      </c>
      <c r="BB1434">
        <v>564</v>
      </c>
      <c r="BC1434">
        <v>68</v>
      </c>
      <c r="BD1434">
        <v>1.5</v>
      </c>
      <c r="BE1434">
        <v>135</v>
      </c>
      <c r="BF1434">
        <v>0</v>
      </c>
      <c r="BG1434">
        <v>162</v>
      </c>
      <c r="BH1434">
        <v>9.1</v>
      </c>
      <c r="BI1434">
        <v>9.1999999999999993</v>
      </c>
      <c r="BJ1434">
        <v>18.3</v>
      </c>
      <c r="BK1434">
        <v>0.34</v>
      </c>
      <c r="BL1434">
        <v>7.3</v>
      </c>
      <c r="BM1434">
        <v>0.9</v>
      </c>
      <c r="BN1434">
        <v>7.5</v>
      </c>
      <c r="BO1434">
        <v>2.9</v>
      </c>
      <c r="BP1434">
        <f t="shared" si="44"/>
        <v>2.0214775558354865</v>
      </c>
      <c r="BQ1434">
        <f t="shared" si="45"/>
        <v>10.029626677857387</v>
      </c>
    </row>
    <row r="1435" spans="1:69" hidden="1" x14ac:dyDescent="0.2">
      <c r="A1435" t="s">
        <v>225</v>
      </c>
      <c r="B1435" t="s">
        <v>68</v>
      </c>
      <c r="C1435" t="s">
        <v>69</v>
      </c>
      <c r="D1435" t="s">
        <v>70</v>
      </c>
      <c r="E1435" t="s">
        <v>226</v>
      </c>
      <c r="F1435">
        <v>6</v>
      </c>
      <c r="G1435">
        <v>285</v>
      </c>
      <c r="H1435">
        <v>3</v>
      </c>
      <c r="I1435">
        <v>3</v>
      </c>
      <c r="J1435">
        <v>3</v>
      </c>
      <c r="K1435" t="s">
        <v>110</v>
      </c>
      <c r="L1435" t="s">
        <v>124</v>
      </c>
      <c r="M1435" s="4">
        <v>2650000000</v>
      </c>
      <c r="N1435">
        <v>0</v>
      </c>
      <c r="O1435">
        <v>4.6932935709999999</v>
      </c>
      <c r="P1435">
        <v>-74.041610719999994</v>
      </c>
      <c r="Q1435" t="s">
        <v>227</v>
      </c>
      <c r="R1435">
        <v>9298245.6140000001</v>
      </c>
      <c r="S1435">
        <v>0</v>
      </c>
      <c r="T1435" t="s">
        <v>104</v>
      </c>
      <c r="U1435" t="s">
        <v>105</v>
      </c>
      <c r="V1435" t="s">
        <v>77</v>
      </c>
      <c r="W1435" t="s">
        <v>104</v>
      </c>
      <c r="X1435" t="s">
        <v>106</v>
      </c>
      <c r="Y1435">
        <v>2.2688066042389199</v>
      </c>
      <c r="Z1435">
        <v>2268.80660423892</v>
      </c>
      <c r="AA1435">
        <v>4.71035</v>
      </c>
      <c r="AB1435">
        <v>-74.030416666666696</v>
      </c>
      <c r="AC1435">
        <v>2570</v>
      </c>
      <c r="AD1435">
        <v>10</v>
      </c>
      <c r="AE1435" t="s">
        <v>80</v>
      </c>
      <c r="AF1435" t="s">
        <v>107</v>
      </c>
      <c r="AG1435" t="s">
        <v>82</v>
      </c>
      <c r="AH1435" t="s">
        <v>83</v>
      </c>
      <c r="AI1435" t="s">
        <v>108</v>
      </c>
      <c r="AJ1435">
        <v>1.6100034121154201</v>
      </c>
      <c r="AK1435">
        <v>1.6645403923386899</v>
      </c>
      <c r="AL1435">
        <v>0.91362572005976195</v>
      </c>
      <c r="AM1435">
        <v>0.25230590588367102</v>
      </c>
      <c r="AN1435">
        <v>4.9552091538963703</v>
      </c>
      <c r="AO1435">
        <v>0.32289600065995799</v>
      </c>
      <c r="AP1435">
        <v>0.32289600065995799</v>
      </c>
      <c r="AQ1435">
        <v>0</v>
      </c>
      <c r="AR1435">
        <v>0</v>
      </c>
      <c r="AS1435">
        <v>0</v>
      </c>
      <c r="AT1435">
        <v>0</v>
      </c>
      <c r="AU1435">
        <v>1</v>
      </c>
      <c r="AV1435">
        <v>118</v>
      </c>
      <c r="AW1435">
        <v>0</v>
      </c>
      <c r="AX1435">
        <v>0</v>
      </c>
      <c r="AY1435">
        <v>15.5</v>
      </c>
      <c r="AZ1435">
        <v>2.4</v>
      </c>
      <c r="BA1435">
        <v>10.9</v>
      </c>
      <c r="BB1435">
        <v>564</v>
      </c>
      <c r="BC1435">
        <v>68</v>
      </c>
      <c r="BD1435">
        <v>1.5</v>
      </c>
      <c r="BE1435">
        <v>135</v>
      </c>
      <c r="BF1435">
        <v>0</v>
      </c>
      <c r="BG1435">
        <v>162</v>
      </c>
      <c r="BH1435">
        <v>9.1</v>
      </c>
      <c r="BI1435">
        <v>9.1999999999999993</v>
      </c>
      <c r="BJ1435">
        <v>18.3</v>
      </c>
      <c r="BK1435">
        <v>0.34</v>
      </c>
      <c r="BL1435">
        <v>7.3</v>
      </c>
      <c r="BM1435">
        <v>0.9</v>
      </c>
      <c r="BN1435">
        <v>7.5</v>
      </c>
      <c r="BO1435">
        <v>2.9</v>
      </c>
      <c r="BP1435">
        <f t="shared" si="44"/>
        <v>2.1450498891276397</v>
      </c>
      <c r="BQ1435">
        <f t="shared" si="45"/>
        <v>10.322349828900478</v>
      </c>
    </row>
    <row r="1436" spans="1:69" hidden="1" x14ac:dyDescent="0.2">
      <c r="A1436" t="s">
        <v>1609</v>
      </c>
      <c r="B1436" t="s">
        <v>68</v>
      </c>
      <c r="C1436" t="s">
        <v>69</v>
      </c>
      <c r="D1436" t="s">
        <v>70</v>
      </c>
      <c r="E1436" t="s">
        <v>1610</v>
      </c>
      <c r="F1436">
        <v>5</v>
      </c>
      <c r="G1436">
        <v>279.79000000000002</v>
      </c>
      <c r="H1436">
        <v>3</v>
      </c>
      <c r="I1436">
        <v>4</v>
      </c>
      <c r="J1436">
        <v>3</v>
      </c>
      <c r="K1436" t="s">
        <v>110</v>
      </c>
      <c r="L1436" t="s">
        <v>124</v>
      </c>
      <c r="M1436" s="4">
        <v>1500000000</v>
      </c>
      <c r="N1436">
        <v>0</v>
      </c>
      <c r="O1436">
        <v>4.7136846999999999</v>
      </c>
      <c r="P1436">
        <v>-74.031561400000001</v>
      </c>
      <c r="Q1436" t="s">
        <v>1611</v>
      </c>
      <c r="R1436">
        <v>5361163.7300000004</v>
      </c>
      <c r="S1436">
        <v>0</v>
      </c>
      <c r="T1436" t="s">
        <v>104</v>
      </c>
      <c r="U1436" t="s">
        <v>105</v>
      </c>
      <c r="V1436" t="s">
        <v>77</v>
      </c>
      <c r="W1436" t="s">
        <v>104</v>
      </c>
      <c r="X1436" t="s">
        <v>106</v>
      </c>
      <c r="Y1436">
        <v>0.392340733072155</v>
      </c>
      <c r="Z1436">
        <v>392.34073307215499</v>
      </c>
      <c r="AA1436">
        <v>4.71035</v>
      </c>
      <c r="AB1436">
        <v>-74.030416666666696</v>
      </c>
      <c r="AC1436">
        <v>2570</v>
      </c>
      <c r="AD1436">
        <v>10</v>
      </c>
      <c r="AE1436" t="s">
        <v>80</v>
      </c>
      <c r="AF1436" t="s">
        <v>107</v>
      </c>
      <c r="AG1436" t="s">
        <v>82</v>
      </c>
      <c r="AH1436" t="s">
        <v>83</v>
      </c>
      <c r="AI1436" t="s">
        <v>108</v>
      </c>
      <c r="AJ1436">
        <v>2.3300320045635998</v>
      </c>
      <c r="AK1436">
        <v>0.77177383129134802</v>
      </c>
      <c r="AL1436">
        <v>0.35212090641744997</v>
      </c>
      <c r="AM1436">
        <v>0.114188016756245</v>
      </c>
      <c r="AN1436">
        <v>3.1242555883136398</v>
      </c>
      <c r="AO1436">
        <v>0.37002968082008703</v>
      </c>
      <c r="AP1436">
        <v>0.37002968082008703</v>
      </c>
      <c r="AQ1436">
        <v>0</v>
      </c>
      <c r="AR1436">
        <v>0</v>
      </c>
      <c r="AS1436">
        <v>0</v>
      </c>
      <c r="AT1436">
        <v>17</v>
      </c>
      <c r="AU1436">
        <v>1</v>
      </c>
      <c r="AV1436">
        <v>79</v>
      </c>
      <c r="AW1436">
        <v>0</v>
      </c>
      <c r="AX1436">
        <v>0</v>
      </c>
      <c r="AY1436">
        <v>15.5</v>
      </c>
      <c r="AZ1436">
        <v>2.4</v>
      </c>
      <c r="BA1436">
        <v>10.9</v>
      </c>
      <c r="BB1436">
        <v>564</v>
      </c>
      <c r="BC1436">
        <v>68</v>
      </c>
      <c r="BD1436">
        <v>1.5</v>
      </c>
      <c r="BE1436">
        <v>135</v>
      </c>
      <c r="BF1436">
        <v>0</v>
      </c>
      <c r="BG1436">
        <v>162</v>
      </c>
      <c r="BH1436">
        <v>9.1</v>
      </c>
      <c r="BI1436">
        <v>9.1999999999999993</v>
      </c>
      <c r="BJ1436">
        <v>18.3</v>
      </c>
      <c r="BK1436">
        <v>0.34</v>
      </c>
      <c r="BL1436">
        <v>7.3</v>
      </c>
      <c r="BM1436">
        <v>0.9</v>
      </c>
      <c r="BN1436">
        <v>7.5</v>
      </c>
      <c r="BO1436">
        <v>2.9</v>
      </c>
      <c r="BP1436">
        <f t="shared" si="44"/>
        <v>2.3538396091508611</v>
      </c>
      <c r="BQ1436">
        <f t="shared" si="45"/>
        <v>10.797845372076388</v>
      </c>
    </row>
    <row r="1437" spans="1:69" hidden="1" x14ac:dyDescent="0.2">
      <c r="A1437" t="s">
        <v>606</v>
      </c>
      <c r="B1437" t="s">
        <v>68</v>
      </c>
      <c r="C1437" t="s">
        <v>69</v>
      </c>
      <c r="D1437" t="s">
        <v>70</v>
      </c>
      <c r="E1437" t="s">
        <v>213</v>
      </c>
      <c r="F1437">
        <v>6</v>
      </c>
      <c r="G1437">
        <v>278</v>
      </c>
      <c r="H1437">
        <v>3</v>
      </c>
      <c r="I1437">
        <v>5</v>
      </c>
      <c r="J1437">
        <v>3</v>
      </c>
      <c r="K1437" t="s">
        <v>110</v>
      </c>
      <c r="L1437" t="s">
        <v>162</v>
      </c>
      <c r="M1437" s="4">
        <v>1480000000</v>
      </c>
      <c r="N1437">
        <v>0</v>
      </c>
      <c r="O1437">
        <v>4.6988544460000004</v>
      </c>
      <c r="P1437">
        <v>-74.03814697</v>
      </c>
      <c r="Q1437" t="s">
        <v>607</v>
      </c>
      <c r="R1437">
        <v>5323741.0070000002</v>
      </c>
      <c r="S1437">
        <v>0</v>
      </c>
      <c r="T1437" t="s">
        <v>104</v>
      </c>
      <c r="U1437" t="s">
        <v>105</v>
      </c>
      <c r="V1437" t="s">
        <v>77</v>
      </c>
      <c r="W1437" t="s">
        <v>104</v>
      </c>
      <c r="X1437" t="s">
        <v>106</v>
      </c>
      <c r="Y1437">
        <v>1.5404918652497801</v>
      </c>
      <c r="Z1437">
        <v>1540.4918652497799</v>
      </c>
      <c r="AA1437">
        <v>4.71035</v>
      </c>
      <c r="AB1437">
        <v>-74.030416666666696</v>
      </c>
      <c r="AC1437">
        <v>2570</v>
      </c>
      <c r="AD1437">
        <v>10</v>
      </c>
      <c r="AE1437" t="s">
        <v>80</v>
      </c>
      <c r="AF1437" t="s">
        <v>107</v>
      </c>
      <c r="AG1437" t="s">
        <v>82</v>
      </c>
      <c r="AH1437" t="s">
        <v>83</v>
      </c>
      <c r="AI1437" t="s">
        <v>108</v>
      </c>
      <c r="AJ1437">
        <v>1.8938787322424</v>
      </c>
      <c r="AK1437">
        <v>1.3609605334806001</v>
      </c>
      <c r="AL1437">
        <v>0.68707210559529697</v>
      </c>
      <c r="AM1437">
        <v>5.1987788735921699E-2</v>
      </c>
      <c r="AN1437">
        <v>4.88378340832001</v>
      </c>
      <c r="AO1437">
        <v>3.06764224649805E-2</v>
      </c>
      <c r="AP1437">
        <v>3.06764224649805E-2</v>
      </c>
      <c r="AQ1437">
        <v>0</v>
      </c>
      <c r="AR1437">
        <v>0</v>
      </c>
      <c r="AS1437">
        <v>0</v>
      </c>
      <c r="AT1437">
        <v>0</v>
      </c>
      <c r="AU1437">
        <v>1</v>
      </c>
      <c r="AV1437">
        <v>170</v>
      </c>
      <c r="AW1437">
        <v>0</v>
      </c>
      <c r="AX1437">
        <v>0</v>
      </c>
      <c r="AY1437">
        <v>15.5</v>
      </c>
      <c r="AZ1437">
        <v>2.4</v>
      </c>
      <c r="BA1437">
        <v>10.9</v>
      </c>
      <c r="BB1437">
        <v>564</v>
      </c>
      <c r="BC1437">
        <v>68</v>
      </c>
      <c r="BD1437">
        <v>1.5</v>
      </c>
      <c r="BE1437">
        <v>135</v>
      </c>
      <c r="BF1437">
        <v>0</v>
      </c>
      <c r="BG1437">
        <v>162</v>
      </c>
      <c r="BH1437">
        <v>9.1</v>
      </c>
      <c r="BI1437">
        <v>9.1999999999999993</v>
      </c>
      <c r="BJ1437">
        <v>18.3</v>
      </c>
      <c r="BK1437">
        <v>0.34</v>
      </c>
      <c r="BL1437">
        <v>7.3</v>
      </c>
      <c r="BM1437">
        <v>0.9</v>
      </c>
      <c r="BN1437">
        <v>7.5</v>
      </c>
      <c r="BO1437">
        <v>2.9</v>
      </c>
      <c r="BP1437">
        <f t="shared" si="44"/>
        <v>2.2237932079403664</v>
      </c>
      <c r="BQ1437">
        <f t="shared" si="45"/>
        <v>10.504366044188082</v>
      </c>
    </row>
    <row r="1438" spans="1:69" hidden="1" x14ac:dyDescent="0.2">
      <c r="A1438" t="s">
        <v>201</v>
      </c>
      <c r="B1438" t="s">
        <v>68</v>
      </c>
      <c r="C1438" t="s">
        <v>69</v>
      </c>
      <c r="D1438" t="s">
        <v>70</v>
      </c>
      <c r="E1438" t="s">
        <v>202</v>
      </c>
      <c r="F1438">
        <v>6</v>
      </c>
      <c r="G1438">
        <v>277</v>
      </c>
      <c r="H1438">
        <v>3</v>
      </c>
      <c r="I1438">
        <v>5</v>
      </c>
      <c r="J1438">
        <v>3</v>
      </c>
      <c r="K1438" t="s">
        <v>110</v>
      </c>
      <c r="L1438" t="s">
        <v>124</v>
      </c>
      <c r="M1438" s="4">
        <v>2400000000</v>
      </c>
      <c r="N1438">
        <v>0</v>
      </c>
      <c r="O1438">
        <v>4.7002739910000004</v>
      </c>
      <c r="P1438">
        <v>-74.028182979999997</v>
      </c>
      <c r="Q1438" t="s">
        <v>203</v>
      </c>
      <c r="R1438">
        <v>8664259.9279999994</v>
      </c>
      <c r="S1438">
        <v>0</v>
      </c>
      <c r="T1438" t="s">
        <v>104</v>
      </c>
      <c r="U1438" t="s">
        <v>105</v>
      </c>
      <c r="V1438" t="s">
        <v>77</v>
      </c>
      <c r="W1438" t="s">
        <v>104</v>
      </c>
      <c r="X1438" t="s">
        <v>106</v>
      </c>
      <c r="Y1438">
        <v>1.1487057108949501</v>
      </c>
      <c r="Z1438">
        <v>1148.70571089495</v>
      </c>
      <c r="AA1438">
        <v>4.71035</v>
      </c>
      <c r="AB1438">
        <v>-74.030416666666696</v>
      </c>
      <c r="AC1438">
        <v>2570</v>
      </c>
      <c r="AD1438">
        <v>10</v>
      </c>
      <c r="AE1438" t="s">
        <v>80</v>
      </c>
      <c r="AF1438" t="s">
        <v>107</v>
      </c>
      <c r="AG1438" t="s">
        <v>82</v>
      </c>
      <c r="AH1438" t="s">
        <v>83</v>
      </c>
      <c r="AI1438" t="s">
        <v>108</v>
      </c>
      <c r="AJ1438">
        <v>2.9275025656151401</v>
      </c>
      <c r="AK1438">
        <v>0.27355623149470298</v>
      </c>
      <c r="AL1438">
        <v>0.48892045644680299</v>
      </c>
      <c r="AM1438">
        <v>0.14227468650817501</v>
      </c>
      <c r="AN1438">
        <v>4.5628974234013198</v>
      </c>
      <c r="AO1438">
        <v>0.33720762656573899</v>
      </c>
      <c r="AP1438">
        <v>0.33720762656573899</v>
      </c>
      <c r="AQ1438">
        <v>0</v>
      </c>
      <c r="AR1438">
        <v>0</v>
      </c>
      <c r="AS1438">
        <v>10</v>
      </c>
      <c r="AT1438">
        <v>30</v>
      </c>
      <c r="AU1438">
        <v>2</v>
      </c>
      <c r="AV1438">
        <v>104</v>
      </c>
      <c r="AW1438">
        <v>0</v>
      </c>
      <c r="AX1438">
        <v>0</v>
      </c>
      <c r="AY1438">
        <v>15.5</v>
      </c>
      <c r="AZ1438">
        <v>2.4</v>
      </c>
      <c r="BA1438">
        <v>10.9</v>
      </c>
      <c r="BB1438">
        <v>564</v>
      </c>
      <c r="BC1438">
        <v>68</v>
      </c>
      <c r="BD1438">
        <v>1.5</v>
      </c>
      <c r="BE1438">
        <v>135</v>
      </c>
      <c r="BF1438">
        <v>0</v>
      </c>
      <c r="BG1438">
        <v>162</v>
      </c>
      <c r="BH1438">
        <v>9.1</v>
      </c>
      <c r="BI1438">
        <v>9.1999999999999993</v>
      </c>
      <c r="BJ1438">
        <v>18.3</v>
      </c>
      <c r="BK1438">
        <v>0.34</v>
      </c>
      <c r="BL1438">
        <v>7.3</v>
      </c>
      <c r="BM1438">
        <v>0.9</v>
      </c>
      <c r="BN1438">
        <v>7.5</v>
      </c>
      <c r="BO1438">
        <v>2.9</v>
      </c>
      <c r="BP1438">
        <f t="shared" si="44"/>
        <v>2.2673410575791224</v>
      </c>
      <c r="BQ1438">
        <f t="shared" si="45"/>
        <v>10.603603033402011</v>
      </c>
    </row>
    <row r="1439" spans="1:69" hidden="1" x14ac:dyDescent="0.2">
      <c r="A1439" t="s">
        <v>1893</v>
      </c>
      <c r="B1439" t="s">
        <v>68</v>
      </c>
      <c r="C1439" t="s">
        <v>69</v>
      </c>
      <c r="D1439" t="s">
        <v>70</v>
      </c>
      <c r="E1439" t="s">
        <v>370</v>
      </c>
      <c r="F1439">
        <v>6</v>
      </c>
      <c r="G1439">
        <v>276.85000000000002</v>
      </c>
      <c r="H1439">
        <v>3</v>
      </c>
      <c r="I1439">
        <v>5</v>
      </c>
      <c r="J1439">
        <v>3</v>
      </c>
      <c r="K1439" t="s">
        <v>110</v>
      </c>
      <c r="L1439" t="s">
        <v>124</v>
      </c>
      <c r="M1439" s="4">
        <v>2400000000</v>
      </c>
      <c r="N1439">
        <v>0</v>
      </c>
      <c r="O1439">
        <v>4.6994726</v>
      </c>
      <c r="P1439">
        <v>-74.028203180000006</v>
      </c>
      <c r="Q1439" t="s">
        <v>1894</v>
      </c>
      <c r="R1439">
        <v>8668954.307</v>
      </c>
      <c r="S1439">
        <v>0</v>
      </c>
      <c r="T1439" t="s">
        <v>104</v>
      </c>
      <c r="U1439" t="s">
        <v>105</v>
      </c>
      <c r="V1439" t="s">
        <v>77</v>
      </c>
      <c r="W1439" t="s">
        <v>104</v>
      </c>
      <c r="X1439" t="s">
        <v>106</v>
      </c>
      <c r="Y1439">
        <v>1.2355179242536101</v>
      </c>
      <c r="Z1439">
        <v>1235.5179242536101</v>
      </c>
      <c r="AA1439">
        <v>4.71035</v>
      </c>
      <c r="AB1439">
        <v>-74.030416666666696</v>
      </c>
      <c r="AC1439">
        <v>2570</v>
      </c>
      <c r="AD1439">
        <v>10</v>
      </c>
      <c r="AE1439" t="s">
        <v>80</v>
      </c>
      <c r="AF1439" t="s">
        <v>107</v>
      </c>
      <c r="AG1439" t="s">
        <v>82</v>
      </c>
      <c r="AH1439" t="s">
        <v>83</v>
      </c>
      <c r="AI1439" t="s">
        <v>108</v>
      </c>
      <c r="AJ1439">
        <v>2.9411987574666201</v>
      </c>
      <c r="AK1439">
        <v>0.26333306739637702</v>
      </c>
      <c r="AL1439">
        <v>0.51527301297843997</v>
      </c>
      <c r="AM1439">
        <v>0.140569363885897</v>
      </c>
      <c r="AN1439">
        <v>4.6514839744905103</v>
      </c>
      <c r="AO1439">
        <v>0.42170659393142301</v>
      </c>
      <c r="AP1439">
        <v>0.42170659393142301</v>
      </c>
      <c r="AQ1439">
        <v>0</v>
      </c>
      <c r="AR1439">
        <v>0</v>
      </c>
      <c r="AS1439">
        <v>10</v>
      </c>
      <c r="AT1439">
        <v>29</v>
      </c>
      <c r="AU1439">
        <v>2</v>
      </c>
      <c r="AV1439">
        <v>103</v>
      </c>
      <c r="AW1439">
        <v>0</v>
      </c>
      <c r="AX1439">
        <v>0</v>
      </c>
      <c r="AY1439">
        <v>15.5</v>
      </c>
      <c r="AZ1439">
        <v>2.4</v>
      </c>
      <c r="BA1439">
        <v>10.9</v>
      </c>
      <c r="BB1439">
        <v>564</v>
      </c>
      <c r="BC1439">
        <v>68</v>
      </c>
      <c r="BD1439">
        <v>1.5</v>
      </c>
      <c r="BE1439">
        <v>135</v>
      </c>
      <c r="BF1439">
        <v>0</v>
      </c>
      <c r="BG1439">
        <v>162</v>
      </c>
      <c r="BH1439">
        <v>9.1</v>
      </c>
      <c r="BI1439">
        <v>9.1999999999999993</v>
      </c>
      <c r="BJ1439">
        <v>18.3</v>
      </c>
      <c r="BK1439">
        <v>0.34</v>
      </c>
      <c r="BL1439">
        <v>7.3</v>
      </c>
      <c r="BM1439">
        <v>0.9</v>
      </c>
      <c r="BN1439">
        <v>7.5</v>
      </c>
      <c r="BO1439">
        <v>2.9</v>
      </c>
      <c r="BP1439">
        <f t="shared" si="44"/>
        <v>2.2576187336130271</v>
      </c>
      <c r="BQ1439">
        <f t="shared" si="45"/>
        <v>10.581533498274117</v>
      </c>
    </row>
    <row r="1440" spans="1:69" hidden="1" x14ac:dyDescent="0.2">
      <c r="A1440" t="s">
        <v>1238</v>
      </c>
      <c r="B1440" t="s">
        <v>68</v>
      </c>
      <c r="C1440" t="s">
        <v>69</v>
      </c>
      <c r="D1440" t="s">
        <v>70</v>
      </c>
      <c r="E1440" t="s">
        <v>187</v>
      </c>
      <c r="F1440">
        <v>6</v>
      </c>
      <c r="G1440">
        <v>275</v>
      </c>
      <c r="H1440">
        <v>3</v>
      </c>
      <c r="I1440">
        <v>5</v>
      </c>
      <c r="J1440">
        <v>2</v>
      </c>
      <c r="K1440" t="s">
        <v>110</v>
      </c>
      <c r="L1440" t="s">
        <v>133</v>
      </c>
      <c r="M1440" s="4">
        <v>1950000000</v>
      </c>
      <c r="N1440">
        <v>0</v>
      </c>
      <c r="O1440">
        <v>4.6690740000000002</v>
      </c>
      <c r="P1440">
        <v>-74.040665000000004</v>
      </c>
      <c r="Q1440" t="s">
        <v>1239</v>
      </c>
      <c r="R1440">
        <v>7090909.091</v>
      </c>
      <c r="S1440">
        <v>0</v>
      </c>
      <c r="T1440" t="s">
        <v>104</v>
      </c>
      <c r="U1440" t="s">
        <v>105</v>
      </c>
      <c r="V1440" t="s">
        <v>77</v>
      </c>
      <c r="W1440" t="s">
        <v>104</v>
      </c>
      <c r="X1440" t="s">
        <v>106</v>
      </c>
      <c r="Y1440">
        <v>4.7334147479528701</v>
      </c>
      <c r="Z1440">
        <v>4733.4147479528701</v>
      </c>
      <c r="AA1440">
        <v>4.71035</v>
      </c>
      <c r="AB1440">
        <v>-74.030416666666696</v>
      </c>
      <c r="AC1440">
        <v>2570</v>
      </c>
      <c r="AD1440">
        <v>10</v>
      </c>
      <c r="AE1440" t="s">
        <v>80</v>
      </c>
      <c r="AF1440" t="s">
        <v>107</v>
      </c>
      <c r="AG1440" t="s">
        <v>82</v>
      </c>
      <c r="AH1440" t="s">
        <v>83</v>
      </c>
      <c r="AI1440" t="s">
        <v>130</v>
      </c>
      <c r="AJ1440">
        <v>2.1346129053396599</v>
      </c>
      <c r="AK1440">
        <v>2.9185346217044501E-2</v>
      </c>
      <c r="AL1440">
        <v>1.42081688572292</v>
      </c>
      <c r="AM1440">
        <v>0.70149577545337405</v>
      </c>
      <c r="AN1440">
        <v>3.6156632901556001</v>
      </c>
      <c r="AO1440">
        <v>0.98135536998494599</v>
      </c>
      <c r="AP1440">
        <v>0.98135536998494599</v>
      </c>
      <c r="AQ1440">
        <v>0</v>
      </c>
      <c r="AR1440">
        <v>0</v>
      </c>
      <c r="AS1440">
        <v>28</v>
      </c>
      <c r="AT1440">
        <v>32</v>
      </c>
      <c r="AU1440">
        <v>0</v>
      </c>
      <c r="AV1440">
        <v>3</v>
      </c>
      <c r="AW1440">
        <v>0</v>
      </c>
      <c r="AX1440">
        <v>0</v>
      </c>
      <c r="AY1440">
        <v>15.5</v>
      </c>
      <c r="AZ1440">
        <v>2.4</v>
      </c>
      <c r="BA1440">
        <v>10.9</v>
      </c>
      <c r="BB1440">
        <v>564</v>
      </c>
      <c r="BC1440">
        <v>68</v>
      </c>
      <c r="BD1440">
        <v>1.5</v>
      </c>
      <c r="BE1440">
        <v>135</v>
      </c>
      <c r="BF1440">
        <v>0</v>
      </c>
      <c r="BG1440">
        <v>162</v>
      </c>
      <c r="BH1440">
        <v>9.1</v>
      </c>
      <c r="BI1440">
        <v>9.1999999999999993</v>
      </c>
      <c r="BJ1440">
        <v>18.3</v>
      </c>
      <c r="BK1440">
        <v>0.34</v>
      </c>
      <c r="BL1440">
        <v>7.3</v>
      </c>
      <c r="BM1440">
        <v>0.9</v>
      </c>
      <c r="BN1440">
        <v>7.5</v>
      </c>
      <c r="BO1440">
        <v>2.9</v>
      </c>
      <c r="BP1440">
        <f t="shared" si="44"/>
        <v>1.8986910113153557</v>
      </c>
      <c r="BQ1440">
        <f t="shared" si="45"/>
        <v>9.7294837310068232</v>
      </c>
    </row>
    <row r="1441" spans="1:69" hidden="1" x14ac:dyDescent="0.2">
      <c r="A1441" t="s">
        <v>250</v>
      </c>
      <c r="B1441" t="s">
        <v>68</v>
      </c>
      <c r="C1441" t="s">
        <v>69</v>
      </c>
      <c r="D1441" t="s">
        <v>70</v>
      </c>
      <c r="E1441" t="s">
        <v>251</v>
      </c>
      <c r="F1441">
        <v>6</v>
      </c>
      <c r="G1441">
        <v>275</v>
      </c>
      <c r="H1441">
        <v>3</v>
      </c>
      <c r="I1441">
        <v>3</v>
      </c>
      <c r="J1441">
        <v>4</v>
      </c>
      <c r="K1441" t="s">
        <v>110</v>
      </c>
      <c r="L1441" t="s">
        <v>124</v>
      </c>
      <c r="M1441" s="4">
        <v>3950000000</v>
      </c>
      <c r="N1441">
        <v>0</v>
      </c>
      <c r="O1441">
        <v>4.6938920020000001</v>
      </c>
      <c r="P1441">
        <v>-74.02575684</v>
      </c>
      <c r="Q1441" t="s">
        <v>252</v>
      </c>
      <c r="R1441">
        <v>14363636.359999999</v>
      </c>
      <c r="S1441">
        <v>0</v>
      </c>
      <c r="T1441" t="s">
        <v>104</v>
      </c>
      <c r="U1441" t="s">
        <v>105</v>
      </c>
      <c r="V1441" t="s">
        <v>77</v>
      </c>
      <c r="W1441" t="s">
        <v>104</v>
      </c>
      <c r="X1441" t="s">
        <v>106</v>
      </c>
      <c r="Y1441">
        <v>1.90364064608882</v>
      </c>
      <c r="Z1441">
        <v>1903.6406460888199</v>
      </c>
      <c r="AA1441">
        <v>4.71035</v>
      </c>
      <c r="AB1441">
        <v>-74.030416666666696</v>
      </c>
      <c r="AC1441">
        <v>2570</v>
      </c>
      <c r="AD1441">
        <v>10</v>
      </c>
      <c r="AE1441" t="s">
        <v>80</v>
      </c>
      <c r="AF1441" t="s">
        <v>107</v>
      </c>
      <c r="AG1441" t="s">
        <v>82</v>
      </c>
      <c r="AH1441" t="s">
        <v>83</v>
      </c>
      <c r="AI1441" t="s">
        <v>108</v>
      </c>
      <c r="AJ1441">
        <v>3.3099104222407698</v>
      </c>
      <c r="AK1441">
        <v>0.136074671852528</v>
      </c>
      <c r="AL1441">
        <v>0.442610652527265</v>
      </c>
      <c r="AM1441">
        <v>0.54672200665375303</v>
      </c>
      <c r="AN1441">
        <v>5.2664488299297298</v>
      </c>
      <c r="AO1441">
        <v>0.92131121515134795</v>
      </c>
      <c r="AP1441">
        <v>0.92131121515134795</v>
      </c>
      <c r="AQ1441">
        <v>0</v>
      </c>
      <c r="AR1441">
        <v>0</v>
      </c>
      <c r="AS1441">
        <v>15</v>
      </c>
      <c r="AT1441">
        <v>23</v>
      </c>
      <c r="AU1441">
        <v>1</v>
      </c>
      <c r="AV1441">
        <v>79</v>
      </c>
      <c r="AW1441">
        <v>0</v>
      </c>
      <c r="AX1441">
        <v>0</v>
      </c>
      <c r="AY1441">
        <v>15.5</v>
      </c>
      <c r="AZ1441">
        <v>2.4</v>
      </c>
      <c r="BA1441">
        <v>10.9</v>
      </c>
      <c r="BB1441">
        <v>564</v>
      </c>
      <c r="BC1441">
        <v>68</v>
      </c>
      <c r="BD1441">
        <v>1.5</v>
      </c>
      <c r="BE1441">
        <v>135</v>
      </c>
      <c r="BF1441">
        <v>0</v>
      </c>
      <c r="BG1441">
        <v>162</v>
      </c>
      <c r="BH1441">
        <v>9.1</v>
      </c>
      <c r="BI1441">
        <v>9.1999999999999993</v>
      </c>
      <c r="BJ1441">
        <v>18.3</v>
      </c>
      <c r="BK1441">
        <v>0.34</v>
      </c>
      <c r="BL1441">
        <v>7.3</v>
      </c>
      <c r="BM1441">
        <v>0.9</v>
      </c>
      <c r="BN1441">
        <v>7.5</v>
      </c>
      <c r="BO1441">
        <v>2.9</v>
      </c>
      <c r="BP1441">
        <f t="shared" si="44"/>
        <v>2.1841757480687289</v>
      </c>
      <c r="BQ1441">
        <f t="shared" si="45"/>
        <v>10.413212304295156</v>
      </c>
    </row>
    <row r="1442" spans="1:69" hidden="1" x14ac:dyDescent="0.2">
      <c r="A1442" t="s">
        <v>369</v>
      </c>
      <c r="B1442" t="s">
        <v>68</v>
      </c>
      <c r="C1442" t="s">
        <v>69</v>
      </c>
      <c r="D1442" t="s">
        <v>70</v>
      </c>
      <c r="E1442" t="s">
        <v>370</v>
      </c>
      <c r="F1442">
        <v>6</v>
      </c>
      <c r="G1442">
        <v>275</v>
      </c>
      <c r="H1442">
        <v>3</v>
      </c>
      <c r="I1442">
        <v>5</v>
      </c>
      <c r="J1442">
        <v>2</v>
      </c>
      <c r="K1442" t="s">
        <v>110</v>
      </c>
      <c r="L1442" t="s">
        <v>124</v>
      </c>
      <c r="M1442" s="4">
        <v>2120000000</v>
      </c>
      <c r="N1442">
        <v>0</v>
      </c>
      <c r="O1442">
        <v>4.7112528390000001</v>
      </c>
      <c r="P1442">
        <v>-74.025033640000004</v>
      </c>
      <c r="Q1442" t="s">
        <v>371</v>
      </c>
      <c r="R1442">
        <v>7709090.909</v>
      </c>
      <c r="S1442">
        <v>0</v>
      </c>
      <c r="T1442" t="s">
        <v>104</v>
      </c>
      <c r="U1442" t="s">
        <v>105</v>
      </c>
      <c r="V1442" t="s">
        <v>77</v>
      </c>
      <c r="W1442" t="s">
        <v>104</v>
      </c>
      <c r="X1442" t="s">
        <v>106</v>
      </c>
      <c r="Y1442">
        <v>0.60560925640005103</v>
      </c>
      <c r="Z1442">
        <v>605.60925640005098</v>
      </c>
      <c r="AA1442">
        <v>4.71035</v>
      </c>
      <c r="AB1442">
        <v>-74.030416666666696</v>
      </c>
      <c r="AC1442">
        <v>2570</v>
      </c>
      <c r="AD1442">
        <v>10</v>
      </c>
      <c r="AE1442" t="s">
        <v>80</v>
      </c>
      <c r="AF1442" t="s">
        <v>107</v>
      </c>
      <c r="AG1442" t="s">
        <v>82</v>
      </c>
      <c r="AH1442" t="s">
        <v>83</v>
      </c>
      <c r="AI1442" t="s">
        <v>108</v>
      </c>
      <c r="AJ1442">
        <v>3.0735841084319002</v>
      </c>
      <c r="AK1442">
        <v>6.7221756050779805E-2</v>
      </c>
      <c r="AL1442">
        <v>0.86056265669686904</v>
      </c>
      <c r="AM1442">
        <v>0.53567781429343597</v>
      </c>
      <c r="AN1442">
        <v>3.3520682404044502</v>
      </c>
      <c r="AO1442">
        <v>0.66078024660277301</v>
      </c>
      <c r="AP1442">
        <v>0.66078024660277301</v>
      </c>
      <c r="AQ1442">
        <v>0</v>
      </c>
      <c r="AR1442">
        <v>0</v>
      </c>
      <c r="AS1442">
        <v>17</v>
      </c>
      <c r="AT1442">
        <v>46</v>
      </c>
      <c r="AU1442">
        <v>1</v>
      </c>
      <c r="AV1442">
        <v>72</v>
      </c>
      <c r="AW1442">
        <v>0</v>
      </c>
      <c r="AX1442">
        <v>0</v>
      </c>
      <c r="AY1442">
        <v>15.5</v>
      </c>
      <c r="AZ1442">
        <v>2.4</v>
      </c>
      <c r="BA1442">
        <v>10.9</v>
      </c>
      <c r="BB1442">
        <v>564</v>
      </c>
      <c r="BC1442">
        <v>68</v>
      </c>
      <c r="BD1442">
        <v>1.5</v>
      </c>
      <c r="BE1442">
        <v>135</v>
      </c>
      <c r="BF1442">
        <v>0</v>
      </c>
      <c r="BG1442">
        <v>162</v>
      </c>
      <c r="BH1442">
        <v>9.1</v>
      </c>
      <c r="BI1442">
        <v>9.1999999999999993</v>
      </c>
      <c r="BJ1442">
        <v>18.3</v>
      </c>
      <c r="BK1442">
        <v>0.34</v>
      </c>
      <c r="BL1442">
        <v>7.3</v>
      </c>
      <c r="BM1442">
        <v>0.9</v>
      </c>
      <c r="BN1442">
        <v>7.5</v>
      </c>
      <c r="BO1442">
        <v>2.9</v>
      </c>
      <c r="BP1442">
        <f t="shared" si="44"/>
        <v>2.3291213167168525</v>
      </c>
      <c r="BQ1442">
        <f t="shared" si="45"/>
        <v>10.742718401697681</v>
      </c>
    </row>
    <row r="1443" spans="1:69" hidden="1" x14ac:dyDescent="0.2">
      <c r="A1443" t="s">
        <v>2291</v>
      </c>
      <c r="B1443" t="s">
        <v>68</v>
      </c>
      <c r="C1443" t="s">
        <v>1956</v>
      </c>
      <c r="D1443" t="s">
        <v>70</v>
      </c>
      <c r="E1443" t="s">
        <v>2292</v>
      </c>
      <c r="F1443">
        <v>4</v>
      </c>
      <c r="G1443">
        <v>274</v>
      </c>
      <c r="H1443">
        <v>4</v>
      </c>
      <c r="I1443">
        <v>5</v>
      </c>
      <c r="J1443">
        <v>0</v>
      </c>
      <c r="K1443" t="s">
        <v>110</v>
      </c>
      <c r="L1443" t="s">
        <v>162</v>
      </c>
      <c r="M1443" s="4">
        <v>800000000</v>
      </c>
      <c r="N1443">
        <v>0</v>
      </c>
      <c r="O1443">
        <v>4.7332444000000002</v>
      </c>
      <c r="P1443">
        <v>-74.025972800000005</v>
      </c>
      <c r="Q1443" t="s">
        <v>2293</v>
      </c>
      <c r="R1443">
        <v>2919708.0290000001</v>
      </c>
      <c r="S1443">
        <v>0</v>
      </c>
      <c r="T1443" t="s">
        <v>104</v>
      </c>
      <c r="U1443" t="s">
        <v>105</v>
      </c>
      <c r="V1443" t="s">
        <v>77</v>
      </c>
      <c r="W1443" t="s">
        <v>104</v>
      </c>
      <c r="X1443" t="s">
        <v>106</v>
      </c>
      <c r="Y1443">
        <v>2.5958399317630998</v>
      </c>
      <c r="Z1443">
        <v>2595.8399317631001</v>
      </c>
      <c r="AA1443">
        <v>4.71035</v>
      </c>
      <c r="AB1443">
        <v>-74.030416666666696</v>
      </c>
      <c r="AC1443">
        <v>2570</v>
      </c>
      <c r="AD1443">
        <v>10</v>
      </c>
      <c r="AE1443" t="s">
        <v>80</v>
      </c>
      <c r="AF1443" t="s">
        <v>107</v>
      </c>
      <c r="AG1443" t="s">
        <v>82</v>
      </c>
      <c r="AH1443" t="s">
        <v>83</v>
      </c>
      <c r="AI1443" t="s">
        <v>108</v>
      </c>
      <c r="AJ1443">
        <v>2.5824238191206401</v>
      </c>
      <c r="AK1443">
        <v>0.44533319310169001</v>
      </c>
      <c r="AL1443">
        <v>1.5526704341835</v>
      </c>
      <c r="AM1443">
        <v>2.0416626875193501E-2</v>
      </c>
      <c r="AN1443">
        <v>0.92032232054920504</v>
      </c>
      <c r="AO1443">
        <v>0.110179178711539</v>
      </c>
      <c r="AP1443">
        <v>0.110179178711539</v>
      </c>
      <c r="AQ1443">
        <v>0</v>
      </c>
      <c r="AR1443">
        <v>0</v>
      </c>
      <c r="AS1443">
        <v>1</v>
      </c>
      <c r="AT1443">
        <v>23</v>
      </c>
      <c r="AU1443">
        <v>0</v>
      </c>
      <c r="AV1443">
        <v>8</v>
      </c>
      <c r="AW1443">
        <v>1</v>
      </c>
      <c r="AX1443">
        <v>0</v>
      </c>
      <c r="AY1443">
        <v>15.5</v>
      </c>
      <c r="AZ1443">
        <v>2.4</v>
      </c>
      <c r="BA1443">
        <v>10.9</v>
      </c>
      <c r="BB1443">
        <v>564</v>
      </c>
      <c r="BC1443">
        <v>68</v>
      </c>
      <c r="BD1443">
        <v>1.5</v>
      </c>
      <c r="BE1443">
        <v>135</v>
      </c>
      <c r="BF1443">
        <v>0</v>
      </c>
      <c r="BG1443">
        <v>162</v>
      </c>
      <c r="BH1443">
        <v>9.1</v>
      </c>
      <c r="BI1443">
        <v>9.1999999999999993</v>
      </c>
      <c r="BJ1443">
        <v>18.3</v>
      </c>
      <c r="BK1443">
        <v>0.34</v>
      </c>
      <c r="BL1443">
        <v>7.3</v>
      </c>
      <c r="BM1443">
        <v>0.9</v>
      </c>
      <c r="BN1443">
        <v>7.5</v>
      </c>
      <c r="BO1443">
        <v>2.9</v>
      </c>
      <c r="BP1443">
        <f t="shared" si="44"/>
        <v>2.1106050516781241</v>
      </c>
      <c r="BQ1443">
        <f t="shared" si="45"/>
        <v>10.241648888058172</v>
      </c>
    </row>
    <row r="1444" spans="1:69" hidden="1" x14ac:dyDescent="0.2">
      <c r="A1444" t="s">
        <v>1552</v>
      </c>
      <c r="B1444" t="s">
        <v>68</v>
      </c>
      <c r="C1444" t="s">
        <v>69</v>
      </c>
      <c r="D1444" t="s">
        <v>70</v>
      </c>
      <c r="E1444" t="s">
        <v>229</v>
      </c>
      <c r="F1444">
        <v>6</v>
      </c>
      <c r="G1444">
        <v>273</v>
      </c>
      <c r="H1444">
        <v>4</v>
      </c>
      <c r="I1444">
        <v>4</v>
      </c>
      <c r="J1444">
        <v>3</v>
      </c>
      <c r="K1444" t="s">
        <v>110</v>
      </c>
      <c r="L1444" t="s">
        <v>162</v>
      </c>
      <c r="M1444" s="4">
        <v>2500000000</v>
      </c>
      <c r="N1444">
        <v>0</v>
      </c>
      <c r="O1444">
        <v>4.6926988999999999</v>
      </c>
      <c r="P1444">
        <v>-74.033353500000004</v>
      </c>
      <c r="Q1444" t="s">
        <v>1553</v>
      </c>
      <c r="R1444">
        <v>9157509.1579999998</v>
      </c>
      <c r="S1444">
        <v>0</v>
      </c>
      <c r="T1444" t="s">
        <v>104</v>
      </c>
      <c r="U1444" t="s">
        <v>105</v>
      </c>
      <c r="V1444" t="s">
        <v>77</v>
      </c>
      <c r="W1444" t="s">
        <v>104</v>
      </c>
      <c r="X1444" t="s">
        <v>106</v>
      </c>
      <c r="Y1444">
        <v>1.99174298826436</v>
      </c>
      <c r="Z1444">
        <v>1991.7429882643601</v>
      </c>
      <c r="AA1444">
        <v>4.71035</v>
      </c>
      <c r="AB1444">
        <v>-74.030416666666696</v>
      </c>
      <c r="AC1444">
        <v>2570</v>
      </c>
      <c r="AD1444">
        <v>10</v>
      </c>
      <c r="AE1444" t="s">
        <v>80</v>
      </c>
      <c r="AF1444" t="s">
        <v>107</v>
      </c>
      <c r="AG1444" t="s">
        <v>82</v>
      </c>
      <c r="AH1444" t="s">
        <v>83</v>
      </c>
      <c r="AI1444" t="s">
        <v>108</v>
      </c>
      <c r="AJ1444">
        <v>2.5071774999788601</v>
      </c>
      <c r="AK1444">
        <v>0.74954019132328797</v>
      </c>
      <c r="AL1444">
        <v>0.448383524175826</v>
      </c>
      <c r="AM1444">
        <v>9.8935099307957103E-2</v>
      </c>
      <c r="AN1444">
        <v>5.4468982845674798</v>
      </c>
      <c r="AO1444">
        <v>0.45202476345373099</v>
      </c>
      <c r="AP1444">
        <v>0.45202476345373099</v>
      </c>
      <c r="AQ1444">
        <v>0</v>
      </c>
      <c r="AR1444">
        <v>0</v>
      </c>
      <c r="AS1444">
        <v>0</v>
      </c>
      <c r="AT1444">
        <v>9</v>
      </c>
      <c r="AU1444">
        <v>2</v>
      </c>
      <c r="AV1444">
        <v>117</v>
      </c>
      <c r="AW1444">
        <v>0</v>
      </c>
      <c r="AX1444">
        <v>0</v>
      </c>
      <c r="AY1444">
        <v>15.5</v>
      </c>
      <c r="AZ1444">
        <v>2.4</v>
      </c>
      <c r="BA1444">
        <v>10.9</v>
      </c>
      <c r="BB1444">
        <v>564</v>
      </c>
      <c r="BC1444">
        <v>68</v>
      </c>
      <c r="BD1444">
        <v>1.5</v>
      </c>
      <c r="BE1444">
        <v>135</v>
      </c>
      <c r="BF1444">
        <v>0</v>
      </c>
      <c r="BG1444">
        <v>162</v>
      </c>
      <c r="BH1444">
        <v>9.1</v>
      </c>
      <c r="BI1444">
        <v>9.1999999999999993</v>
      </c>
      <c r="BJ1444">
        <v>18.3</v>
      </c>
      <c r="BK1444">
        <v>0.34</v>
      </c>
      <c r="BL1444">
        <v>7.3</v>
      </c>
      <c r="BM1444">
        <v>0.9</v>
      </c>
      <c r="BN1444">
        <v>7.5</v>
      </c>
      <c r="BO1444">
        <v>2.9</v>
      </c>
      <c r="BP1444">
        <f t="shared" si="44"/>
        <v>2.1746711537570547</v>
      </c>
      <c r="BQ1444">
        <f t="shared" si="45"/>
        <v>10.391217284796895</v>
      </c>
    </row>
    <row r="1445" spans="1:69" hidden="1" x14ac:dyDescent="0.2">
      <c r="A1445" t="s">
        <v>3069</v>
      </c>
      <c r="B1445" t="s">
        <v>68</v>
      </c>
      <c r="C1445" t="s">
        <v>1956</v>
      </c>
      <c r="D1445" t="s">
        <v>70</v>
      </c>
      <c r="E1445" t="s">
        <v>205</v>
      </c>
      <c r="F1445">
        <v>5</v>
      </c>
      <c r="G1445">
        <v>272</v>
      </c>
      <c r="H1445">
        <v>5</v>
      </c>
      <c r="I1445">
        <v>4</v>
      </c>
      <c r="J1445">
        <v>3</v>
      </c>
      <c r="K1445" t="s">
        <v>110</v>
      </c>
      <c r="L1445" t="s">
        <v>162</v>
      </c>
      <c r="M1445" s="4">
        <v>1300000000</v>
      </c>
      <c r="N1445">
        <v>0</v>
      </c>
      <c r="O1445">
        <v>4.7243380999999998</v>
      </c>
      <c r="P1445">
        <v>-74.036596900000006</v>
      </c>
      <c r="Q1445" t="s">
        <v>3070</v>
      </c>
      <c r="R1445">
        <v>4779411.7649999997</v>
      </c>
      <c r="S1445">
        <v>0</v>
      </c>
      <c r="T1445" t="s">
        <v>104</v>
      </c>
      <c r="U1445" t="s">
        <v>105</v>
      </c>
      <c r="V1445" t="s">
        <v>77</v>
      </c>
      <c r="W1445" t="s">
        <v>104</v>
      </c>
      <c r="X1445" t="s">
        <v>106</v>
      </c>
      <c r="Y1445">
        <v>1.70141888751445</v>
      </c>
      <c r="Z1445">
        <v>1701.41888751445</v>
      </c>
      <c r="AA1445">
        <v>4.71035</v>
      </c>
      <c r="AB1445">
        <v>-74.030416666666696</v>
      </c>
      <c r="AC1445">
        <v>2570</v>
      </c>
      <c r="AD1445">
        <v>10</v>
      </c>
      <c r="AE1445" t="s">
        <v>80</v>
      </c>
      <c r="AF1445" t="s">
        <v>107</v>
      </c>
      <c r="AG1445" t="s">
        <v>82</v>
      </c>
      <c r="AH1445" t="s">
        <v>83</v>
      </c>
      <c r="AI1445" t="s">
        <v>108</v>
      </c>
      <c r="AJ1445">
        <v>1.56664252505138</v>
      </c>
      <c r="AK1445">
        <v>1.5329098565157999</v>
      </c>
      <c r="AL1445">
        <v>1.0158760806635501</v>
      </c>
      <c r="AM1445">
        <v>0.403872986760417</v>
      </c>
      <c r="AN1445">
        <v>2.1929349006849099</v>
      </c>
      <c r="AO1445">
        <v>3.8833354389476598E-3</v>
      </c>
      <c r="AP1445">
        <v>3.8833354389476598E-3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18</v>
      </c>
      <c r="AW1445">
        <v>0</v>
      </c>
      <c r="AX1445">
        <v>0</v>
      </c>
      <c r="AY1445">
        <v>15.5</v>
      </c>
      <c r="AZ1445">
        <v>2.4</v>
      </c>
      <c r="BA1445">
        <v>10.9</v>
      </c>
      <c r="BB1445">
        <v>564</v>
      </c>
      <c r="BC1445">
        <v>68</v>
      </c>
      <c r="BD1445">
        <v>1.5</v>
      </c>
      <c r="BE1445">
        <v>135</v>
      </c>
      <c r="BF1445">
        <v>0</v>
      </c>
      <c r="BG1445">
        <v>162</v>
      </c>
      <c r="BH1445">
        <v>9.1</v>
      </c>
      <c r="BI1445">
        <v>9.1999999999999993</v>
      </c>
      <c r="BJ1445">
        <v>18.3</v>
      </c>
      <c r="BK1445">
        <v>0.34</v>
      </c>
      <c r="BL1445">
        <v>7.3</v>
      </c>
      <c r="BM1445">
        <v>0.9</v>
      </c>
      <c r="BN1445">
        <v>7.5</v>
      </c>
      <c r="BO1445">
        <v>2.9</v>
      </c>
      <c r="BP1445">
        <f t="shared" si="44"/>
        <v>2.20614909002673</v>
      </c>
      <c r="BQ1445">
        <f t="shared" si="45"/>
        <v>10.463873817685926</v>
      </c>
    </row>
    <row r="1446" spans="1:69" hidden="1" x14ac:dyDescent="0.2">
      <c r="A1446" t="s">
        <v>1582</v>
      </c>
      <c r="B1446" t="s">
        <v>68</v>
      </c>
      <c r="C1446" t="s">
        <v>69</v>
      </c>
      <c r="D1446" t="s">
        <v>70</v>
      </c>
      <c r="E1446" t="s">
        <v>1181</v>
      </c>
      <c r="F1446">
        <v>6</v>
      </c>
      <c r="G1446">
        <v>271</v>
      </c>
      <c r="H1446">
        <v>3</v>
      </c>
      <c r="I1446">
        <v>4</v>
      </c>
      <c r="J1446">
        <v>2</v>
      </c>
      <c r="K1446" t="s">
        <v>110</v>
      </c>
      <c r="L1446" t="s">
        <v>162</v>
      </c>
      <c r="M1446" s="4">
        <v>1890000000</v>
      </c>
      <c r="N1446">
        <v>0</v>
      </c>
      <c r="O1446">
        <v>4.6688847000000004</v>
      </c>
      <c r="P1446">
        <v>-74.040959400000006</v>
      </c>
      <c r="Q1446" t="s">
        <v>1583</v>
      </c>
      <c r="R1446">
        <v>6974169.7419999996</v>
      </c>
      <c r="S1446">
        <v>0</v>
      </c>
      <c r="T1446" t="s">
        <v>104</v>
      </c>
      <c r="U1446" t="s">
        <v>105</v>
      </c>
      <c r="V1446" t="s">
        <v>77</v>
      </c>
      <c r="W1446" t="s">
        <v>104</v>
      </c>
      <c r="X1446" t="s">
        <v>106</v>
      </c>
      <c r="Y1446">
        <v>4.7617910726071804</v>
      </c>
      <c r="Z1446">
        <v>4761.7910726071796</v>
      </c>
      <c r="AA1446">
        <v>4.71035</v>
      </c>
      <c r="AB1446">
        <v>-74.030416666666696</v>
      </c>
      <c r="AC1446">
        <v>2570</v>
      </c>
      <c r="AD1446">
        <v>10</v>
      </c>
      <c r="AE1446" t="s">
        <v>80</v>
      </c>
      <c r="AF1446" t="s">
        <v>107</v>
      </c>
      <c r="AG1446" t="s">
        <v>82</v>
      </c>
      <c r="AH1446" t="s">
        <v>83</v>
      </c>
      <c r="AI1446" t="s">
        <v>130</v>
      </c>
      <c r="AJ1446">
        <v>2.10610120185139</v>
      </c>
      <c r="AK1446">
        <v>2.1806639992785301E-2</v>
      </c>
      <c r="AL1446">
        <v>1.4492126347191701</v>
      </c>
      <c r="AM1446">
        <v>0.71898560052705296</v>
      </c>
      <c r="AN1446">
        <v>3.58039506383574</v>
      </c>
      <c r="AO1446">
        <v>0.94415056287139298</v>
      </c>
      <c r="AP1446">
        <v>0.94415056287139298</v>
      </c>
      <c r="AQ1446">
        <v>0</v>
      </c>
      <c r="AR1446">
        <v>0</v>
      </c>
      <c r="AS1446">
        <v>28</v>
      </c>
      <c r="AT1446">
        <v>32</v>
      </c>
      <c r="AU1446">
        <v>0</v>
      </c>
      <c r="AV1446">
        <v>4</v>
      </c>
      <c r="AW1446">
        <v>0</v>
      </c>
      <c r="AX1446">
        <v>0</v>
      </c>
      <c r="AY1446">
        <v>15.5</v>
      </c>
      <c r="AZ1446">
        <v>2.4</v>
      </c>
      <c r="BA1446">
        <v>10.9</v>
      </c>
      <c r="BB1446">
        <v>564</v>
      </c>
      <c r="BC1446">
        <v>68</v>
      </c>
      <c r="BD1446">
        <v>1.5</v>
      </c>
      <c r="BE1446">
        <v>135</v>
      </c>
      <c r="BF1446">
        <v>0</v>
      </c>
      <c r="BG1446">
        <v>162</v>
      </c>
      <c r="BH1446">
        <v>9.1</v>
      </c>
      <c r="BI1446">
        <v>9.1999999999999993</v>
      </c>
      <c r="BJ1446">
        <v>18.3</v>
      </c>
      <c r="BK1446">
        <v>0.34</v>
      </c>
      <c r="BL1446">
        <v>7.3</v>
      </c>
      <c r="BM1446">
        <v>0.9</v>
      </c>
      <c r="BN1446">
        <v>7.5</v>
      </c>
      <c r="BO1446">
        <v>2.9</v>
      </c>
      <c r="BP1446">
        <f t="shared" si="44"/>
        <v>1.8960259287869126</v>
      </c>
      <c r="BQ1446">
        <f t="shared" si="45"/>
        <v>9.7228598990452344</v>
      </c>
    </row>
    <row r="1447" spans="1:69" hidden="1" x14ac:dyDescent="0.2">
      <c r="A1447" t="s">
        <v>527</v>
      </c>
      <c r="B1447" t="s">
        <v>68</v>
      </c>
      <c r="C1447" t="s">
        <v>69</v>
      </c>
      <c r="D1447" t="s">
        <v>70</v>
      </c>
      <c r="E1447" t="s">
        <v>272</v>
      </c>
      <c r="F1447">
        <v>6</v>
      </c>
      <c r="G1447">
        <v>270</v>
      </c>
      <c r="H1447">
        <v>3</v>
      </c>
      <c r="I1447">
        <v>5</v>
      </c>
      <c r="J1447">
        <v>3</v>
      </c>
      <c r="K1447" t="s">
        <v>110</v>
      </c>
      <c r="L1447" t="s">
        <v>162</v>
      </c>
      <c r="M1447" s="4">
        <v>2600000000</v>
      </c>
      <c r="N1447">
        <v>0</v>
      </c>
      <c r="O1447">
        <v>4.6883673669999997</v>
      </c>
      <c r="P1447">
        <v>-74.032096859999996</v>
      </c>
      <c r="Q1447" t="s">
        <v>528</v>
      </c>
      <c r="R1447">
        <v>9629629.6300000008</v>
      </c>
      <c r="S1447">
        <v>0</v>
      </c>
      <c r="T1447" t="s">
        <v>104</v>
      </c>
      <c r="U1447" t="s">
        <v>105</v>
      </c>
      <c r="V1447" t="s">
        <v>77</v>
      </c>
      <c r="W1447" t="s">
        <v>104</v>
      </c>
      <c r="X1447" t="s">
        <v>106</v>
      </c>
      <c r="Y1447">
        <v>2.4541851897485198</v>
      </c>
      <c r="Z1447">
        <v>2454.1851897485199</v>
      </c>
      <c r="AA1447">
        <v>4.71035</v>
      </c>
      <c r="AB1447">
        <v>-74.030416666666696</v>
      </c>
      <c r="AC1447">
        <v>2570</v>
      </c>
      <c r="AD1447">
        <v>10</v>
      </c>
      <c r="AE1447" t="s">
        <v>80</v>
      </c>
      <c r="AF1447" t="s">
        <v>107</v>
      </c>
      <c r="AG1447" t="s">
        <v>82</v>
      </c>
      <c r="AH1447" t="s">
        <v>83</v>
      </c>
      <c r="AI1447" t="s">
        <v>108</v>
      </c>
      <c r="AJ1447">
        <v>2.7188471987660701</v>
      </c>
      <c r="AK1447">
        <v>0.62961595105916701</v>
      </c>
      <c r="AL1447">
        <v>0.72316794759747005</v>
      </c>
      <c r="AM1447">
        <v>0.34341976369708299</v>
      </c>
      <c r="AN1447">
        <v>5.7476453438042103</v>
      </c>
      <c r="AO1447">
        <v>0.54886394470880995</v>
      </c>
      <c r="AP1447">
        <v>0.54886394470880995</v>
      </c>
      <c r="AQ1447">
        <v>0</v>
      </c>
      <c r="AR1447">
        <v>0</v>
      </c>
      <c r="AS1447">
        <v>0</v>
      </c>
      <c r="AT1447">
        <v>18</v>
      </c>
      <c r="AU1447">
        <v>3</v>
      </c>
      <c r="AV1447">
        <v>74</v>
      </c>
      <c r="AW1447">
        <v>0</v>
      </c>
      <c r="AX1447">
        <v>0</v>
      </c>
      <c r="AY1447">
        <v>15.5</v>
      </c>
      <c r="AZ1447">
        <v>2.4</v>
      </c>
      <c r="BA1447">
        <v>10.9</v>
      </c>
      <c r="BB1447">
        <v>564</v>
      </c>
      <c r="BC1447">
        <v>68</v>
      </c>
      <c r="BD1447">
        <v>1.5</v>
      </c>
      <c r="BE1447">
        <v>135</v>
      </c>
      <c r="BF1447">
        <v>0</v>
      </c>
      <c r="BG1447">
        <v>162</v>
      </c>
      <c r="BH1447">
        <v>9.1</v>
      </c>
      <c r="BI1447">
        <v>9.1999999999999993</v>
      </c>
      <c r="BJ1447">
        <v>18.3</v>
      </c>
      <c r="BK1447">
        <v>0.34</v>
      </c>
      <c r="BL1447">
        <v>7.3</v>
      </c>
      <c r="BM1447">
        <v>0.9</v>
      </c>
      <c r="BN1447">
        <v>7.5</v>
      </c>
      <c r="BO1447">
        <v>2.9</v>
      </c>
      <c r="BP1447">
        <f t="shared" si="44"/>
        <v>2.1254564311922288</v>
      </c>
      <c r="BQ1447">
        <f t="shared" si="45"/>
        <v>10.276526817098247</v>
      </c>
    </row>
    <row r="1448" spans="1:69" hidden="1" x14ac:dyDescent="0.2">
      <c r="A1448" t="s">
        <v>2590</v>
      </c>
      <c r="B1448" t="s">
        <v>68</v>
      </c>
      <c r="C1448" t="s">
        <v>1956</v>
      </c>
      <c r="D1448" t="s">
        <v>70</v>
      </c>
      <c r="E1448" t="s">
        <v>370</v>
      </c>
      <c r="F1448">
        <v>6</v>
      </c>
      <c r="G1448">
        <v>270</v>
      </c>
      <c r="H1448">
        <v>3</v>
      </c>
      <c r="I1448">
        <v>4</v>
      </c>
      <c r="J1448">
        <v>3</v>
      </c>
      <c r="K1448" t="s">
        <v>110</v>
      </c>
      <c r="L1448" t="s">
        <v>124</v>
      </c>
      <c r="M1448" s="4">
        <v>2100000000</v>
      </c>
      <c r="N1448">
        <v>0</v>
      </c>
      <c r="O1448">
        <v>4.7248752999999999</v>
      </c>
      <c r="P1448">
        <v>-74.022506000000007</v>
      </c>
      <c r="Q1448" t="s">
        <v>2591</v>
      </c>
      <c r="R1448">
        <v>7777777.7779999999</v>
      </c>
      <c r="S1448">
        <v>0</v>
      </c>
      <c r="T1448" t="s">
        <v>104</v>
      </c>
      <c r="U1448" t="s">
        <v>105</v>
      </c>
      <c r="V1448" t="s">
        <v>77</v>
      </c>
      <c r="W1448" t="s">
        <v>104</v>
      </c>
      <c r="X1448" t="s">
        <v>106</v>
      </c>
      <c r="Y1448">
        <v>1.8397703614479399</v>
      </c>
      <c r="Z1448">
        <v>1839.7703614479401</v>
      </c>
      <c r="AA1448">
        <v>4.71035</v>
      </c>
      <c r="AB1448">
        <v>-74.030416666666696</v>
      </c>
      <c r="AC1448">
        <v>2570</v>
      </c>
      <c r="AD1448">
        <v>10</v>
      </c>
      <c r="AE1448" t="s">
        <v>80</v>
      </c>
      <c r="AF1448" t="s">
        <v>107</v>
      </c>
      <c r="AG1448" t="s">
        <v>82</v>
      </c>
      <c r="AH1448" t="s">
        <v>83</v>
      </c>
      <c r="AI1448" t="s">
        <v>108</v>
      </c>
      <c r="AJ1448">
        <v>3.0995380161114401</v>
      </c>
      <c r="AK1448">
        <v>0.16244526680676499</v>
      </c>
      <c r="AL1448">
        <v>1.9330819837659801</v>
      </c>
      <c r="AM1448">
        <v>0.37650789325384698</v>
      </c>
      <c r="AN1448">
        <v>1.90001987293248</v>
      </c>
      <c r="AO1448">
        <v>0.739504534484273</v>
      </c>
      <c r="AP1448">
        <v>0.739504534484273</v>
      </c>
      <c r="AQ1448">
        <v>0</v>
      </c>
      <c r="AR1448">
        <v>0</v>
      </c>
      <c r="AS1448">
        <v>16</v>
      </c>
      <c r="AT1448">
        <v>40</v>
      </c>
      <c r="AU1448">
        <v>0</v>
      </c>
      <c r="AV1448">
        <v>6</v>
      </c>
      <c r="AW1448">
        <v>0</v>
      </c>
      <c r="AX1448">
        <v>0</v>
      </c>
      <c r="AY1448">
        <v>15.5</v>
      </c>
      <c r="AZ1448">
        <v>2.4</v>
      </c>
      <c r="BA1448">
        <v>10.9</v>
      </c>
      <c r="BB1448">
        <v>564</v>
      </c>
      <c r="BC1448">
        <v>68</v>
      </c>
      <c r="BD1448">
        <v>1.5</v>
      </c>
      <c r="BE1448">
        <v>135</v>
      </c>
      <c r="BF1448">
        <v>0</v>
      </c>
      <c r="BG1448">
        <v>162</v>
      </c>
      <c r="BH1448">
        <v>9.1</v>
      </c>
      <c r="BI1448">
        <v>9.1999999999999993</v>
      </c>
      <c r="BJ1448">
        <v>18.3</v>
      </c>
      <c r="BK1448">
        <v>0.34</v>
      </c>
      <c r="BL1448">
        <v>7.3</v>
      </c>
      <c r="BM1448">
        <v>0.9</v>
      </c>
      <c r="BN1448">
        <v>7.5</v>
      </c>
      <c r="BO1448">
        <v>2.9</v>
      </c>
      <c r="BP1448">
        <f t="shared" si="44"/>
        <v>2.1910921200094604</v>
      </c>
      <c r="BQ1448">
        <f t="shared" si="45"/>
        <v>10.429186820743737</v>
      </c>
    </row>
    <row r="1449" spans="1:69" hidden="1" x14ac:dyDescent="0.2">
      <c r="A1449" t="s">
        <v>1895</v>
      </c>
      <c r="B1449" t="s">
        <v>68</v>
      </c>
      <c r="C1449" t="s">
        <v>69</v>
      </c>
      <c r="D1449" t="s">
        <v>70</v>
      </c>
      <c r="E1449" t="s">
        <v>235</v>
      </c>
      <c r="F1449">
        <v>6</v>
      </c>
      <c r="G1449">
        <v>270</v>
      </c>
      <c r="H1449">
        <v>3</v>
      </c>
      <c r="I1449">
        <v>4</v>
      </c>
      <c r="J1449">
        <v>4</v>
      </c>
      <c r="K1449" t="s">
        <v>110</v>
      </c>
      <c r="L1449" t="s">
        <v>162</v>
      </c>
      <c r="M1449" s="4">
        <v>1800000000</v>
      </c>
      <c r="N1449">
        <v>8000000</v>
      </c>
      <c r="O1449">
        <v>4.7081081640000004</v>
      </c>
      <c r="P1449">
        <v>-74.042424589999996</v>
      </c>
      <c r="Q1449" t="s">
        <v>1896</v>
      </c>
      <c r="R1449">
        <v>6666666.6670000004</v>
      </c>
      <c r="S1449">
        <v>29629.629629999999</v>
      </c>
      <c r="T1449" t="s">
        <v>104</v>
      </c>
      <c r="U1449" t="s">
        <v>105</v>
      </c>
      <c r="V1449" t="s">
        <v>77</v>
      </c>
      <c r="W1449" t="s">
        <v>104</v>
      </c>
      <c r="X1449" t="s">
        <v>106</v>
      </c>
      <c r="Y1449">
        <v>1.35537673481406</v>
      </c>
      <c r="Z1449">
        <v>1355.37673481406</v>
      </c>
      <c r="AA1449">
        <v>4.71035</v>
      </c>
      <c r="AB1449">
        <v>-74.030416666666696</v>
      </c>
      <c r="AC1449">
        <v>2570</v>
      </c>
      <c r="AD1449">
        <v>10</v>
      </c>
      <c r="AE1449" t="s">
        <v>80</v>
      </c>
      <c r="AF1449" t="s">
        <v>107</v>
      </c>
      <c r="AG1449" t="s">
        <v>82</v>
      </c>
      <c r="AH1449" t="s">
        <v>83</v>
      </c>
      <c r="AI1449" t="s">
        <v>108</v>
      </c>
      <c r="AJ1449">
        <v>1.3306238892107001</v>
      </c>
      <c r="AK1449">
        <v>1.9277606398419</v>
      </c>
      <c r="AL1449">
        <v>1.10841090979541</v>
      </c>
      <c r="AM1449">
        <v>0.12443888441414799</v>
      </c>
      <c r="AN1449">
        <v>4.0835140842235704</v>
      </c>
      <c r="AO1449">
        <v>7.18328413785672E-2</v>
      </c>
      <c r="AP1449">
        <v>7.18328413785672E-2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93</v>
      </c>
      <c r="AW1449">
        <v>0</v>
      </c>
      <c r="AX1449">
        <v>0</v>
      </c>
      <c r="AY1449">
        <v>15.5</v>
      </c>
      <c r="AZ1449">
        <v>2.4</v>
      </c>
      <c r="BA1449">
        <v>10.9</v>
      </c>
      <c r="BB1449">
        <v>564</v>
      </c>
      <c r="BC1449">
        <v>68</v>
      </c>
      <c r="BD1449">
        <v>1.5</v>
      </c>
      <c r="BE1449">
        <v>135</v>
      </c>
      <c r="BF1449">
        <v>0</v>
      </c>
      <c r="BG1449">
        <v>162</v>
      </c>
      <c r="BH1449">
        <v>9.1</v>
      </c>
      <c r="BI1449">
        <v>9.1999999999999993</v>
      </c>
      <c r="BJ1449">
        <v>18.3</v>
      </c>
      <c r="BK1449">
        <v>0.34</v>
      </c>
      <c r="BL1449">
        <v>7.3</v>
      </c>
      <c r="BM1449">
        <v>0.9</v>
      </c>
      <c r="BN1449">
        <v>7.5</v>
      </c>
      <c r="BO1449">
        <v>2.9</v>
      </c>
      <c r="BP1449">
        <f t="shared" si="44"/>
        <v>2.2442639128803732</v>
      </c>
      <c r="BQ1449">
        <f t="shared" si="45"/>
        <v>10.551138276399362</v>
      </c>
    </row>
    <row r="1450" spans="1:69" hidden="1" x14ac:dyDescent="0.2">
      <c r="A1450" t="s">
        <v>855</v>
      </c>
      <c r="B1450" t="s">
        <v>68</v>
      </c>
      <c r="C1450" t="s">
        <v>69</v>
      </c>
      <c r="D1450" t="s">
        <v>70</v>
      </c>
      <c r="E1450" t="s">
        <v>177</v>
      </c>
      <c r="F1450">
        <v>6</v>
      </c>
      <c r="G1450">
        <v>270</v>
      </c>
      <c r="H1450">
        <v>3</v>
      </c>
      <c r="I1450">
        <v>5</v>
      </c>
      <c r="J1450">
        <v>2</v>
      </c>
      <c r="K1450" t="s">
        <v>110</v>
      </c>
      <c r="L1450" t="s">
        <v>162</v>
      </c>
      <c r="M1450" s="4">
        <v>1550000000</v>
      </c>
      <c r="N1450">
        <v>0</v>
      </c>
      <c r="O1450">
        <v>4.7044889000000003</v>
      </c>
      <c r="P1450">
        <v>-74.0408252</v>
      </c>
      <c r="Q1450" t="s">
        <v>856</v>
      </c>
      <c r="R1450">
        <v>5740740.7410000004</v>
      </c>
      <c r="S1450">
        <v>0</v>
      </c>
      <c r="T1450" t="s">
        <v>104</v>
      </c>
      <c r="U1450" t="s">
        <v>105</v>
      </c>
      <c r="V1450" t="s">
        <v>77</v>
      </c>
      <c r="W1450" t="s">
        <v>104</v>
      </c>
      <c r="X1450" t="s">
        <v>106</v>
      </c>
      <c r="Y1450">
        <v>1.3263398337479599</v>
      </c>
      <c r="Z1450">
        <v>1326.33983374796</v>
      </c>
      <c r="AA1450">
        <v>4.71035</v>
      </c>
      <c r="AB1450">
        <v>-74.030416666666696</v>
      </c>
      <c r="AC1450">
        <v>2570</v>
      </c>
      <c r="AD1450">
        <v>10</v>
      </c>
      <c r="AE1450" t="s">
        <v>80</v>
      </c>
      <c r="AF1450" t="s">
        <v>107</v>
      </c>
      <c r="AG1450" t="s">
        <v>82</v>
      </c>
      <c r="AH1450" t="s">
        <v>83</v>
      </c>
      <c r="AI1450" t="s">
        <v>108</v>
      </c>
      <c r="AJ1450">
        <v>1.4858372928063599</v>
      </c>
      <c r="AK1450">
        <v>1.7093113044796799</v>
      </c>
      <c r="AL1450">
        <v>0.99044720862595104</v>
      </c>
      <c r="AM1450">
        <v>4.26262729461711E-2</v>
      </c>
      <c r="AN1450">
        <v>4.3823130818360596</v>
      </c>
      <c r="AO1450">
        <v>0.17375583870282801</v>
      </c>
      <c r="AP1450">
        <v>0.17375583870282801</v>
      </c>
      <c r="AQ1450">
        <v>0</v>
      </c>
      <c r="AR1450">
        <v>0</v>
      </c>
      <c r="AS1450">
        <v>0</v>
      </c>
      <c r="AT1450">
        <v>0</v>
      </c>
      <c r="AU1450">
        <v>1</v>
      </c>
      <c r="AV1450">
        <v>83</v>
      </c>
      <c r="AW1450">
        <v>0</v>
      </c>
      <c r="AX1450">
        <v>0</v>
      </c>
      <c r="AY1450">
        <v>15.5</v>
      </c>
      <c r="AZ1450">
        <v>2.4</v>
      </c>
      <c r="BA1450">
        <v>10.9</v>
      </c>
      <c r="BB1450">
        <v>564</v>
      </c>
      <c r="BC1450">
        <v>68</v>
      </c>
      <c r="BD1450">
        <v>1.5</v>
      </c>
      <c r="BE1450">
        <v>135</v>
      </c>
      <c r="BF1450">
        <v>0</v>
      </c>
      <c r="BG1450">
        <v>162</v>
      </c>
      <c r="BH1450">
        <v>9.1</v>
      </c>
      <c r="BI1450">
        <v>9.1999999999999993</v>
      </c>
      <c r="BJ1450">
        <v>18.3</v>
      </c>
      <c r="BK1450">
        <v>0.34</v>
      </c>
      <c r="BL1450">
        <v>7.3</v>
      </c>
      <c r="BM1450">
        <v>0.9</v>
      </c>
      <c r="BN1450">
        <v>7.5</v>
      </c>
      <c r="BO1450">
        <v>2.9</v>
      </c>
      <c r="BP1450">
        <f t="shared" si="44"/>
        <v>2.2474919724381963</v>
      </c>
      <c r="BQ1450">
        <f t="shared" si="45"/>
        <v>10.558493775670932</v>
      </c>
    </row>
    <row r="1451" spans="1:69" hidden="1" x14ac:dyDescent="0.2">
      <c r="A1451" t="s">
        <v>2818</v>
      </c>
      <c r="B1451" t="s">
        <v>68</v>
      </c>
      <c r="C1451" t="s">
        <v>1956</v>
      </c>
      <c r="D1451" t="s">
        <v>70</v>
      </c>
      <c r="E1451" t="s">
        <v>235</v>
      </c>
      <c r="F1451">
        <v>6</v>
      </c>
      <c r="G1451">
        <v>269.58999999999997</v>
      </c>
      <c r="H1451">
        <v>4</v>
      </c>
      <c r="I1451">
        <v>5</v>
      </c>
      <c r="J1451">
        <v>3</v>
      </c>
      <c r="K1451" t="s">
        <v>110</v>
      </c>
      <c r="L1451" t="s">
        <v>162</v>
      </c>
      <c r="M1451" s="4">
        <v>2200000000</v>
      </c>
      <c r="N1451">
        <v>0</v>
      </c>
      <c r="O1451">
        <v>4.7052199999999997</v>
      </c>
      <c r="P1451">
        <v>-74.041719999999998</v>
      </c>
      <c r="Q1451" t="s">
        <v>2819</v>
      </c>
      <c r="R1451">
        <v>8160540.0789999999</v>
      </c>
      <c r="S1451">
        <v>0</v>
      </c>
      <c r="T1451" t="s">
        <v>104</v>
      </c>
      <c r="U1451" t="s">
        <v>105</v>
      </c>
      <c r="V1451" t="s">
        <v>77</v>
      </c>
      <c r="W1451" t="s">
        <v>104</v>
      </c>
      <c r="X1451" t="s">
        <v>106</v>
      </c>
      <c r="Y1451">
        <v>1.3779428585496201</v>
      </c>
      <c r="Z1451">
        <v>1377.94285854962</v>
      </c>
      <c r="AA1451">
        <v>4.71035</v>
      </c>
      <c r="AB1451">
        <v>-74.030416666666696</v>
      </c>
      <c r="AC1451">
        <v>2570</v>
      </c>
      <c r="AD1451">
        <v>10</v>
      </c>
      <c r="AE1451" t="s">
        <v>80</v>
      </c>
      <c r="AF1451" t="s">
        <v>107</v>
      </c>
      <c r="AG1451" t="s">
        <v>82</v>
      </c>
      <c r="AH1451" t="s">
        <v>83</v>
      </c>
      <c r="AI1451" t="s">
        <v>108</v>
      </c>
      <c r="AJ1451">
        <v>1.3880135104685201</v>
      </c>
      <c r="AK1451">
        <v>1.8202899444232801</v>
      </c>
      <c r="AL1451">
        <v>1.11249661068723</v>
      </c>
      <c r="AM1451">
        <v>8.8329909114179997E-2</v>
      </c>
      <c r="AN1451">
        <v>4.3439025275790604</v>
      </c>
      <c r="AO1451">
        <v>0.29989114442124298</v>
      </c>
      <c r="AP1451">
        <v>0.29989114442124298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95</v>
      </c>
      <c r="AW1451">
        <v>0</v>
      </c>
      <c r="AX1451">
        <v>0</v>
      </c>
      <c r="AY1451">
        <v>15.5</v>
      </c>
      <c r="AZ1451">
        <v>2.4</v>
      </c>
      <c r="BA1451">
        <v>10.9</v>
      </c>
      <c r="BB1451">
        <v>564</v>
      </c>
      <c r="BC1451">
        <v>68</v>
      </c>
      <c r="BD1451">
        <v>1.5</v>
      </c>
      <c r="BE1451">
        <v>135</v>
      </c>
      <c r="BF1451">
        <v>0</v>
      </c>
      <c r="BG1451">
        <v>162</v>
      </c>
      <c r="BH1451">
        <v>9.1</v>
      </c>
      <c r="BI1451">
        <v>9.1999999999999993</v>
      </c>
      <c r="BJ1451">
        <v>18.3</v>
      </c>
      <c r="BK1451">
        <v>0.34</v>
      </c>
      <c r="BL1451">
        <v>7.3</v>
      </c>
      <c r="BM1451">
        <v>0.9</v>
      </c>
      <c r="BN1451">
        <v>7.5</v>
      </c>
      <c r="BO1451">
        <v>2.9</v>
      </c>
      <c r="BP1451">
        <f t="shared" si="44"/>
        <v>2.2417584177997738</v>
      </c>
      <c r="BQ1451">
        <f t="shared" si="45"/>
        <v>10.545425464525726</v>
      </c>
    </row>
    <row r="1452" spans="1:69" hidden="1" x14ac:dyDescent="0.2">
      <c r="A1452" t="s">
        <v>1273</v>
      </c>
      <c r="B1452" t="s">
        <v>68</v>
      </c>
      <c r="C1452" t="s">
        <v>69</v>
      </c>
      <c r="D1452" t="s">
        <v>70</v>
      </c>
      <c r="E1452" t="s">
        <v>1274</v>
      </c>
      <c r="F1452">
        <v>5</v>
      </c>
      <c r="G1452">
        <v>264</v>
      </c>
      <c r="H1452">
        <v>3</v>
      </c>
      <c r="I1452">
        <v>5</v>
      </c>
      <c r="J1452">
        <v>4</v>
      </c>
      <c r="K1452" t="s">
        <v>110</v>
      </c>
      <c r="L1452" t="s">
        <v>124</v>
      </c>
      <c r="M1452" s="4">
        <v>1850000000</v>
      </c>
      <c r="N1452">
        <v>0</v>
      </c>
      <c r="O1452">
        <v>4.7075595999999997</v>
      </c>
      <c r="P1452">
        <v>-74.047327899999999</v>
      </c>
      <c r="Q1452" t="s">
        <v>1275</v>
      </c>
      <c r="R1452">
        <v>7007575.7580000004</v>
      </c>
      <c r="S1452">
        <v>0</v>
      </c>
      <c r="T1452" t="s">
        <v>104</v>
      </c>
      <c r="U1452" t="s">
        <v>105</v>
      </c>
      <c r="V1452" t="s">
        <v>77</v>
      </c>
      <c r="W1452" t="s">
        <v>104</v>
      </c>
      <c r="X1452" t="s">
        <v>106</v>
      </c>
      <c r="Y1452">
        <v>1.90173549060652</v>
      </c>
      <c r="Z1452">
        <v>1901.73549060652</v>
      </c>
      <c r="AA1452">
        <v>4.71035</v>
      </c>
      <c r="AB1452">
        <v>-74.030416666666696</v>
      </c>
      <c r="AC1452">
        <v>2570</v>
      </c>
      <c r="AD1452">
        <v>10</v>
      </c>
      <c r="AE1452" t="s">
        <v>80</v>
      </c>
      <c r="AF1452" t="s">
        <v>107</v>
      </c>
      <c r="AG1452" t="s">
        <v>82</v>
      </c>
      <c r="AH1452" t="s">
        <v>83</v>
      </c>
      <c r="AI1452" t="s">
        <v>108</v>
      </c>
      <c r="AJ1452">
        <v>0.83003869280709297</v>
      </c>
      <c r="AK1452">
        <v>2.4743177869989701</v>
      </c>
      <c r="AL1452">
        <v>1.60120631419968</v>
      </c>
      <c r="AM1452">
        <v>0.11035327928768</v>
      </c>
      <c r="AN1452">
        <v>4.3947716794328704</v>
      </c>
      <c r="AO1452">
        <v>0.226543198374276</v>
      </c>
      <c r="AP1452">
        <v>0.226543198374276</v>
      </c>
      <c r="AQ1452">
        <v>0</v>
      </c>
      <c r="AR1452">
        <v>2</v>
      </c>
      <c r="AS1452">
        <v>0</v>
      </c>
      <c r="AT1452">
        <v>0</v>
      </c>
      <c r="AU1452">
        <v>0</v>
      </c>
      <c r="AV1452">
        <v>143</v>
      </c>
      <c r="AW1452">
        <v>0</v>
      </c>
      <c r="AX1452">
        <v>0</v>
      </c>
      <c r="AY1452">
        <v>15.5</v>
      </c>
      <c r="AZ1452">
        <v>2.4</v>
      </c>
      <c r="BA1452">
        <v>10.9</v>
      </c>
      <c r="BB1452">
        <v>564</v>
      </c>
      <c r="BC1452">
        <v>68</v>
      </c>
      <c r="BD1452">
        <v>1.5</v>
      </c>
      <c r="BE1452">
        <v>135</v>
      </c>
      <c r="BF1452">
        <v>0</v>
      </c>
      <c r="BG1452">
        <v>162</v>
      </c>
      <c r="BH1452">
        <v>9.1</v>
      </c>
      <c r="BI1452">
        <v>9.1999999999999993</v>
      </c>
      <c r="BJ1452">
        <v>18.3</v>
      </c>
      <c r="BK1452">
        <v>0.34</v>
      </c>
      <c r="BL1452">
        <v>7.3</v>
      </c>
      <c r="BM1452">
        <v>0.9</v>
      </c>
      <c r="BN1452">
        <v>7.5</v>
      </c>
      <c r="BO1452">
        <v>2.9</v>
      </c>
      <c r="BP1452">
        <f t="shared" si="44"/>
        <v>2.1843817369043217</v>
      </c>
      <c r="BQ1452">
        <f t="shared" si="45"/>
        <v>10.4136884461048</v>
      </c>
    </row>
    <row r="1453" spans="1:69" hidden="1" x14ac:dyDescent="0.2">
      <c r="A1453" t="s">
        <v>2514</v>
      </c>
      <c r="B1453" t="s">
        <v>68</v>
      </c>
      <c r="C1453" t="s">
        <v>1956</v>
      </c>
      <c r="D1453" t="s">
        <v>70</v>
      </c>
      <c r="E1453" t="s">
        <v>874</v>
      </c>
      <c r="F1453">
        <v>6</v>
      </c>
      <c r="G1453">
        <v>262</v>
      </c>
      <c r="H1453">
        <v>4</v>
      </c>
      <c r="I1453">
        <v>4</v>
      </c>
      <c r="J1453">
        <v>3</v>
      </c>
      <c r="K1453" t="s">
        <v>110</v>
      </c>
      <c r="L1453" t="s">
        <v>124</v>
      </c>
      <c r="M1453" s="4">
        <v>1850000000</v>
      </c>
      <c r="N1453">
        <v>0</v>
      </c>
      <c r="O1453">
        <v>4.7249967000000002</v>
      </c>
      <c r="P1453">
        <v>-74.024607099999997</v>
      </c>
      <c r="Q1453" t="s">
        <v>2515</v>
      </c>
      <c r="R1453">
        <v>7061068.7019999996</v>
      </c>
      <c r="S1453">
        <v>0</v>
      </c>
      <c r="T1453" t="s">
        <v>104</v>
      </c>
      <c r="U1453" t="s">
        <v>105</v>
      </c>
      <c r="V1453" t="s">
        <v>77</v>
      </c>
      <c r="W1453" t="s">
        <v>104</v>
      </c>
      <c r="X1453" t="s">
        <v>106</v>
      </c>
      <c r="Y1453">
        <v>1.75323278709835</v>
      </c>
      <c r="Z1453">
        <v>1753.2327870983499</v>
      </c>
      <c r="AA1453">
        <v>4.71035</v>
      </c>
      <c r="AB1453">
        <v>-74.030416666666696</v>
      </c>
      <c r="AC1453">
        <v>2570</v>
      </c>
      <c r="AD1453">
        <v>10</v>
      </c>
      <c r="AE1453" t="s">
        <v>80</v>
      </c>
      <c r="AF1453" t="s">
        <v>107</v>
      </c>
      <c r="AG1453" t="s">
        <v>82</v>
      </c>
      <c r="AH1453" t="s">
        <v>83</v>
      </c>
      <c r="AI1453" t="s">
        <v>108</v>
      </c>
      <c r="AJ1453">
        <v>2.8693650810968498</v>
      </c>
      <c r="AK1453">
        <v>0.378257803773145</v>
      </c>
      <c r="AL1453">
        <v>1.8172822769741801</v>
      </c>
      <c r="AM1453">
        <v>0.26380611245424401</v>
      </c>
      <c r="AN1453">
        <v>1.8430464064568599</v>
      </c>
      <c r="AO1453">
        <v>0.60323897136008997</v>
      </c>
      <c r="AP1453">
        <v>0.60323897136008997</v>
      </c>
      <c r="AQ1453">
        <v>0</v>
      </c>
      <c r="AR1453">
        <v>0</v>
      </c>
      <c r="AS1453">
        <v>11</v>
      </c>
      <c r="AT1453">
        <v>34</v>
      </c>
      <c r="AU1453">
        <v>0</v>
      </c>
      <c r="AV1453">
        <v>7</v>
      </c>
      <c r="AW1453">
        <v>0</v>
      </c>
      <c r="AX1453">
        <v>0</v>
      </c>
      <c r="AY1453">
        <v>15.5</v>
      </c>
      <c r="AZ1453">
        <v>2.4</v>
      </c>
      <c r="BA1453">
        <v>10.9</v>
      </c>
      <c r="BB1453">
        <v>564</v>
      </c>
      <c r="BC1453">
        <v>68</v>
      </c>
      <c r="BD1453">
        <v>1.5</v>
      </c>
      <c r="BE1453">
        <v>135</v>
      </c>
      <c r="BF1453">
        <v>0</v>
      </c>
      <c r="BG1453">
        <v>162</v>
      </c>
      <c r="BH1453">
        <v>9.1</v>
      </c>
      <c r="BI1453">
        <v>9.1999999999999993</v>
      </c>
      <c r="BJ1453">
        <v>18.3</v>
      </c>
      <c r="BK1453">
        <v>0.34</v>
      </c>
      <c r="BL1453">
        <v>7.3</v>
      </c>
      <c r="BM1453">
        <v>0.9</v>
      </c>
      <c r="BN1453">
        <v>7.5</v>
      </c>
      <c r="BO1453">
        <v>2.9</v>
      </c>
      <c r="BP1453">
        <f t="shared" si="44"/>
        <v>2.2004980352261887</v>
      </c>
      <c r="BQ1453">
        <f t="shared" si="45"/>
        <v>10.45086972629996</v>
      </c>
    </row>
    <row r="1454" spans="1:69" hidden="1" x14ac:dyDescent="0.2">
      <c r="A1454" t="s">
        <v>2358</v>
      </c>
      <c r="B1454" t="s">
        <v>68</v>
      </c>
      <c r="C1454" t="s">
        <v>1956</v>
      </c>
      <c r="D1454" t="s">
        <v>70</v>
      </c>
      <c r="E1454" t="s">
        <v>1879</v>
      </c>
      <c r="F1454">
        <v>5</v>
      </c>
      <c r="G1454">
        <v>261</v>
      </c>
      <c r="H1454">
        <v>3</v>
      </c>
      <c r="I1454">
        <v>5</v>
      </c>
      <c r="J1454">
        <v>1</v>
      </c>
      <c r="K1454" t="s">
        <v>110</v>
      </c>
      <c r="L1454" t="s">
        <v>162</v>
      </c>
      <c r="M1454" s="4">
        <v>720000000</v>
      </c>
      <c r="N1454">
        <v>0</v>
      </c>
      <c r="O1454">
        <v>4.6887526509999997</v>
      </c>
      <c r="P1454">
        <v>-74.037292480000005</v>
      </c>
      <c r="Q1454" t="s">
        <v>2359</v>
      </c>
      <c r="R1454">
        <v>2758620.69</v>
      </c>
      <c r="S1454">
        <v>0</v>
      </c>
      <c r="T1454" t="s">
        <v>104</v>
      </c>
      <c r="U1454" t="s">
        <v>105</v>
      </c>
      <c r="V1454" t="s">
        <v>77</v>
      </c>
      <c r="W1454" t="s">
        <v>104</v>
      </c>
      <c r="X1454" t="s">
        <v>106</v>
      </c>
      <c r="Y1454">
        <v>2.52232609339063</v>
      </c>
      <c r="Z1454">
        <v>2522.3260933906299</v>
      </c>
      <c r="AA1454">
        <v>4.71035</v>
      </c>
      <c r="AB1454">
        <v>-74.030416666666696</v>
      </c>
      <c r="AC1454">
        <v>2570</v>
      </c>
      <c r="AD1454">
        <v>10</v>
      </c>
      <c r="AE1454" t="s">
        <v>80</v>
      </c>
      <c r="AF1454" t="s">
        <v>107</v>
      </c>
      <c r="AG1454" t="s">
        <v>82</v>
      </c>
      <c r="AH1454" t="s">
        <v>83</v>
      </c>
      <c r="AI1454" t="s">
        <v>108</v>
      </c>
      <c r="AJ1454">
        <v>2.1460270377332802</v>
      </c>
      <c r="AK1454">
        <v>1.11093454565375</v>
      </c>
      <c r="AL1454">
        <v>0.73372202630518102</v>
      </c>
      <c r="AM1454">
        <v>0.21797434292304399</v>
      </c>
      <c r="AN1454">
        <v>5.2104117881357901</v>
      </c>
      <c r="AO1454">
        <v>0.26996534850503601</v>
      </c>
      <c r="AP1454">
        <v>0.26996534850503601</v>
      </c>
      <c r="AQ1454">
        <v>0</v>
      </c>
      <c r="AR1454">
        <v>0</v>
      </c>
      <c r="AS1454">
        <v>0</v>
      </c>
      <c r="AT1454">
        <v>0</v>
      </c>
      <c r="AU1454">
        <v>3</v>
      </c>
      <c r="AV1454">
        <v>71</v>
      </c>
      <c r="AW1454">
        <v>0</v>
      </c>
      <c r="AX1454">
        <v>0</v>
      </c>
      <c r="AY1454">
        <v>15.5</v>
      </c>
      <c r="AZ1454">
        <v>2.4</v>
      </c>
      <c r="BA1454">
        <v>10.9</v>
      </c>
      <c r="BB1454">
        <v>564</v>
      </c>
      <c r="BC1454">
        <v>68</v>
      </c>
      <c r="BD1454">
        <v>1.5</v>
      </c>
      <c r="BE1454">
        <v>135</v>
      </c>
      <c r="BF1454">
        <v>0</v>
      </c>
      <c r="BG1454">
        <v>162</v>
      </c>
      <c r="BH1454">
        <v>9.1</v>
      </c>
      <c r="BI1454">
        <v>9.1999999999999993</v>
      </c>
      <c r="BJ1454">
        <v>18.3</v>
      </c>
      <c r="BK1454">
        <v>0.34</v>
      </c>
      <c r="BL1454">
        <v>7.3</v>
      </c>
      <c r="BM1454">
        <v>0.9</v>
      </c>
      <c r="BN1454">
        <v>7.5</v>
      </c>
      <c r="BO1454">
        <v>2.9</v>
      </c>
      <c r="BP1454">
        <f t="shared" si="44"/>
        <v>2.1182993973920117</v>
      </c>
      <c r="BQ1454">
        <f t="shared" si="45"/>
        <v>10.259734507991331</v>
      </c>
    </row>
    <row r="1455" spans="1:69" hidden="1" x14ac:dyDescent="0.2">
      <c r="A1455" t="s">
        <v>336</v>
      </c>
      <c r="B1455" t="s">
        <v>68</v>
      </c>
      <c r="C1455" t="s">
        <v>69</v>
      </c>
      <c r="D1455" t="s">
        <v>70</v>
      </c>
      <c r="E1455" t="s">
        <v>337</v>
      </c>
      <c r="F1455">
        <v>5</v>
      </c>
      <c r="G1455">
        <v>259</v>
      </c>
      <c r="H1455">
        <v>3</v>
      </c>
      <c r="I1455">
        <v>5</v>
      </c>
      <c r="J1455">
        <v>4</v>
      </c>
      <c r="K1455" t="s">
        <v>110</v>
      </c>
      <c r="L1455" t="s">
        <v>162</v>
      </c>
      <c r="M1455" s="4">
        <v>1750000000</v>
      </c>
      <c r="N1455">
        <v>0</v>
      </c>
      <c r="O1455">
        <v>4.7010531430000002</v>
      </c>
      <c r="P1455">
        <v>-74.050567630000003</v>
      </c>
      <c r="Q1455" t="s">
        <v>338</v>
      </c>
      <c r="R1455">
        <v>6756756.7570000002</v>
      </c>
      <c r="S1455">
        <v>0</v>
      </c>
      <c r="T1455" t="s">
        <v>104</v>
      </c>
      <c r="U1455" t="s">
        <v>105</v>
      </c>
      <c r="V1455" t="s">
        <v>77</v>
      </c>
      <c r="W1455" t="s">
        <v>104</v>
      </c>
      <c r="X1455" t="s">
        <v>106</v>
      </c>
      <c r="Y1455">
        <v>2.4635584448536099</v>
      </c>
      <c r="Z1455">
        <v>2463.5584448536101</v>
      </c>
      <c r="AA1455">
        <v>4.71035</v>
      </c>
      <c r="AB1455">
        <v>-74.030416666666696</v>
      </c>
      <c r="AC1455">
        <v>2570</v>
      </c>
      <c r="AD1455">
        <v>10</v>
      </c>
      <c r="AE1455" t="s">
        <v>80</v>
      </c>
      <c r="AF1455" t="s">
        <v>107</v>
      </c>
      <c r="AG1455" t="s">
        <v>82</v>
      </c>
      <c r="AH1455" t="s">
        <v>83</v>
      </c>
      <c r="AI1455" t="s">
        <v>108</v>
      </c>
      <c r="AJ1455">
        <v>0.56705709852391295</v>
      </c>
      <c r="AK1455">
        <v>2.7473738467121098</v>
      </c>
      <c r="AL1455">
        <v>0.86122361656300706</v>
      </c>
      <c r="AM1455">
        <v>7.4731034641123101E-2</v>
      </c>
      <c r="AN1455">
        <v>4.5938222967149098</v>
      </c>
      <c r="AO1455">
        <v>0.105364946820176</v>
      </c>
      <c r="AP1455">
        <v>0.105364946820176</v>
      </c>
      <c r="AQ1455">
        <v>0</v>
      </c>
      <c r="AR1455">
        <v>2</v>
      </c>
      <c r="AS1455">
        <v>0</v>
      </c>
      <c r="AT1455">
        <v>0</v>
      </c>
      <c r="AU1455">
        <v>1</v>
      </c>
      <c r="AV1455">
        <v>181</v>
      </c>
      <c r="AW1455">
        <v>0</v>
      </c>
      <c r="AX1455">
        <v>0</v>
      </c>
      <c r="AY1455">
        <v>15.5</v>
      </c>
      <c r="AZ1455">
        <v>2.4</v>
      </c>
      <c r="BA1455">
        <v>10.9</v>
      </c>
      <c r="BB1455">
        <v>564</v>
      </c>
      <c r="BC1455">
        <v>68</v>
      </c>
      <c r="BD1455">
        <v>1.5</v>
      </c>
      <c r="BE1455">
        <v>135</v>
      </c>
      <c r="BF1455">
        <v>0</v>
      </c>
      <c r="BG1455">
        <v>162</v>
      </c>
      <c r="BH1455">
        <v>9.1</v>
      </c>
      <c r="BI1455">
        <v>9.1999999999999993</v>
      </c>
      <c r="BJ1455">
        <v>18.3</v>
      </c>
      <c r="BK1455">
        <v>0.34</v>
      </c>
      <c r="BL1455">
        <v>7.3</v>
      </c>
      <c r="BM1455">
        <v>0.9</v>
      </c>
      <c r="BN1455">
        <v>7.5</v>
      </c>
      <c r="BO1455">
        <v>2.9</v>
      </c>
      <c r="BP1455">
        <f t="shared" si="44"/>
        <v>2.1244704988898984</v>
      </c>
      <c r="BQ1455">
        <f t="shared" si="45"/>
        <v>10.274215288927691</v>
      </c>
    </row>
    <row r="1456" spans="1:69" hidden="1" x14ac:dyDescent="0.2">
      <c r="A1456" t="s">
        <v>600</v>
      </c>
      <c r="B1456" t="s">
        <v>68</v>
      </c>
      <c r="C1456" t="s">
        <v>69</v>
      </c>
      <c r="D1456" t="s">
        <v>70</v>
      </c>
      <c r="E1456" t="s">
        <v>229</v>
      </c>
      <c r="F1456">
        <v>6</v>
      </c>
      <c r="G1456">
        <v>258</v>
      </c>
      <c r="H1456">
        <v>4</v>
      </c>
      <c r="I1456">
        <v>5</v>
      </c>
      <c r="J1456">
        <v>3</v>
      </c>
      <c r="K1456" t="s">
        <v>110</v>
      </c>
      <c r="L1456" t="s">
        <v>124</v>
      </c>
      <c r="M1456" s="4">
        <v>3130000000</v>
      </c>
      <c r="N1456">
        <v>0</v>
      </c>
      <c r="O1456">
        <v>4.6765003199999997</v>
      </c>
      <c r="P1456">
        <v>-74.045188899999999</v>
      </c>
      <c r="Q1456" t="s">
        <v>601</v>
      </c>
      <c r="R1456">
        <v>12131782.949999999</v>
      </c>
      <c r="S1456">
        <v>0</v>
      </c>
      <c r="T1456" t="s">
        <v>104</v>
      </c>
      <c r="U1456" t="s">
        <v>105</v>
      </c>
      <c r="V1456" t="s">
        <v>77</v>
      </c>
      <c r="W1456" t="s">
        <v>104</v>
      </c>
      <c r="X1456" t="s">
        <v>106</v>
      </c>
      <c r="Y1456">
        <v>4.1091199602499904</v>
      </c>
      <c r="Z1456">
        <v>4109.1199602499901</v>
      </c>
      <c r="AA1456">
        <v>4.71035</v>
      </c>
      <c r="AB1456">
        <v>-74.030416666666696</v>
      </c>
      <c r="AC1456">
        <v>2570</v>
      </c>
      <c r="AD1456">
        <v>10</v>
      </c>
      <c r="AE1456" t="s">
        <v>80</v>
      </c>
      <c r="AF1456" t="s">
        <v>107</v>
      </c>
      <c r="AG1456" t="s">
        <v>82</v>
      </c>
      <c r="AH1456" t="s">
        <v>83</v>
      </c>
      <c r="AI1456" t="s">
        <v>130</v>
      </c>
      <c r="AJ1456">
        <v>1.53456425783115</v>
      </c>
      <c r="AK1456">
        <v>0.68697298298164899</v>
      </c>
      <c r="AL1456">
        <v>0.927892412327189</v>
      </c>
      <c r="AM1456">
        <v>3.5029107844702499E-2</v>
      </c>
      <c r="AN1456">
        <v>4.0771980927769604</v>
      </c>
      <c r="AO1456">
        <v>1.18570109413381</v>
      </c>
      <c r="AP1456">
        <v>1.18570109413381</v>
      </c>
      <c r="AQ1456">
        <v>0</v>
      </c>
      <c r="AR1456">
        <v>0</v>
      </c>
      <c r="AS1456">
        <v>0</v>
      </c>
      <c r="AT1456">
        <v>14</v>
      </c>
      <c r="AU1456">
        <v>1</v>
      </c>
      <c r="AV1456">
        <v>84</v>
      </c>
      <c r="AW1456">
        <v>0</v>
      </c>
      <c r="AX1456">
        <v>0</v>
      </c>
      <c r="AY1456">
        <v>15.5</v>
      </c>
      <c r="AZ1456">
        <v>2.4</v>
      </c>
      <c r="BA1456">
        <v>10.9</v>
      </c>
      <c r="BB1456">
        <v>564</v>
      </c>
      <c r="BC1456">
        <v>68</v>
      </c>
      <c r="BD1456">
        <v>1.5</v>
      </c>
      <c r="BE1456">
        <v>135</v>
      </c>
      <c r="BF1456">
        <v>0</v>
      </c>
      <c r="BG1456">
        <v>162</v>
      </c>
      <c r="BH1456">
        <v>9.1</v>
      </c>
      <c r="BI1456">
        <v>9.1999999999999993</v>
      </c>
      <c r="BJ1456">
        <v>18.3</v>
      </c>
      <c r="BK1456">
        <v>0.34</v>
      </c>
      <c r="BL1456">
        <v>7.3</v>
      </c>
      <c r="BM1456">
        <v>0.9</v>
      </c>
      <c r="BN1456">
        <v>7.5</v>
      </c>
      <c r="BO1456">
        <v>2.9</v>
      </c>
      <c r="BP1456">
        <f t="shared" si="44"/>
        <v>1.9582814929400127</v>
      </c>
      <c r="BQ1456">
        <f t="shared" si="45"/>
        <v>9.8763588875828034</v>
      </c>
    </row>
    <row r="1457" spans="1:69" hidden="1" x14ac:dyDescent="0.2">
      <c r="A1457" t="s">
        <v>241</v>
      </c>
      <c r="B1457" t="s">
        <v>68</v>
      </c>
      <c r="C1457" t="s">
        <v>69</v>
      </c>
      <c r="D1457" t="s">
        <v>70</v>
      </c>
      <c r="E1457" t="s">
        <v>213</v>
      </c>
      <c r="F1457">
        <v>6</v>
      </c>
      <c r="G1457">
        <v>257</v>
      </c>
      <c r="H1457">
        <v>4</v>
      </c>
      <c r="I1457">
        <v>5</v>
      </c>
      <c r="J1457">
        <v>4</v>
      </c>
      <c r="K1457" t="s">
        <v>110</v>
      </c>
      <c r="L1457" t="s">
        <v>162</v>
      </c>
      <c r="M1457" s="4">
        <v>1500000000</v>
      </c>
      <c r="N1457">
        <v>0</v>
      </c>
      <c r="O1457">
        <v>4.7015209200000001</v>
      </c>
      <c r="P1457">
        <v>-74.034591669999998</v>
      </c>
      <c r="Q1457" t="s">
        <v>242</v>
      </c>
      <c r="R1457">
        <v>5836575.875</v>
      </c>
      <c r="S1457">
        <v>0</v>
      </c>
      <c r="T1457" t="s">
        <v>104</v>
      </c>
      <c r="U1457" t="s">
        <v>105</v>
      </c>
      <c r="V1457" t="s">
        <v>77</v>
      </c>
      <c r="W1457" t="s">
        <v>104</v>
      </c>
      <c r="X1457" t="s">
        <v>106</v>
      </c>
      <c r="Y1457">
        <v>1.08652603800568</v>
      </c>
      <c r="Z1457">
        <v>1086.52603800568</v>
      </c>
      <c r="AA1457">
        <v>4.71035</v>
      </c>
      <c r="AB1457">
        <v>-74.030416666666696</v>
      </c>
      <c r="AC1457">
        <v>2570</v>
      </c>
      <c r="AD1457">
        <v>10</v>
      </c>
      <c r="AE1457" t="s">
        <v>80</v>
      </c>
      <c r="AF1457" t="s">
        <v>107</v>
      </c>
      <c r="AG1457" t="s">
        <v>82</v>
      </c>
      <c r="AH1457" t="s">
        <v>83</v>
      </c>
      <c r="AI1457" t="s">
        <v>108</v>
      </c>
      <c r="AJ1457">
        <v>2.20401424797023</v>
      </c>
      <c r="AK1457">
        <v>0.996273359721773</v>
      </c>
      <c r="AL1457">
        <v>0.23679017950366199</v>
      </c>
      <c r="AM1457">
        <v>0.28223439630499603</v>
      </c>
      <c r="AN1457">
        <v>4.5073069031014503</v>
      </c>
      <c r="AO1457">
        <v>0.42194022484947402</v>
      </c>
      <c r="AP1457">
        <v>0.42194022484947402</v>
      </c>
      <c r="AQ1457">
        <v>0</v>
      </c>
      <c r="AR1457">
        <v>0</v>
      </c>
      <c r="AS1457">
        <v>0</v>
      </c>
      <c r="AT1457">
        <v>2</v>
      </c>
      <c r="AU1457">
        <v>2</v>
      </c>
      <c r="AV1457">
        <v>148</v>
      </c>
      <c r="AW1457">
        <v>0</v>
      </c>
      <c r="AX1457">
        <v>0</v>
      </c>
      <c r="AY1457">
        <v>15.5</v>
      </c>
      <c r="AZ1457">
        <v>2.4</v>
      </c>
      <c r="BA1457">
        <v>10.9</v>
      </c>
      <c r="BB1457">
        <v>564</v>
      </c>
      <c r="BC1457">
        <v>68</v>
      </c>
      <c r="BD1457">
        <v>1.5</v>
      </c>
      <c r="BE1457">
        <v>135</v>
      </c>
      <c r="BF1457">
        <v>0</v>
      </c>
      <c r="BG1457">
        <v>162</v>
      </c>
      <c r="BH1457">
        <v>9.1</v>
      </c>
      <c r="BI1457">
        <v>9.1999999999999993</v>
      </c>
      <c r="BJ1457">
        <v>18.3</v>
      </c>
      <c r="BK1457">
        <v>0.34</v>
      </c>
      <c r="BL1457">
        <v>7.3</v>
      </c>
      <c r="BM1457">
        <v>0.9</v>
      </c>
      <c r="BN1457">
        <v>7.5</v>
      </c>
      <c r="BO1457">
        <v>2.9</v>
      </c>
      <c r="BP1457">
        <f t="shared" si="44"/>
        <v>2.2743304433567282</v>
      </c>
      <c r="BQ1457">
        <f t="shared" si="45"/>
        <v>10.619438731999431</v>
      </c>
    </row>
    <row r="1458" spans="1:69" hidden="1" x14ac:dyDescent="0.2">
      <c r="A1458" t="s">
        <v>2605</v>
      </c>
      <c r="B1458" t="s">
        <v>68</v>
      </c>
      <c r="C1458" t="s">
        <v>1956</v>
      </c>
      <c r="D1458" t="s">
        <v>70</v>
      </c>
      <c r="E1458" t="s">
        <v>344</v>
      </c>
      <c r="F1458">
        <v>5</v>
      </c>
      <c r="G1458">
        <v>256</v>
      </c>
      <c r="H1458">
        <v>4</v>
      </c>
      <c r="I1458">
        <v>3</v>
      </c>
      <c r="J1458">
        <v>2</v>
      </c>
      <c r="K1458" t="s">
        <v>110</v>
      </c>
      <c r="L1458" t="s">
        <v>162</v>
      </c>
      <c r="M1458" s="4">
        <v>1460000000</v>
      </c>
      <c r="N1458">
        <v>0</v>
      </c>
      <c r="O1458">
        <v>4.7016705999999999</v>
      </c>
      <c r="P1458">
        <v>-74.06147</v>
      </c>
      <c r="Q1458" t="s">
        <v>2606</v>
      </c>
      <c r="R1458">
        <v>5703125</v>
      </c>
      <c r="S1458">
        <v>0</v>
      </c>
      <c r="T1458" t="s">
        <v>104</v>
      </c>
      <c r="U1458" t="s">
        <v>105</v>
      </c>
      <c r="V1458" t="s">
        <v>77</v>
      </c>
      <c r="W1458" t="s">
        <v>104</v>
      </c>
      <c r="X1458" t="s">
        <v>106</v>
      </c>
      <c r="Y1458">
        <v>3.5781046714334201</v>
      </c>
      <c r="Z1458">
        <v>3578.1046714334202</v>
      </c>
      <c r="AA1458">
        <v>4.71035</v>
      </c>
      <c r="AB1458">
        <v>-74.030416666666696</v>
      </c>
      <c r="AC1458">
        <v>2570</v>
      </c>
      <c r="AD1458">
        <v>10</v>
      </c>
      <c r="AE1458" t="s">
        <v>80</v>
      </c>
      <c r="AF1458" t="s">
        <v>107</v>
      </c>
      <c r="AG1458" t="s">
        <v>82</v>
      </c>
      <c r="AH1458" t="s">
        <v>83</v>
      </c>
      <c r="AI1458" t="s">
        <v>121</v>
      </c>
      <c r="AJ1458">
        <v>0.78743221760400905</v>
      </c>
      <c r="AK1458">
        <v>3.7862161980956301</v>
      </c>
      <c r="AL1458">
        <v>0.99769999486335903</v>
      </c>
      <c r="AM1458">
        <v>0.278994968237257</v>
      </c>
      <c r="AN1458">
        <v>3.81980066441327</v>
      </c>
      <c r="AO1458">
        <v>0.14523031587551699</v>
      </c>
      <c r="AP1458">
        <v>0.14523031587551699</v>
      </c>
      <c r="AQ1458">
        <v>0</v>
      </c>
      <c r="AR1458">
        <v>3</v>
      </c>
      <c r="AS1458">
        <v>0</v>
      </c>
      <c r="AT1458">
        <v>0</v>
      </c>
      <c r="AU1458">
        <v>1</v>
      </c>
      <c r="AV1458">
        <v>60</v>
      </c>
      <c r="AW1458">
        <v>0</v>
      </c>
      <c r="AX1458">
        <v>0</v>
      </c>
      <c r="AY1458">
        <v>15.5</v>
      </c>
      <c r="AZ1458">
        <v>2.4</v>
      </c>
      <c r="BA1458">
        <v>10.9</v>
      </c>
      <c r="BB1458">
        <v>564</v>
      </c>
      <c r="BC1458">
        <v>68</v>
      </c>
      <c r="BD1458">
        <v>1.5</v>
      </c>
      <c r="BE1458">
        <v>135</v>
      </c>
      <c r="BF1458">
        <v>0</v>
      </c>
      <c r="BG1458">
        <v>162</v>
      </c>
      <c r="BH1458">
        <v>9.1</v>
      </c>
      <c r="BI1458">
        <v>9.1999999999999993</v>
      </c>
      <c r="BJ1458">
        <v>18.3</v>
      </c>
      <c r="BK1458">
        <v>0.34</v>
      </c>
      <c r="BL1458">
        <v>7.3</v>
      </c>
      <c r="BM1458">
        <v>0.9</v>
      </c>
      <c r="BN1458">
        <v>7.5</v>
      </c>
      <c r="BO1458">
        <v>2.9</v>
      </c>
      <c r="BP1458">
        <f t="shared" si="44"/>
        <v>2.0104378941267855</v>
      </c>
      <c r="BQ1458">
        <f t="shared" si="45"/>
        <v>10.003032300916027</v>
      </c>
    </row>
    <row r="1459" spans="1:69" hidden="1" x14ac:dyDescent="0.2">
      <c r="A1459" t="s">
        <v>2634</v>
      </c>
      <c r="B1459" t="s">
        <v>68</v>
      </c>
      <c r="C1459" t="s">
        <v>1956</v>
      </c>
      <c r="D1459" t="s">
        <v>70</v>
      </c>
      <c r="E1459" t="s">
        <v>205</v>
      </c>
      <c r="F1459">
        <v>4</v>
      </c>
      <c r="G1459">
        <v>256</v>
      </c>
      <c r="H1459">
        <v>4</v>
      </c>
      <c r="I1459">
        <v>3</v>
      </c>
      <c r="J1459">
        <v>3</v>
      </c>
      <c r="K1459" t="s">
        <v>110</v>
      </c>
      <c r="L1459" t="s">
        <v>162</v>
      </c>
      <c r="M1459" s="4">
        <v>750000000</v>
      </c>
      <c r="N1459">
        <v>0</v>
      </c>
      <c r="O1459">
        <v>4.7313000000000001</v>
      </c>
      <c r="P1459">
        <v>-74.041529999999995</v>
      </c>
      <c r="Q1459" t="s">
        <v>2635</v>
      </c>
      <c r="R1459">
        <v>2929687.5</v>
      </c>
      <c r="S1459">
        <v>0</v>
      </c>
      <c r="T1459" t="s">
        <v>104</v>
      </c>
      <c r="U1459" t="s">
        <v>105</v>
      </c>
      <c r="V1459" t="s">
        <v>77</v>
      </c>
      <c r="W1459" t="s">
        <v>104</v>
      </c>
      <c r="X1459" t="s">
        <v>106</v>
      </c>
      <c r="Y1459">
        <v>2.6379950700663302</v>
      </c>
      <c r="Z1459">
        <v>2637.9950700663298</v>
      </c>
      <c r="AA1459">
        <v>4.71035</v>
      </c>
      <c r="AB1459">
        <v>-74.030416666666696</v>
      </c>
      <c r="AC1459">
        <v>2570</v>
      </c>
      <c r="AD1459">
        <v>10</v>
      </c>
      <c r="AE1459" t="s">
        <v>80</v>
      </c>
      <c r="AF1459" t="s">
        <v>107</v>
      </c>
      <c r="AG1459" t="s">
        <v>82</v>
      </c>
      <c r="AH1459" t="s">
        <v>83</v>
      </c>
      <c r="AI1459" t="s">
        <v>108</v>
      </c>
      <c r="AJ1459">
        <v>0.91927147570197998</v>
      </c>
      <c r="AK1459">
        <v>2.1711091227970298</v>
      </c>
      <c r="AL1459">
        <v>0.245902017373344</v>
      </c>
      <c r="AM1459">
        <v>8.5950307912128696E-2</v>
      </c>
      <c r="AN1459">
        <v>1.99292107455686</v>
      </c>
      <c r="AO1459">
        <v>0.104421554886778</v>
      </c>
      <c r="AP1459">
        <v>0.104421554886778</v>
      </c>
      <c r="AQ1459">
        <v>0</v>
      </c>
      <c r="AR1459">
        <v>2</v>
      </c>
      <c r="AS1459">
        <v>0</v>
      </c>
      <c r="AT1459">
        <v>0</v>
      </c>
      <c r="AU1459">
        <v>1</v>
      </c>
      <c r="AV1459">
        <v>22</v>
      </c>
      <c r="AW1459">
        <v>0</v>
      </c>
      <c r="AX1459">
        <v>0</v>
      </c>
      <c r="AY1459">
        <v>15.5</v>
      </c>
      <c r="AZ1459">
        <v>2.4</v>
      </c>
      <c r="BA1459">
        <v>10.9</v>
      </c>
      <c r="BB1459">
        <v>564</v>
      </c>
      <c r="BC1459">
        <v>68</v>
      </c>
      <c r="BD1459">
        <v>1.5</v>
      </c>
      <c r="BE1459">
        <v>135</v>
      </c>
      <c r="BF1459">
        <v>0</v>
      </c>
      <c r="BG1459">
        <v>162</v>
      </c>
      <c r="BH1459">
        <v>9.1</v>
      </c>
      <c r="BI1459">
        <v>9.1999999999999993</v>
      </c>
      <c r="BJ1459">
        <v>18.3</v>
      </c>
      <c r="BK1459">
        <v>0.34</v>
      </c>
      <c r="BL1459">
        <v>7.3</v>
      </c>
      <c r="BM1459">
        <v>0.9</v>
      </c>
      <c r="BN1459">
        <v>7.5</v>
      </c>
      <c r="BO1459">
        <v>2.9</v>
      </c>
      <c r="BP1459">
        <f t="shared" si="44"/>
        <v>2.1062054875453997</v>
      </c>
      <c r="BQ1459">
        <f t="shared" si="45"/>
        <v>10.231292412877385</v>
      </c>
    </row>
    <row r="1460" spans="1:69" hidden="1" x14ac:dyDescent="0.2">
      <c r="A1460" t="s">
        <v>1866</v>
      </c>
      <c r="B1460" t="s">
        <v>68</v>
      </c>
      <c r="C1460" t="s">
        <v>69</v>
      </c>
      <c r="D1460" t="s">
        <v>70</v>
      </c>
      <c r="E1460" t="s">
        <v>177</v>
      </c>
      <c r="F1460">
        <v>6</v>
      </c>
      <c r="G1460">
        <v>256</v>
      </c>
      <c r="H1460">
        <v>3</v>
      </c>
      <c r="I1460">
        <v>4</v>
      </c>
      <c r="J1460">
        <v>2</v>
      </c>
      <c r="K1460" t="s">
        <v>110</v>
      </c>
      <c r="L1460" t="s">
        <v>162</v>
      </c>
      <c r="M1460" s="4">
        <v>1850000000</v>
      </c>
      <c r="N1460">
        <v>0</v>
      </c>
      <c r="O1460">
        <v>4.7142600000000003</v>
      </c>
      <c r="P1460">
        <v>-74.047439999999995</v>
      </c>
      <c r="Q1460" t="s">
        <v>1867</v>
      </c>
      <c r="R1460">
        <v>7226562.5</v>
      </c>
      <c r="S1460">
        <v>0</v>
      </c>
      <c r="T1460" t="s">
        <v>104</v>
      </c>
      <c r="U1460" t="s">
        <v>105</v>
      </c>
      <c r="V1460" t="s">
        <v>77</v>
      </c>
      <c r="W1460" t="s">
        <v>104</v>
      </c>
      <c r="X1460" t="s">
        <v>106</v>
      </c>
      <c r="Y1460">
        <v>1.9381300296908099</v>
      </c>
      <c r="Z1460">
        <v>1938.13002969081</v>
      </c>
      <c r="AA1460">
        <v>4.71035</v>
      </c>
      <c r="AB1460">
        <v>-74.030416666666696</v>
      </c>
      <c r="AC1460">
        <v>2570</v>
      </c>
      <c r="AD1460">
        <v>10</v>
      </c>
      <c r="AE1460" t="s">
        <v>80</v>
      </c>
      <c r="AF1460" t="s">
        <v>107</v>
      </c>
      <c r="AG1460" t="s">
        <v>82</v>
      </c>
      <c r="AH1460" t="s">
        <v>83</v>
      </c>
      <c r="AI1460" t="s">
        <v>108</v>
      </c>
      <c r="AJ1460">
        <v>0.5684493546778</v>
      </c>
      <c r="AK1460">
        <v>2.5297023294884098</v>
      </c>
      <c r="AL1460">
        <v>1.6714542553777201</v>
      </c>
      <c r="AM1460">
        <v>0.43734386017572502</v>
      </c>
      <c r="AN1460">
        <v>3.7892413048259099</v>
      </c>
      <c r="AO1460">
        <v>0.50419018661974702</v>
      </c>
      <c r="AP1460">
        <v>0.50419018661974702</v>
      </c>
      <c r="AQ1460">
        <v>0</v>
      </c>
      <c r="AR1460">
        <v>2</v>
      </c>
      <c r="AS1460">
        <v>0</v>
      </c>
      <c r="AT1460">
        <v>0</v>
      </c>
      <c r="AU1460">
        <v>0</v>
      </c>
      <c r="AV1460">
        <v>78</v>
      </c>
      <c r="AW1460">
        <v>0</v>
      </c>
      <c r="AX1460">
        <v>0</v>
      </c>
      <c r="AY1460">
        <v>15.5</v>
      </c>
      <c r="AZ1460">
        <v>2.4</v>
      </c>
      <c r="BA1460">
        <v>10.9</v>
      </c>
      <c r="BB1460">
        <v>564</v>
      </c>
      <c r="BC1460">
        <v>68</v>
      </c>
      <c r="BD1460">
        <v>1.5</v>
      </c>
      <c r="BE1460">
        <v>135</v>
      </c>
      <c r="BF1460">
        <v>0</v>
      </c>
      <c r="BG1460">
        <v>162</v>
      </c>
      <c r="BH1460">
        <v>9.1</v>
      </c>
      <c r="BI1460">
        <v>9.1999999999999993</v>
      </c>
      <c r="BJ1460">
        <v>18.3</v>
      </c>
      <c r="BK1460">
        <v>0.34</v>
      </c>
      <c r="BL1460">
        <v>7.3</v>
      </c>
      <c r="BM1460">
        <v>0.9</v>
      </c>
      <c r="BN1460">
        <v>7.5</v>
      </c>
      <c r="BO1460">
        <v>2.9</v>
      </c>
      <c r="BP1460">
        <f t="shared" si="44"/>
        <v>2.180450050950471</v>
      </c>
      <c r="BQ1460">
        <f t="shared" si="45"/>
        <v>10.404596384111809</v>
      </c>
    </row>
    <row r="1461" spans="1:69" hidden="1" x14ac:dyDescent="0.2">
      <c r="A1461" t="s">
        <v>1080</v>
      </c>
      <c r="B1461" t="s">
        <v>68</v>
      </c>
      <c r="C1461" t="s">
        <v>69</v>
      </c>
      <c r="D1461" t="s">
        <v>70</v>
      </c>
      <c r="E1461" t="s">
        <v>270</v>
      </c>
      <c r="F1461">
        <v>6</v>
      </c>
      <c r="G1461">
        <v>253</v>
      </c>
      <c r="H1461">
        <v>3</v>
      </c>
      <c r="I1461">
        <v>3</v>
      </c>
      <c r="J1461">
        <v>4</v>
      </c>
      <c r="K1461" t="s">
        <v>110</v>
      </c>
      <c r="L1461" t="s">
        <v>124</v>
      </c>
      <c r="M1461" s="4">
        <v>2590000000</v>
      </c>
      <c r="N1461">
        <v>0</v>
      </c>
      <c r="O1461">
        <v>4.6933441159999996</v>
      </c>
      <c r="P1461">
        <v>-74.026123049999995</v>
      </c>
      <c r="Q1461" t="s">
        <v>1081</v>
      </c>
      <c r="R1461">
        <v>10237154.15</v>
      </c>
      <c r="S1461">
        <v>0</v>
      </c>
      <c r="T1461" t="s">
        <v>104</v>
      </c>
      <c r="U1461" t="s">
        <v>105</v>
      </c>
      <c r="V1461" t="s">
        <v>77</v>
      </c>
      <c r="W1461" t="s">
        <v>104</v>
      </c>
      <c r="X1461" t="s">
        <v>106</v>
      </c>
      <c r="Y1461">
        <v>1.9520988108714501</v>
      </c>
      <c r="Z1461">
        <v>1952.09881087145</v>
      </c>
      <c r="AA1461">
        <v>4.71035</v>
      </c>
      <c r="AB1461">
        <v>-74.030416666666696</v>
      </c>
      <c r="AC1461">
        <v>2570</v>
      </c>
      <c r="AD1461">
        <v>10</v>
      </c>
      <c r="AE1461" t="s">
        <v>80</v>
      </c>
      <c r="AF1461" t="s">
        <v>107</v>
      </c>
      <c r="AG1461" t="s">
        <v>82</v>
      </c>
      <c r="AH1461" t="s">
        <v>83</v>
      </c>
      <c r="AI1461" t="s">
        <v>108</v>
      </c>
      <c r="AJ1461">
        <v>3.2789342489278499</v>
      </c>
      <c r="AK1461">
        <v>0.18909712438845999</v>
      </c>
      <c r="AL1461">
        <v>0.41616428483094597</v>
      </c>
      <c r="AM1461">
        <v>0.53116830678396798</v>
      </c>
      <c r="AN1461">
        <v>5.3263144994728</v>
      </c>
      <c r="AO1461">
        <v>0.90700948287577199</v>
      </c>
      <c r="AP1461">
        <v>0.90700948287577199</v>
      </c>
      <c r="AQ1461">
        <v>0</v>
      </c>
      <c r="AR1461">
        <v>0</v>
      </c>
      <c r="AS1461">
        <v>15</v>
      </c>
      <c r="AT1461">
        <v>25</v>
      </c>
      <c r="AU1461">
        <v>1</v>
      </c>
      <c r="AV1461">
        <v>85</v>
      </c>
      <c r="AW1461">
        <v>0</v>
      </c>
      <c r="AX1461">
        <v>0</v>
      </c>
      <c r="AY1461">
        <v>15.5</v>
      </c>
      <c r="AZ1461">
        <v>2.4</v>
      </c>
      <c r="BA1461">
        <v>10.9</v>
      </c>
      <c r="BB1461">
        <v>564</v>
      </c>
      <c r="BC1461">
        <v>68</v>
      </c>
      <c r="BD1461">
        <v>1.5</v>
      </c>
      <c r="BE1461">
        <v>135</v>
      </c>
      <c r="BF1461">
        <v>0</v>
      </c>
      <c r="BG1461">
        <v>162</v>
      </c>
      <c r="BH1461">
        <v>9.1</v>
      </c>
      <c r="BI1461">
        <v>9.1999999999999993</v>
      </c>
      <c r="BJ1461">
        <v>18.3</v>
      </c>
      <c r="BK1461">
        <v>0.34</v>
      </c>
      <c r="BL1461">
        <v>7.3</v>
      </c>
      <c r="BM1461">
        <v>0.9</v>
      </c>
      <c r="BN1461">
        <v>7.5</v>
      </c>
      <c r="BO1461">
        <v>2.9</v>
      </c>
      <c r="BP1461">
        <f t="shared" si="44"/>
        <v>2.1789428897103242</v>
      </c>
      <c r="BQ1461">
        <f t="shared" si="45"/>
        <v>10.401108820024808</v>
      </c>
    </row>
    <row r="1462" spans="1:69" hidden="1" x14ac:dyDescent="0.2">
      <c r="A1462" t="s">
        <v>212</v>
      </c>
      <c r="B1462" t="s">
        <v>68</v>
      </c>
      <c r="C1462" t="s">
        <v>69</v>
      </c>
      <c r="D1462" t="s">
        <v>70</v>
      </c>
      <c r="E1462" t="s">
        <v>213</v>
      </c>
      <c r="F1462">
        <v>6</v>
      </c>
      <c r="G1462">
        <v>251.54</v>
      </c>
      <c r="H1462">
        <v>5</v>
      </c>
      <c r="I1462">
        <v>5</v>
      </c>
      <c r="J1462">
        <v>3</v>
      </c>
      <c r="K1462" t="s">
        <v>110</v>
      </c>
      <c r="L1462" t="s">
        <v>162</v>
      </c>
      <c r="M1462" s="4">
        <v>2600000000</v>
      </c>
      <c r="N1462">
        <v>0</v>
      </c>
      <c r="O1462">
        <v>4.7034039500000002</v>
      </c>
      <c r="P1462">
        <v>-74.035270690000004</v>
      </c>
      <c r="Q1462" t="s">
        <v>214</v>
      </c>
      <c r="R1462">
        <v>10336328.220000001</v>
      </c>
      <c r="S1462">
        <v>0</v>
      </c>
      <c r="T1462" t="s">
        <v>104</v>
      </c>
      <c r="U1462" t="s">
        <v>105</v>
      </c>
      <c r="V1462" t="s">
        <v>77</v>
      </c>
      <c r="W1462" t="s">
        <v>104</v>
      </c>
      <c r="X1462" t="s">
        <v>106</v>
      </c>
      <c r="Y1462">
        <v>0.94228184915736901</v>
      </c>
      <c r="Z1462">
        <v>942.28184915736904</v>
      </c>
      <c r="AA1462">
        <v>4.71035</v>
      </c>
      <c r="AB1462">
        <v>-74.030416666666696</v>
      </c>
      <c r="AC1462">
        <v>2570</v>
      </c>
      <c r="AD1462">
        <v>10</v>
      </c>
      <c r="AE1462" t="s">
        <v>80</v>
      </c>
      <c r="AF1462" t="s">
        <v>107</v>
      </c>
      <c r="AG1462" t="s">
        <v>82</v>
      </c>
      <c r="AH1462" t="s">
        <v>83</v>
      </c>
      <c r="AI1462" t="s">
        <v>108</v>
      </c>
      <c r="AJ1462">
        <v>2.1060414025913601</v>
      </c>
      <c r="AK1462">
        <v>1.0830289618884601</v>
      </c>
      <c r="AL1462">
        <v>0.38623309294166602</v>
      </c>
      <c r="AM1462">
        <v>0.13461208137252101</v>
      </c>
      <c r="AN1462">
        <v>4.3192001374831204</v>
      </c>
      <c r="AO1462">
        <v>0.45104015560647398</v>
      </c>
      <c r="AP1462">
        <v>0.45104015560647398</v>
      </c>
      <c r="AQ1462">
        <v>0</v>
      </c>
      <c r="AR1462">
        <v>0</v>
      </c>
      <c r="AS1462">
        <v>0</v>
      </c>
      <c r="AT1462">
        <v>0</v>
      </c>
      <c r="AU1462">
        <v>2</v>
      </c>
      <c r="AV1462">
        <v>161</v>
      </c>
      <c r="AW1462">
        <v>0</v>
      </c>
      <c r="AX1462">
        <v>0</v>
      </c>
      <c r="AY1462">
        <v>15.5</v>
      </c>
      <c r="AZ1462">
        <v>2.4</v>
      </c>
      <c r="BA1462">
        <v>10.9</v>
      </c>
      <c r="BB1462">
        <v>564</v>
      </c>
      <c r="BC1462">
        <v>68</v>
      </c>
      <c r="BD1462">
        <v>1.5</v>
      </c>
      <c r="BE1462">
        <v>135</v>
      </c>
      <c r="BF1462">
        <v>0</v>
      </c>
      <c r="BG1462">
        <v>162</v>
      </c>
      <c r="BH1462">
        <v>9.1</v>
      </c>
      <c r="BI1462">
        <v>9.1999999999999993</v>
      </c>
      <c r="BJ1462">
        <v>18.3</v>
      </c>
      <c r="BK1462">
        <v>0.34</v>
      </c>
      <c r="BL1462">
        <v>7.3</v>
      </c>
      <c r="BM1462">
        <v>0.9</v>
      </c>
      <c r="BN1462">
        <v>7.5</v>
      </c>
      <c r="BO1462">
        <v>2.9</v>
      </c>
      <c r="BP1462">
        <f t="shared" si="44"/>
        <v>2.2906274732526688</v>
      </c>
      <c r="BQ1462">
        <f t="shared" si="45"/>
        <v>10.656265455532836</v>
      </c>
    </row>
    <row r="1463" spans="1:69" hidden="1" x14ac:dyDescent="0.2">
      <c r="A1463" t="s">
        <v>2495</v>
      </c>
      <c r="B1463" t="s">
        <v>68</v>
      </c>
      <c r="C1463" t="s">
        <v>1956</v>
      </c>
      <c r="D1463" t="s">
        <v>70</v>
      </c>
      <c r="E1463" t="s">
        <v>193</v>
      </c>
      <c r="F1463">
        <v>5</v>
      </c>
      <c r="G1463">
        <v>251</v>
      </c>
      <c r="H1463">
        <v>5</v>
      </c>
      <c r="I1463">
        <v>5</v>
      </c>
      <c r="J1463">
        <v>4</v>
      </c>
      <c r="K1463" t="s">
        <v>110</v>
      </c>
      <c r="L1463" t="s">
        <v>162</v>
      </c>
      <c r="M1463" s="4">
        <v>1800000000</v>
      </c>
      <c r="N1463">
        <v>0</v>
      </c>
      <c r="O1463">
        <v>4.7006515340000004</v>
      </c>
      <c r="P1463">
        <v>-74.030495509999994</v>
      </c>
      <c r="Q1463" t="s">
        <v>2496</v>
      </c>
      <c r="R1463">
        <v>7171314.7410000004</v>
      </c>
      <c r="S1463">
        <v>0</v>
      </c>
      <c r="T1463" t="s">
        <v>104</v>
      </c>
      <c r="U1463" t="s">
        <v>105</v>
      </c>
      <c r="V1463" t="s">
        <v>77</v>
      </c>
      <c r="W1463" t="s">
        <v>104</v>
      </c>
      <c r="X1463" t="s">
        <v>106</v>
      </c>
      <c r="Y1463">
        <v>1.07966373127321</v>
      </c>
      <c r="Z1463">
        <v>1079.66373127321</v>
      </c>
      <c r="AA1463">
        <v>4.71035</v>
      </c>
      <c r="AB1463">
        <v>-74.030416666666696</v>
      </c>
      <c r="AC1463">
        <v>2570</v>
      </c>
      <c r="AD1463">
        <v>10</v>
      </c>
      <c r="AE1463" t="s">
        <v>80</v>
      </c>
      <c r="AF1463" t="s">
        <v>107</v>
      </c>
      <c r="AG1463" t="s">
        <v>82</v>
      </c>
      <c r="AH1463" t="s">
        <v>83</v>
      </c>
      <c r="AI1463" t="s">
        <v>108</v>
      </c>
      <c r="AJ1463">
        <v>2.6677270099779098</v>
      </c>
      <c r="AK1463">
        <v>0.532114811911097</v>
      </c>
      <c r="AL1463">
        <v>0.23093233391416099</v>
      </c>
      <c r="AM1463">
        <v>7.2048626372656799E-2</v>
      </c>
      <c r="AN1463">
        <v>4.5375662058310198</v>
      </c>
      <c r="AO1463">
        <v>0.41135031163270502</v>
      </c>
      <c r="AP1463">
        <v>0.41135031163270502</v>
      </c>
      <c r="AQ1463">
        <v>0</v>
      </c>
      <c r="AR1463">
        <v>0</v>
      </c>
      <c r="AS1463">
        <v>0</v>
      </c>
      <c r="AT1463">
        <v>24</v>
      </c>
      <c r="AU1463">
        <v>2</v>
      </c>
      <c r="AV1463">
        <v>122</v>
      </c>
      <c r="AW1463">
        <v>0</v>
      </c>
      <c r="AX1463">
        <v>0</v>
      </c>
      <c r="AY1463">
        <v>15.5</v>
      </c>
      <c r="AZ1463">
        <v>2.4</v>
      </c>
      <c r="BA1463">
        <v>10.9</v>
      </c>
      <c r="BB1463">
        <v>564</v>
      </c>
      <c r="BC1463">
        <v>68</v>
      </c>
      <c r="BD1463">
        <v>1.5</v>
      </c>
      <c r="BE1463">
        <v>135</v>
      </c>
      <c r="BF1463">
        <v>0</v>
      </c>
      <c r="BG1463">
        <v>162</v>
      </c>
      <c r="BH1463">
        <v>9.1</v>
      </c>
      <c r="BI1463">
        <v>9.1999999999999993</v>
      </c>
      <c r="BJ1463">
        <v>18.3</v>
      </c>
      <c r="BK1463">
        <v>0.34</v>
      </c>
      <c r="BL1463">
        <v>7.3</v>
      </c>
      <c r="BM1463">
        <v>0.9</v>
      </c>
      <c r="BN1463">
        <v>7.5</v>
      </c>
      <c r="BO1463">
        <v>2.9</v>
      </c>
      <c r="BP1463">
        <f t="shared" si="44"/>
        <v>2.2751031286628955</v>
      </c>
      <c r="BQ1463">
        <f t="shared" si="45"/>
        <v>10.621187848332886</v>
      </c>
    </row>
    <row r="1464" spans="1:69" hidden="1" x14ac:dyDescent="0.2">
      <c r="A1464" t="s">
        <v>2497</v>
      </c>
      <c r="B1464" t="s">
        <v>68</v>
      </c>
      <c r="C1464" t="s">
        <v>1956</v>
      </c>
      <c r="D1464" t="s">
        <v>70</v>
      </c>
      <c r="E1464" t="s">
        <v>193</v>
      </c>
      <c r="F1464">
        <v>5</v>
      </c>
      <c r="G1464">
        <v>251</v>
      </c>
      <c r="H1464">
        <v>5</v>
      </c>
      <c r="I1464">
        <v>5</v>
      </c>
      <c r="J1464">
        <v>4</v>
      </c>
      <c r="K1464" t="s">
        <v>110</v>
      </c>
      <c r="L1464" t="s">
        <v>162</v>
      </c>
      <c r="M1464" s="4">
        <v>1800000000</v>
      </c>
      <c r="N1464">
        <v>0</v>
      </c>
      <c r="O1464">
        <v>4.7006515340000004</v>
      </c>
      <c r="P1464">
        <v>-74.030495509999994</v>
      </c>
      <c r="Q1464" t="s">
        <v>2498</v>
      </c>
      <c r="R1464">
        <v>7171314.7410000004</v>
      </c>
      <c r="S1464">
        <v>0</v>
      </c>
      <c r="T1464" t="s">
        <v>104</v>
      </c>
      <c r="U1464" t="s">
        <v>105</v>
      </c>
      <c r="V1464" t="s">
        <v>77</v>
      </c>
      <c r="W1464" t="s">
        <v>104</v>
      </c>
      <c r="X1464" t="s">
        <v>106</v>
      </c>
      <c r="Y1464">
        <v>1.07966373127321</v>
      </c>
      <c r="Z1464">
        <v>1079.66373127321</v>
      </c>
      <c r="AA1464">
        <v>4.71035</v>
      </c>
      <c r="AB1464">
        <v>-74.030416666666696</v>
      </c>
      <c r="AC1464">
        <v>2570</v>
      </c>
      <c r="AD1464">
        <v>10</v>
      </c>
      <c r="AE1464" t="s">
        <v>80</v>
      </c>
      <c r="AF1464" t="s">
        <v>107</v>
      </c>
      <c r="AG1464" t="s">
        <v>82</v>
      </c>
      <c r="AH1464" t="s">
        <v>83</v>
      </c>
      <c r="AI1464" t="s">
        <v>108</v>
      </c>
      <c r="AJ1464">
        <v>2.6677270099779098</v>
      </c>
      <c r="AK1464">
        <v>0.532114811911097</v>
      </c>
      <c r="AL1464">
        <v>0.23093233391416099</v>
      </c>
      <c r="AM1464">
        <v>7.2048626372656799E-2</v>
      </c>
      <c r="AN1464">
        <v>4.5375662058310198</v>
      </c>
      <c r="AO1464">
        <v>0.41135031163270502</v>
      </c>
      <c r="AP1464">
        <v>0.41135031163270502</v>
      </c>
      <c r="AQ1464">
        <v>0</v>
      </c>
      <c r="AR1464">
        <v>0</v>
      </c>
      <c r="AS1464">
        <v>0</v>
      </c>
      <c r="AT1464">
        <v>24</v>
      </c>
      <c r="AU1464">
        <v>2</v>
      </c>
      <c r="AV1464">
        <v>122</v>
      </c>
      <c r="AW1464">
        <v>0</v>
      </c>
      <c r="AX1464">
        <v>0</v>
      </c>
      <c r="AY1464">
        <v>15.5</v>
      </c>
      <c r="AZ1464">
        <v>2.4</v>
      </c>
      <c r="BA1464">
        <v>10.9</v>
      </c>
      <c r="BB1464">
        <v>564</v>
      </c>
      <c r="BC1464">
        <v>68</v>
      </c>
      <c r="BD1464">
        <v>1.5</v>
      </c>
      <c r="BE1464">
        <v>135</v>
      </c>
      <c r="BF1464">
        <v>0</v>
      </c>
      <c r="BG1464">
        <v>162</v>
      </c>
      <c r="BH1464">
        <v>9.1</v>
      </c>
      <c r="BI1464">
        <v>9.1999999999999993</v>
      </c>
      <c r="BJ1464">
        <v>18.3</v>
      </c>
      <c r="BK1464">
        <v>0.34</v>
      </c>
      <c r="BL1464">
        <v>7.3</v>
      </c>
      <c r="BM1464">
        <v>0.9</v>
      </c>
      <c r="BN1464">
        <v>7.5</v>
      </c>
      <c r="BO1464">
        <v>2.9</v>
      </c>
      <c r="BP1464">
        <f t="shared" si="44"/>
        <v>2.2751031286628955</v>
      </c>
      <c r="BQ1464">
        <f t="shared" si="45"/>
        <v>10.621187848332886</v>
      </c>
    </row>
    <row r="1465" spans="1:69" hidden="1" x14ac:dyDescent="0.2">
      <c r="A1465" t="s">
        <v>864</v>
      </c>
      <c r="B1465" t="s">
        <v>68</v>
      </c>
      <c r="C1465" t="s">
        <v>69</v>
      </c>
      <c r="D1465" t="s">
        <v>70</v>
      </c>
      <c r="E1465" t="s">
        <v>865</v>
      </c>
      <c r="F1465">
        <v>6</v>
      </c>
      <c r="G1465">
        <v>250.9</v>
      </c>
      <c r="H1465">
        <v>3</v>
      </c>
      <c r="I1465">
        <v>4</v>
      </c>
      <c r="J1465">
        <v>3</v>
      </c>
      <c r="K1465" t="s">
        <v>110</v>
      </c>
      <c r="L1465" t="s">
        <v>162</v>
      </c>
      <c r="M1465" s="4">
        <v>2400000000</v>
      </c>
      <c r="N1465">
        <v>0</v>
      </c>
      <c r="O1465">
        <v>4.7167479999999999</v>
      </c>
      <c r="P1465">
        <v>-74.025801000000001</v>
      </c>
      <c r="Q1465" t="s">
        <v>866</v>
      </c>
      <c r="R1465">
        <v>9565563.9700000007</v>
      </c>
      <c r="S1465">
        <v>0</v>
      </c>
      <c r="T1465" t="s">
        <v>104</v>
      </c>
      <c r="U1465" t="s">
        <v>105</v>
      </c>
      <c r="V1465" t="s">
        <v>77</v>
      </c>
      <c r="W1465" t="s">
        <v>104</v>
      </c>
      <c r="X1465" t="s">
        <v>106</v>
      </c>
      <c r="Y1465">
        <v>0.87720128072861603</v>
      </c>
      <c r="Z1465">
        <v>877.20128072861598</v>
      </c>
      <c r="AA1465">
        <v>4.71035</v>
      </c>
      <c r="AB1465">
        <v>-74.030416666666696</v>
      </c>
      <c r="AC1465">
        <v>2570</v>
      </c>
      <c r="AD1465">
        <v>10</v>
      </c>
      <c r="AE1465" t="s">
        <v>80</v>
      </c>
      <c r="AF1465" t="s">
        <v>107</v>
      </c>
      <c r="AG1465" t="s">
        <v>82</v>
      </c>
      <c r="AH1465" t="s">
        <v>83</v>
      </c>
      <c r="AI1465" t="s">
        <v>108</v>
      </c>
      <c r="AJ1465">
        <v>2.8862731303306899</v>
      </c>
      <c r="AK1465">
        <v>0.28931653366660898</v>
      </c>
      <c r="AL1465">
        <v>1.0193519909150399</v>
      </c>
      <c r="AM1465">
        <v>0.40690835115190799</v>
      </c>
      <c r="AN1465">
        <v>2.7414435460980102</v>
      </c>
      <c r="AO1465">
        <v>0.37331783287292902</v>
      </c>
      <c r="AP1465">
        <v>0.37331783287292902</v>
      </c>
      <c r="AQ1465">
        <v>0</v>
      </c>
      <c r="AR1465">
        <v>0</v>
      </c>
      <c r="AS1465">
        <v>22</v>
      </c>
      <c r="AT1465">
        <v>33</v>
      </c>
      <c r="AU1465">
        <v>0</v>
      </c>
      <c r="AV1465">
        <v>68</v>
      </c>
      <c r="AW1465">
        <v>0</v>
      </c>
      <c r="AX1465">
        <v>0</v>
      </c>
      <c r="AY1465">
        <v>15.5</v>
      </c>
      <c r="AZ1465">
        <v>2.4</v>
      </c>
      <c r="BA1465">
        <v>10.9</v>
      </c>
      <c r="BB1465">
        <v>564</v>
      </c>
      <c r="BC1465">
        <v>68</v>
      </c>
      <c r="BD1465">
        <v>1.5</v>
      </c>
      <c r="BE1465">
        <v>135</v>
      </c>
      <c r="BF1465">
        <v>0</v>
      </c>
      <c r="BG1465">
        <v>162</v>
      </c>
      <c r="BH1465">
        <v>9.1</v>
      </c>
      <c r="BI1465">
        <v>9.1999999999999993</v>
      </c>
      <c r="BJ1465">
        <v>18.3</v>
      </c>
      <c r="BK1465">
        <v>0.34</v>
      </c>
      <c r="BL1465">
        <v>7.3</v>
      </c>
      <c r="BM1465">
        <v>0.9</v>
      </c>
      <c r="BN1465">
        <v>7.5</v>
      </c>
      <c r="BO1465">
        <v>2.9</v>
      </c>
      <c r="BP1465">
        <f t="shared" si="44"/>
        <v>2.2980186013081414</v>
      </c>
      <c r="BQ1465">
        <f t="shared" si="45"/>
        <v>10.672922840527516</v>
      </c>
    </row>
    <row r="1466" spans="1:69" hidden="1" x14ac:dyDescent="0.2">
      <c r="A1466" t="s">
        <v>2713</v>
      </c>
      <c r="B1466" t="s">
        <v>68</v>
      </c>
      <c r="C1466" t="s">
        <v>1956</v>
      </c>
      <c r="D1466" t="s">
        <v>70</v>
      </c>
      <c r="E1466" t="s">
        <v>2714</v>
      </c>
      <c r="F1466">
        <v>4</v>
      </c>
      <c r="G1466">
        <v>250</v>
      </c>
      <c r="H1466">
        <v>4</v>
      </c>
      <c r="I1466">
        <v>5</v>
      </c>
      <c r="J1466">
        <v>4</v>
      </c>
      <c r="K1466" t="s">
        <v>110</v>
      </c>
      <c r="L1466" t="s">
        <v>162</v>
      </c>
      <c r="M1466" s="4">
        <v>950000000</v>
      </c>
      <c r="N1466">
        <v>0</v>
      </c>
      <c r="O1466">
        <v>4.7308488000000004</v>
      </c>
      <c r="P1466">
        <v>-74.041314</v>
      </c>
      <c r="Q1466" t="s">
        <v>2715</v>
      </c>
      <c r="R1466">
        <v>3800000</v>
      </c>
      <c r="S1466">
        <v>0</v>
      </c>
      <c r="T1466" t="s">
        <v>104</v>
      </c>
      <c r="U1466" t="s">
        <v>105</v>
      </c>
      <c r="V1466" t="s">
        <v>77</v>
      </c>
      <c r="W1466" t="s">
        <v>104</v>
      </c>
      <c r="X1466" t="s">
        <v>106</v>
      </c>
      <c r="Y1466">
        <v>2.58239240544839</v>
      </c>
      <c r="Z1466">
        <v>2582.39240544839</v>
      </c>
      <c r="AA1466">
        <v>4.71035</v>
      </c>
      <c r="AB1466">
        <v>-74.030416666666696</v>
      </c>
      <c r="AC1466">
        <v>2570</v>
      </c>
      <c r="AD1466">
        <v>10</v>
      </c>
      <c r="AE1466" t="s">
        <v>80</v>
      </c>
      <c r="AF1466" t="s">
        <v>107</v>
      </c>
      <c r="AG1466" t="s">
        <v>82</v>
      </c>
      <c r="AH1466" t="s">
        <v>83</v>
      </c>
      <c r="AI1466" t="s">
        <v>108</v>
      </c>
      <c r="AJ1466">
        <v>0.94212025443341496</v>
      </c>
      <c r="AK1466">
        <v>2.1513316398574802</v>
      </c>
      <c r="AL1466">
        <v>0.26965488293689699</v>
      </c>
      <c r="AM1466">
        <v>0.139678606826903</v>
      </c>
      <c r="AN1466">
        <v>2.0022581070333998</v>
      </c>
      <c r="AO1466">
        <v>0.14810654448614499</v>
      </c>
      <c r="AP1466">
        <v>0.14810654448614499</v>
      </c>
      <c r="AQ1466">
        <v>0</v>
      </c>
      <c r="AR1466">
        <v>2</v>
      </c>
      <c r="AS1466">
        <v>0</v>
      </c>
      <c r="AT1466">
        <v>0</v>
      </c>
      <c r="AU1466">
        <v>1</v>
      </c>
      <c r="AV1466">
        <v>22</v>
      </c>
      <c r="AW1466">
        <v>0</v>
      </c>
      <c r="AX1466">
        <v>0</v>
      </c>
      <c r="AY1466">
        <v>15.5</v>
      </c>
      <c r="AZ1466">
        <v>2.4</v>
      </c>
      <c r="BA1466">
        <v>10.9</v>
      </c>
      <c r="BB1466">
        <v>564</v>
      </c>
      <c r="BC1466">
        <v>68</v>
      </c>
      <c r="BD1466">
        <v>1.5</v>
      </c>
      <c r="BE1466">
        <v>135</v>
      </c>
      <c r="BF1466">
        <v>0</v>
      </c>
      <c r="BG1466">
        <v>162</v>
      </c>
      <c r="BH1466">
        <v>9.1</v>
      </c>
      <c r="BI1466">
        <v>9.1999999999999993</v>
      </c>
      <c r="BJ1466">
        <v>18.3</v>
      </c>
      <c r="BK1466">
        <v>0.34</v>
      </c>
      <c r="BL1466">
        <v>7.3</v>
      </c>
      <c r="BM1466">
        <v>0.9</v>
      </c>
      <c r="BN1466">
        <v>7.5</v>
      </c>
      <c r="BO1466">
        <v>2.9</v>
      </c>
      <c r="BP1466">
        <f t="shared" si="44"/>
        <v>2.1120104490195284</v>
      </c>
      <c r="BQ1466">
        <f t="shared" si="45"/>
        <v>10.24495481773867</v>
      </c>
    </row>
    <row r="1467" spans="1:69" hidden="1" x14ac:dyDescent="0.2">
      <c r="A1467" t="s">
        <v>1049</v>
      </c>
      <c r="B1467" t="s">
        <v>68</v>
      </c>
      <c r="C1467" t="s">
        <v>69</v>
      </c>
      <c r="D1467" t="s">
        <v>70</v>
      </c>
      <c r="E1467" t="s">
        <v>1050</v>
      </c>
      <c r="F1467">
        <v>6</v>
      </c>
      <c r="G1467">
        <v>250</v>
      </c>
      <c r="H1467">
        <v>3</v>
      </c>
      <c r="I1467">
        <v>4</v>
      </c>
      <c r="J1467">
        <v>3</v>
      </c>
      <c r="K1467" t="s">
        <v>110</v>
      </c>
      <c r="L1467" t="s">
        <v>124</v>
      </c>
      <c r="M1467" s="4">
        <v>2400000000</v>
      </c>
      <c r="N1467">
        <v>0</v>
      </c>
      <c r="O1467">
        <v>4.7093629840000002</v>
      </c>
      <c r="P1467">
        <v>-74.026924129999998</v>
      </c>
      <c r="Q1467" t="s">
        <v>1051</v>
      </c>
      <c r="R1467">
        <v>9600000</v>
      </c>
      <c r="S1467">
        <v>0</v>
      </c>
      <c r="T1467" t="s">
        <v>104</v>
      </c>
      <c r="U1467" t="s">
        <v>105</v>
      </c>
      <c r="V1467" t="s">
        <v>77</v>
      </c>
      <c r="W1467" t="s">
        <v>104</v>
      </c>
      <c r="X1467" t="s">
        <v>106</v>
      </c>
      <c r="Y1467">
        <v>0.40275162162286399</v>
      </c>
      <c r="Z1467">
        <v>402.75162162286398</v>
      </c>
      <c r="AA1467">
        <v>4.71035</v>
      </c>
      <c r="AB1467">
        <v>-74.030416666666696</v>
      </c>
      <c r="AC1467">
        <v>2570</v>
      </c>
      <c r="AD1467">
        <v>10</v>
      </c>
      <c r="AE1467" t="s">
        <v>80</v>
      </c>
      <c r="AF1467" t="s">
        <v>107</v>
      </c>
      <c r="AG1467" t="s">
        <v>82</v>
      </c>
      <c r="AH1467" t="s">
        <v>83</v>
      </c>
      <c r="AI1467" t="s">
        <v>108</v>
      </c>
      <c r="AJ1467">
        <v>2.8996076958833799</v>
      </c>
      <c r="AK1467">
        <v>0.20577943575313501</v>
      </c>
      <c r="AL1467">
        <v>0.66674096465823496</v>
      </c>
      <c r="AM1467">
        <v>0.37866646102576001</v>
      </c>
      <c r="AN1467">
        <v>3.5556896074557698</v>
      </c>
      <c r="AO1467">
        <v>0.437495445790197</v>
      </c>
      <c r="AP1467">
        <v>0.437495445790197</v>
      </c>
      <c r="AQ1467">
        <v>0</v>
      </c>
      <c r="AR1467">
        <v>0</v>
      </c>
      <c r="AS1467">
        <v>11</v>
      </c>
      <c r="AT1467">
        <v>43</v>
      </c>
      <c r="AU1467">
        <v>1</v>
      </c>
      <c r="AV1467">
        <v>83</v>
      </c>
      <c r="AW1467">
        <v>0</v>
      </c>
      <c r="AX1467">
        <v>0</v>
      </c>
      <c r="AY1467">
        <v>15.5</v>
      </c>
      <c r="AZ1467">
        <v>2.4</v>
      </c>
      <c r="BA1467">
        <v>10.9</v>
      </c>
      <c r="BB1467">
        <v>564</v>
      </c>
      <c r="BC1467">
        <v>68</v>
      </c>
      <c r="BD1467">
        <v>1.5</v>
      </c>
      <c r="BE1467">
        <v>135</v>
      </c>
      <c r="BF1467">
        <v>0</v>
      </c>
      <c r="BG1467">
        <v>162</v>
      </c>
      <c r="BH1467">
        <v>9.1</v>
      </c>
      <c r="BI1467">
        <v>9.1999999999999993</v>
      </c>
      <c r="BJ1467">
        <v>18.3</v>
      </c>
      <c r="BK1467">
        <v>0.34</v>
      </c>
      <c r="BL1467">
        <v>7.3</v>
      </c>
      <c r="BM1467">
        <v>0.9</v>
      </c>
      <c r="BN1467">
        <v>7.5</v>
      </c>
      <c r="BO1467">
        <v>2.9</v>
      </c>
      <c r="BP1467">
        <f t="shared" si="44"/>
        <v>2.3526268963458548</v>
      </c>
      <c r="BQ1467">
        <f t="shared" si="45"/>
        <v>10.795147745152587</v>
      </c>
    </row>
    <row r="1468" spans="1:69" hidden="1" x14ac:dyDescent="0.2">
      <c r="A1468" t="s">
        <v>3285</v>
      </c>
      <c r="B1468" t="s">
        <v>68</v>
      </c>
      <c r="C1468" t="s">
        <v>1956</v>
      </c>
      <c r="D1468" t="s">
        <v>70</v>
      </c>
      <c r="E1468" t="s">
        <v>344</v>
      </c>
      <c r="F1468">
        <v>5</v>
      </c>
      <c r="G1468">
        <v>248.92</v>
      </c>
      <c r="H1468">
        <v>5</v>
      </c>
      <c r="I1468">
        <v>5</v>
      </c>
      <c r="J1468">
        <v>2</v>
      </c>
      <c r="K1468" t="s">
        <v>110</v>
      </c>
      <c r="L1468" t="s">
        <v>162</v>
      </c>
      <c r="M1468" s="4">
        <v>1100000000</v>
      </c>
      <c r="N1468">
        <v>0</v>
      </c>
      <c r="O1468">
        <v>4.7008049999999999</v>
      </c>
      <c r="P1468">
        <v>-74.062860000000001</v>
      </c>
      <c r="Q1468" t="s">
        <v>3286</v>
      </c>
      <c r="R1468">
        <v>4419090.4709999999</v>
      </c>
      <c r="S1468">
        <v>0</v>
      </c>
      <c r="T1468" t="s">
        <v>104</v>
      </c>
      <c r="U1468" t="s">
        <v>105</v>
      </c>
      <c r="V1468" t="s">
        <v>77</v>
      </c>
      <c r="W1468" t="s">
        <v>104</v>
      </c>
      <c r="X1468" t="s">
        <v>106</v>
      </c>
      <c r="Y1468">
        <v>3.7529584329371399</v>
      </c>
      <c r="Z1468">
        <v>3752.9584329371401</v>
      </c>
      <c r="AA1468">
        <v>4.71035</v>
      </c>
      <c r="AB1468">
        <v>-74.030416666666696</v>
      </c>
      <c r="AC1468">
        <v>2570</v>
      </c>
      <c r="AD1468">
        <v>10</v>
      </c>
      <c r="AE1468" t="s">
        <v>80</v>
      </c>
      <c r="AF1468" t="s">
        <v>107</v>
      </c>
      <c r="AG1468" t="s">
        <v>82</v>
      </c>
      <c r="AH1468" t="s">
        <v>83</v>
      </c>
      <c r="AI1468" t="s">
        <v>121</v>
      </c>
      <c r="AJ1468">
        <v>0.793418556446297</v>
      </c>
      <c r="AK1468">
        <v>3.8379954936890801</v>
      </c>
      <c r="AL1468">
        <v>0.81777957454081196</v>
      </c>
      <c r="AM1468">
        <v>0.427779662998093</v>
      </c>
      <c r="AN1468">
        <v>3.6520970609591799</v>
      </c>
      <c r="AO1468">
        <v>6.6330074084818294E-2</v>
      </c>
      <c r="AP1468">
        <v>6.6330074084818294E-2</v>
      </c>
      <c r="AQ1468">
        <v>0</v>
      </c>
      <c r="AR1468">
        <v>3</v>
      </c>
      <c r="AS1468">
        <v>0</v>
      </c>
      <c r="AT1468">
        <v>0</v>
      </c>
      <c r="AU1468">
        <v>1</v>
      </c>
      <c r="AV1468">
        <v>49</v>
      </c>
      <c r="AW1468">
        <v>0</v>
      </c>
      <c r="AX1468">
        <v>0</v>
      </c>
      <c r="AY1468">
        <v>15.5</v>
      </c>
      <c r="AZ1468">
        <v>2.4</v>
      </c>
      <c r="BA1468">
        <v>10.9</v>
      </c>
      <c r="BB1468">
        <v>564</v>
      </c>
      <c r="BC1468">
        <v>68</v>
      </c>
      <c r="BD1468">
        <v>1.5</v>
      </c>
      <c r="BE1468">
        <v>135</v>
      </c>
      <c r="BF1468">
        <v>0</v>
      </c>
      <c r="BG1468">
        <v>162</v>
      </c>
      <c r="BH1468">
        <v>9.1</v>
      </c>
      <c r="BI1468">
        <v>9.1999999999999993</v>
      </c>
      <c r="BJ1468">
        <v>18.3</v>
      </c>
      <c r="BK1468">
        <v>0.34</v>
      </c>
      <c r="BL1468">
        <v>7.3</v>
      </c>
      <c r="BM1468">
        <v>0.9</v>
      </c>
      <c r="BN1468">
        <v>7.5</v>
      </c>
      <c r="BO1468">
        <v>2.9</v>
      </c>
      <c r="BP1468">
        <f t="shared" si="44"/>
        <v>1.993112116763319</v>
      </c>
      <c r="BQ1468">
        <f t="shared" si="45"/>
        <v>9.9611426294083287</v>
      </c>
    </row>
    <row r="1469" spans="1:69" hidden="1" x14ac:dyDescent="0.2">
      <c r="A1469" t="s">
        <v>735</v>
      </c>
      <c r="B1469" t="s">
        <v>68</v>
      </c>
      <c r="C1469" t="s">
        <v>69</v>
      </c>
      <c r="D1469" t="s">
        <v>70</v>
      </c>
      <c r="E1469" t="s">
        <v>272</v>
      </c>
      <c r="F1469">
        <v>6</v>
      </c>
      <c r="G1469">
        <v>247.29</v>
      </c>
      <c r="H1469">
        <v>2</v>
      </c>
      <c r="I1469">
        <v>3</v>
      </c>
      <c r="J1469">
        <v>3</v>
      </c>
      <c r="K1469" t="s">
        <v>110</v>
      </c>
      <c r="L1469" t="s">
        <v>162</v>
      </c>
      <c r="M1469" s="4">
        <v>2200000000</v>
      </c>
      <c r="N1469">
        <v>0</v>
      </c>
      <c r="O1469">
        <v>4.6877569330000002</v>
      </c>
      <c r="P1469">
        <v>-74.027422659999999</v>
      </c>
      <c r="Q1469" t="s">
        <v>736</v>
      </c>
      <c r="R1469">
        <v>8896437.3809999991</v>
      </c>
      <c r="S1469">
        <v>0</v>
      </c>
      <c r="T1469" t="s">
        <v>104</v>
      </c>
      <c r="U1469" t="s">
        <v>105</v>
      </c>
      <c r="V1469" t="s">
        <v>77</v>
      </c>
      <c r="W1469" t="s">
        <v>104</v>
      </c>
      <c r="X1469" t="s">
        <v>106</v>
      </c>
      <c r="Y1469">
        <v>2.5368893585771302</v>
      </c>
      <c r="Z1469">
        <v>2536.8893585771302</v>
      </c>
      <c r="AA1469">
        <v>4.71035</v>
      </c>
      <c r="AB1469">
        <v>-74.030416666666696</v>
      </c>
      <c r="AC1469">
        <v>2570</v>
      </c>
      <c r="AD1469">
        <v>10</v>
      </c>
      <c r="AE1469" t="s">
        <v>80</v>
      </c>
      <c r="AF1469" t="s">
        <v>107</v>
      </c>
      <c r="AG1469" t="s">
        <v>82</v>
      </c>
      <c r="AH1469" t="s">
        <v>83</v>
      </c>
      <c r="AI1469" t="s">
        <v>108</v>
      </c>
      <c r="AJ1469">
        <v>3.2407177917040202</v>
      </c>
      <c r="AK1469">
        <v>0.21563404017432899</v>
      </c>
      <c r="AL1469">
        <v>0.78260003295922898</v>
      </c>
      <c r="AM1469">
        <v>0.69050153522897695</v>
      </c>
      <c r="AN1469">
        <v>5.9438259823117496</v>
      </c>
      <c r="AO1469">
        <v>0.99371789693609702</v>
      </c>
      <c r="AP1469">
        <v>0.99371789693609702</v>
      </c>
      <c r="AQ1469">
        <v>0</v>
      </c>
      <c r="AR1469">
        <v>0</v>
      </c>
      <c r="AS1469">
        <v>18</v>
      </c>
      <c r="AT1469">
        <v>26</v>
      </c>
      <c r="AU1469">
        <v>1</v>
      </c>
      <c r="AV1469">
        <v>16</v>
      </c>
      <c r="AW1469">
        <v>0</v>
      </c>
      <c r="AX1469">
        <v>0</v>
      </c>
      <c r="AY1469">
        <v>15.5</v>
      </c>
      <c r="AZ1469">
        <v>2.4</v>
      </c>
      <c r="BA1469">
        <v>10.9</v>
      </c>
      <c r="BB1469">
        <v>564</v>
      </c>
      <c r="BC1469">
        <v>68</v>
      </c>
      <c r="BD1469">
        <v>1.5</v>
      </c>
      <c r="BE1469">
        <v>135</v>
      </c>
      <c r="BF1469">
        <v>0</v>
      </c>
      <c r="BG1469">
        <v>162</v>
      </c>
      <c r="BH1469">
        <v>9.1</v>
      </c>
      <c r="BI1469">
        <v>9.1999999999999993</v>
      </c>
      <c r="BJ1469">
        <v>18.3</v>
      </c>
      <c r="BK1469">
        <v>0.34</v>
      </c>
      <c r="BL1469">
        <v>7.3</v>
      </c>
      <c r="BM1469">
        <v>0.9</v>
      </c>
      <c r="BN1469">
        <v>7.5</v>
      </c>
      <c r="BO1469">
        <v>2.9</v>
      </c>
      <c r="BP1469">
        <f t="shared" si="44"/>
        <v>2.1167729045529415</v>
      </c>
      <c r="BQ1469">
        <f t="shared" si="45"/>
        <v>10.256149168973554</v>
      </c>
    </row>
    <row r="1470" spans="1:69" hidden="1" x14ac:dyDescent="0.2">
      <c r="A1470" t="s">
        <v>1164</v>
      </c>
      <c r="B1470" t="s">
        <v>68</v>
      </c>
      <c r="C1470" t="s">
        <v>69</v>
      </c>
      <c r="D1470" t="s">
        <v>70</v>
      </c>
      <c r="E1470" t="s">
        <v>210</v>
      </c>
      <c r="F1470">
        <v>6</v>
      </c>
      <c r="G1470">
        <v>247</v>
      </c>
      <c r="H1470">
        <v>3</v>
      </c>
      <c r="I1470">
        <v>4</v>
      </c>
      <c r="J1470">
        <v>4</v>
      </c>
      <c r="K1470" t="s">
        <v>110</v>
      </c>
      <c r="L1470" t="s">
        <v>133</v>
      </c>
      <c r="M1470" s="4">
        <v>2480000000</v>
      </c>
      <c r="N1470">
        <v>0</v>
      </c>
      <c r="O1470">
        <v>4.6950824659999997</v>
      </c>
      <c r="P1470">
        <v>-74.05465384</v>
      </c>
      <c r="Q1470" t="s">
        <v>1165</v>
      </c>
      <c r="R1470">
        <v>10040485.83</v>
      </c>
      <c r="S1470">
        <v>0</v>
      </c>
      <c r="T1470" t="s">
        <v>104</v>
      </c>
      <c r="U1470" t="s">
        <v>105</v>
      </c>
      <c r="V1470" t="s">
        <v>77</v>
      </c>
      <c r="W1470" t="s">
        <v>104</v>
      </c>
      <c r="X1470" t="s">
        <v>106</v>
      </c>
      <c r="Y1470">
        <v>3.18106929004071</v>
      </c>
      <c r="Z1470">
        <v>3181.0692900407098</v>
      </c>
      <c r="AA1470">
        <v>4.71035</v>
      </c>
      <c r="AB1470">
        <v>-74.030416666666696</v>
      </c>
      <c r="AC1470">
        <v>2570</v>
      </c>
      <c r="AD1470">
        <v>10</v>
      </c>
      <c r="AE1470" t="s">
        <v>80</v>
      </c>
      <c r="AF1470" t="s">
        <v>107</v>
      </c>
      <c r="AG1470" t="s">
        <v>82</v>
      </c>
      <c r="AH1470" t="s">
        <v>83</v>
      </c>
      <c r="AI1470" t="s">
        <v>108</v>
      </c>
      <c r="AJ1470">
        <v>0.28736439516565399</v>
      </c>
      <c r="AK1470">
        <v>2.7371869595869098</v>
      </c>
      <c r="AL1470">
        <v>0.56809162653755296</v>
      </c>
      <c r="AM1470">
        <v>0.11687678233356601</v>
      </c>
      <c r="AN1470">
        <v>3.8245059791827898</v>
      </c>
      <c r="AO1470">
        <v>0.17917634446394601</v>
      </c>
      <c r="AP1470">
        <v>0.17917634446394601</v>
      </c>
      <c r="AQ1470">
        <v>2</v>
      </c>
      <c r="AR1470">
        <v>2</v>
      </c>
      <c r="AS1470">
        <v>0</v>
      </c>
      <c r="AT1470">
        <v>0</v>
      </c>
      <c r="AU1470">
        <v>3</v>
      </c>
      <c r="AV1470">
        <v>148</v>
      </c>
      <c r="AW1470">
        <v>0</v>
      </c>
      <c r="AX1470">
        <v>0</v>
      </c>
      <c r="AY1470">
        <v>15.5</v>
      </c>
      <c r="AZ1470">
        <v>2.4</v>
      </c>
      <c r="BA1470">
        <v>10.9</v>
      </c>
      <c r="BB1470">
        <v>564</v>
      </c>
      <c r="BC1470">
        <v>68</v>
      </c>
      <c r="BD1470">
        <v>1.5</v>
      </c>
      <c r="BE1470">
        <v>135</v>
      </c>
      <c r="BF1470">
        <v>0</v>
      </c>
      <c r="BG1470">
        <v>162</v>
      </c>
      <c r="BH1470">
        <v>9.1</v>
      </c>
      <c r="BI1470">
        <v>9.1999999999999993</v>
      </c>
      <c r="BJ1470">
        <v>18.3</v>
      </c>
      <c r="BK1470">
        <v>0.34</v>
      </c>
      <c r="BL1470">
        <v>7.3</v>
      </c>
      <c r="BM1470">
        <v>0.9</v>
      </c>
      <c r="BN1470">
        <v>7.5</v>
      </c>
      <c r="BO1470">
        <v>2.9</v>
      </c>
      <c r="BP1470">
        <f t="shared" si="44"/>
        <v>2.0503403576618098</v>
      </c>
      <c r="BQ1470">
        <f t="shared" si="45"/>
        <v>10.098805265180271</v>
      </c>
    </row>
    <row r="1471" spans="1:69" hidden="1" x14ac:dyDescent="0.2">
      <c r="A1471" t="s">
        <v>372</v>
      </c>
      <c r="B1471" t="s">
        <v>68</v>
      </c>
      <c r="C1471" t="s">
        <v>69</v>
      </c>
      <c r="D1471" t="s">
        <v>70</v>
      </c>
      <c r="E1471" t="s">
        <v>229</v>
      </c>
      <c r="F1471">
        <v>6</v>
      </c>
      <c r="G1471">
        <v>246</v>
      </c>
      <c r="H1471">
        <v>3</v>
      </c>
      <c r="I1471">
        <v>4</v>
      </c>
      <c r="J1471">
        <v>2</v>
      </c>
      <c r="K1471" t="s">
        <v>110</v>
      </c>
      <c r="L1471" t="s">
        <v>124</v>
      </c>
      <c r="M1471" s="4">
        <v>2500000000</v>
      </c>
      <c r="N1471">
        <v>0</v>
      </c>
      <c r="O1471">
        <v>4.6739869120000002</v>
      </c>
      <c r="P1471">
        <v>-74.042434689999993</v>
      </c>
      <c r="Q1471" t="s">
        <v>373</v>
      </c>
      <c r="R1471">
        <v>10162601.630000001</v>
      </c>
      <c r="S1471">
        <v>0</v>
      </c>
      <c r="T1471" t="s">
        <v>104</v>
      </c>
      <c r="U1471" t="s">
        <v>105</v>
      </c>
      <c r="V1471" t="s">
        <v>77</v>
      </c>
      <c r="W1471" t="s">
        <v>104</v>
      </c>
      <c r="X1471" t="s">
        <v>106</v>
      </c>
      <c r="Y1471">
        <v>4.2618657379615197</v>
      </c>
      <c r="Z1471">
        <v>4261.8657379615197</v>
      </c>
      <c r="AA1471">
        <v>4.71035</v>
      </c>
      <c r="AB1471">
        <v>-74.030416666666696</v>
      </c>
      <c r="AC1471">
        <v>2570</v>
      </c>
      <c r="AD1471">
        <v>10</v>
      </c>
      <c r="AE1471" t="s">
        <v>80</v>
      </c>
      <c r="AF1471" t="s">
        <v>107</v>
      </c>
      <c r="AG1471" t="s">
        <v>82</v>
      </c>
      <c r="AH1471" t="s">
        <v>83</v>
      </c>
      <c r="AI1471" t="s">
        <v>130</v>
      </c>
      <c r="AJ1471">
        <v>1.85232337614771</v>
      </c>
      <c r="AK1471">
        <v>0.31394963021927702</v>
      </c>
      <c r="AL1471">
        <v>0.99416336722123599</v>
      </c>
      <c r="AM1471">
        <v>0.18711225113611499</v>
      </c>
      <c r="AN1471">
        <v>3.9912792915983801</v>
      </c>
      <c r="AO1471">
        <v>1.1100895091665</v>
      </c>
      <c r="AP1471">
        <v>1.1100895091665</v>
      </c>
      <c r="AQ1471">
        <v>0</v>
      </c>
      <c r="AR1471">
        <v>0</v>
      </c>
      <c r="AS1471">
        <v>4</v>
      </c>
      <c r="AT1471">
        <v>29</v>
      </c>
      <c r="AU1471">
        <v>3</v>
      </c>
      <c r="AV1471">
        <v>46</v>
      </c>
      <c r="AW1471">
        <v>0</v>
      </c>
      <c r="AX1471">
        <v>0</v>
      </c>
      <c r="AY1471">
        <v>15.5</v>
      </c>
      <c r="AZ1471">
        <v>2.4</v>
      </c>
      <c r="BA1471">
        <v>10.9</v>
      </c>
      <c r="BB1471">
        <v>564</v>
      </c>
      <c r="BC1471">
        <v>68</v>
      </c>
      <c r="BD1471">
        <v>1.5</v>
      </c>
      <c r="BE1471">
        <v>135</v>
      </c>
      <c r="BF1471">
        <v>0</v>
      </c>
      <c r="BG1471">
        <v>162</v>
      </c>
      <c r="BH1471">
        <v>9.1</v>
      </c>
      <c r="BI1471">
        <v>9.1999999999999993</v>
      </c>
      <c r="BJ1471">
        <v>18.3</v>
      </c>
      <c r="BK1471">
        <v>0.34</v>
      </c>
      <c r="BL1471">
        <v>7.3</v>
      </c>
      <c r="BM1471">
        <v>0.9</v>
      </c>
      <c r="BN1471">
        <v>7.5</v>
      </c>
      <c r="BO1471">
        <v>2.9</v>
      </c>
      <c r="BP1471">
        <f t="shared" si="44"/>
        <v>1.94353092524654</v>
      </c>
      <c r="BQ1471">
        <f t="shared" si="45"/>
        <v>9.8402194389718023</v>
      </c>
    </row>
    <row r="1472" spans="1:69" hidden="1" x14ac:dyDescent="0.2">
      <c r="A1472" t="s">
        <v>4411</v>
      </c>
      <c r="B1472" t="s">
        <v>68</v>
      </c>
      <c r="C1472" t="s">
        <v>3294</v>
      </c>
      <c r="D1472" t="s">
        <v>70</v>
      </c>
      <c r="E1472" t="s">
        <v>1707</v>
      </c>
      <c r="F1472">
        <v>6</v>
      </c>
      <c r="G1472">
        <v>246</v>
      </c>
      <c r="H1472">
        <v>3</v>
      </c>
      <c r="I1472">
        <v>4</v>
      </c>
      <c r="J1472">
        <v>3</v>
      </c>
      <c r="K1472" t="s">
        <v>110</v>
      </c>
      <c r="L1472" t="s">
        <v>162</v>
      </c>
      <c r="M1472" s="4">
        <v>1980000000</v>
      </c>
      <c r="N1472">
        <v>0</v>
      </c>
      <c r="O1472">
        <v>4.7198758999999999</v>
      </c>
      <c r="P1472">
        <v>-74.025103700000003</v>
      </c>
      <c r="Q1472" t="s">
        <v>4412</v>
      </c>
      <c r="R1472">
        <v>8048780.4879999999</v>
      </c>
      <c r="S1472">
        <v>0</v>
      </c>
      <c r="T1472" t="s">
        <v>104</v>
      </c>
      <c r="U1472" t="s">
        <v>105</v>
      </c>
      <c r="V1472" t="s">
        <v>77</v>
      </c>
      <c r="W1472" t="s">
        <v>104</v>
      </c>
      <c r="X1472" t="s">
        <v>106</v>
      </c>
      <c r="Y1472">
        <v>1.2132274586073899</v>
      </c>
      <c r="Z1472">
        <v>1213.22745860739</v>
      </c>
      <c r="AA1472">
        <v>4.71035</v>
      </c>
      <c r="AB1472">
        <v>-74.030416666666696</v>
      </c>
      <c r="AC1472">
        <v>2570</v>
      </c>
      <c r="AD1472">
        <v>10</v>
      </c>
      <c r="AE1472" t="s">
        <v>80</v>
      </c>
      <c r="AF1472" t="s">
        <v>107</v>
      </c>
      <c r="AG1472" t="s">
        <v>82</v>
      </c>
      <c r="AH1472" t="s">
        <v>83</v>
      </c>
      <c r="AI1472" t="s">
        <v>108</v>
      </c>
      <c r="AJ1472">
        <v>2.9197061640762501</v>
      </c>
      <c r="AK1472">
        <v>0.172637400418443</v>
      </c>
      <c r="AL1472">
        <v>1.3202447424058099</v>
      </c>
      <c r="AM1472">
        <v>0.41938158640277601</v>
      </c>
      <c r="AN1472">
        <v>2.4006297855772099</v>
      </c>
      <c r="AO1472">
        <v>0.25490822894182003</v>
      </c>
      <c r="AP1472">
        <v>0.25490822894182003</v>
      </c>
      <c r="AQ1472">
        <v>0</v>
      </c>
      <c r="AR1472">
        <v>0</v>
      </c>
      <c r="AS1472">
        <v>9</v>
      </c>
      <c r="AT1472">
        <v>43</v>
      </c>
      <c r="AU1472">
        <v>0</v>
      </c>
      <c r="AV1472">
        <v>37</v>
      </c>
      <c r="AW1472">
        <v>0</v>
      </c>
      <c r="AX1472">
        <v>0</v>
      </c>
      <c r="AY1472">
        <v>15.5</v>
      </c>
      <c r="AZ1472">
        <v>2.4</v>
      </c>
      <c r="BA1472">
        <v>10.9</v>
      </c>
      <c r="BB1472">
        <v>564</v>
      </c>
      <c r="BC1472">
        <v>68</v>
      </c>
      <c r="BD1472">
        <v>1.5</v>
      </c>
      <c r="BE1472">
        <v>135</v>
      </c>
      <c r="BF1472">
        <v>0</v>
      </c>
      <c r="BG1472">
        <v>162</v>
      </c>
      <c r="BH1472">
        <v>9.1</v>
      </c>
      <c r="BI1472">
        <v>9.1999999999999993</v>
      </c>
      <c r="BJ1472">
        <v>18.3</v>
      </c>
      <c r="BK1472">
        <v>0.34</v>
      </c>
      <c r="BL1472">
        <v>7.3</v>
      </c>
      <c r="BM1472">
        <v>0.9</v>
      </c>
      <c r="BN1472">
        <v>7.5</v>
      </c>
      <c r="BO1472">
        <v>2.9</v>
      </c>
      <c r="BP1472">
        <f t="shared" si="44"/>
        <v>2.2601111153345883</v>
      </c>
      <c r="BQ1472">
        <f t="shared" si="45"/>
        <v>10.587195828144971</v>
      </c>
    </row>
    <row r="1473" spans="1:69" hidden="1" x14ac:dyDescent="0.2">
      <c r="A1473" t="s">
        <v>3237</v>
      </c>
      <c r="B1473" t="s">
        <v>68</v>
      </c>
      <c r="C1473" t="s">
        <v>1956</v>
      </c>
      <c r="D1473" t="s">
        <v>70</v>
      </c>
      <c r="E1473" t="s">
        <v>1451</v>
      </c>
      <c r="F1473">
        <v>6</v>
      </c>
      <c r="G1473">
        <v>246</v>
      </c>
      <c r="H1473">
        <v>3</v>
      </c>
      <c r="I1473">
        <v>3</v>
      </c>
      <c r="J1473">
        <v>2</v>
      </c>
      <c r="K1473" t="s">
        <v>110</v>
      </c>
      <c r="L1473" t="s">
        <v>162</v>
      </c>
      <c r="M1473" s="4">
        <v>1800000000</v>
      </c>
      <c r="N1473">
        <v>0</v>
      </c>
      <c r="O1473">
        <v>4.7040899999999999</v>
      </c>
      <c r="P1473">
        <v>-74.036709999999999</v>
      </c>
      <c r="Q1473" t="s">
        <v>3238</v>
      </c>
      <c r="R1473">
        <v>7317073.1710000001</v>
      </c>
      <c r="S1473">
        <v>0</v>
      </c>
      <c r="T1473" t="s">
        <v>104</v>
      </c>
      <c r="U1473" t="s">
        <v>105</v>
      </c>
      <c r="V1473" t="s">
        <v>77</v>
      </c>
      <c r="W1473" t="s">
        <v>104</v>
      </c>
      <c r="X1473" t="s">
        <v>106</v>
      </c>
      <c r="Y1473">
        <v>0.98646228181631102</v>
      </c>
      <c r="Z1473">
        <v>986.46228181631102</v>
      </c>
      <c r="AA1473">
        <v>4.71035</v>
      </c>
      <c r="AB1473">
        <v>-74.030416666666696</v>
      </c>
      <c r="AC1473">
        <v>2570</v>
      </c>
      <c r="AD1473">
        <v>10</v>
      </c>
      <c r="AE1473" t="s">
        <v>80</v>
      </c>
      <c r="AF1473" t="s">
        <v>107</v>
      </c>
      <c r="AG1473" t="s">
        <v>82</v>
      </c>
      <c r="AH1473" t="s">
        <v>83</v>
      </c>
      <c r="AI1473" t="s">
        <v>108</v>
      </c>
      <c r="AJ1473">
        <v>1.94297270466452</v>
      </c>
      <c r="AK1473">
        <v>1.25162578336667</v>
      </c>
      <c r="AL1473">
        <v>0.56071540291885602</v>
      </c>
      <c r="AM1473">
        <v>5.8532822189509698E-2</v>
      </c>
      <c r="AN1473">
        <v>4.2836736748288304</v>
      </c>
      <c r="AO1473">
        <v>0.30253369989555101</v>
      </c>
      <c r="AP1473">
        <v>0.30253369989555101</v>
      </c>
      <c r="AQ1473">
        <v>0</v>
      </c>
      <c r="AR1473">
        <v>0</v>
      </c>
      <c r="AS1473">
        <v>0</v>
      </c>
      <c r="AT1473">
        <v>0</v>
      </c>
      <c r="AU1473">
        <v>2</v>
      </c>
      <c r="AV1473">
        <v>137</v>
      </c>
      <c r="AW1473">
        <v>0</v>
      </c>
      <c r="AX1473">
        <v>0</v>
      </c>
      <c r="AY1473">
        <v>15.5</v>
      </c>
      <c r="AZ1473">
        <v>2.4</v>
      </c>
      <c r="BA1473">
        <v>10.9</v>
      </c>
      <c r="BB1473">
        <v>564</v>
      </c>
      <c r="BC1473">
        <v>68</v>
      </c>
      <c r="BD1473">
        <v>1.5</v>
      </c>
      <c r="BE1473">
        <v>135</v>
      </c>
      <c r="BF1473">
        <v>0</v>
      </c>
      <c r="BG1473">
        <v>162</v>
      </c>
      <c r="BH1473">
        <v>9.1</v>
      </c>
      <c r="BI1473">
        <v>9.1999999999999993</v>
      </c>
      <c r="BJ1473">
        <v>18.3</v>
      </c>
      <c r="BK1473">
        <v>0.34</v>
      </c>
      <c r="BL1473">
        <v>7.3</v>
      </c>
      <c r="BM1473">
        <v>0.9</v>
      </c>
      <c r="BN1473">
        <v>7.5</v>
      </c>
      <c r="BO1473">
        <v>2.9</v>
      </c>
      <c r="BP1473">
        <f t="shared" si="44"/>
        <v>2.2856235017332684</v>
      </c>
      <c r="BQ1473">
        <f t="shared" si="45"/>
        <v>10.644972281798037</v>
      </c>
    </row>
    <row r="1474" spans="1:69" hidden="1" x14ac:dyDescent="0.2">
      <c r="A1474" t="s">
        <v>1169</v>
      </c>
      <c r="B1474" t="s">
        <v>68</v>
      </c>
      <c r="C1474" t="s">
        <v>69</v>
      </c>
      <c r="D1474" t="s">
        <v>70</v>
      </c>
      <c r="E1474" t="s">
        <v>337</v>
      </c>
      <c r="F1474">
        <v>5</v>
      </c>
      <c r="G1474">
        <v>245.22</v>
      </c>
      <c r="H1474">
        <v>3</v>
      </c>
      <c r="I1474">
        <v>4</v>
      </c>
      <c r="J1474">
        <v>4</v>
      </c>
      <c r="K1474" t="s">
        <v>110</v>
      </c>
      <c r="L1474" t="s">
        <v>162</v>
      </c>
      <c r="M1474" s="4">
        <v>1350000000</v>
      </c>
      <c r="N1474">
        <v>0</v>
      </c>
      <c r="O1474">
        <v>4.7010709999999998</v>
      </c>
      <c r="P1474">
        <v>-74.050597999999994</v>
      </c>
      <c r="Q1474" t="s">
        <v>1170</v>
      </c>
      <c r="R1474">
        <v>5505260.5820000004</v>
      </c>
      <c r="S1474">
        <v>0</v>
      </c>
      <c r="T1474" t="s">
        <v>104</v>
      </c>
      <c r="U1474" t="s">
        <v>105</v>
      </c>
      <c r="V1474" t="s">
        <v>77</v>
      </c>
      <c r="W1474" t="s">
        <v>104</v>
      </c>
      <c r="X1474" t="s">
        <v>106</v>
      </c>
      <c r="Y1474">
        <v>2.46578309522826</v>
      </c>
      <c r="Z1474">
        <v>2465.7830952282602</v>
      </c>
      <c r="AA1474">
        <v>4.71035</v>
      </c>
      <c r="AB1474">
        <v>-74.030416666666696</v>
      </c>
      <c r="AC1474">
        <v>2570</v>
      </c>
      <c r="AD1474">
        <v>10</v>
      </c>
      <c r="AE1474" t="s">
        <v>80</v>
      </c>
      <c r="AF1474" t="s">
        <v>107</v>
      </c>
      <c r="AG1474" t="s">
        <v>82</v>
      </c>
      <c r="AH1474" t="s">
        <v>83</v>
      </c>
      <c r="AI1474" t="s">
        <v>108</v>
      </c>
      <c r="AJ1474">
        <v>0.56327036161380695</v>
      </c>
      <c r="AK1474">
        <v>2.7508923927187401</v>
      </c>
      <c r="AL1474">
        <v>0.86350527687336698</v>
      </c>
      <c r="AM1474">
        <v>7.1420402985399006E-2</v>
      </c>
      <c r="AN1474">
        <v>4.5925734681386698</v>
      </c>
      <c r="AO1474">
        <v>0.103944048723079</v>
      </c>
      <c r="AP1474">
        <v>0.103944048723079</v>
      </c>
      <c r="AQ1474">
        <v>0</v>
      </c>
      <c r="AR1474">
        <v>2</v>
      </c>
      <c r="AS1474">
        <v>0</v>
      </c>
      <c r="AT1474">
        <v>0</v>
      </c>
      <c r="AU1474">
        <v>1</v>
      </c>
      <c r="AV1474">
        <v>181</v>
      </c>
      <c r="AW1474">
        <v>0</v>
      </c>
      <c r="AX1474">
        <v>0</v>
      </c>
      <c r="AY1474">
        <v>15.5</v>
      </c>
      <c r="AZ1474">
        <v>2.4</v>
      </c>
      <c r="BA1474">
        <v>10.9</v>
      </c>
      <c r="BB1474">
        <v>564</v>
      </c>
      <c r="BC1474">
        <v>68</v>
      </c>
      <c r="BD1474">
        <v>1.5</v>
      </c>
      <c r="BE1474">
        <v>135</v>
      </c>
      <c r="BF1474">
        <v>0</v>
      </c>
      <c r="BG1474">
        <v>162</v>
      </c>
      <c r="BH1474">
        <v>9.1</v>
      </c>
      <c r="BI1474">
        <v>9.1999999999999993</v>
      </c>
      <c r="BJ1474">
        <v>18.3</v>
      </c>
      <c r="BK1474">
        <v>0.34</v>
      </c>
      <c r="BL1474">
        <v>7.3</v>
      </c>
      <c r="BM1474">
        <v>0.9</v>
      </c>
      <c r="BN1474">
        <v>7.5</v>
      </c>
      <c r="BO1474">
        <v>2.9</v>
      </c>
      <c r="BP1474">
        <f t="shared" ref="BP1474:BP1537" si="46">+AZ1474*EXP(-0.0495*Y1474)</f>
        <v>2.124236564668057</v>
      </c>
      <c r="BQ1474">
        <f t="shared" ref="BQ1474:BQ1537" si="47">+BA1474*EXP(-0.024*Y1474)</f>
        <v>10.273666746686196</v>
      </c>
    </row>
    <row r="1475" spans="1:69" hidden="1" x14ac:dyDescent="0.2">
      <c r="A1475" t="s">
        <v>1951</v>
      </c>
      <c r="B1475" t="s">
        <v>68</v>
      </c>
      <c r="C1475" t="s">
        <v>69</v>
      </c>
      <c r="D1475" t="s">
        <v>70</v>
      </c>
      <c r="E1475" t="s">
        <v>210</v>
      </c>
      <c r="F1475">
        <v>6</v>
      </c>
      <c r="G1475">
        <v>245</v>
      </c>
      <c r="H1475">
        <v>4</v>
      </c>
      <c r="I1475">
        <v>5</v>
      </c>
      <c r="J1475">
        <v>3</v>
      </c>
      <c r="K1475" t="s">
        <v>110</v>
      </c>
      <c r="L1475" t="s">
        <v>162</v>
      </c>
      <c r="M1475" s="4">
        <v>1420000000</v>
      </c>
      <c r="N1475">
        <v>0</v>
      </c>
      <c r="O1475">
        <v>4.6969804999999996</v>
      </c>
      <c r="P1475">
        <v>-74.050835000000006</v>
      </c>
      <c r="Q1475" t="s">
        <v>1952</v>
      </c>
      <c r="R1475">
        <v>5795918.3669999996</v>
      </c>
      <c r="S1475">
        <v>0</v>
      </c>
      <c r="T1475" t="s">
        <v>104</v>
      </c>
      <c r="U1475" t="s">
        <v>105</v>
      </c>
      <c r="V1475" t="s">
        <v>77</v>
      </c>
      <c r="W1475" t="s">
        <v>104</v>
      </c>
      <c r="X1475" t="s">
        <v>106</v>
      </c>
      <c r="Y1475">
        <v>2.7104602572354901</v>
      </c>
      <c r="Z1475">
        <v>2710.4602572354902</v>
      </c>
      <c r="AA1475">
        <v>4.71035</v>
      </c>
      <c r="AB1475">
        <v>-74.030416666666696</v>
      </c>
      <c r="AC1475">
        <v>2570</v>
      </c>
      <c r="AD1475">
        <v>10</v>
      </c>
      <c r="AE1475" t="s">
        <v>80</v>
      </c>
      <c r="AF1475" t="s">
        <v>107</v>
      </c>
      <c r="AG1475" t="s">
        <v>82</v>
      </c>
      <c r="AH1475" t="s">
        <v>83</v>
      </c>
      <c r="AI1475" t="s">
        <v>108</v>
      </c>
      <c r="AJ1475">
        <v>0.51196871122381304</v>
      </c>
      <c r="AK1475">
        <v>2.5945105506982</v>
      </c>
      <c r="AL1475">
        <v>0.42183633322514502</v>
      </c>
      <c r="AM1475">
        <v>4.4003328912310402E-2</v>
      </c>
      <c r="AN1475">
        <v>4.2884825995330997</v>
      </c>
      <c r="AO1475">
        <v>0.21410480902725099</v>
      </c>
      <c r="AP1475">
        <v>0.21410480902725099</v>
      </c>
      <c r="AQ1475">
        <v>0</v>
      </c>
      <c r="AR1475">
        <v>3</v>
      </c>
      <c r="AS1475">
        <v>0</v>
      </c>
      <c r="AT1475">
        <v>0</v>
      </c>
      <c r="AU1475">
        <v>3</v>
      </c>
      <c r="AV1475">
        <v>158</v>
      </c>
      <c r="AW1475">
        <v>0</v>
      </c>
      <c r="AX1475">
        <v>0</v>
      </c>
      <c r="AY1475">
        <v>15.5</v>
      </c>
      <c r="AZ1475">
        <v>2.4</v>
      </c>
      <c r="BA1475">
        <v>10.9</v>
      </c>
      <c r="BB1475">
        <v>564</v>
      </c>
      <c r="BC1475">
        <v>68</v>
      </c>
      <c r="BD1475">
        <v>1.5</v>
      </c>
      <c r="BE1475">
        <v>135</v>
      </c>
      <c r="BF1475">
        <v>0</v>
      </c>
      <c r="BG1475">
        <v>162</v>
      </c>
      <c r="BH1475">
        <v>9.1</v>
      </c>
      <c r="BI1475">
        <v>9.1999999999999993</v>
      </c>
      <c r="BJ1475">
        <v>18.3</v>
      </c>
      <c r="BK1475">
        <v>0.34</v>
      </c>
      <c r="BL1475">
        <v>7.3</v>
      </c>
      <c r="BM1475">
        <v>0.9</v>
      </c>
      <c r="BN1475">
        <v>7.5</v>
      </c>
      <c r="BO1475">
        <v>2.9</v>
      </c>
      <c r="BP1475">
        <f t="shared" si="46"/>
        <v>2.0986640059236645</v>
      </c>
      <c r="BQ1475">
        <f t="shared" si="47"/>
        <v>10.213513976698685</v>
      </c>
    </row>
    <row r="1476" spans="1:69" hidden="1" x14ac:dyDescent="0.2">
      <c r="A1476" t="s">
        <v>2347</v>
      </c>
      <c r="B1476" t="s">
        <v>68</v>
      </c>
      <c r="C1476" t="s">
        <v>1956</v>
      </c>
      <c r="D1476" t="s">
        <v>70</v>
      </c>
      <c r="E1476" t="s">
        <v>1649</v>
      </c>
      <c r="F1476">
        <v>6</v>
      </c>
      <c r="G1476">
        <v>245</v>
      </c>
      <c r="H1476">
        <v>3</v>
      </c>
      <c r="I1476">
        <v>5</v>
      </c>
      <c r="J1476">
        <v>4</v>
      </c>
      <c r="K1476" t="s">
        <v>110</v>
      </c>
      <c r="L1476" t="s">
        <v>162</v>
      </c>
      <c r="M1476" s="4">
        <v>1450000000</v>
      </c>
      <c r="N1476">
        <v>0</v>
      </c>
      <c r="O1476">
        <v>4.6911455870000003</v>
      </c>
      <c r="P1476">
        <v>-74.041738580000001</v>
      </c>
      <c r="Q1476" t="s">
        <v>2348</v>
      </c>
      <c r="R1476">
        <v>5918367.3470000001</v>
      </c>
      <c r="S1476">
        <v>0</v>
      </c>
      <c r="T1476" t="s">
        <v>104</v>
      </c>
      <c r="U1476" t="s">
        <v>105</v>
      </c>
      <c r="V1476" t="s">
        <v>77</v>
      </c>
      <c r="W1476" t="s">
        <v>104</v>
      </c>
      <c r="X1476" t="s">
        <v>106</v>
      </c>
      <c r="Y1476">
        <v>2.4795383871114201</v>
      </c>
      <c r="Z1476">
        <v>2479.53838711142</v>
      </c>
      <c r="AA1476">
        <v>4.71035</v>
      </c>
      <c r="AB1476">
        <v>-74.030416666666696</v>
      </c>
      <c r="AC1476">
        <v>2570</v>
      </c>
      <c r="AD1476">
        <v>10</v>
      </c>
      <c r="AE1476" t="s">
        <v>80</v>
      </c>
      <c r="AF1476" t="s">
        <v>107</v>
      </c>
      <c r="AG1476" t="s">
        <v>82</v>
      </c>
      <c r="AH1476" t="s">
        <v>83</v>
      </c>
      <c r="AI1476" t="s">
        <v>108</v>
      </c>
      <c r="AJ1476">
        <v>1.61433197630134</v>
      </c>
      <c r="AK1476">
        <v>1.5050327990756101</v>
      </c>
      <c r="AL1476">
        <v>0.93024097060793798</v>
      </c>
      <c r="AM1476">
        <v>0.18618723043824301</v>
      </c>
      <c r="AN1476">
        <v>4.8437622599676899</v>
      </c>
      <c r="AO1476">
        <v>0.26848533996526702</v>
      </c>
      <c r="AP1476">
        <v>0.26848533996526702</v>
      </c>
      <c r="AQ1476">
        <v>0</v>
      </c>
      <c r="AR1476">
        <v>0</v>
      </c>
      <c r="AS1476">
        <v>0</v>
      </c>
      <c r="AT1476">
        <v>0</v>
      </c>
      <c r="AU1476">
        <v>1</v>
      </c>
      <c r="AV1476">
        <v>100</v>
      </c>
      <c r="AW1476">
        <v>0</v>
      </c>
      <c r="AX1476">
        <v>0</v>
      </c>
      <c r="AY1476">
        <v>15.5</v>
      </c>
      <c r="AZ1476">
        <v>2.4</v>
      </c>
      <c r="BA1476">
        <v>10.9</v>
      </c>
      <c r="BB1476">
        <v>564</v>
      </c>
      <c r="BC1476">
        <v>68</v>
      </c>
      <c r="BD1476">
        <v>1.5</v>
      </c>
      <c r="BE1476">
        <v>135</v>
      </c>
      <c r="BF1476">
        <v>0</v>
      </c>
      <c r="BG1476">
        <v>162</v>
      </c>
      <c r="BH1476">
        <v>9.1</v>
      </c>
      <c r="BI1476">
        <v>9.1999999999999993</v>
      </c>
      <c r="BJ1476">
        <v>18.3</v>
      </c>
      <c r="BK1476">
        <v>0.34</v>
      </c>
      <c r="BL1476">
        <v>7.3</v>
      </c>
      <c r="BM1476">
        <v>0.9</v>
      </c>
      <c r="BN1476">
        <v>7.5</v>
      </c>
      <c r="BO1476">
        <v>2.9</v>
      </c>
      <c r="BP1476">
        <f t="shared" si="46"/>
        <v>2.1227906920100206</v>
      </c>
      <c r="BQ1476">
        <f t="shared" si="47"/>
        <v>10.270275691620956</v>
      </c>
    </row>
    <row r="1477" spans="1:69" hidden="1" x14ac:dyDescent="0.2">
      <c r="A1477" t="s">
        <v>3130</v>
      </c>
      <c r="B1477" t="s">
        <v>68</v>
      </c>
      <c r="C1477" t="s">
        <v>1956</v>
      </c>
      <c r="D1477" t="s">
        <v>70</v>
      </c>
      <c r="E1477" t="s">
        <v>132</v>
      </c>
      <c r="F1477">
        <v>6</v>
      </c>
      <c r="G1477">
        <v>243</v>
      </c>
      <c r="H1477">
        <v>4</v>
      </c>
      <c r="I1477">
        <v>4</v>
      </c>
      <c r="J1477">
        <v>3</v>
      </c>
      <c r="K1477" t="s">
        <v>110</v>
      </c>
      <c r="L1477" t="s">
        <v>133</v>
      </c>
      <c r="M1477" s="4">
        <v>2600000000</v>
      </c>
      <c r="N1477">
        <v>0</v>
      </c>
      <c r="O1477">
        <v>4.6770290000000001</v>
      </c>
      <c r="P1477">
        <v>-74.043413000000001</v>
      </c>
      <c r="Q1477" t="s">
        <v>3131</v>
      </c>
      <c r="R1477">
        <v>10699588.48</v>
      </c>
      <c r="S1477">
        <v>0</v>
      </c>
      <c r="T1477" t="s">
        <v>104</v>
      </c>
      <c r="U1477" t="s">
        <v>105</v>
      </c>
      <c r="V1477" t="s">
        <v>77</v>
      </c>
      <c r="W1477" t="s">
        <v>104</v>
      </c>
      <c r="X1477" t="s">
        <v>106</v>
      </c>
      <c r="Y1477">
        <v>3.97967216988993</v>
      </c>
      <c r="Z1477">
        <v>3979.67216988993</v>
      </c>
      <c r="AA1477">
        <v>4.71035</v>
      </c>
      <c r="AB1477">
        <v>-74.030416666666696</v>
      </c>
      <c r="AC1477">
        <v>2570</v>
      </c>
      <c r="AD1477">
        <v>10</v>
      </c>
      <c r="AE1477" t="s">
        <v>80</v>
      </c>
      <c r="AF1477" t="s">
        <v>107</v>
      </c>
      <c r="AG1477" t="s">
        <v>82</v>
      </c>
      <c r="AH1477" t="s">
        <v>83</v>
      </c>
      <c r="AI1477" t="s">
        <v>130</v>
      </c>
      <c r="AJ1477">
        <v>1.7342218273502901</v>
      </c>
      <c r="AK1477">
        <v>0.54708408241155504</v>
      </c>
      <c r="AL1477">
        <v>0.75313841696607498</v>
      </c>
      <c r="AM1477">
        <v>0.21106395606712</v>
      </c>
      <c r="AN1477">
        <v>4.25168366883491</v>
      </c>
      <c r="AO1477">
        <v>1.1841485198716799</v>
      </c>
      <c r="AP1477">
        <v>1.1841485198716799</v>
      </c>
      <c r="AQ1477">
        <v>0</v>
      </c>
      <c r="AR1477">
        <v>0</v>
      </c>
      <c r="AS1477">
        <v>0</v>
      </c>
      <c r="AT1477">
        <v>16</v>
      </c>
      <c r="AU1477">
        <v>3</v>
      </c>
      <c r="AV1477">
        <v>76</v>
      </c>
      <c r="AW1477">
        <v>0</v>
      </c>
      <c r="AX1477">
        <v>0</v>
      </c>
      <c r="AY1477">
        <v>15.5</v>
      </c>
      <c r="AZ1477">
        <v>2.4</v>
      </c>
      <c r="BA1477">
        <v>10.9</v>
      </c>
      <c r="BB1477">
        <v>564</v>
      </c>
      <c r="BC1477">
        <v>68</v>
      </c>
      <c r="BD1477">
        <v>1.5</v>
      </c>
      <c r="BE1477">
        <v>135</v>
      </c>
      <c r="BF1477">
        <v>0</v>
      </c>
      <c r="BG1477">
        <v>162</v>
      </c>
      <c r="BH1477">
        <v>9.1</v>
      </c>
      <c r="BI1477">
        <v>9.1999999999999993</v>
      </c>
      <c r="BJ1477">
        <v>18.3</v>
      </c>
      <c r="BK1477">
        <v>0.34</v>
      </c>
      <c r="BL1477">
        <v>7.3</v>
      </c>
      <c r="BM1477">
        <v>0.9</v>
      </c>
      <c r="BN1477">
        <v>7.5</v>
      </c>
      <c r="BO1477">
        <v>2.9</v>
      </c>
      <c r="BP1477">
        <f t="shared" si="46"/>
        <v>1.9708697936820634</v>
      </c>
      <c r="BQ1477">
        <f t="shared" si="47"/>
        <v>9.9070899477142724</v>
      </c>
    </row>
    <row r="1478" spans="1:69" hidden="1" x14ac:dyDescent="0.2">
      <c r="A1478" t="s">
        <v>2854</v>
      </c>
      <c r="B1478" t="s">
        <v>68</v>
      </c>
      <c r="C1478" t="s">
        <v>1956</v>
      </c>
      <c r="D1478" t="s">
        <v>70</v>
      </c>
      <c r="E1478" t="s">
        <v>73</v>
      </c>
      <c r="F1478">
        <v>5</v>
      </c>
      <c r="G1478">
        <v>243</v>
      </c>
      <c r="H1478">
        <v>5</v>
      </c>
      <c r="I1478">
        <v>4</v>
      </c>
      <c r="J1478">
        <v>3</v>
      </c>
      <c r="K1478" t="s">
        <v>110</v>
      </c>
      <c r="L1478" t="s">
        <v>162</v>
      </c>
      <c r="M1478" s="4">
        <v>1400000000</v>
      </c>
      <c r="N1478">
        <v>0</v>
      </c>
      <c r="O1478">
        <v>4.690046787</v>
      </c>
      <c r="P1478">
        <v>-74.059570309999998</v>
      </c>
      <c r="Q1478" t="s">
        <v>2855</v>
      </c>
      <c r="R1478">
        <v>5761316.8720000004</v>
      </c>
      <c r="S1478">
        <v>0</v>
      </c>
      <c r="T1478" t="s">
        <v>104</v>
      </c>
      <c r="U1478" t="s">
        <v>105</v>
      </c>
      <c r="V1478" t="s">
        <v>77</v>
      </c>
      <c r="W1478" t="s">
        <v>104</v>
      </c>
      <c r="X1478" t="s">
        <v>106</v>
      </c>
      <c r="Y1478">
        <v>3.9458771150774501</v>
      </c>
      <c r="Z1478">
        <v>3945.8771150774501</v>
      </c>
      <c r="AA1478">
        <v>4.71035</v>
      </c>
      <c r="AB1478">
        <v>-74.030416666666696</v>
      </c>
      <c r="AC1478">
        <v>2570</v>
      </c>
      <c r="AD1478">
        <v>10</v>
      </c>
      <c r="AE1478" t="s">
        <v>80</v>
      </c>
      <c r="AF1478" t="s">
        <v>107</v>
      </c>
      <c r="AG1478" t="s">
        <v>82</v>
      </c>
      <c r="AH1478" t="s">
        <v>83</v>
      </c>
      <c r="AI1478" t="s">
        <v>121</v>
      </c>
      <c r="AJ1478">
        <v>0.49635896827342002</v>
      </c>
      <c r="AK1478">
        <v>2.8434995200358602</v>
      </c>
      <c r="AL1478">
        <v>0.88695057031525204</v>
      </c>
      <c r="AM1478">
        <v>0.102473749513622</v>
      </c>
      <c r="AN1478">
        <v>3.0542235246240401</v>
      </c>
      <c r="AO1478">
        <v>0.20696907203102399</v>
      </c>
      <c r="AP1478">
        <v>0.20696907203102399</v>
      </c>
      <c r="AQ1478">
        <v>1</v>
      </c>
      <c r="AR1478">
        <v>5</v>
      </c>
      <c r="AS1478">
        <v>0</v>
      </c>
      <c r="AT1478">
        <v>0</v>
      </c>
      <c r="AU1478">
        <v>3</v>
      </c>
      <c r="AV1478">
        <v>197</v>
      </c>
      <c r="AW1478">
        <v>0</v>
      </c>
      <c r="AX1478">
        <v>0</v>
      </c>
      <c r="AY1478">
        <v>15.5</v>
      </c>
      <c r="AZ1478">
        <v>2.4</v>
      </c>
      <c r="BA1478">
        <v>10.9</v>
      </c>
      <c r="BB1478">
        <v>564</v>
      </c>
      <c r="BC1478">
        <v>68</v>
      </c>
      <c r="BD1478">
        <v>1.5</v>
      </c>
      <c r="BE1478">
        <v>135</v>
      </c>
      <c r="BF1478">
        <v>0</v>
      </c>
      <c r="BG1478">
        <v>162</v>
      </c>
      <c r="BH1478">
        <v>9.1</v>
      </c>
      <c r="BI1478">
        <v>9.1999999999999993</v>
      </c>
      <c r="BJ1478">
        <v>18.3</v>
      </c>
      <c r="BK1478">
        <v>0.34</v>
      </c>
      <c r="BL1478">
        <v>7.3</v>
      </c>
      <c r="BM1478">
        <v>0.9</v>
      </c>
      <c r="BN1478">
        <v>7.5</v>
      </c>
      <c r="BO1478">
        <v>2.9</v>
      </c>
      <c r="BP1478">
        <f t="shared" si="46"/>
        <v>1.9741695327143074</v>
      </c>
      <c r="BQ1478">
        <f t="shared" si="47"/>
        <v>9.9151286628469695</v>
      </c>
    </row>
    <row r="1479" spans="1:69" hidden="1" x14ac:dyDescent="0.2">
      <c r="A1479" t="s">
        <v>2231</v>
      </c>
      <c r="B1479" t="s">
        <v>68</v>
      </c>
      <c r="C1479" t="s">
        <v>1956</v>
      </c>
      <c r="D1479" t="s">
        <v>70</v>
      </c>
      <c r="E1479" t="s">
        <v>1010</v>
      </c>
      <c r="F1479">
        <v>5</v>
      </c>
      <c r="G1479">
        <v>243</v>
      </c>
      <c r="H1479">
        <v>4</v>
      </c>
      <c r="I1479">
        <v>5</v>
      </c>
      <c r="J1479">
        <v>3</v>
      </c>
      <c r="K1479" t="s">
        <v>110</v>
      </c>
      <c r="L1479" t="s">
        <v>162</v>
      </c>
      <c r="M1479" s="4">
        <v>1400000000</v>
      </c>
      <c r="N1479">
        <v>0</v>
      </c>
      <c r="O1479">
        <v>4.6921799999999996</v>
      </c>
      <c r="P1479">
        <v>-74.060360000000003</v>
      </c>
      <c r="Q1479" t="s">
        <v>2232</v>
      </c>
      <c r="R1479">
        <v>5761316.8720000004</v>
      </c>
      <c r="S1479">
        <v>0</v>
      </c>
      <c r="T1479" t="s">
        <v>104</v>
      </c>
      <c r="U1479" t="s">
        <v>105</v>
      </c>
      <c r="V1479" t="s">
        <v>77</v>
      </c>
      <c r="W1479" t="s">
        <v>104</v>
      </c>
      <c r="X1479" t="s">
        <v>106</v>
      </c>
      <c r="Y1479">
        <v>3.8893844042357002</v>
      </c>
      <c r="Z1479">
        <v>3889.3844042357</v>
      </c>
      <c r="AA1479">
        <v>4.71035</v>
      </c>
      <c r="AB1479">
        <v>-74.030416666666696</v>
      </c>
      <c r="AC1479">
        <v>2570</v>
      </c>
      <c r="AD1479">
        <v>10</v>
      </c>
      <c r="AE1479" t="s">
        <v>80</v>
      </c>
      <c r="AF1479" t="s">
        <v>107</v>
      </c>
      <c r="AG1479" t="s">
        <v>82</v>
      </c>
      <c r="AH1479" t="s">
        <v>83</v>
      </c>
      <c r="AI1479" t="s">
        <v>121</v>
      </c>
      <c r="AJ1479">
        <v>0.47162004336454599</v>
      </c>
      <c r="AK1479">
        <v>3.0560358401364001</v>
      </c>
      <c r="AL1479">
        <v>1.09755624151464</v>
      </c>
      <c r="AM1479">
        <v>0.20084159389807499</v>
      </c>
      <c r="AN1479">
        <v>3.1312275545049899</v>
      </c>
      <c r="AO1479">
        <v>8.1796081471594506E-2</v>
      </c>
      <c r="AP1479">
        <v>8.1796081471594506E-2</v>
      </c>
      <c r="AQ1479">
        <v>1</v>
      </c>
      <c r="AR1479">
        <v>6</v>
      </c>
      <c r="AS1479">
        <v>0</v>
      </c>
      <c r="AT1479">
        <v>0</v>
      </c>
      <c r="AU1479">
        <v>0</v>
      </c>
      <c r="AV1479">
        <v>149</v>
      </c>
      <c r="AW1479">
        <v>0</v>
      </c>
      <c r="AX1479">
        <v>0</v>
      </c>
      <c r="AY1479">
        <v>15.5</v>
      </c>
      <c r="AZ1479">
        <v>2.4</v>
      </c>
      <c r="BA1479">
        <v>10.9</v>
      </c>
      <c r="BB1479">
        <v>564</v>
      </c>
      <c r="BC1479">
        <v>68</v>
      </c>
      <c r="BD1479">
        <v>1.5</v>
      </c>
      <c r="BE1479">
        <v>135</v>
      </c>
      <c r="BF1479">
        <v>0</v>
      </c>
      <c r="BG1479">
        <v>162</v>
      </c>
      <c r="BH1479">
        <v>9.1</v>
      </c>
      <c r="BI1479">
        <v>9.1999999999999993</v>
      </c>
      <c r="BJ1479">
        <v>18.3</v>
      </c>
      <c r="BK1479">
        <v>0.34</v>
      </c>
      <c r="BL1479">
        <v>7.3</v>
      </c>
      <c r="BM1479">
        <v>0.9</v>
      </c>
      <c r="BN1479">
        <v>7.5</v>
      </c>
      <c r="BO1479">
        <v>2.9</v>
      </c>
      <c r="BP1479">
        <f t="shared" si="46"/>
        <v>1.9796978050462268</v>
      </c>
      <c r="BQ1479">
        <f t="shared" si="47"/>
        <v>9.9285809601833712</v>
      </c>
    </row>
    <row r="1480" spans="1:69" hidden="1" x14ac:dyDescent="0.2">
      <c r="A1480" t="s">
        <v>1679</v>
      </c>
      <c r="B1480" t="s">
        <v>68</v>
      </c>
      <c r="C1480" t="s">
        <v>69</v>
      </c>
      <c r="D1480" t="s">
        <v>70</v>
      </c>
      <c r="E1480" t="s">
        <v>748</v>
      </c>
      <c r="F1480">
        <v>6</v>
      </c>
      <c r="G1480">
        <v>243</v>
      </c>
      <c r="H1480">
        <v>4</v>
      </c>
      <c r="I1480">
        <v>5</v>
      </c>
      <c r="J1480">
        <v>3</v>
      </c>
      <c r="K1480" t="s">
        <v>110</v>
      </c>
      <c r="L1480" t="s">
        <v>162</v>
      </c>
      <c r="M1480" s="4">
        <v>1590000000</v>
      </c>
      <c r="N1480">
        <v>0</v>
      </c>
      <c r="O1480">
        <v>4.6894299999999998</v>
      </c>
      <c r="P1480">
        <v>-74.041229999999999</v>
      </c>
      <c r="Q1480" t="s">
        <v>1680</v>
      </c>
      <c r="R1480">
        <v>6543209.8770000003</v>
      </c>
      <c r="S1480">
        <v>0</v>
      </c>
      <c r="T1480" t="s">
        <v>104</v>
      </c>
      <c r="U1480" t="s">
        <v>105</v>
      </c>
      <c r="V1480" t="s">
        <v>77</v>
      </c>
      <c r="W1480" t="s">
        <v>104</v>
      </c>
      <c r="X1480" t="s">
        <v>106</v>
      </c>
      <c r="Y1480">
        <v>2.6196519593985399</v>
      </c>
      <c r="Z1480">
        <v>2619.6519593985399</v>
      </c>
      <c r="AA1480">
        <v>4.71035</v>
      </c>
      <c r="AB1480">
        <v>-74.030416666666696</v>
      </c>
      <c r="AC1480">
        <v>2570</v>
      </c>
      <c r="AD1480">
        <v>10</v>
      </c>
      <c r="AE1480" t="s">
        <v>80</v>
      </c>
      <c r="AF1480" t="s">
        <v>107</v>
      </c>
      <c r="AG1480" t="s">
        <v>82</v>
      </c>
      <c r="AH1480" t="s">
        <v>83</v>
      </c>
      <c r="AI1480" t="s">
        <v>108</v>
      </c>
      <c r="AJ1480">
        <v>1.70376037887944</v>
      </c>
      <c r="AK1480">
        <v>1.3095433689787701</v>
      </c>
      <c r="AL1480">
        <v>0.80668120654236797</v>
      </c>
      <c r="AM1480">
        <v>0.27622233024015003</v>
      </c>
      <c r="AN1480">
        <v>4.8245834450122098</v>
      </c>
      <c r="AO1480">
        <v>0.13529973633468001</v>
      </c>
      <c r="AP1480">
        <v>0.13529973633468001</v>
      </c>
      <c r="AQ1480">
        <v>0</v>
      </c>
      <c r="AR1480">
        <v>0</v>
      </c>
      <c r="AS1480">
        <v>0</v>
      </c>
      <c r="AT1480">
        <v>0</v>
      </c>
      <c r="AU1480">
        <v>3</v>
      </c>
      <c r="AV1480">
        <v>94</v>
      </c>
      <c r="AW1480">
        <v>0</v>
      </c>
      <c r="AX1480">
        <v>0</v>
      </c>
      <c r="AY1480">
        <v>15.5</v>
      </c>
      <c r="AZ1480">
        <v>2.4</v>
      </c>
      <c r="BA1480">
        <v>10.9</v>
      </c>
      <c r="BB1480">
        <v>564</v>
      </c>
      <c r="BC1480">
        <v>68</v>
      </c>
      <c r="BD1480">
        <v>1.5</v>
      </c>
      <c r="BE1480">
        <v>135</v>
      </c>
      <c r="BF1480">
        <v>0</v>
      </c>
      <c r="BG1480">
        <v>162</v>
      </c>
      <c r="BH1480">
        <v>9.1</v>
      </c>
      <c r="BI1480">
        <v>9.1999999999999993</v>
      </c>
      <c r="BJ1480">
        <v>18.3</v>
      </c>
      <c r="BK1480">
        <v>0.34</v>
      </c>
      <c r="BL1480">
        <v>7.3</v>
      </c>
      <c r="BM1480">
        <v>0.9</v>
      </c>
      <c r="BN1480">
        <v>7.5</v>
      </c>
      <c r="BO1480">
        <v>2.9</v>
      </c>
      <c r="BP1480">
        <f t="shared" si="46"/>
        <v>2.1081187568600783</v>
      </c>
      <c r="BQ1480">
        <f t="shared" si="47"/>
        <v>10.23579757396474</v>
      </c>
    </row>
    <row r="1481" spans="1:69" hidden="1" x14ac:dyDescent="0.2">
      <c r="A1481" t="s">
        <v>2643</v>
      </c>
      <c r="B1481" t="s">
        <v>68</v>
      </c>
      <c r="C1481" t="s">
        <v>1956</v>
      </c>
      <c r="D1481" t="s">
        <v>70</v>
      </c>
      <c r="E1481" t="s">
        <v>562</v>
      </c>
      <c r="F1481">
        <v>6</v>
      </c>
      <c r="G1481">
        <v>243</v>
      </c>
      <c r="H1481">
        <v>3</v>
      </c>
      <c r="I1481">
        <v>3</v>
      </c>
      <c r="J1481">
        <v>3</v>
      </c>
      <c r="K1481" t="s">
        <v>110</v>
      </c>
      <c r="L1481" t="s">
        <v>124</v>
      </c>
      <c r="M1481" s="4">
        <v>3500000000</v>
      </c>
      <c r="N1481">
        <v>0</v>
      </c>
      <c r="O1481">
        <v>4.6904408350000004</v>
      </c>
      <c r="P1481">
        <v>-74.032672250000005</v>
      </c>
      <c r="Q1481" t="s">
        <v>2644</v>
      </c>
      <c r="R1481">
        <v>14403292.18</v>
      </c>
      <c r="S1481">
        <v>0</v>
      </c>
      <c r="T1481" t="s">
        <v>104</v>
      </c>
      <c r="U1481" t="s">
        <v>105</v>
      </c>
      <c r="V1481" t="s">
        <v>77</v>
      </c>
      <c r="W1481" t="s">
        <v>104</v>
      </c>
      <c r="X1481" t="s">
        <v>106</v>
      </c>
      <c r="Y1481">
        <v>2.2303613347340798</v>
      </c>
      <c r="Z1481">
        <v>2230.3613347340802</v>
      </c>
      <c r="AA1481">
        <v>4.71035</v>
      </c>
      <c r="AB1481">
        <v>-74.030416666666696</v>
      </c>
      <c r="AC1481">
        <v>2570</v>
      </c>
      <c r="AD1481">
        <v>10</v>
      </c>
      <c r="AE1481" t="s">
        <v>80</v>
      </c>
      <c r="AF1481" t="s">
        <v>107</v>
      </c>
      <c r="AG1481" t="s">
        <v>82</v>
      </c>
      <c r="AH1481" t="s">
        <v>83</v>
      </c>
      <c r="AI1481" t="s">
        <v>108</v>
      </c>
      <c r="AJ1481">
        <v>2.6218672110346901</v>
      </c>
      <c r="AK1481">
        <v>0.66689196248113802</v>
      </c>
      <c r="AL1481">
        <v>0.552205425385769</v>
      </c>
      <c r="AM1481">
        <v>0.10742946635864099</v>
      </c>
      <c r="AN1481">
        <v>5.68501648737025</v>
      </c>
      <c r="AO1481">
        <v>0.67177370907188505</v>
      </c>
      <c r="AP1481">
        <v>0.67177370907188505</v>
      </c>
      <c r="AQ1481">
        <v>0</v>
      </c>
      <c r="AR1481">
        <v>0</v>
      </c>
      <c r="AS1481">
        <v>0</v>
      </c>
      <c r="AT1481">
        <v>14</v>
      </c>
      <c r="AU1481">
        <v>1</v>
      </c>
      <c r="AV1481">
        <v>90</v>
      </c>
      <c r="AW1481">
        <v>0</v>
      </c>
      <c r="AX1481">
        <v>0</v>
      </c>
      <c r="AY1481">
        <v>15.5</v>
      </c>
      <c r="AZ1481">
        <v>2.4</v>
      </c>
      <c r="BA1481">
        <v>10.9</v>
      </c>
      <c r="BB1481">
        <v>564</v>
      </c>
      <c r="BC1481">
        <v>68</v>
      </c>
      <c r="BD1481">
        <v>1.5</v>
      </c>
      <c r="BE1481">
        <v>135</v>
      </c>
      <c r="BF1481">
        <v>0</v>
      </c>
      <c r="BG1481">
        <v>162</v>
      </c>
      <c r="BH1481">
        <v>9.1</v>
      </c>
      <c r="BI1481">
        <v>9.1999999999999993</v>
      </c>
      <c r="BJ1481">
        <v>18.3</v>
      </c>
      <c r="BK1481">
        <v>0.34</v>
      </c>
      <c r="BL1481">
        <v>7.3</v>
      </c>
      <c r="BM1481">
        <v>0.9</v>
      </c>
      <c r="BN1481">
        <v>7.5</v>
      </c>
      <c r="BO1481">
        <v>2.9</v>
      </c>
      <c r="BP1481">
        <f t="shared" si="46"/>
        <v>2.1491358933548526</v>
      </c>
      <c r="BQ1481">
        <f t="shared" si="47"/>
        <v>10.331878516726404</v>
      </c>
    </row>
    <row r="1482" spans="1:69" hidden="1" x14ac:dyDescent="0.2">
      <c r="A1482" t="s">
        <v>2252</v>
      </c>
      <c r="B1482" t="s">
        <v>68</v>
      </c>
      <c r="C1482" t="s">
        <v>1956</v>
      </c>
      <c r="D1482" t="s">
        <v>70</v>
      </c>
      <c r="E1482" t="s">
        <v>2253</v>
      </c>
      <c r="F1482">
        <v>6</v>
      </c>
      <c r="G1482">
        <v>242.6</v>
      </c>
      <c r="H1482">
        <v>4</v>
      </c>
      <c r="I1482">
        <v>4</v>
      </c>
      <c r="J1482">
        <v>4</v>
      </c>
      <c r="K1482" t="s">
        <v>110</v>
      </c>
      <c r="L1482" t="s">
        <v>162</v>
      </c>
      <c r="M1482" s="4">
        <v>2380000000</v>
      </c>
      <c r="N1482">
        <v>0</v>
      </c>
      <c r="O1482">
        <v>4.7264710000000001</v>
      </c>
      <c r="P1482">
        <v>-74.024580999999998</v>
      </c>
      <c r="Q1482" t="s">
        <v>2254</v>
      </c>
      <c r="R1482">
        <v>9810387.4690000005</v>
      </c>
      <c r="S1482">
        <v>0</v>
      </c>
      <c r="T1482" t="s">
        <v>104</v>
      </c>
      <c r="U1482" t="s">
        <v>105</v>
      </c>
      <c r="V1482" t="s">
        <v>77</v>
      </c>
      <c r="W1482" t="s">
        <v>104</v>
      </c>
      <c r="X1482" t="s">
        <v>106</v>
      </c>
      <c r="Y1482">
        <v>1.90779398198029</v>
      </c>
      <c r="Z1482">
        <v>1907.79398198029</v>
      </c>
      <c r="AA1482">
        <v>4.71035</v>
      </c>
      <c r="AB1482">
        <v>-74.030416666666696</v>
      </c>
      <c r="AC1482">
        <v>2570</v>
      </c>
      <c r="AD1482">
        <v>10</v>
      </c>
      <c r="AE1482" t="s">
        <v>80</v>
      </c>
      <c r="AF1482" t="s">
        <v>107</v>
      </c>
      <c r="AG1482" t="s">
        <v>82</v>
      </c>
      <c r="AH1482" t="s">
        <v>83</v>
      </c>
      <c r="AI1482" t="s">
        <v>108</v>
      </c>
      <c r="AJ1482">
        <v>2.8396665860800301</v>
      </c>
      <c r="AK1482">
        <v>0.363106048068986</v>
      </c>
      <c r="AL1482">
        <v>1.84779500399083</v>
      </c>
      <c r="AM1482">
        <v>0.12664854265513001</v>
      </c>
      <c r="AN1482">
        <v>1.68199336084518</v>
      </c>
      <c r="AO1482">
        <v>0.57447849300271703</v>
      </c>
      <c r="AP1482">
        <v>0.57447849300271703</v>
      </c>
      <c r="AQ1482">
        <v>0</v>
      </c>
      <c r="AR1482">
        <v>0</v>
      </c>
      <c r="AS1482">
        <v>12</v>
      </c>
      <c r="AT1482">
        <v>34</v>
      </c>
      <c r="AU1482">
        <v>0</v>
      </c>
      <c r="AV1482">
        <v>7</v>
      </c>
      <c r="AW1482">
        <v>0</v>
      </c>
      <c r="AX1482">
        <v>0</v>
      </c>
      <c r="AY1482">
        <v>15.5</v>
      </c>
      <c r="AZ1482">
        <v>2.4</v>
      </c>
      <c r="BA1482">
        <v>10.9</v>
      </c>
      <c r="BB1482">
        <v>564</v>
      </c>
      <c r="BC1482">
        <v>68</v>
      </c>
      <c r="BD1482">
        <v>1.5</v>
      </c>
      <c r="BE1482">
        <v>135</v>
      </c>
      <c r="BF1482">
        <v>0</v>
      </c>
      <c r="BG1482">
        <v>162</v>
      </c>
      <c r="BH1482">
        <v>9.1</v>
      </c>
      <c r="BI1482">
        <v>9.1999999999999993</v>
      </c>
      <c r="BJ1482">
        <v>18.3</v>
      </c>
      <c r="BK1482">
        <v>0.34</v>
      </c>
      <c r="BL1482">
        <v>7.3</v>
      </c>
      <c r="BM1482">
        <v>0.9</v>
      </c>
      <c r="BN1482">
        <v>7.5</v>
      </c>
      <c r="BO1482">
        <v>2.9</v>
      </c>
      <c r="BP1482">
        <f t="shared" si="46"/>
        <v>2.1837267492565493</v>
      </c>
      <c r="BQ1482">
        <f t="shared" si="47"/>
        <v>10.412174366385058</v>
      </c>
    </row>
    <row r="1483" spans="1:69" hidden="1" x14ac:dyDescent="0.2">
      <c r="A1483" t="s">
        <v>2796</v>
      </c>
      <c r="B1483" t="s">
        <v>68</v>
      </c>
      <c r="C1483" t="s">
        <v>1956</v>
      </c>
      <c r="D1483" t="s">
        <v>70</v>
      </c>
      <c r="E1483" t="s">
        <v>213</v>
      </c>
      <c r="F1483">
        <v>6</v>
      </c>
      <c r="G1483">
        <v>242</v>
      </c>
      <c r="H1483">
        <v>5</v>
      </c>
      <c r="I1483">
        <v>3</v>
      </c>
      <c r="J1483">
        <v>2</v>
      </c>
      <c r="K1483" t="s">
        <v>110</v>
      </c>
      <c r="L1483" t="s">
        <v>115</v>
      </c>
      <c r="M1483" s="4">
        <v>1450000000</v>
      </c>
      <c r="N1483">
        <v>0</v>
      </c>
      <c r="O1483">
        <v>4.6966669999999997</v>
      </c>
      <c r="P1483">
        <v>-74.034835999999999</v>
      </c>
      <c r="Q1483" t="s">
        <v>2797</v>
      </c>
      <c r="R1483">
        <v>5991735.5369999995</v>
      </c>
      <c r="S1483">
        <v>0</v>
      </c>
      <c r="T1483" t="s">
        <v>104</v>
      </c>
      <c r="U1483" t="s">
        <v>105</v>
      </c>
      <c r="V1483" t="s">
        <v>77</v>
      </c>
      <c r="W1483" t="s">
        <v>104</v>
      </c>
      <c r="X1483" t="s">
        <v>106</v>
      </c>
      <c r="Y1483">
        <v>1.6001520462632199</v>
      </c>
      <c r="Z1483">
        <v>1600.15204626322</v>
      </c>
      <c r="AA1483">
        <v>4.71035</v>
      </c>
      <c r="AB1483">
        <v>-74.030416666666696</v>
      </c>
      <c r="AC1483">
        <v>2570</v>
      </c>
      <c r="AD1483">
        <v>10</v>
      </c>
      <c r="AE1483" t="s">
        <v>80</v>
      </c>
      <c r="AF1483" t="s">
        <v>107</v>
      </c>
      <c r="AG1483" t="s">
        <v>82</v>
      </c>
      <c r="AH1483" t="s">
        <v>83</v>
      </c>
      <c r="AI1483" t="s">
        <v>108</v>
      </c>
      <c r="AJ1483">
        <v>2.2757041794342401</v>
      </c>
      <c r="AK1483">
        <v>0.99899559360193402</v>
      </c>
      <c r="AL1483">
        <v>0.578889029065077</v>
      </c>
      <c r="AM1483">
        <v>2.9894779328163E-2</v>
      </c>
      <c r="AN1483">
        <v>5.0394268698789499</v>
      </c>
      <c r="AO1483">
        <v>7.3205131603939294E-2</v>
      </c>
      <c r="AP1483">
        <v>7.3205131603939294E-2</v>
      </c>
      <c r="AQ1483">
        <v>0</v>
      </c>
      <c r="AR1483">
        <v>0</v>
      </c>
      <c r="AS1483">
        <v>0</v>
      </c>
      <c r="AT1483">
        <v>1</v>
      </c>
      <c r="AU1483">
        <v>2</v>
      </c>
      <c r="AV1483">
        <v>144</v>
      </c>
      <c r="AW1483">
        <v>0</v>
      </c>
      <c r="AX1483">
        <v>0</v>
      </c>
      <c r="AY1483">
        <v>15.5</v>
      </c>
      <c r="AZ1483">
        <v>2.4</v>
      </c>
      <c r="BA1483">
        <v>10.9</v>
      </c>
      <c r="BB1483">
        <v>564</v>
      </c>
      <c r="BC1483">
        <v>68</v>
      </c>
      <c r="BD1483">
        <v>1.5</v>
      </c>
      <c r="BE1483">
        <v>135</v>
      </c>
      <c r="BF1483">
        <v>0</v>
      </c>
      <c r="BG1483">
        <v>162</v>
      </c>
      <c r="BH1483">
        <v>9.1</v>
      </c>
      <c r="BI1483">
        <v>9.1999999999999993</v>
      </c>
      <c r="BJ1483">
        <v>18.3</v>
      </c>
      <c r="BK1483">
        <v>0.34</v>
      </c>
      <c r="BL1483">
        <v>7.3</v>
      </c>
      <c r="BM1483">
        <v>0.9</v>
      </c>
      <c r="BN1483">
        <v>7.5</v>
      </c>
      <c r="BO1483">
        <v>2.9</v>
      </c>
      <c r="BP1483">
        <f t="shared" si="46"/>
        <v>2.2172356362341747</v>
      </c>
      <c r="BQ1483">
        <f t="shared" si="47"/>
        <v>10.489336189850803</v>
      </c>
    </row>
    <row r="1484" spans="1:69" hidden="1" x14ac:dyDescent="0.2">
      <c r="A1484" t="s">
        <v>1762</v>
      </c>
      <c r="B1484" t="s">
        <v>68</v>
      </c>
      <c r="C1484" t="s">
        <v>69</v>
      </c>
      <c r="D1484" t="s">
        <v>70</v>
      </c>
      <c r="E1484" t="s">
        <v>102</v>
      </c>
      <c r="F1484">
        <v>5</v>
      </c>
      <c r="G1484">
        <v>238</v>
      </c>
      <c r="H1484">
        <v>3</v>
      </c>
      <c r="I1484">
        <v>5</v>
      </c>
      <c r="J1484">
        <v>4</v>
      </c>
      <c r="K1484" t="s">
        <v>110</v>
      </c>
      <c r="L1484" t="s">
        <v>162</v>
      </c>
      <c r="M1484" s="4">
        <v>1400000000</v>
      </c>
      <c r="N1484">
        <v>0</v>
      </c>
      <c r="O1484">
        <v>4.7034897999999998</v>
      </c>
      <c r="P1484">
        <v>-74.052620500000003</v>
      </c>
      <c r="Q1484" t="s">
        <v>1763</v>
      </c>
      <c r="R1484">
        <v>5882352.9409999996</v>
      </c>
      <c r="S1484">
        <v>0</v>
      </c>
      <c r="T1484" t="s">
        <v>104</v>
      </c>
      <c r="U1484" t="s">
        <v>105</v>
      </c>
      <c r="V1484" t="s">
        <v>77</v>
      </c>
      <c r="W1484" t="s">
        <v>104</v>
      </c>
      <c r="X1484" t="s">
        <v>106</v>
      </c>
      <c r="Y1484">
        <v>2.57904172540308</v>
      </c>
      <c r="Z1484">
        <v>2579.0417254030799</v>
      </c>
      <c r="AA1484">
        <v>4.71035</v>
      </c>
      <c r="AB1484">
        <v>-74.030416666666696</v>
      </c>
      <c r="AC1484">
        <v>2570</v>
      </c>
      <c r="AD1484">
        <v>10</v>
      </c>
      <c r="AE1484" t="s">
        <v>80</v>
      </c>
      <c r="AF1484" t="s">
        <v>107</v>
      </c>
      <c r="AG1484" t="s">
        <v>82</v>
      </c>
      <c r="AH1484" t="s">
        <v>83</v>
      </c>
      <c r="AI1484" t="s">
        <v>108</v>
      </c>
      <c r="AJ1484">
        <v>0.21863805430657299</v>
      </c>
      <c r="AK1484">
        <v>3.0024436997127801</v>
      </c>
      <c r="AL1484">
        <v>1.1679295454896701</v>
      </c>
      <c r="AM1484">
        <v>0.113326112797605</v>
      </c>
      <c r="AN1484">
        <v>4.6118524400510799</v>
      </c>
      <c r="AO1484">
        <v>0.122790107746029</v>
      </c>
      <c r="AP1484">
        <v>0.122790107746029</v>
      </c>
      <c r="AQ1484">
        <v>1</v>
      </c>
      <c r="AR1484">
        <v>2</v>
      </c>
      <c r="AS1484">
        <v>0</v>
      </c>
      <c r="AT1484">
        <v>0</v>
      </c>
      <c r="AU1484">
        <v>0</v>
      </c>
      <c r="AV1484">
        <v>145</v>
      </c>
      <c r="AW1484">
        <v>0</v>
      </c>
      <c r="AX1484">
        <v>0</v>
      </c>
      <c r="AY1484">
        <v>15.5</v>
      </c>
      <c r="AZ1484">
        <v>2.4</v>
      </c>
      <c r="BA1484">
        <v>10.9</v>
      </c>
      <c r="BB1484">
        <v>564</v>
      </c>
      <c r="BC1484">
        <v>68</v>
      </c>
      <c r="BD1484">
        <v>1.5</v>
      </c>
      <c r="BE1484">
        <v>135</v>
      </c>
      <c r="BF1484">
        <v>0</v>
      </c>
      <c r="BG1484">
        <v>162</v>
      </c>
      <c r="BH1484">
        <v>9.1</v>
      </c>
      <c r="BI1484">
        <v>9.1999999999999993</v>
      </c>
      <c r="BJ1484">
        <v>18.3</v>
      </c>
      <c r="BK1484">
        <v>0.34</v>
      </c>
      <c r="BL1484">
        <v>7.3</v>
      </c>
      <c r="BM1484">
        <v>0.9</v>
      </c>
      <c r="BN1484">
        <v>7.5</v>
      </c>
      <c r="BO1484">
        <v>2.9</v>
      </c>
      <c r="BP1484">
        <f t="shared" si="46"/>
        <v>2.1123607732986005</v>
      </c>
      <c r="BQ1484">
        <f t="shared" si="47"/>
        <v>10.245778712441664</v>
      </c>
    </row>
    <row r="1485" spans="1:69" hidden="1" x14ac:dyDescent="0.2">
      <c r="A1485" t="s">
        <v>2691</v>
      </c>
      <c r="B1485" t="s">
        <v>68</v>
      </c>
      <c r="C1485" t="s">
        <v>1956</v>
      </c>
      <c r="D1485" t="s">
        <v>70</v>
      </c>
      <c r="E1485" t="s">
        <v>1677</v>
      </c>
      <c r="F1485">
        <v>6</v>
      </c>
      <c r="G1485">
        <v>237.51</v>
      </c>
      <c r="H1485">
        <v>3</v>
      </c>
      <c r="I1485">
        <v>3</v>
      </c>
      <c r="J1485">
        <v>2</v>
      </c>
      <c r="K1485" t="s">
        <v>110</v>
      </c>
      <c r="L1485" t="s">
        <v>162</v>
      </c>
      <c r="M1485" s="4">
        <v>1360000000</v>
      </c>
      <c r="N1485">
        <v>0</v>
      </c>
      <c r="O1485">
        <v>4.7110200000000004</v>
      </c>
      <c r="P1485">
        <v>-74.025459999999995</v>
      </c>
      <c r="Q1485" t="s">
        <v>2692</v>
      </c>
      <c r="R1485">
        <v>5726074.6919999998</v>
      </c>
      <c r="S1485">
        <v>0</v>
      </c>
      <c r="T1485" t="s">
        <v>104</v>
      </c>
      <c r="U1485" t="s">
        <v>105</v>
      </c>
      <c r="V1485" t="s">
        <v>77</v>
      </c>
      <c r="W1485" t="s">
        <v>104</v>
      </c>
      <c r="X1485" t="s">
        <v>106</v>
      </c>
      <c r="Y1485">
        <v>0.55494462233058295</v>
      </c>
      <c r="Z1485">
        <v>554.944622330583</v>
      </c>
      <c r="AA1485">
        <v>4.71035</v>
      </c>
      <c r="AB1485">
        <v>-74.030416666666696</v>
      </c>
      <c r="AC1485">
        <v>2570</v>
      </c>
      <c r="AD1485">
        <v>10</v>
      </c>
      <c r="AE1485" t="s">
        <v>80</v>
      </c>
      <c r="AF1485" t="s">
        <v>107</v>
      </c>
      <c r="AG1485" t="s">
        <v>82</v>
      </c>
      <c r="AH1485" t="s">
        <v>83</v>
      </c>
      <c r="AI1485" t="s">
        <v>108</v>
      </c>
      <c r="AJ1485">
        <v>3.02986575165037</v>
      </c>
      <c r="AK1485">
        <v>0.104385846055884</v>
      </c>
      <c r="AL1485">
        <v>0.81201682887859095</v>
      </c>
      <c r="AM1485">
        <v>0.48826708776116601</v>
      </c>
      <c r="AN1485">
        <v>3.37545409422111</v>
      </c>
      <c r="AO1485">
        <v>0.63177733836661698</v>
      </c>
      <c r="AP1485">
        <v>0.63177733836661698</v>
      </c>
      <c r="AQ1485">
        <v>0</v>
      </c>
      <c r="AR1485">
        <v>0</v>
      </c>
      <c r="AS1485">
        <v>16</v>
      </c>
      <c r="AT1485">
        <v>46</v>
      </c>
      <c r="AU1485">
        <v>1</v>
      </c>
      <c r="AV1485">
        <v>77</v>
      </c>
      <c r="AW1485">
        <v>0</v>
      </c>
      <c r="AX1485">
        <v>0</v>
      </c>
      <c r="AY1485">
        <v>15.5</v>
      </c>
      <c r="AZ1485">
        <v>2.4</v>
      </c>
      <c r="BA1485">
        <v>10.9</v>
      </c>
      <c r="BB1485">
        <v>564</v>
      </c>
      <c r="BC1485">
        <v>68</v>
      </c>
      <c r="BD1485">
        <v>1.5</v>
      </c>
      <c r="BE1485">
        <v>135</v>
      </c>
      <c r="BF1485">
        <v>0</v>
      </c>
      <c r="BG1485">
        <v>162</v>
      </c>
      <c r="BH1485">
        <v>9.1</v>
      </c>
      <c r="BI1485">
        <v>9.1999999999999993</v>
      </c>
      <c r="BJ1485">
        <v>18.3</v>
      </c>
      <c r="BK1485">
        <v>0.34</v>
      </c>
      <c r="BL1485">
        <v>7.3</v>
      </c>
      <c r="BM1485">
        <v>0.9</v>
      </c>
      <c r="BN1485">
        <v>7.5</v>
      </c>
      <c r="BO1485">
        <v>2.9</v>
      </c>
      <c r="BP1485">
        <f t="shared" si="46"/>
        <v>2.3349698493382838</v>
      </c>
      <c r="BQ1485">
        <f t="shared" si="47"/>
        <v>10.755788968194462</v>
      </c>
    </row>
    <row r="1486" spans="1:69" hidden="1" x14ac:dyDescent="0.2">
      <c r="A1486" t="s">
        <v>467</v>
      </c>
      <c r="B1486" t="s">
        <v>68</v>
      </c>
      <c r="C1486" t="s">
        <v>69</v>
      </c>
      <c r="D1486" t="s">
        <v>70</v>
      </c>
      <c r="E1486" t="s">
        <v>468</v>
      </c>
      <c r="F1486">
        <v>6</v>
      </c>
      <c r="G1486">
        <v>236.21</v>
      </c>
      <c r="H1486">
        <v>3</v>
      </c>
      <c r="I1486">
        <v>4</v>
      </c>
      <c r="J1486">
        <v>4</v>
      </c>
      <c r="K1486" t="s">
        <v>110</v>
      </c>
      <c r="L1486" t="s">
        <v>111</v>
      </c>
      <c r="M1486" s="4">
        <v>2280000000</v>
      </c>
      <c r="N1486">
        <v>0</v>
      </c>
      <c r="O1486">
        <v>4.6877804000000003</v>
      </c>
      <c r="P1486">
        <v>-74.049385000000001</v>
      </c>
      <c r="Q1486" t="s">
        <v>469</v>
      </c>
      <c r="R1486">
        <v>9652427.9240000006</v>
      </c>
      <c r="S1486">
        <v>0</v>
      </c>
      <c r="T1486" t="s">
        <v>104</v>
      </c>
      <c r="U1486" t="s">
        <v>105</v>
      </c>
      <c r="V1486" t="s">
        <v>77</v>
      </c>
      <c r="W1486" t="s">
        <v>104</v>
      </c>
      <c r="X1486" t="s">
        <v>106</v>
      </c>
      <c r="Y1486">
        <v>3.27735208832839</v>
      </c>
      <c r="Z1486">
        <v>3277.35208832839</v>
      </c>
      <c r="AA1486">
        <v>4.71035</v>
      </c>
      <c r="AB1486">
        <v>-74.030416666666696</v>
      </c>
      <c r="AC1486">
        <v>2570</v>
      </c>
      <c r="AD1486">
        <v>10</v>
      </c>
      <c r="AE1486" t="s">
        <v>80</v>
      </c>
      <c r="AF1486" t="s">
        <v>107</v>
      </c>
      <c r="AG1486" t="s">
        <v>82</v>
      </c>
      <c r="AH1486" t="s">
        <v>83</v>
      </c>
      <c r="AI1486" t="s">
        <v>108</v>
      </c>
      <c r="AJ1486">
        <v>0.94792914640236503</v>
      </c>
      <c r="AK1486">
        <v>1.7711054310604499</v>
      </c>
      <c r="AL1486">
        <v>0.158692666997065</v>
      </c>
      <c r="AM1486">
        <v>0.19607376466279799</v>
      </c>
      <c r="AN1486">
        <v>3.9179834402850702</v>
      </c>
      <c r="AO1486">
        <v>0.43116831071587702</v>
      </c>
      <c r="AP1486">
        <v>0.43116831071587702</v>
      </c>
      <c r="AQ1486">
        <v>0</v>
      </c>
      <c r="AR1486">
        <v>1</v>
      </c>
      <c r="AS1486">
        <v>0</v>
      </c>
      <c r="AT1486">
        <v>0</v>
      </c>
      <c r="AU1486">
        <v>5</v>
      </c>
      <c r="AV1486">
        <v>180</v>
      </c>
      <c r="AW1486">
        <v>0</v>
      </c>
      <c r="AX1486">
        <v>0</v>
      </c>
      <c r="AY1486">
        <v>15.5</v>
      </c>
      <c r="AZ1486">
        <v>2.4</v>
      </c>
      <c r="BA1486">
        <v>10.9</v>
      </c>
      <c r="BB1486">
        <v>564</v>
      </c>
      <c r="BC1486">
        <v>68</v>
      </c>
      <c r="BD1486">
        <v>1.5</v>
      </c>
      <c r="BE1486">
        <v>135</v>
      </c>
      <c r="BF1486">
        <v>0</v>
      </c>
      <c r="BG1486">
        <v>162</v>
      </c>
      <c r="BH1486">
        <v>9.1</v>
      </c>
      <c r="BI1486">
        <v>9.1999999999999993</v>
      </c>
      <c r="BJ1486">
        <v>18.3</v>
      </c>
      <c r="BK1486">
        <v>0.34</v>
      </c>
      <c r="BL1486">
        <v>7.3</v>
      </c>
      <c r="BM1486">
        <v>0.9</v>
      </c>
      <c r="BN1486">
        <v>7.5</v>
      </c>
      <c r="BO1486">
        <v>2.9</v>
      </c>
      <c r="BP1486">
        <f t="shared" si="46"/>
        <v>2.0405916880870185</v>
      </c>
      <c r="BQ1486">
        <f t="shared" si="47"/>
        <v>10.075496017380571</v>
      </c>
    </row>
    <row r="1487" spans="1:69" hidden="1" x14ac:dyDescent="0.2">
      <c r="A1487" t="s">
        <v>1779</v>
      </c>
      <c r="B1487" t="s">
        <v>68</v>
      </c>
      <c r="C1487" t="s">
        <v>69</v>
      </c>
      <c r="D1487" t="s">
        <v>70</v>
      </c>
      <c r="E1487" t="s">
        <v>235</v>
      </c>
      <c r="F1487">
        <v>6</v>
      </c>
      <c r="G1487">
        <v>236</v>
      </c>
      <c r="H1487">
        <v>3</v>
      </c>
      <c r="I1487">
        <v>5</v>
      </c>
      <c r="J1487">
        <v>2</v>
      </c>
      <c r="K1487" t="s">
        <v>110</v>
      </c>
      <c r="L1487" t="s">
        <v>162</v>
      </c>
      <c r="M1487" s="4">
        <v>1440000000</v>
      </c>
      <c r="N1487">
        <v>0</v>
      </c>
      <c r="O1487">
        <v>4.7059100000000003</v>
      </c>
      <c r="P1487">
        <v>-74.043430000000001</v>
      </c>
      <c r="Q1487" t="s">
        <v>1780</v>
      </c>
      <c r="R1487">
        <v>6101694.915</v>
      </c>
      <c r="S1487">
        <v>0</v>
      </c>
      <c r="T1487" t="s">
        <v>104</v>
      </c>
      <c r="U1487" t="s">
        <v>105</v>
      </c>
      <c r="V1487" t="s">
        <v>77</v>
      </c>
      <c r="W1487" t="s">
        <v>104</v>
      </c>
      <c r="X1487" t="s">
        <v>106</v>
      </c>
      <c r="Y1487">
        <v>1.5260092847133699</v>
      </c>
      <c r="Z1487">
        <v>1526.0092847133701</v>
      </c>
      <c r="AA1487">
        <v>4.71035</v>
      </c>
      <c r="AB1487">
        <v>-74.030416666666696</v>
      </c>
      <c r="AC1487">
        <v>2570</v>
      </c>
      <c r="AD1487">
        <v>10</v>
      </c>
      <c r="AE1487" t="s">
        <v>80</v>
      </c>
      <c r="AF1487" t="s">
        <v>107</v>
      </c>
      <c r="AG1487" t="s">
        <v>82</v>
      </c>
      <c r="AH1487" t="s">
        <v>83</v>
      </c>
      <c r="AI1487" t="s">
        <v>108</v>
      </c>
      <c r="AJ1487">
        <v>1.2051367184248201</v>
      </c>
      <c r="AK1487">
        <v>2.0209053053930299</v>
      </c>
      <c r="AL1487">
        <v>1.29609583788088</v>
      </c>
      <c r="AM1487">
        <v>9.2070140103397605E-2</v>
      </c>
      <c r="AN1487">
        <v>4.3507811754319397</v>
      </c>
      <c r="AO1487">
        <v>0.33147597462414002</v>
      </c>
      <c r="AP1487">
        <v>0.33147597462414002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123</v>
      </c>
      <c r="AW1487">
        <v>0</v>
      </c>
      <c r="AX1487">
        <v>0</v>
      </c>
      <c r="AY1487">
        <v>15.5</v>
      </c>
      <c r="AZ1487">
        <v>2.4</v>
      </c>
      <c r="BA1487">
        <v>10.9</v>
      </c>
      <c r="BB1487">
        <v>564</v>
      </c>
      <c r="BC1487">
        <v>68</v>
      </c>
      <c r="BD1487">
        <v>1.5</v>
      </c>
      <c r="BE1487">
        <v>135</v>
      </c>
      <c r="BF1487">
        <v>0</v>
      </c>
      <c r="BG1487">
        <v>162</v>
      </c>
      <c r="BH1487">
        <v>9.1</v>
      </c>
      <c r="BI1487">
        <v>9.1999999999999993</v>
      </c>
      <c r="BJ1487">
        <v>18.3</v>
      </c>
      <c r="BK1487">
        <v>0.34</v>
      </c>
      <c r="BL1487">
        <v>7.3</v>
      </c>
      <c r="BM1487">
        <v>0.9</v>
      </c>
      <c r="BN1487">
        <v>7.5</v>
      </c>
      <c r="BO1487">
        <v>2.9</v>
      </c>
      <c r="BP1487">
        <f t="shared" si="46"/>
        <v>2.2253879895911708</v>
      </c>
      <c r="BQ1487">
        <f t="shared" si="47"/>
        <v>10.508017806647896</v>
      </c>
    </row>
    <row r="1488" spans="1:69" hidden="1" x14ac:dyDescent="0.2">
      <c r="A1488" t="s">
        <v>1614</v>
      </c>
      <c r="B1488" t="s">
        <v>68</v>
      </c>
      <c r="C1488" t="s">
        <v>69</v>
      </c>
      <c r="D1488" t="s">
        <v>70</v>
      </c>
      <c r="E1488" t="s">
        <v>1615</v>
      </c>
      <c r="F1488">
        <v>5</v>
      </c>
      <c r="G1488">
        <v>235</v>
      </c>
      <c r="H1488">
        <v>4</v>
      </c>
      <c r="I1488">
        <v>5</v>
      </c>
      <c r="J1488">
        <v>4</v>
      </c>
      <c r="K1488" t="s">
        <v>110</v>
      </c>
      <c r="L1488" t="s">
        <v>162</v>
      </c>
      <c r="M1488" s="4">
        <v>1700000000</v>
      </c>
      <c r="N1488">
        <v>0</v>
      </c>
      <c r="O1488">
        <v>4.715310433</v>
      </c>
      <c r="P1488">
        <v>-74.047138480000001</v>
      </c>
      <c r="Q1488" t="s">
        <v>1616</v>
      </c>
      <c r="R1488">
        <v>7234042.5530000003</v>
      </c>
      <c r="S1488">
        <v>0</v>
      </c>
      <c r="T1488" t="s">
        <v>104</v>
      </c>
      <c r="U1488" t="s">
        <v>105</v>
      </c>
      <c r="V1488" t="s">
        <v>77</v>
      </c>
      <c r="W1488" t="s">
        <v>104</v>
      </c>
      <c r="X1488" t="s">
        <v>106</v>
      </c>
      <c r="Y1488">
        <v>1.9356067000541699</v>
      </c>
      <c r="Z1488">
        <v>1935.60670005417</v>
      </c>
      <c r="AA1488">
        <v>4.71035</v>
      </c>
      <c r="AB1488">
        <v>-74.030416666666696</v>
      </c>
      <c r="AC1488">
        <v>2570</v>
      </c>
      <c r="AD1488">
        <v>10</v>
      </c>
      <c r="AE1488" t="s">
        <v>80</v>
      </c>
      <c r="AF1488" t="s">
        <v>107</v>
      </c>
      <c r="AG1488" t="s">
        <v>82</v>
      </c>
      <c r="AH1488" t="s">
        <v>83</v>
      </c>
      <c r="AI1488" t="s">
        <v>108</v>
      </c>
      <c r="AJ1488">
        <v>0.60664189496477505</v>
      </c>
      <c r="AK1488">
        <v>2.5075100966672301</v>
      </c>
      <c r="AL1488">
        <v>1.67030801252503</v>
      </c>
      <c r="AM1488">
        <v>0.31655229384087802</v>
      </c>
      <c r="AN1488">
        <v>3.67689529208499</v>
      </c>
      <c r="AO1488">
        <v>0.62391114083724197</v>
      </c>
      <c r="AP1488">
        <v>0.62391114083724197</v>
      </c>
      <c r="AQ1488">
        <v>0</v>
      </c>
      <c r="AR1488">
        <v>2</v>
      </c>
      <c r="AS1488">
        <v>0</v>
      </c>
      <c r="AT1488">
        <v>0</v>
      </c>
      <c r="AU1488">
        <v>0</v>
      </c>
      <c r="AV1488">
        <v>46</v>
      </c>
      <c r="AW1488">
        <v>0</v>
      </c>
      <c r="AX1488">
        <v>0</v>
      </c>
      <c r="AY1488">
        <v>15.5</v>
      </c>
      <c r="AZ1488">
        <v>2.4</v>
      </c>
      <c r="BA1488">
        <v>10.9</v>
      </c>
      <c r="BB1488">
        <v>564</v>
      </c>
      <c r="BC1488">
        <v>68</v>
      </c>
      <c r="BD1488">
        <v>1.5</v>
      </c>
      <c r="BE1488">
        <v>135</v>
      </c>
      <c r="BF1488">
        <v>0</v>
      </c>
      <c r="BG1488">
        <v>162</v>
      </c>
      <c r="BH1488">
        <v>9.1</v>
      </c>
      <c r="BI1488">
        <v>9.1999999999999993</v>
      </c>
      <c r="BJ1488">
        <v>18.3</v>
      </c>
      <c r="BK1488">
        <v>0.34</v>
      </c>
      <c r="BL1488">
        <v>7.3</v>
      </c>
      <c r="BM1488">
        <v>0.9</v>
      </c>
      <c r="BN1488">
        <v>7.5</v>
      </c>
      <c r="BO1488">
        <v>2.9</v>
      </c>
      <c r="BP1488">
        <f t="shared" si="46"/>
        <v>2.1807224166746337</v>
      </c>
      <c r="BQ1488">
        <f t="shared" si="47"/>
        <v>10.405226504625556</v>
      </c>
    </row>
    <row r="1489" spans="1:69" hidden="1" x14ac:dyDescent="0.2">
      <c r="A1489" t="s">
        <v>2134</v>
      </c>
      <c r="B1489" t="s">
        <v>68</v>
      </c>
      <c r="C1489" t="s">
        <v>1956</v>
      </c>
      <c r="D1489" t="s">
        <v>70</v>
      </c>
      <c r="E1489" t="s">
        <v>344</v>
      </c>
      <c r="F1489">
        <v>5</v>
      </c>
      <c r="G1489">
        <v>234</v>
      </c>
      <c r="H1489">
        <v>5</v>
      </c>
      <c r="I1489">
        <v>5</v>
      </c>
      <c r="J1489">
        <v>3</v>
      </c>
      <c r="K1489" t="s">
        <v>110</v>
      </c>
      <c r="L1489" t="s">
        <v>124</v>
      </c>
      <c r="M1489" s="4">
        <v>1100000000</v>
      </c>
      <c r="N1489">
        <v>0</v>
      </c>
      <c r="O1489">
        <v>4.6990122799999998</v>
      </c>
      <c r="P1489">
        <v>-74.058441160000001</v>
      </c>
      <c r="Q1489" t="s">
        <v>2135</v>
      </c>
      <c r="R1489">
        <v>4700854.7010000004</v>
      </c>
      <c r="S1489">
        <v>0</v>
      </c>
      <c r="T1489" t="s">
        <v>104</v>
      </c>
      <c r="U1489" t="s">
        <v>105</v>
      </c>
      <c r="V1489" t="s">
        <v>77</v>
      </c>
      <c r="W1489" t="s">
        <v>104</v>
      </c>
      <c r="X1489" t="s">
        <v>106</v>
      </c>
      <c r="Y1489">
        <v>3.35556297722413</v>
      </c>
      <c r="Z1489">
        <v>3355.56297722413</v>
      </c>
      <c r="AA1489">
        <v>4.71035</v>
      </c>
      <c r="AB1489">
        <v>-74.030416666666696</v>
      </c>
      <c r="AC1489">
        <v>2570</v>
      </c>
      <c r="AD1489">
        <v>10</v>
      </c>
      <c r="AE1489" t="s">
        <v>80</v>
      </c>
      <c r="AF1489" t="s">
        <v>107</v>
      </c>
      <c r="AG1489" t="s">
        <v>82</v>
      </c>
      <c r="AH1489" t="s">
        <v>83</v>
      </c>
      <c r="AI1489" t="s">
        <v>121</v>
      </c>
      <c r="AJ1489">
        <v>0.36082959374113299</v>
      </c>
      <c r="AK1489">
        <v>3.3401838816952298</v>
      </c>
      <c r="AL1489">
        <v>1.14311004829365</v>
      </c>
      <c r="AM1489">
        <v>5.5400412237505303E-2</v>
      </c>
      <c r="AN1489">
        <v>3.80785382088761</v>
      </c>
      <c r="AO1489">
        <v>0.129461903375126</v>
      </c>
      <c r="AP1489">
        <v>0.129461903375126</v>
      </c>
      <c r="AQ1489">
        <v>1</v>
      </c>
      <c r="AR1489">
        <v>3</v>
      </c>
      <c r="AS1489">
        <v>0</v>
      </c>
      <c r="AT1489">
        <v>0</v>
      </c>
      <c r="AU1489">
        <v>0</v>
      </c>
      <c r="AV1489">
        <v>107</v>
      </c>
      <c r="AW1489">
        <v>0</v>
      </c>
      <c r="AX1489">
        <v>0</v>
      </c>
      <c r="AY1489">
        <v>15.5</v>
      </c>
      <c r="AZ1489">
        <v>2.4</v>
      </c>
      <c r="BA1489">
        <v>10.9</v>
      </c>
      <c r="BB1489">
        <v>564</v>
      </c>
      <c r="BC1489">
        <v>68</v>
      </c>
      <c r="BD1489">
        <v>1.5</v>
      </c>
      <c r="BE1489">
        <v>135</v>
      </c>
      <c r="BF1489">
        <v>0</v>
      </c>
      <c r="BG1489">
        <v>162</v>
      </c>
      <c r="BH1489">
        <v>9.1</v>
      </c>
      <c r="BI1489">
        <v>9.1999999999999993</v>
      </c>
      <c r="BJ1489">
        <v>18.3</v>
      </c>
      <c r="BK1489">
        <v>0.34</v>
      </c>
      <c r="BL1489">
        <v>7.3</v>
      </c>
      <c r="BM1489">
        <v>0.9</v>
      </c>
      <c r="BN1489">
        <v>7.5</v>
      </c>
      <c r="BO1489">
        <v>2.9</v>
      </c>
      <c r="BP1489">
        <f t="shared" si="46"/>
        <v>2.0327069343616122</v>
      </c>
      <c r="BQ1489">
        <f t="shared" si="47"/>
        <v>10.056601432085971</v>
      </c>
    </row>
    <row r="1490" spans="1:69" hidden="1" x14ac:dyDescent="0.2">
      <c r="A1490" t="s">
        <v>950</v>
      </c>
      <c r="B1490" t="s">
        <v>68</v>
      </c>
      <c r="C1490" t="s">
        <v>69</v>
      </c>
      <c r="D1490" t="s">
        <v>70</v>
      </c>
      <c r="E1490" t="s">
        <v>226</v>
      </c>
      <c r="F1490">
        <v>6</v>
      </c>
      <c r="G1490">
        <v>234</v>
      </c>
      <c r="H1490">
        <v>5</v>
      </c>
      <c r="I1490">
        <v>5</v>
      </c>
      <c r="J1490">
        <v>3</v>
      </c>
      <c r="K1490" t="s">
        <v>110</v>
      </c>
      <c r="L1490" t="s">
        <v>124</v>
      </c>
      <c r="M1490" s="4">
        <v>1700000000</v>
      </c>
      <c r="N1490">
        <v>0</v>
      </c>
      <c r="O1490">
        <v>4.6899571419999999</v>
      </c>
      <c r="P1490">
        <v>-74.043762209999997</v>
      </c>
      <c r="Q1490" t="s">
        <v>951</v>
      </c>
      <c r="R1490">
        <v>7264957.2649999997</v>
      </c>
      <c r="S1490">
        <v>0</v>
      </c>
      <c r="T1490" t="s">
        <v>104</v>
      </c>
      <c r="U1490" t="s">
        <v>105</v>
      </c>
      <c r="V1490" t="s">
        <v>77</v>
      </c>
      <c r="W1490" t="s">
        <v>104</v>
      </c>
      <c r="X1490" t="s">
        <v>106</v>
      </c>
      <c r="Y1490">
        <v>2.7102954656329001</v>
      </c>
      <c r="Z1490">
        <v>2710.2954656328998</v>
      </c>
      <c r="AA1490">
        <v>4.71035</v>
      </c>
      <c r="AB1490">
        <v>-74.030416666666696</v>
      </c>
      <c r="AC1490">
        <v>2570</v>
      </c>
      <c r="AD1490">
        <v>10</v>
      </c>
      <c r="AE1490" t="s">
        <v>80</v>
      </c>
      <c r="AF1490" t="s">
        <v>107</v>
      </c>
      <c r="AG1490" t="s">
        <v>82</v>
      </c>
      <c r="AH1490" t="s">
        <v>83</v>
      </c>
      <c r="AI1490" t="s">
        <v>108</v>
      </c>
      <c r="AJ1490">
        <v>1.4171465631856199</v>
      </c>
      <c r="AK1490">
        <v>1.5020954577391901</v>
      </c>
      <c r="AL1490">
        <v>0.76919357009385403</v>
      </c>
      <c r="AM1490">
        <v>6.9764145696256594E-2</v>
      </c>
      <c r="AN1490">
        <v>4.5858480684699297</v>
      </c>
      <c r="AO1490">
        <v>5.0307065687747302E-2</v>
      </c>
      <c r="AP1490">
        <v>5.0307065687747302E-2</v>
      </c>
      <c r="AQ1490">
        <v>0</v>
      </c>
      <c r="AR1490">
        <v>0</v>
      </c>
      <c r="AS1490">
        <v>0</v>
      </c>
      <c r="AT1490">
        <v>0</v>
      </c>
      <c r="AU1490">
        <v>5</v>
      </c>
      <c r="AV1490">
        <v>107</v>
      </c>
      <c r="AW1490">
        <v>0</v>
      </c>
      <c r="AX1490">
        <v>0</v>
      </c>
      <c r="AY1490">
        <v>15.5</v>
      </c>
      <c r="AZ1490">
        <v>2.4</v>
      </c>
      <c r="BA1490">
        <v>10.9</v>
      </c>
      <c r="BB1490">
        <v>564</v>
      </c>
      <c r="BC1490">
        <v>68</v>
      </c>
      <c r="BD1490">
        <v>1.5</v>
      </c>
      <c r="BE1490">
        <v>135</v>
      </c>
      <c r="BF1490">
        <v>0</v>
      </c>
      <c r="BG1490">
        <v>162</v>
      </c>
      <c r="BH1490">
        <v>9.1</v>
      </c>
      <c r="BI1490">
        <v>9.1999999999999993</v>
      </c>
      <c r="BJ1490">
        <v>18.3</v>
      </c>
      <c r="BK1490">
        <v>0.34</v>
      </c>
      <c r="BL1490">
        <v>7.3</v>
      </c>
      <c r="BM1490">
        <v>0.9</v>
      </c>
      <c r="BN1490">
        <v>7.5</v>
      </c>
      <c r="BO1490">
        <v>2.9</v>
      </c>
      <c r="BP1490">
        <f t="shared" si="46"/>
        <v>2.0986811251826265</v>
      </c>
      <c r="BQ1490">
        <f t="shared" si="47"/>
        <v>10.213554371210636</v>
      </c>
    </row>
    <row r="1491" spans="1:69" hidden="1" x14ac:dyDescent="0.2">
      <c r="A1491" t="s">
        <v>1590</v>
      </c>
      <c r="B1491" t="s">
        <v>68</v>
      </c>
      <c r="C1491" t="s">
        <v>69</v>
      </c>
      <c r="D1491" t="s">
        <v>70</v>
      </c>
      <c r="E1491" t="s">
        <v>226</v>
      </c>
      <c r="F1491">
        <v>6</v>
      </c>
      <c r="G1491">
        <v>232</v>
      </c>
      <c r="H1491">
        <v>3</v>
      </c>
      <c r="I1491">
        <v>3</v>
      </c>
      <c r="J1491">
        <v>3</v>
      </c>
      <c r="K1491" t="s">
        <v>110</v>
      </c>
      <c r="L1491" t="s">
        <v>162</v>
      </c>
      <c r="M1491" s="4">
        <v>1350000000</v>
      </c>
      <c r="N1491">
        <v>0</v>
      </c>
      <c r="O1491">
        <v>4.6902240170000002</v>
      </c>
      <c r="P1491">
        <v>-74.043813249999999</v>
      </c>
      <c r="Q1491" t="s">
        <v>1591</v>
      </c>
      <c r="R1491">
        <v>5818965.517</v>
      </c>
      <c r="S1491">
        <v>0</v>
      </c>
      <c r="T1491" t="s">
        <v>104</v>
      </c>
      <c r="U1491" t="s">
        <v>105</v>
      </c>
      <c r="V1491" t="s">
        <v>77</v>
      </c>
      <c r="W1491" t="s">
        <v>104</v>
      </c>
      <c r="X1491" t="s">
        <v>106</v>
      </c>
      <c r="Y1491">
        <v>2.6885870680803698</v>
      </c>
      <c r="Z1491">
        <v>2688.58706808037</v>
      </c>
      <c r="AA1491">
        <v>4.71035</v>
      </c>
      <c r="AB1491">
        <v>-74.030416666666696</v>
      </c>
      <c r="AC1491">
        <v>2570</v>
      </c>
      <c r="AD1491">
        <v>10</v>
      </c>
      <c r="AE1491" t="s">
        <v>80</v>
      </c>
      <c r="AF1491" t="s">
        <v>107</v>
      </c>
      <c r="AG1491" t="s">
        <v>82</v>
      </c>
      <c r="AH1491" t="s">
        <v>83</v>
      </c>
      <c r="AI1491" t="s">
        <v>108</v>
      </c>
      <c r="AJ1491">
        <v>1.40495429906076</v>
      </c>
      <c r="AK1491">
        <v>1.5296215969936999</v>
      </c>
      <c r="AL1491">
        <v>0.75044790764596303</v>
      </c>
      <c r="AM1491">
        <v>8.4447861828201201E-2</v>
      </c>
      <c r="AN1491">
        <v>4.5922028146299896</v>
      </c>
      <c r="AO1491">
        <v>7.3600780936509805E-2</v>
      </c>
      <c r="AP1491">
        <v>7.3600780936509805E-2</v>
      </c>
      <c r="AQ1491">
        <v>0</v>
      </c>
      <c r="AR1491">
        <v>0</v>
      </c>
      <c r="AS1491">
        <v>0</v>
      </c>
      <c r="AT1491">
        <v>0</v>
      </c>
      <c r="AU1491">
        <v>4</v>
      </c>
      <c r="AV1491">
        <v>106</v>
      </c>
      <c r="AW1491">
        <v>0</v>
      </c>
      <c r="AX1491">
        <v>0</v>
      </c>
      <c r="AY1491">
        <v>15.5</v>
      </c>
      <c r="AZ1491">
        <v>2.4</v>
      </c>
      <c r="BA1491">
        <v>10.9</v>
      </c>
      <c r="BB1491">
        <v>564</v>
      </c>
      <c r="BC1491">
        <v>68</v>
      </c>
      <c r="BD1491">
        <v>1.5</v>
      </c>
      <c r="BE1491">
        <v>135</v>
      </c>
      <c r="BF1491">
        <v>0</v>
      </c>
      <c r="BG1491">
        <v>162</v>
      </c>
      <c r="BH1491">
        <v>9.1</v>
      </c>
      <c r="BI1491">
        <v>9.1999999999999993</v>
      </c>
      <c r="BJ1491">
        <v>18.3</v>
      </c>
      <c r="BK1491">
        <v>0.34</v>
      </c>
      <c r="BL1491">
        <v>7.3</v>
      </c>
      <c r="BM1491">
        <v>0.9</v>
      </c>
      <c r="BN1491">
        <v>7.5</v>
      </c>
      <c r="BO1491">
        <v>2.9</v>
      </c>
      <c r="BP1491">
        <f t="shared" si="46"/>
        <v>2.1009375079892409</v>
      </c>
      <c r="BQ1491">
        <f t="shared" si="47"/>
        <v>10.218877035217462</v>
      </c>
    </row>
    <row r="1492" spans="1:69" hidden="1" x14ac:dyDescent="0.2">
      <c r="A1492" t="s">
        <v>2908</v>
      </c>
      <c r="B1492" t="s">
        <v>68</v>
      </c>
      <c r="C1492" t="s">
        <v>1956</v>
      </c>
      <c r="D1492" t="s">
        <v>70</v>
      </c>
      <c r="E1492" t="s">
        <v>391</v>
      </c>
      <c r="F1492">
        <v>5</v>
      </c>
      <c r="G1492">
        <v>231</v>
      </c>
      <c r="H1492">
        <v>4</v>
      </c>
      <c r="I1492">
        <v>4</v>
      </c>
      <c r="J1492">
        <v>1</v>
      </c>
      <c r="K1492" t="s">
        <v>110</v>
      </c>
      <c r="L1492" t="s">
        <v>162</v>
      </c>
      <c r="M1492" s="4">
        <v>1350000000</v>
      </c>
      <c r="N1492">
        <v>0</v>
      </c>
      <c r="O1492">
        <v>4.7204699999999997</v>
      </c>
      <c r="P1492">
        <v>-74.047489999999996</v>
      </c>
      <c r="Q1492" t="s">
        <v>2909</v>
      </c>
      <c r="R1492">
        <v>5844155.8439999996</v>
      </c>
      <c r="S1492">
        <v>0</v>
      </c>
      <c r="T1492" t="s">
        <v>104</v>
      </c>
      <c r="U1492" t="s">
        <v>105</v>
      </c>
      <c r="V1492" t="s">
        <v>77</v>
      </c>
      <c r="W1492" t="s">
        <v>104</v>
      </c>
      <c r="X1492" t="s">
        <v>106</v>
      </c>
      <c r="Y1492">
        <v>2.2038537471272601</v>
      </c>
      <c r="Z1492">
        <v>2203.8537471272598</v>
      </c>
      <c r="AA1492">
        <v>4.71035</v>
      </c>
      <c r="AB1492">
        <v>-74.030416666666696</v>
      </c>
      <c r="AC1492">
        <v>2570</v>
      </c>
      <c r="AD1492">
        <v>10</v>
      </c>
      <c r="AE1492" t="s">
        <v>80</v>
      </c>
      <c r="AF1492" t="s">
        <v>107</v>
      </c>
      <c r="AG1492" t="s">
        <v>82</v>
      </c>
      <c r="AH1492" t="s">
        <v>83</v>
      </c>
      <c r="AI1492" t="s">
        <v>108</v>
      </c>
      <c r="AJ1492">
        <v>0.44660124070908502</v>
      </c>
      <c r="AK1492">
        <v>2.65511021334166</v>
      </c>
      <c r="AL1492">
        <v>1.60524883907657</v>
      </c>
      <c r="AM1492">
        <v>3.8504676207704903E-2</v>
      </c>
      <c r="AN1492">
        <v>3.2737225789259901</v>
      </c>
      <c r="AO1492">
        <v>0.42267416334288599</v>
      </c>
      <c r="AP1492">
        <v>0.42267416334288599</v>
      </c>
      <c r="AQ1492">
        <v>1</v>
      </c>
      <c r="AR1492">
        <v>3</v>
      </c>
      <c r="AS1492">
        <v>0</v>
      </c>
      <c r="AT1492">
        <v>0</v>
      </c>
      <c r="AU1492">
        <v>0</v>
      </c>
      <c r="AV1492">
        <v>36</v>
      </c>
      <c r="AW1492">
        <v>0</v>
      </c>
      <c r="AX1492">
        <v>0</v>
      </c>
      <c r="AY1492">
        <v>15.5</v>
      </c>
      <c r="AZ1492">
        <v>2.4</v>
      </c>
      <c r="BA1492">
        <v>10.9</v>
      </c>
      <c r="BB1492">
        <v>564</v>
      </c>
      <c r="BC1492">
        <v>68</v>
      </c>
      <c r="BD1492">
        <v>1.5</v>
      </c>
      <c r="BE1492">
        <v>135</v>
      </c>
      <c r="BF1492">
        <v>0</v>
      </c>
      <c r="BG1492">
        <v>162</v>
      </c>
      <c r="BH1492">
        <v>9.1</v>
      </c>
      <c r="BI1492">
        <v>9.1999999999999993</v>
      </c>
      <c r="BJ1492">
        <v>18.3</v>
      </c>
      <c r="BK1492">
        <v>0.34</v>
      </c>
      <c r="BL1492">
        <v>7.3</v>
      </c>
      <c r="BM1492">
        <v>0.9</v>
      </c>
      <c r="BN1492">
        <v>7.5</v>
      </c>
      <c r="BO1492">
        <v>2.9</v>
      </c>
      <c r="BP1492">
        <f t="shared" si="46"/>
        <v>2.1519576804141205</v>
      </c>
      <c r="BQ1492">
        <f t="shared" si="47"/>
        <v>10.338453564166601</v>
      </c>
    </row>
    <row r="1493" spans="1:69" hidden="1" x14ac:dyDescent="0.2">
      <c r="A1493" t="s">
        <v>2998</v>
      </c>
      <c r="B1493" t="s">
        <v>68</v>
      </c>
      <c r="C1493" t="s">
        <v>1956</v>
      </c>
      <c r="D1493" t="s">
        <v>70</v>
      </c>
      <c r="E1493" t="s">
        <v>391</v>
      </c>
      <c r="F1493">
        <v>5</v>
      </c>
      <c r="G1493">
        <v>231</v>
      </c>
      <c r="H1493">
        <v>4</v>
      </c>
      <c r="I1493">
        <v>3</v>
      </c>
      <c r="J1493">
        <v>3</v>
      </c>
      <c r="K1493" t="s">
        <v>110</v>
      </c>
      <c r="L1493" t="s">
        <v>162</v>
      </c>
      <c r="M1493" s="4">
        <v>1350000000</v>
      </c>
      <c r="N1493">
        <v>0</v>
      </c>
      <c r="O1493">
        <v>4.7204699999999997</v>
      </c>
      <c r="P1493">
        <v>-74.047489999999996</v>
      </c>
      <c r="Q1493" t="s">
        <v>2999</v>
      </c>
      <c r="R1493">
        <v>5844155.8439999996</v>
      </c>
      <c r="S1493">
        <v>0</v>
      </c>
      <c r="T1493" t="s">
        <v>104</v>
      </c>
      <c r="U1493" t="s">
        <v>105</v>
      </c>
      <c r="V1493" t="s">
        <v>77</v>
      </c>
      <c r="W1493" t="s">
        <v>104</v>
      </c>
      <c r="X1493" t="s">
        <v>106</v>
      </c>
      <c r="Y1493">
        <v>2.2038537471272601</v>
      </c>
      <c r="Z1493">
        <v>2203.8537471272598</v>
      </c>
      <c r="AA1493">
        <v>4.71035</v>
      </c>
      <c r="AB1493">
        <v>-74.030416666666696</v>
      </c>
      <c r="AC1493">
        <v>2570</v>
      </c>
      <c r="AD1493">
        <v>10</v>
      </c>
      <c r="AE1493" t="s">
        <v>80</v>
      </c>
      <c r="AF1493" t="s">
        <v>107</v>
      </c>
      <c r="AG1493" t="s">
        <v>82</v>
      </c>
      <c r="AH1493" t="s">
        <v>83</v>
      </c>
      <c r="AI1493" t="s">
        <v>108</v>
      </c>
      <c r="AJ1493">
        <v>0.44660124070908502</v>
      </c>
      <c r="AK1493">
        <v>2.65511021334166</v>
      </c>
      <c r="AL1493">
        <v>1.60524883907657</v>
      </c>
      <c r="AM1493">
        <v>3.8504676207704903E-2</v>
      </c>
      <c r="AN1493">
        <v>3.2737225789259901</v>
      </c>
      <c r="AO1493">
        <v>0.42267416334288599</v>
      </c>
      <c r="AP1493">
        <v>0.42267416334288599</v>
      </c>
      <c r="AQ1493">
        <v>1</v>
      </c>
      <c r="AR1493">
        <v>3</v>
      </c>
      <c r="AS1493">
        <v>0</v>
      </c>
      <c r="AT1493">
        <v>0</v>
      </c>
      <c r="AU1493">
        <v>0</v>
      </c>
      <c r="AV1493">
        <v>36</v>
      </c>
      <c r="AW1493">
        <v>0</v>
      </c>
      <c r="AX1493">
        <v>0</v>
      </c>
      <c r="AY1493">
        <v>15.5</v>
      </c>
      <c r="AZ1493">
        <v>2.4</v>
      </c>
      <c r="BA1493">
        <v>10.9</v>
      </c>
      <c r="BB1493">
        <v>564</v>
      </c>
      <c r="BC1493">
        <v>68</v>
      </c>
      <c r="BD1493">
        <v>1.5</v>
      </c>
      <c r="BE1493">
        <v>135</v>
      </c>
      <c r="BF1493">
        <v>0</v>
      </c>
      <c r="BG1493">
        <v>162</v>
      </c>
      <c r="BH1493">
        <v>9.1</v>
      </c>
      <c r="BI1493">
        <v>9.1999999999999993</v>
      </c>
      <c r="BJ1493">
        <v>18.3</v>
      </c>
      <c r="BK1493">
        <v>0.34</v>
      </c>
      <c r="BL1493">
        <v>7.3</v>
      </c>
      <c r="BM1493">
        <v>0.9</v>
      </c>
      <c r="BN1493">
        <v>7.5</v>
      </c>
      <c r="BO1493">
        <v>2.9</v>
      </c>
      <c r="BP1493">
        <f t="shared" si="46"/>
        <v>2.1519576804141205</v>
      </c>
      <c r="BQ1493">
        <f t="shared" si="47"/>
        <v>10.338453564166601</v>
      </c>
    </row>
    <row r="1494" spans="1:69" hidden="1" x14ac:dyDescent="0.2">
      <c r="A1494" t="s">
        <v>1497</v>
      </c>
      <c r="B1494" t="s">
        <v>68</v>
      </c>
      <c r="C1494" t="s">
        <v>69</v>
      </c>
      <c r="D1494" t="s">
        <v>70</v>
      </c>
      <c r="E1494" t="s">
        <v>1498</v>
      </c>
      <c r="F1494">
        <v>6</v>
      </c>
      <c r="G1494">
        <v>230</v>
      </c>
      <c r="H1494">
        <v>4</v>
      </c>
      <c r="I1494">
        <v>4</v>
      </c>
      <c r="J1494">
        <v>3</v>
      </c>
      <c r="K1494" t="s">
        <v>110</v>
      </c>
      <c r="L1494" t="s">
        <v>162</v>
      </c>
      <c r="M1494" s="4">
        <v>1195000000</v>
      </c>
      <c r="N1494">
        <v>0</v>
      </c>
      <c r="O1494">
        <v>4.6866523310000003</v>
      </c>
      <c r="P1494">
        <v>-74.054842930000007</v>
      </c>
      <c r="Q1494" t="s">
        <v>1499</v>
      </c>
      <c r="R1494">
        <v>5195652.1739999996</v>
      </c>
      <c r="S1494">
        <v>0</v>
      </c>
      <c r="T1494" t="s">
        <v>104</v>
      </c>
      <c r="U1494" t="s">
        <v>105</v>
      </c>
      <c r="V1494" t="s">
        <v>77</v>
      </c>
      <c r="W1494" t="s">
        <v>104</v>
      </c>
      <c r="X1494" t="s">
        <v>106</v>
      </c>
      <c r="Y1494">
        <v>3.7819452998701601</v>
      </c>
      <c r="Z1494">
        <v>3781.9452998701599</v>
      </c>
      <c r="AA1494">
        <v>4.71035</v>
      </c>
      <c r="AB1494">
        <v>-74.030416666666696</v>
      </c>
      <c r="AC1494">
        <v>2570</v>
      </c>
      <c r="AD1494">
        <v>10</v>
      </c>
      <c r="AE1494" t="s">
        <v>80</v>
      </c>
      <c r="AF1494" t="s">
        <v>107</v>
      </c>
      <c r="AG1494" t="s">
        <v>82</v>
      </c>
      <c r="AH1494" t="s">
        <v>83</v>
      </c>
      <c r="AI1494" t="s">
        <v>108</v>
      </c>
      <c r="AJ1494">
        <v>0.43640120005136901</v>
      </c>
      <c r="AK1494">
        <v>2.19962752285545</v>
      </c>
      <c r="AL1494">
        <v>0.24625434502110299</v>
      </c>
      <c r="AM1494">
        <v>3.3872409018295198E-2</v>
      </c>
      <c r="AN1494">
        <v>3.3149564063742099</v>
      </c>
      <c r="AO1494">
        <v>0.50137587067360201</v>
      </c>
      <c r="AP1494">
        <v>0.50137587067360201</v>
      </c>
      <c r="AQ1494">
        <v>1</v>
      </c>
      <c r="AR1494">
        <v>3</v>
      </c>
      <c r="AS1494">
        <v>0</v>
      </c>
      <c r="AT1494">
        <v>0</v>
      </c>
      <c r="AU1494">
        <v>5</v>
      </c>
      <c r="AV1494">
        <v>233</v>
      </c>
      <c r="AW1494">
        <v>0</v>
      </c>
      <c r="AX1494">
        <v>0</v>
      </c>
      <c r="AY1494">
        <v>15.5</v>
      </c>
      <c r="AZ1494">
        <v>2.4</v>
      </c>
      <c r="BA1494">
        <v>10.9</v>
      </c>
      <c r="BB1494">
        <v>564</v>
      </c>
      <c r="BC1494">
        <v>68</v>
      </c>
      <c r="BD1494">
        <v>1.5</v>
      </c>
      <c r="BE1494">
        <v>135</v>
      </c>
      <c r="BF1494">
        <v>0</v>
      </c>
      <c r="BG1494">
        <v>162</v>
      </c>
      <c r="BH1494">
        <v>9.1</v>
      </c>
      <c r="BI1494">
        <v>9.1999999999999993</v>
      </c>
      <c r="BJ1494">
        <v>18.3</v>
      </c>
      <c r="BK1494">
        <v>0.34</v>
      </c>
      <c r="BL1494">
        <v>7.3</v>
      </c>
      <c r="BM1494">
        <v>0.9</v>
      </c>
      <c r="BN1494">
        <v>7.5</v>
      </c>
      <c r="BO1494">
        <v>2.9</v>
      </c>
      <c r="BP1494">
        <f t="shared" si="46"/>
        <v>1.9902543507385764</v>
      </c>
      <c r="BQ1494">
        <f t="shared" si="47"/>
        <v>9.9542152237515644</v>
      </c>
    </row>
    <row r="1495" spans="1:69" hidden="1" x14ac:dyDescent="0.2">
      <c r="A1495" t="s">
        <v>2846</v>
      </c>
      <c r="B1495" t="s">
        <v>68</v>
      </c>
      <c r="C1495" t="s">
        <v>1956</v>
      </c>
      <c r="D1495" t="s">
        <v>70</v>
      </c>
      <c r="E1495" t="s">
        <v>270</v>
      </c>
      <c r="F1495">
        <v>6</v>
      </c>
      <c r="G1495">
        <v>230</v>
      </c>
      <c r="H1495">
        <v>2</v>
      </c>
      <c r="I1495">
        <v>3</v>
      </c>
      <c r="J1495">
        <v>3</v>
      </c>
      <c r="K1495" t="s">
        <v>110</v>
      </c>
      <c r="L1495" t="s">
        <v>124</v>
      </c>
      <c r="M1495" s="4">
        <v>2900000000</v>
      </c>
      <c r="N1495">
        <v>0</v>
      </c>
      <c r="O1495">
        <v>4.6927202899999996</v>
      </c>
      <c r="P1495">
        <v>-74.027908749999995</v>
      </c>
      <c r="Q1495" t="s">
        <v>2847</v>
      </c>
      <c r="R1495">
        <v>12608695.65</v>
      </c>
      <c r="S1495">
        <v>0</v>
      </c>
      <c r="T1495" t="s">
        <v>104</v>
      </c>
      <c r="U1495" t="s">
        <v>105</v>
      </c>
      <c r="V1495" t="s">
        <v>77</v>
      </c>
      <c r="W1495" t="s">
        <v>104</v>
      </c>
      <c r="X1495" t="s">
        <v>106</v>
      </c>
      <c r="Y1495">
        <v>1.98215619387956</v>
      </c>
      <c r="Z1495">
        <v>1982.1561938795601</v>
      </c>
      <c r="AA1495">
        <v>4.71035</v>
      </c>
      <c r="AB1495">
        <v>-74.030416666666696</v>
      </c>
      <c r="AC1495">
        <v>2570</v>
      </c>
      <c r="AD1495">
        <v>10</v>
      </c>
      <c r="AE1495" t="s">
        <v>80</v>
      </c>
      <c r="AF1495" t="s">
        <v>107</v>
      </c>
      <c r="AG1495" t="s">
        <v>82</v>
      </c>
      <c r="AH1495" t="s">
        <v>83</v>
      </c>
      <c r="AI1495" t="s">
        <v>108</v>
      </c>
      <c r="AJ1495">
        <v>3.0962577835784502</v>
      </c>
      <c r="AK1495">
        <v>0.19248162268840199</v>
      </c>
      <c r="AL1495">
        <v>0.27688106453474298</v>
      </c>
      <c r="AM1495">
        <v>0.40908635427203999</v>
      </c>
      <c r="AN1495">
        <v>5.39640501402027</v>
      </c>
      <c r="AO1495">
        <v>0.77003531564317096</v>
      </c>
      <c r="AP1495">
        <v>0.77003531564317096</v>
      </c>
      <c r="AQ1495">
        <v>0</v>
      </c>
      <c r="AR1495">
        <v>0</v>
      </c>
      <c r="AS1495">
        <v>7</v>
      </c>
      <c r="AT1495">
        <v>28</v>
      </c>
      <c r="AU1495">
        <v>1</v>
      </c>
      <c r="AV1495">
        <v>99</v>
      </c>
      <c r="AW1495">
        <v>0</v>
      </c>
      <c r="AX1495">
        <v>0</v>
      </c>
      <c r="AY1495">
        <v>15.5</v>
      </c>
      <c r="AZ1495">
        <v>2.4</v>
      </c>
      <c r="BA1495">
        <v>10.9</v>
      </c>
      <c r="BB1495">
        <v>564</v>
      </c>
      <c r="BC1495">
        <v>68</v>
      </c>
      <c r="BD1495">
        <v>1.5</v>
      </c>
      <c r="BE1495">
        <v>135</v>
      </c>
      <c r="BF1495">
        <v>0</v>
      </c>
      <c r="BG1495">
        <v>162</v>
      </c>
      <c r="BH1495">
        <v>9.1</v>
      </c>
      <c r="BI1495">
        <v>9.1999999999999993</v>
      </c>
      <c r="BJ1495">
        <v>18.3</v>
      </c>
      <c r="BK1495">
        <v>0.34</v>
      </c>
      <c r="BL1495">
        <v>7.3</v>
      </c>
      <c r="BM1495">
        <v>0.9</v>
      </c>
      <c r="BN1495">
        <v>7.5</v>
      </c>
      <c r="BO1495">
        <v>2.9</v>
      </c>
      <c r="BP1495">
        <f t="shared" si="46"/>
        <v>2.1757033808551483</v>
      </c>
      <c r="BQ1495">
        <f t="shared" si="47"/>
        <v>10.393608402988658</v>
      </c>
    </row>
    <row r="1496" spans="1:69" hidden="1" x14ac:dyDescent="0.2">
      <c r="A1496" t="s">
        <v>2844</v>
      </c>
      <c r="B1496" t="s">
        <v>68</v>
      </c>
      <c r="C1496" t="s">
        <v>1956</v>
      </c>
      <c r="D1496" t="s">
        <v>70</v>
      </c>
      <c r="E1496" t="s">
        <v>874</v>
      </c>
      <c r="F1496">
        <v>6</v>
      </c>
      <c r="G1496">
        <v>230</v>
      </c>
      <c r="H1496">
        <v>3</v>
      </c>
      <c r="I1496">
        <v>4</v>
      </c>
      <c r="J1496">
        <v>3</v>
      </c>
      <c r="K1496" t="s">
        <v>110</v>
      </c>
      <c r="L1496" t="s">
        <v>124</v>
      </c>
      <c r="M1496" s="4">
        <v>1500000000</v>
      </c>
      <c r="N1496">
        <v>0</v>
      </c>
      <c r="O1496">
        <v>4.7248099999999997</v>
      </c>
      <c r="P1496">
        <v>-74.024469999999994</v>
      </c>
      <c r="Q1496" t="s">
        <v>2845</v>
      </c>
      <c r="R1496">
        <v>6521739.1299999999</v>
      </c>
      <c r="S1496">
        <v>0</v>
      </c>
      <c r="T1496" t="s">
        <v>104</v>
      </c>
      <c r="U1496" t="s">
        <v>105</v>
      </c>
      <c r="V1496" t="s">
        <v>77</v>
      </c>
      <c r="W1496" t="s">
        <v>104</v>
      </c>
      <c r="X1496" t="s">
        <v>106</v>
      </c>
      <c r="Y1496">
        <v>1.7396328384181801</v>
      </c>
      <c r="Z1496">
        <v>1739.63283841818</v>
      </c>
      <c r="AA1496">
        <v>4.71035</v>
      </c>
      <c r="AB1496">
        <v>-74.030416666666696</v>
      </c>
      <c r="AC1496">
        <v>2570</v>
      </c>
      <c r="AD1496">
        <v>10</v>
      </c>
      <c r="AE1496" t="s">
        <v>80</v>
      </c>
      <c r="AF1496" t="s">
        <v>107</v>
      </c>
      <c r="AG1496" t="s">
        <v>82</v>
      </c>
      <c r="AH1496" t="s">
        <v>83</v>
      </c>
      <c r="AI1496" t="s">
        <v>108</v>
      </c>
      <c r="AJ1496">
        <v>2.8889010134922199</v>
      </c>
      <c r="AK1496">
        <v>0.37012078514069602</v>
      </c>
      <c r="AL1496">
        <v>1.8071273080010699</v>
      </c>
      <c r="AM1496">
        <v>0.269442245901583</v>
      </c>
      <c r="AN1496">
        <v>1.86549404304636</v>
      </c>
      <c r="AO1496">
        <v>0.59362744416191504</v>
      </c>
      <c r="AP1496">
        <v>0.59362744416191504</v>
      </c>
      <c r="AQ1496">
        <v>0</v>
      </c>
      <c r="AR1496">
        <v>0</v>
      </c>
      <c r="AS1496">
        <v>11</v>
      </c>
      <c r="AT1496">
        <v>37</v>
      </c>
      <c r="AU1496">
        <v>0</v>
      </c>
      <c r="AV1496">
        <v>7</v>
      </c>
      <c r="AW1496">
        <v>0</v>
      </c>
      <c r="AX1496">
        <v>0</v>
      </c>
      <c r="AY1496">
        <v>15.5</v>
      </c>
      <c r="AZ1496">
        <v>2.4</v>
      </c>
      <c r="BA1496">
        <v>10.9</v>
      </c>
      <c r="BB1496">
        <v>564</v>
      </c>
      <c r="BC1496">
        <v>68</v>
      </c>
      <c r="BD1496">
        <v>1.5</v>
      </c>
      <c r="BE1496">
        <v>135</v>
      </c>
      <c r="BF1496">
        <v>0</v>
      </c>
      <c r="BG1496">
        <v>162</v>
      </c>
      <c r="BH1496">
        <v>9.1</v>
      </c>
      <c r="BI1496">
        <v>9.1999999999999993</v>
      </c>
      <c r="BJ1496">
        <v>18.3</v>
      </c>
      <c r="BK1496">
        <v>0.34</v>
      </c>
      <c r="BL1496">
        <v>7.3</v>
      </c>
      <c r="BM1496">
        <v>0.9</v>
      </c>
      <c r="BN1496">
        <v>7.5</v>
      </c>
      <c r="BO1496">
        <v>2.9</v>
      </c>
      <c r="BP1496">
        <f t="shared" si="46"/>
        <v>2.2019799036525733</v>
      </c>
      <c r="BQ1496">
        <f t="shared" si="47"/>
        <v>10.454281434064857</v>
      </c>
    </row>
    <row r="1497" spans="1:69" hidden="1" x14ac:dyDescent="0.2">
      <c r="A1497" t="s">
        <v>582</v>
      </c>
      <c r="B1497" t="s">
        <v>68</v>
      </c>
      <c r="C1497" t="s">
        <v>69</v>
      </c>
      <c r="D1497" t="s">
        <v>70</v>
      </c>
      <c r="E1497" t="s">
        <v>583</v>
      </c>
      <c r="F1497">
        <v>6</v>
      </c>
      <c r="G1497">
        <v>230</v>
      </c>
      <c r="H1497">
        <v>3</v>
      </c>
      <c r="I1497">
        <v>5</v>
      </c>
      <c r="J1497">
        <v>4</v>
      </c>
      <c r="K1497" t="s">
        <v>110</v>
      </c>
      <c r="L1497" t="s">
        <v>162</v>
      </c>
      <c r="M1497" s="4">
        <v>1450000000</v>
      </c>
      <c r="N1497">
        <v>0</v>
      </c>
      <c r="O1497">
        <v>4.7088546750000004</v>
      </c>
      <c r="P1497">
        <v>-74.043777469999995</v>
      </c>
      <c r="Q1497" t="s">
        <v>584</v>
      </c>
      <c r="R1497">
        <v>6304347.8260000004</v>
      </c>
      <c r="S1497">
        <v>0</v>
      </c>
      <c r="T1497" t="s">
        <v>104</v>
      </c>
      <c r="U1497" t="s">
        <v>105</v>
      </c>
      <c r="V1497" t="s">
        <v>77</v>
      </c>
      <c r="W1497" t="s">
        <v>104</v>
      </c>
      <c r="X1497" t="s">
        <v>106</v>
      </c>
      <c r="Y1497">
        <v>1.49161331379141</v>
      </c>
      <c r="Z1497">
        <v>1491.6133137914101</v>
      </c>
      <c r="AA1497">
        <v>4.71035</v>
      </c>
      <c r="AB1497">
        <v>-74.030416666666696</v>
      </c>
      <c r="AC1497">
        <v>2570</v>
      </c>
      <c r="AD1497">
        <v>10</v>
      </c>
      <c r="AE1497" t="s">
        <v>80</v>
      </c>
      <c r="AF1497" t="s">
        <v>107</v>
      </c>
      <c r="AG1497" t="s">
        <v>82</v>
      </c>
      <c r="AH1497" t="s">
        <v>83</v>
      </c>
      <c r="AI1497" t="s">
        <v>108</v>
      </c>
      <c r="AJ1497">
        <v>1.1598163881235699</v>
      </c>
      <c r="AK1497">
        <v>2.0742200037002898</v>
      </c>
      <c r="AL1497">
        <v>1.2372228188932299</v>
      </c>
      <c r="AM1497">
        <v>3.0427712475189401E-2</v>
      </c>
      <c r="AN1497">
        <v>4.07637192227397</v>
      </c>
      <c r="AO1497">
        <v>1.8516142023503601E-2</v>
      </c>
      <c r="AP1497">
        <v>1.8516142023503601E-2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107</v>
      </c>
      <c r="AW1497">
        <v>0</v>
      </c>
      <c r="AX1497">
        <v>0</v>
      </c>
      <c r="AY1497">
        <v>15.5</v>
      </c>
      <c r="AZ1497">
        <v>2.4</v>
      </c>
      <c r="BA1497">
        <v>10.9</v>
      </c>
      <c r="BB1497">
        <v>564</v>
      </c>
      <c r="BC1497">
        <v>68</v>
      </c>
      <c r="BD1497">
        <v>1.5</v>
      </c>
      <c r="BE1497">
        <v>135</v>
      </c>
      <c r="BF1497">
        <v>0</v>
      </c>
      <c r="BG1497">
        <v>162</v>
      </c>
      <c r="BH1497">
        <v>9.1</v>
      </c>
      <c r="BI1497">
        <v>9.1999999999999993</v>
      </c>
      <c r="BJ1497">
        <v>18.3</v>
      </c>
      <c r="BK1497">
        <v>0.34</v>
      </c>
      <c r="BL1497">
        <v>7.3</v>
      </c>
      <c r="BM1497">
        <v>0.9</v>
      </c>
      <c r="BN1497">
        <v>7.5</v>
      </c>
      <c r="BO1497">
        <v>2.9</v>
      </c>
      <c r="BP1497">
        <f t="shared" si="46"/>
        <v>2.2291801637927664</v>
      </c>
      <c r="BQ1497">
        <f t="shared" si="47"/>
        <v>10.516695791405827</v>
      </c>
    </row>
    <row r="1498" spans="1:69" hidden="1" x14ac:dyDescent="0.2">
      <c r="A1498" t="s">
        <v>1220</v>
      </c>
      <c r="B1498" t="s">
        <v>68</v>
      </c>
      <c r="C1498" t="s">
        <v>69</v>
      </c>
      <c r="D1498" t="s">
        <v>70</v>
      </c>
      <c r="E1498" t="s">
        <v>202</v>
      </c>
      <c r="F1498">
        <v>6</v>
      </c>
      <c r="G1498">
        <v>230</v>
      </c>
      <c r="H1498">
        <v>3</v>
      </c>
      <c r="I1498">
        <v>3</v>
      </c>
      <c r="J1498">
        <v>2</v>
      </c>
      <c r="K1498" t="s">
        <v>110</v>
      </c>
      <c r="L1498" t="s">
        <v>124</v>
      </c>
      <c r="M1498" s="4">
        <v>2800000000</v>
      </c>
      <c r="N1498">
        <v>0</v>
      </c>
      <c r="O1498">
        <v>4.7009953050000002</v>
      </c>
      <c r="P1498">
        <v>-74.028470499999997</v>
      </c>
      <c r="Q1498" t="s">
        <v>1221</v>
      </c>
      <c r="R1498">
        <v>12173913.039999999</v>
      </c>
      <c r="S1498">
        <v>0</v>
      </c>
      <c r="T1498" t="s">
        <v>104</v>
      </c>
      <c r="U1498" t="s">
        <v>105</v>
      </c>
      <c r="V1498" t="s">
        <v>77</v>
      </c>
      <c r="W1498" t="s">
        <v>104</v>
      </c>
      <c r="X1498" t="s">
        <v>106</v>
      </c>
      <c r="Y1498">
        <v>1.0635084099676599</v>
      </c>
      <c r="Z1498">
        <v>1063.5084099676601</v>
      </c>
      <c r="AA1498">
        <v>4.71035</v>
      </c>
      <c r="AB1498">
        <v>-74.030416666666696</v>
      </c>
      <c r="AC1498">
        <v>2570</v>
      </c>
      <c r="AD1498">
        <v>10</v>
      </c>
      <c r="AE1498" t="s">
        <v>80</v>
      </c>
      <c r="AF1498" t="s">
        <v>107</v>
      </c>
      <c r="AG1498" t="s">
        <v>82</v>
      </c>
      <c r="AH1498" t="s">
        <v>83</v>
      </c>
      <c r="AI1498" t="s">
        <v>108</v>
      </c>
      <c r="AJ1498">
        <v>2.8838544692985399</v>
      </c>
      <c r="AK1498">
        <v>0.33411255142011298</v>
      </c>
      <c r="AL1498">
        <v>0.444386755925675</v>
      </c>
      <c r="AM1498">
        <v>9.8689537749663894E-2</v>
      </c>
      <c r="AN1498">
        <v>4.4844919515698898</v>
      </c>
      <c r="AO1498">
        <v>0.27622586608413502</v>
      </c>
      <c r="AP1498">
        <v>0.27622586608413502</v>
      </c>
      <c r="AQ1498">
        <v>0</v>
      </c>
      <c r="AR1498">
        <v>0</v>
      </c>
      <c r="AS1498">
        <v>7</v>
      </c>
      <c r="AT1498">
        <v>30</v>
      </c>
      <c r="AU1498">
        <v>2</v>
      </c>
      <c r="AV1498">
        <v>97</v>
      </c>
      <c r="AW1498">
        <v>0</v>
      </c>
      <c r="AX1498">
        <v>0</v>
      </c>
      <c r="AY1498">
        <v>15.5</v>
      </c>
      <c r="AZ1498">
        <v>2.4</v>
      </c>
      <c r="BA1498">
        <v>10.9</v>
      </c>
      <c r="BB1498">
        <v>564</v>
      </c>
      <c r="BC1498">
        <v>68</v>
      </c>
      <c r="BD1498">
        <v>1.5</v>
      </c>
      <c r="BE1498">
        <v>135</v>
      </c>
      <c r="BF1498">
        <v>0</v>
      </c>
      <c r="BG1498">
        <v>162</v>
      </c>
      <c r="BH1498">
        <v>9.1</v>
      </c>
      <c r="BI1498">
        <v>9.1999999999999993</v>
      </c>
      <c r="BJ1498">
        <v>18.3</v>
      </c>
      <c r="BK1498">
        <v>0.34</v>
      </c>
      <c r="BL1498">
        <v>7.3</v>
      </c>
      <c r="BM1498">
        <v>0.9</v>
      </c>
      <c r="BN1498">
        <v>7.5</v>
      </c>
      <c r="BO1498">
        <v>2.9</v>
      </c>
      <c r="BP1498">
        <f t="shared" si="46"/>
        <v>2.2769232299141495</v>
      </c>
      <c r="BQ1498">
        <f t="shared" si="47"/>
        <v>10.62530677564849</v>
      </c>
    </row>
    <row r="1499" spans="1:69" hidden="1" x14ac:dyDescent="0.2">
      <c r="A1499" t="s">
        <v>754</v>
      </c>
      <c r="B1499" t="s">
        <v>68</v>
      </c>
      <c r="C1499" t="s">
        <v>69</v>
      </c>
      <c r="D1499" t="s">
        <v>70</v>
      </c>
      <c r="E1499" t="s">
        <v>193</v>
      </c>
      <c r="F1499">
        <v>6</v>
      </c>
      <c r="G1499">
        <v>230</v>
      </c>
      <c r="H1499">
        <v>3</v>
      </c>
      <c r="I1499">
        <v>4</v>
      </c>
      <c r="J1499">
        <v>2</v>
      </c>
      <c r="K1499" t="s">
        <v>110</v>
      </c>
      <c r="L1499" t="s">
        <v>124</v>
      </c>
      <c r="M1499" s="4">
        <v>1540000000</v>
      </c>
      <c r="N1499">
        <v>0</v>
      </c>
      <c r="O1499">
        <v>4.702277949</v>
      </c>
      <c r="P1499">
        <v>-74.03271101</v>
      </c>
      <c r="Q1499" t="s">
        <v>755</v>
      </c>
      <c r="R1499">
        <v>6695652.1739999996</v>
      </c>
      <c r="S1499">
        <v>0</v>
      </c>
      <c r="T1499" t="s">
        <v>104</v>
      </c>
      <c r="U1499" t="s">
        <v>105</v>
      </c>
      <c r="V1499" t="s">
        <v>77</v>
      </c>
      <c r="W1499" t="s">
        <v>104</v>
      </c>
      <c r="X1499" t="s">
        <v>106</v>
      </c>
      <c r="Y1499">
        <v>0.93393391841664097</v>
      </c>
      <c r="Z1499">
        <v>933.93391841664095</v>
      </c>
      <c r="AA1499">
        <v>4.71035</v>
      </c>
      <c r="AB1499">
        <v>-74.030416666666696</v>
      </c>
      <c r="AC1499">
        <v>2570</v>
      </c>
      <c r="AD1499">
        <v>10</v>
      </c>
      <c r="AE1499" t="s">
        <v>80</v>
      </c>
      <c r="AF1499" t="s">
        <v>107</v>
      </c>
      <c r="AG1499" t="s">
        <v>82</v>
      </c>
      <c r="AH1499" t="s">
        <v>83</v>
      </c>
      <c r="AI1499" t="s">
        <v>108</v>
      </c>
      <c r="AJ1499">
        <v>2.3996547580454299</v>
      </c>
      <c r="AK1499">
        <v>0.79189781811531601</v>
      </c>
      <c r="AL1499">
        <v>0.107890277501083</v>
      </c>
      <c r="AM1499">
        <v>0.13014800336184101</v>
      </c>
      <c r="AN1499">
        <v>4.3889561073343897</v>
      </c>
      <c r="AO1499">
        <v>0.50608077900143</v>
      </c>
      <c r="AP1499">
        <v>0.50608077900143</v>
      </c>
      <c r="AQ1499">
        <v>0</v>
      </c>
      <c r="AR1499">
        <v>0</v>
      </c>
      <c r="AS1499">
        <v>0</v>
      </c>
      <c r="AT1499">
        <v>13</v>
      </c>
      <c r="AU1499">
        <v>3</v>
      </c>
      <c r="AV1499">
        <v>142</v>
      </c>
      <c r="AW1499">
        <v>0</v>
      </c>
      <c r="AX1499">
        <v>0</v>
      </c>
      <c r="AY1499">
        <v>15.5</v>
      </c>
      <c r="AZ1499">
        <v>2.4</v>
      </c>
      <c r="BA1499">
        <v>10.9</v>
      </c>
      <c r="BB1499">
        <v>564</v>
      </c>
      <c r="BC1499">
        <v>68</v>
      </c>
      <c r="BD1499">
        <v>1.5</v>
      </c>
      <c r="BE1499">
        <v>135</v>
      </c>
      <c r="BF1499">
        <v>0</v>
      </c>
      <c r="BG1499">
        <v>162</v>
      </c>
      <c r="BH1499">
        <v>9.1</v>
      </c>
      <c r="BI1499">
        <v>9.1999999999999993</v>
      </c>
      <c r="BJ1499">
        <v>18.3</v>
      </c>
      <c r="BK1499">
        <v>0.34</v>
      </c>
      <c r="BL1499">
        <v>7.3</v>
      </c>
      <c r="BM1499">
        <v>0.9</v>
      </c>
      <c r="BN1499">
        <v>7.5</v>
      </c>
      <c r="BO1499">
        <v>2.9</v>
      </c>
      <c r="BP1499">
        <f t="shared" si="46"/>
        <v>2.2915742078204699</v>
      </c>
      <c r="BQ1499">
        <f t="shared" si="47"/>
        <v>10.658400655803202</v>
      </c>
    </row>
    <row r="1500" spans="1:69" hidden="1" x14ac:dyDescent="0.2">
      <c r="A1500" t="s">
        <v>700</v>
      </c>
      <c r="B1500" t="s">
        <v>68</v>
      </c>
      <c r="C1500" t="s">
        <v>69</v>
      </c>
      <c r="D1500" t="s">
        <v>70</v>
      </c>
      <c r="E1500" t="s">
        <v>226</v>
      </c>
      <c r="F1500">
        <v>6</v>
      </c>
      <c r="G1500">
        <v>228</v>
      </c>
      <c r="H1500">
        <v>3</v>
      </c>
      <c r="I1500">
        <v>3</v>
      </c>
      <c r="J1500">
        <v>4</v>
      </c>
      <c r="K1500" t="s">
        <v>110</v>
      </c>
      <c r="L1500" t="s">
        <v>133</v>
      </c>
      <c r="M1500" s="4">
        <v>1600000000</v>
      </c>
      <c r="N1500">
        <v>0</v>
      </c>
      <c r="O1500">
        <v>4.6939225200000001</v>
      </c>
      <c r="P1500">
        <v>-74.040542599999995</v>
      </c>
      <c r="Q1500" t="s">
        <v>701</v>
      </c>
      <c r="R1500">
        <v>7017543.8600000003</v>
      </c>
      <c r="S1500">
        <v>0</v>
      </c>
      <c r="T1500" t="s">
        <v>104</v>
      </c>
      <c r="U1500" t="s">
        <v>105</v>
      </c>
      <c r="V1500" t="s">
        <v>77</v>
      </c>
      <c r="W1500" t="s">
        <v>104</v>
      </c>
      <c r="X1500" t="s">
        <v>106</v>
      </c>
      <c r="Y1500">
        <v>2.1462085783235998</v>
      </c>
      <c r="Z1500">
        <v>2146.2085783235998</v>
      </c>
      <c r="AA1500">
        <v>4.71035</v>
      </c>
      <c r="AB1500">
        <v>-74.030416666666696</v>
      </c>
      <c r="AC1500">
        <v>2570</v>
      </c>
      <c r="AD1500">
        <v>10</v>
      </c>
      <c r="AE1500" t="s">
        <v>80</v>
      </c>
      <c r="AF1500" t="s">
        <v>107</v>
      </c>
      <c r="AG1500" t="s">
        <v>82</v>
      </c>
      <c r="AH1500" t="s">
        <v>83</v>
      </c>
      <c r="AI1500" t="s">
        <v>108</v>
      </c>
      <c r="AJ1500">
        <v>1.7018999370719901</v>
      </c>
      <c r="AK1500">
        <v>1.55794654329767</v>
      </c>
      <c r="AL1500">
        <v>1.03439589112021</v>
      </c>
      <c r="AM1500">
        <v>0.24262463191690101</v>
      </c>
      <c r="AN1500">
        <v>5.0920889267100602</v>
      </c>
      <c r="AO1500">
        <v>0.20981103812660701</v>
      </c>
      <c r="AP1500">
        <v>0.20981103812660701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133</v>
      </c>
      <c r="AW1500">
        <v>0</v>
      </c>
      <c r="AX1500">
        <v>0</v>
      </c>
      <c r="AY1500">
        <v>15.5</v>
      </c>
      <c r="AZ1500">
        <v>2.4</v>
      </c>
      <c r="BA1500">
        <v>10.9</v>
      </c>
      <c r="BB1500">
        <v>564</v>
      </c>
      <c r="BC1500">
        <v>68</v>
      </c>
      <c r="BD1500">
        <v>1.5</v>
      </c>
      <c r="BE1500">
        <v>135</v>
      </c>
      <c r="BF1500">
        <v>0</v>
      </c>
      <c r="BG1500">
        <v>162</v>
      </c>
      <c r="BH1500">
        <v>9.1</v>
      </c>
      <c r="BI1500">
        <v>9.1999999999999993</v>
      </c>
      <c r="BJ1500">
        <v>18.3</v>
      </c>
      <c r="BK1500">
        <v>0.34</v>
      </c>
      <c r="BL1500">
        <v>7.3</v>
      </c>
      <c r="BM1500">
        <v>0.9</v>
      </c>
      <c r="BN1500">
        <v>7.5</v>
      </c>
      <c r="BO1500">
        <v>2.9</v>
      </c>
      <c r="BP1500">
        <f t="shared" si="46"/>
        <v>2.1581069226814136</v>
      </c>
      <c r="BQ1500">
        <f t="shared" si="47"/>
        <v>10.352766548397355</v>
      </c>
    </row>
    <row r="1501" spans="1:69" hidden="1" x14ac:dyDescent="0.2">
      <c r="A1501" t="s">
        <v>568</v>
      </c>
      <c r="B1501" t="s">
        <v>68</v>
      </c>
      <c r="C1501" t="s">
        <v>69</v>
      </c>
      <c r="D1501" t="s">
        <v>70</v>
      </c>
      <c r="E1501" t="s">
        <v>569</v>
      </c>
      <c r="F1501">
        <v>6</v>
      </c>
      <c r="G1501">
        <v>228</v>
      </c>
      <c r="H1501">
        <v>3</v>
      </c>
      <c r="I1501">
        <v>4</v>
      </c>
      <c r="J1501">
        <v>3</v>
      </c>
      <c r="K1501" t="s">
        <v>110</v>
      </c>
      <c r="L1501" t="s">
        <v>133</v>
      </c>
      <c r="M1501" s="4">
        <v>2650000000</v>
      </c>
      <c r="N1501">
        <v>0</v>
      </c>
      <c r="O1501">
        <v>4.7011909999999997</v>
      </c>
      <c r="P1501">
        <v>-74.028475</v>
      </c>
      <c r="Q1501" t="s">
        <v>570</v>
      </c>
      <c r="R1501">
        <v>11622807.02</v>
      </c>
      <c r="S1501">
        <v>0</v>
      </c>
      <c r="T1501" t="s">
        <v>104</v>
      </c>
      <c r="U1501" t="s">
        <v>105</v>
      </c>
      <c r="V1501" t="s">
        <v>77</v>
      </c>
      <c r="W1501" t="s">
        <v>104</v>
      </c>
      <c r="X1501" t="s">
        <v>106</v>
      </c>
      <c r="Y1501">
        <v>1.0420834880512699</v>
      </c>
      <c r="Z1501">
        <v>1042.08348805127</v>
      </c>
      <c r="AA1501">
        <v>4.71035</v>
      </c>
      <c r="AB1501">
        <v>-74.030416666666696</v>
      </c>
      <c r="AC1501">
        <v>2570</v>
      </c>
      <c r="AD1501">
        <v>10</v>
      </c>
      <c r="AE1501" t="s">
        <v>80</v>
      </c>
      <c r="AF1501" t="s">
        <v>107</v>
      </c>
      <c r="AG1501" t="s">
        <v>82</v>
      </c>
      <c r="AH1501" t="s">
        <v>83</v>
      </c>
      <c r="AI1501" t="s">
        <v>108</v>
      </c>
      <c r="AJ1501">
        <v>2.88041888259816</v>
      </c>
      <c r="AK1501">
        <v>0.34173767196218602</v>
      </c>
      <c r="AL1501">
        <v>0.44259311175034499</v>
      </c>
      <c r="AM1501">
        <v>9.2716555068276293E-2</v>
      </c>
      <c r="AN1501">
        <v>4.4629071541765803</v>
      </c>
      <c r="AO1501">
        <v>0.25653747605254201</v>
      </c>
      <c r="AP1501">
        <v>0.25653747605254201</v>
      </c>
      <c r="AQ1501">
        <v>0</v>
      </c>
      <c r="AR1501">
        <v>0</v>
      </c>
      <c r="AS1501">
        <v>10</v>
      </c>
      <c r="AT1501">
        <v>31</v>
      </c>
      <c r="AU1501">
        <v>2</v>
      </c>
      <c r="AV1501">
        <v>97</v>
      </c>
      <c r="AW1501">
        <v>0</v>
      </c>
      <c r="AX1501">
        <v>0</v>
      </c>
      <c r="AY1501">
        <v>15.5</v>
      </c>
      <c r="AZ1501">
        <v>2.4</v>
      </c>
      <c r="BA1501">
        <v>10.9</v>
      </c>
      <c r="BB1501">
        <v>564</v>
      </c>
      <c r="BC1501">
        <v>68</v>
      </c>
      <c r="BD1501">
        <v>1.5</v>
      </c>
      <c r="BE1501">
        <v>135</v>
      </c>
      <c r="BF1501">
        <v>0</v>
      </c>
      <c r="BG1501">
        <v>162</v>
      </c>
      <c r="BH1501">
        <v>9.1</v>
      </c>
      <c r="BI1501">
        <v>9.1999999999999993</v>
      </c>
      <c r="BJ1501">
        <v>18.3</v>
      </c>
      <c r="BK1501">
        <v>0.34</v>
      </c>
      <c r="BL1501">
        <v>7.3</v>
      </c>
      <c r="BM1501">
        <v>0.9</v>
      </c>
      <c r="BN1501">
        <v>7.5</v>
      </c>
      <c r="BO1501">
        <v>2.9</v>
      </c>
      <c r="BP1501">
        <f t="shared" si="46"/>
        <v>2.2793392644999915</v>
      </c>
      <c r="BQ1501">
        <f t="shared" si="47"/>
        <v>10.630771693385451</v>
      </c>
    </row>
    <row r="1502" spans="1:69" hidden="1" x14ac:dyDescent="0.2">
      <c r="A1502" t="s">
        <v>3283</v>
      </c>
      <c r="B1502" t="s">
        <v>68</v>
      </c>
      <c r="C1502" t="s">
        <v>1956</v>
      </c>
      <c r="D1502" t="s">
        <v>70</v>
      </c>
      <c r="E1502" t="s">
        <v>205</v>
      </c>
      <c r="F1502">
        <v>4</v>
      </c>
      <c r="G1502">
        <v>227</v>
      </c>
      <c r="H1502">
        <v>3</v>
      </c>
      <c r="I1502">
        <v>3</v>
      </c>
      <c r="J1502">
        <v>2</v>
      </c>
      <c r="K1502" t="s">
        <v>110</v>
      </c>
      <c r="L1502" t="s">
        <v>162</v>
      </c>
      <c r="M1502" s="4">
        <v>1100000000</v>
      </c>
      <c r="N1502">
        <v>0</v>
      </c>
      <c r="O1502">
        <v>4.7274399999999996</v>
      </c>
      <c r="P1502">
        <v>-74.03434</v>
      </c>
      <c r="Q1502" t="s">
        <v>3284</v>
      </c>
      <c r="R1502">
        <v>4845814.9780000001</v>
      </c>
      <c r="S1502">
        <v>0</v>
      </c>
      <c r="T1502" t="s">
        <v>104</v>
      </c>
      <c r="U1502" t="s">
        <v>105</v>
      </c>
      <c r="V1502" t="s">
        <v>77</v>
      </c>
      <c r="W1502" t="s">
        <v>104</v>
      </c>
      <c r="X1502" t="s">
        <v>106</v>
      </c>
      <c r="Y1502">
        <v>1.9516071045152199</v>
      </c>
      <c r="Z1502">
        <v>1951.60710451522</v>
      </c>
      <c r="AA1502">
        <v>4.71035</v>
      </c>
      <c r="AB1502">
        <v>-74.030416666666696</v>
      </c>
      <c r="AC1502">
        <v>2570</v>
      </c>
      <c r="AD1502">
        <v>10</v>
      </c>
      <c r="AE1502" t="s">
        <v>80</v>
      </c>
      <c r="AF1502" t="s">
        <v>107</v>
      </c>
      <c r="AG1502" t="s">
        <v>82</v>
      </c>
      <c r="AH1502" t="s">
        <v>83</v>
      </c>
      <c r="AI1502" t="s">
        <v>108</v>
      </c>
      <c r="AJ1502">
        <v>1.75722190553306</v>
      </c>
      <c r="AK1502">
        <v>1.43862422745067</v>
      </c>
      <c r="AL1502">
        <v>0.86713965387172698</v>
      </c>
      <c r="AM1502">
        <v>3.7856728126562503E-2</v>
      </c>
      <c r="AN1502">
        <v>1.7716118148592499</v>
      </c>
      <c r="AO1502">
        <v>0.113982118723631</v>
      </c>
      <c r="AP1502">
        <v>0.113982118723631</v>
      </c>
      <c r="AQ1502">
        <v>0</v>
      </c>
      <c r="AR1502">
        <v>0</v>
      </c>
      <c r="AS1502">
        <v>0</v>
      </c>
      <c r="AT1502">
        <v>0</v>
      </c>
      <c r="AU1502">
        <v>1</v>
      </c>
      <c r="AV1502">
        <v>9</v>
      </c>
      <c r="AW1502">
        <v>0</v>
      </c>
      <c r="AX1502">
        <v>0</v>
      </c>
      <c r="AY1502">
        <v>15.5</v>
      </c>
      <c r="AZ1502">
        <v>2.4</v>
      </c>
      <c r="BA1502">
        <v>10.9</v>
      </c>
      <c r="BB1502">
        <v>564</v>
      </c>
      <c r="BC1502">
        <v>68</v>
      </c>
      <c r="BD1502">
        <v>1.5</v>
      </c>
      <c r="BE1502">
        <v>135</v>
      </c>
      <c r="BF1502">
        <v>0</v>
      </c>
      <c r="BG1502">
        <v>162</v>
      </c>
      <c r="BH1502">
        <v>9.1</v>
      </c>
      <c r="BI1502">
        <v>9.1999999999999993</v>
      </c>
      <c r="BJ1502">
        <v>18.3</v>
      </c>
      <c r="BK1502">
        <v>0.34</v>
      </c>
      <c r="BL1502">
        <v>7.3</v>
      </c>
      <c r="BM1502">
        <v>0.9</v>
      </c>
      <c r="BN1502">
        <v>7.5</v>
      </c>
      <c r="BO1502">
        <v>2.9</v>
      </c>
      <c r="BP1502">
        <f t="shared" si="46"/>
        <v>2.1789959246591448</v>
      </c>
      <c r="BQ1502">
        <f t="shared" si="47"/>
        <v>10.401231563740701</v>
      </c>
    </row>
    <row r="1503" spans="1:69" hidden="1" x14ac:dyDescent="0.2">
      <c r="A1503" t="s">
        <v>189</v>
      </c>
      <c r="B1503" t="s">
        <v>68</v>
      </c>
      <c r="C1503" t="s">
        <v>69</v>
      </c>
      <c r="D1503" t="s">
        <v>70</v>
      </c>
      <c r="E1503" t="s">
        <v>190</v>
      </c>
      <c r="F1503">
        <v>6</v>
      </c>
      <c r="G1503">
        <v>225</v>
      </c>
      <c r="H1503">
        <v>3</v>
      </c>
      <c r="I1503">
        <v>3</v>
      </c>
      <c r="J1503">
        <v>2</v>
      </c>
      <c r="K1503" t="s">
        <v>110</v>
      </c>
      <c r="L1503" t="s">
        <v>162</v>
      </c>
      <c r="M1503" s="4">
        <v>1500000000</v>
      </c>
      <c r="N1503">
        <v>0</v>
      </c>
      <c r="O1503">
        <v>4.6856775280000003</v>
      </c>
      <c r="P1503">
        <v>-74.045822139999999</v>
      </c>
      <c r="Q1503" t="s">
        <v>191</v>
      </c>
      <c r="R1503">
        <v>6666666.6670000004</v>
      </c>
      <c r="S1503">
        <v>0</v>
      </c>
      <c r="T1503" t="s">
        <v>104</v>
      </c>
      <c r="U1503" t="s">
        <v>105</v>
      </c>
      <c r="V1503" t="s">
        <v>77</v>
      </c>
      <c r="W1503" t="s">
        <v>104</v>
      </c>
      <c r="X1503" t="s">
        <v>106</v>
      </c>
      <c r="Y1503">
        <v>3.2349134079862498</v>
      </c>
      <c r="Z1503">
        <v>3234.9134079862501</v>
      </c>
      <c r="AA1503">
        <v>4.71035</v>
      </c>
      <c r="AB1503">
        <v>-74.030416666666696</v>
      </c>
      <c r="AC1503">
        <v>2570</v>
      </c>
      <c r="AD1503">
        <v>10</v>
      </c>
      <c r="AE1503" t="s">
        <v>80</v>
      </c>
      <c r="AF1503" t="s">
        <v>107</v>
      </c>
      <c r="AG1503" t="s">
        <v>82</v>
      </c>
      <c r="AH1503" t="s">
        <v>83</v>
      </c>
      <c r="AI1503" t="s">
        <v>108</v>
      </c>
      <c r="AJ1503">
        <v>1.3321404588715999</v>
      </c>
      <c r="AK1503">
        <v>1.31634918434827</v>
      </c>
      <c r="AL1503">
        <v>0.58614912944882003</v>
      </c>
      <c r="AM1503">
        <v>0.14075677572558201</v>
      </c>
      <c r="AN1503">
        <v>4.2057627505340403</v>
      </c>
      <c r="AO1503">
        <v>0.46070594476870202</v>
      </c>
      <c r="AP1503">
        <v>0.46070594476870202</v>
      </c>
      <c r="AQ1503">
        <v>0</v>
      </c>
      <c r="AR1503">
        <v>0</v>
      </c>
      <c r="AS1503">
        <v>0</v>
      </c>
      <c r="AT1503">
        <v>0</v>
      </c>
      <c r="AU1503">
        <v>6</v>
      </c>
      <c r="AV1503">
        <v>132</v>
      </c>
      <c r="AW1503">
        <v>0</v>
      </c>
      <c r="AX1503">
        <v>0</v>
      </c>
      <c r="AY1503">
        <v>15.5</v>
      </c>
      <c r="AZ1503">
        <v>2.4</v>
      </c>
      <c r="BA1503">
        <v>10.9</v>
      </c>
      <c r="BB1503">
        <v>564</v>
      </c>
      <c r="BC1503">
        <v>68</v>
      </c>
      <c r="BD1503">
        <v>1.5</v>
      </c>
      <c r="BE1503">
        <v>135</v>
      </c>
      <c r="BF1503">
        <v>0</v>
      </c>
      <c r="BG1503">
        <v>162</v>
      </c>
      <c r="BH1503">
        <v>9.1</v>
      </c>
      <c r="BI1503">
        <v>9.1999999999999993</v>
      </c>
      <c r="BJ1503">
        <v>18.3</v>
      </c>
      <c r="BK1503">
        <v>0.34</v>
      </c>
      <c r="BL1503">
        <v>7.3</v>
      </c>
      <c r="BM1503">
        <v>0.9</v>
      </c>
      <c r="BN1503">
        <v>7.5</v>
      </c>
      <c r="BO1503">
        <v>2.9</v>
      </c>
      <c r="BP1503">
        <f t="shared" si="46"/>
        <v>2.0448828947181004</v>
      </c>
      <c r="BQ1503">
        <f t="shared" si="47"/>
        <v>10.085763423429396</v>
      </c>
    </row>
    <row r="1504" spans="1:69" hidden="1" x14ac:dyDescent="0.2">
      <c r="A1504" t="s">
        <v>1034</v>
      </c>
      <c r="B1504" t="s">
        <v>68</v>
      </c>
      <c r="C1504" t="s">
        <v>69</v>
      </c>
      <c r="D1504" t="s">
        <v>70</v>
      </c>
      <c r="E1504" t="s">
        <v>1035</v>
      </c>
      <c r="F1504">
        <v>6</v>
      </c>
      <c r="G1504">
        <v>224</v>
      </c>
      <c r="H1504">
        <v>3</v>
      </c>
      <c r="I1504">
        <v>3</v>
      </c>
      <c r="J1504">
        <v>3</v>
      </c>
      <c r="K1504" t="s">
        <v>110</v>
      </c>
      <c r="L1504" t="s">
        <v>124</v>
      </c>
      <c r="M1504" s="4">
        <v>2050000000</v>
      </c>
      <c r="N1504">
        <v>0</v>
      </c>
      <c r="O1504">
        <v>4.7182283399999996</v>
      </c>
      <c r="P1504">
        <v>-74.026451109999996</v>
      </c>
      <c r="Q1504" t="s">
        <v>1036</v>
      </c>
      <c r="R1504">
        <v>9151785.7139999997</v>
      </c>
      <c r="S1504">
        <v>0</v>
      </c>
      <c r="T1504" t="s">
        <v>104</v>
      </c>
      <c r="U1504" t="s">
        <v>105</v>
      </c>
      <c r="V1504" t="s">
        <v>77</v>
      </c>
      <c r="W1504" t="s">
        <v>104</v>
      </c>
      <c r="X1504" t="s">
        <v>106</v>
      </c>
      <c r="Y1504">
        <v>0.98117670222938203</v>
      </c>
      <c r="Z1504">
        <v>981.17670222938204</v>
      </c>
      <c r="AA1504">
        <v>4.71035</v>
      </c>
      <c r="AB1504">
        <v>-74.030416666666696</v>
      </c>
      <c r="AC1504">
        <v>2570</v>
      </c>
      <c r="AD1504">
        <v>10</v>
      </c>
      <c r="AE1504" t="s">
        <v>80</v>
      </c>
      <c r="AF1504" t="s">
        <v>107</v>
      </c>
      <c r="AG1504" t="s">
        <v>82</v>
      </c>
      <c r="AH1504" t="s">
        <v>83</v>
      </c>
      <c r="AI1504" t="s">
        <v>108</v>
      </c>
      <c r="AJ1504">
        <v>2.7915837415625102</v>
      </c>
      <c r="AK1504">
        <v>0.350381430446569</v>
      </c>
      <c r="AL1504">
        <v>1.08475183395335</v>
      </c>
      <c r="AM1504">
        <v>0.38738978774410898</v>
      </c>
      <c r="AN1504">
        <v>2.5760940856471799</v>
      </c>
      <c r="AO1504">
        <v>0.24950284923650901</v>
      </c>
      <c r="AP1504">
        <v>0.24950284923650901</v>
      </c>
      <c r="AQ1504">
        <v>0</v>
      </c>
      <c r="AR1504">
        <v>0</v>
      </c>
      <c r="AS1504">
        <v>9</v>
      </c>
      <c r="AT1504">
        <v>36</v>
      </c>
      <c r="AU1504">
        <v>0</v>
      </c>
      <c r="AV1504">
        <v>68</v>
      </c>
      <c r="AW1504">
        <v>0</v>
      </c>
      <c r="AX1504">
        <v>0</v>
      </c>
      <c r="AY1504">
        <v>15.5</v>
      </c>
      <c r="AZ1504">
        <v>2.4</v>
      </c>
      <c r="BA1504">
        <v>10.9</v>
      </c>
      <c r="BB1504">
        <v>564</v>
      </c>
      <c r="BC1504">
        <v>68</v>
      </c>
      <c r="BD1504">
        <v>1.5</v>
      </c>
      <c r="BE1504">
        <v>135</v>
      </c>
      <c r="BF1504">
        <v>0</v>
      </c>
      <c r="BG1504">
        <v>162</v>
      </c>
      <c r="BH1504">
        <v>9.1</v>
      </c>
      <c r="BI1504">
        <v>9.1999999999999993</v>
      </c>
      <c r="BJ1504">
        <v>18.3</v>
      </c>
      <c r="BK1504">
        <v>0.34</v>
      </c>
      <c r="BL1504">
        <v>7.3</v>
      </c>
      <c r="BM1504">
        <v>0.9</v>
      </c>
      <c r="BN1504">
        <v>7.5</v>
      </c>
      <c r="BO1504">
        <v>2.9</v>
      </c>
      <c r="BP1504">
        <f t="shared" si="46"/>
        <v>2.2862215817932969</v>
      </c>
      <c r="BQ1504">
        <f t="shared" si="47"/>
        <v>10.646322723807357</v>
      </c>
    </row>
    <row r="1505" spans="1:69" hidden="1" x14ac:dyDescent="0.2">
      <c r="A1505" t="s">
        <v>2380</v>
      </c>
      <c r="B1505" t="s">
        <v>68</v>
      </c>
      <c r="C1505" t="s">
        <v>1956</v>
      </c>
      <c r="D1505" t="s">
        <v>70</v>
      </c>
      <c r="E1505" t="s">
        <v>982</v>
      </c>
      <c r="F1505">
        <v>5</v>
      </c>
      <c r="G1505">
        <v>221</v>
      </c>
      <c r="H1505">
        <v>3</v>
      </c>
      <c r="I1505">
        <v>4</v>
      </c>
      <c r="J1505">
        <v>3</v>
      </c>
      <c r="K1505" t="s">
        <v>110</v>
      </c>
      <c r="L1505" t="s">
        <v>162</v>
      </c>
      <c r="M1505" s="4">
        <v>1450000000</v>
      </c>
      <c r="N1505">
        <v>0</v>
      </c>
      <c r="O1505">
        <v>4.7098106</v>
      </c>
      <c r="P1505">
        <v>-74.052482900000001</v>
      </c>
      <c r="Q1505" t="s">
        <v>2381</v>
      </c>
      <c r="R1505">
        <v>6561085.9730000002</v>
      </c>
      <c r="S1505">
        <v>0</v>
      </c>
      <c r="T1505" t="s">
        <v>104</v>
      </c>
      <c r="U1505" t="s">
        <v>105</v>
      </c>
      <c r="V1505" t="s">
        <v>77</v>
      </c>
      <c r="W1505" t="s">
        <v>104</v>
      </c>
      <c r="X1505" t="s">
        <v>106</v>
      </c>
      <c r="Y1505">
        <v>2.4488427528260499</v>
      </c>
      <c r="Z1505">
        <v>2448.8427528260499</v>
      </c>
      <c r="AA1505">
        <v>4.71035</v>
      </c>
      <c r="AB1505">
        <v>-74.030416666666696</v>
      </c>
      <c r="AC1505">
        <v>2570</v>
      </c>
      <c r="AD1505">
        <v>10</v>
      </c>
      <c r="AE1505" t="s">
        <v>80</v>
      </c>
      <c r="AF1505" t="s">
        <v>107</v>
      </c>
      <c r="AG1505" t="s">
        <v>82</v>
      </c>
      <c r="AH1505" t="s">
        <v>83</v>
      </c>
      <c r="AI1505" t="s">
        <v>108</v>
      </c>
      <c r="AJ1505">
        <v>0.52475807881361802</v>
      </c>
      <c r="AK1505">
        <v>3.0397357872228499</v>
      </c>
      <c r="AL1505">
        <v>1.848535655224</v>
      </c>
      <c r="AM1505">
        <v>0.201971599773002</v>
      </c>
      <c r="AN1505">
        <v>4.5215841984442502</v>
      </c>
      <c r="AO1505">
        <v>0.15598142106059201</v>
      </c>
      <c r="AP1505">
        <v>0.15598142106059201</v>
      </c>
      <c r="AQ1505">
        <v>0</v>
      </c>
      <c r="AR1505">
        <v>2</v>
      </c>
      <c r="AS1505">
        <v>0</v>
      </c>
      <c r="AT1505">
        <v>0</v>
      </c>
      <c r="AU1505">
        <v>0</v>
      </c>
      <c r="AV1505">
        <v>105</v>
      </c>
      <c r="AW1505">
        <v>0</v>
      </c>
      <c r="AX1505">
        <v>0</v>
      </c>
      <c r="AY1505">
        <v>15.5</v>
      </c>
      <c r="AZ1505">
        <v>2.4</v>
      </c>
      <c r="BA1505">
        <v>10.9</v>
      </c>
      <c r="BB1505">
        <v>564</v>
      </c>
      <c r="BC1505">
        <v>68</v>
      </c>
      <c r="BD1505">
        <v>1.5</v>
      </c>
      <c r="BE1505">
        <v>135</v>
      </c>
      <c r="BF1505">
        <v>0</v>
      </c>
      <c r="BG1505">
        <v>162</v>
      </c>
      <c r="BH1505">
        <v>9.1</v>
      </c>
      <c r="BI1505">
        <v>9.1999999999999993</v>
      </c>
      <c r="BJ1505">
        <v>18.3</v>
      </c>
      <c r="BK1505">
        <v>0.34</v>
      </c>
      <c r="BL1505">
        <v>7.3</v>
      </c>
      <c r="BM1505">
        <v>0.9</v>
      </c>
      <c r="BN1505">
        <v>7.5</v>
      </c>
      <c r="BO1505">
        <v>2.9</v>
      </c>
      <c r="BP1505">
        <f t="shared" si="46"/>
        <v>2.1260185838070562</v>
      </c>
      <c r="BQ1505">
        <f t="shared" si="47"/>
        <v>10.277844542286065</v>
      </c>
    </row>
    <row r="1506" spans="1:69" hidden="1" x14ac:dyDescent="0.2">
      <c r="A1506" t="s">
        <v>2136</v>
      </c>
      <c r="B1506" t="s">
        <v>68</v>
      </c>
      <c r="C1506" t="s">
        <v>1956</v>
      </c>
      <c r="D1506" t="s">
        <v>70</v>
      </c>
      <c r="E1506" t="s">
        <v>210</v>
      </c>
      <c r="F1506">
        <v>6</v>
      </c>
      <c r="G1506">
        <v>220</v>
      </c>
      <c r="H1506">
        <v>3</v>
      </c>
      <c r="I1506">
        <v>3</v>
      </c>
      <c r="J1506">
        <v>2</v>
      </c>
      <c r="K1506" t="s">
        <v>110</v>
      </c>
      <c r="L1506" t="s">
        <v>162</v>
      </c>
      <c r="M1506" s="4">
        <v>1200000000</v>
      </c>
      <c r="N1506">
        <v>0</v>
      </c>
      <c r="O1506">
        <v>4.6962891999999998</v>
      </c>
      <c r="P1506">
        <v>-74.053984900000003</v>
      </c>
      <c r="Q1506" t="s">
        <v>2137</v>
      </c>
      <c r="R1506">
        <v>5454545.4550000001</v>
      </c>
      <c r="S1506">
        <v>0</v>
      </c>
      <c r="T1506" t="s">
        <v>104</v>
      </c>
      <c r="U1506" t="s">
        <v>105</v>
      </c>
      <c r="V1506" t="s">
        <v>77</v>
      </c>
      <c r="W1506" t="s">
        <v>104</v>
      </c>
      <c r="X1506" t="s">
        <v>106</v>
      </c>
      <c r="Y1506">
        <v>3.04745748936294</v>
      </c>
      <c r="Z1506">
        <v>3047.4574893629401</v>
      </c>
      <c r="AA1506">
        <v>4.71035</v>
      </c>
      <c r="AB1506">
        <v>-74.030416666666696</v>
      </c>
      <c r="AC1506">
        <v>2570</v>
      </c>
      <c r="AD1506">
        <v>10</v>
      </c>
      <c r="AE1506" t="s">
        <v>80</v>
      </c>
      <c r="AF1506" t="s">
        <v>107</v>
      </c>
      <c r="AG1506" t="s">
        <v>82</v>
      </c>
      <c r="AH1506" t="s">
        <v>83</v>
      </c>
      <c r="AI1506" t="s">
        <v>108</v>
      </c>
      <c r="AJ1506">
        <v>0.250583263397886</v>
      </c>
      <c r="AK1506">
        <v>2.7742345977021499</v>
      </c>
      <c r="AL1506">
        <v>0.56545938036127796</v>
      </c>
      <c r="AM1506">
        <v>0.12307136374926</v>
      </c>
      <c r="AN1506">
        <v>3.96542634999112</v>
      </c>
      <c r="AO1506">
        <v>0.26449305980564802</v>
      </c>
      <c r="AP1506">
        <v>0.26449305980564802</v>
      </c>
      <c r="AQ1506">
        <v>2</v>
      </c>
      <c r="AR1506">
        <v>3</v>
      </c>
      <c r="AS1506">
        <v>0</v>
      </c>
      <c r="AT1506">
        <v>0</v>
      </c>
      <c r="AU1506">
        <v>3</v>
      </c>
      <c r="AV1506">
        <v>157</v>
      </c>
      <c r="AW1506">
        <v>0</v>
      </c>
      <c r="AX1506">
        <v>0</v>
      </c>
      <c r="AY1506">
        <v>15.5</v>
      </c>
      <c r="AZ1506">
        <v>2.4</v>
      </c>
      <c r="BA1506">
        <v>10.9</v>
      </c>
      <c r="BB1506">
        <v>564</v>
      </c>
      <c r="BC1506">
        <v>68</v>
      </c>
      <c r="BD1506">
        <v>1.5</v>
      </c>
      <c r="BE1506">
        <v>135</v>
      </c>
      <c r="BF1506">
        <v>0</v>
      </c>
      <c r="BG1506">
        <v>162</v>
      </c>
      <c r="BH1506">
        <v>9.1</v>
      </c>
      <c r="BI1506">
        <v>9.1999999999999993</v>
      </c>
      <c r="BJ1506">
        <v>18.3</v>
      </c>
      <c r="BK1506">
        <v>0.34</v>
      </c>
      <c r="BL1506">
        <v>7.3</v>
      </c>
      <c r="BM1506">
        <v>0.9</v>
      </c>
      <c r="BN1506">
        <v>7.5</v>
      </c>
      <c r="BO1506">
        <v>2.9</v>
      </c>
      <c r="BP1506">
        <f t="shared" si="46"/>
        <v>2.0639458083503786</v>
      </c>
      <c r="BQ1506">
        <f t="shared" si="47"/>
        <v>10.131240912156704</v>
      </c>
    </row>
    <row r="1507" spans="1:69" hidden="1" x14ac:dyDescent="0.2">
      <c r="A1507" t="s">
        <v>873</v>
      </c>
      <c r="B1507" t="s">
        <v>68</v>
      </c>
      <c r="C1507" t="s">
        <v>69</v>
      </c>
      <c r="D1507" t="s">
        <v>70</v>
      </c>
      <c r="E1507" t="s">
        <v>874</v>
      </c>
      <c r="F1507">
        <v>6</v>
      </c>
      <c r="G1507">
        <v>220</v>
      </c>
      <c r="H1507">
        <v>3</v>
      </c>
      <c r="I1507">
        <v>4</v>
      </c>
      <c r="J1507">
        <v>4</v>
      </c>
      <c r="K1507" t="s">
        <v>110</v>
      </c>
      <c r="L1507" t="s">
        <v>162</v>
      </c>
      <c r="M1507" s="4">
        <v>1250000000</v>
      </c>
      <c r="N1507">
        <v>0</v>
      </c>
      <c r="O1507">
        <v>4.7258623289999999</v>
      </c>
      <c r="P1507">
        <v>-74.02468906</v>
      </c>
      <c r="Q1507" t="s">
        <v>875</v>
      </c>
      <c r="R1507">
        <v>5681818.182</v>
      </c>
      <c r="S1507">
        <v>0</v>
      </c>
      <c r="T1507" t="s">
        <v>104</v>
      </c>
      <c r="U1507" t="s">
        <v>105</v>
      </c>
      <c r="V1507" t="s">
        <v>77</v>
      </c>
      <c r="W1507" t="s">
        <v>104</v>
      </c>
      <c r="X1507" t="s">
        <v>106</v>
      </c>
      <c r="Y1507">
        <v>1.8400269308816199</v>
      </c>
      <c r="Z1507">
        <v>1840.02693088162</v>
      </c>
      <c r="AA1507">
        <v>4.71035</v>
      </c>
      <c r="AB1507">
        <v>-74.030416666666696</v>
      </c>
      <c r="AC1507">
        <v>2570</v>
      </c>
      <c r="AD1507">
        <v>10</v>
      </c>
      <c r="AE1507" t="s">
        <v>80</v>
      </c>
      <c r="AF1507" t="s">
        <v>107</v>
      </c>
      <c r="AG1507" t="s">
        <v>82</v>
      </c>
      <c r="AH1507" t="s">
        <v>83</v>
      </c>
      <c r="AI1507" t="s">
        <v>108</v>
      </c>
      <c r="AJ1507">
        <v>2.8402580858973501</v>
      </c>
      <c r="AK1507">
        <v>0.37250271345462999</v>
      </c>
      <c r="AL1507">
        <v>1.86372487270688</v>
      </c>
      <c r="AM1507">
        <v>0.194618848326084</v>
      </c>
      <c r="AN1507">
        <v>1.74701100076933</v>
      </c>
      <c r="AO1507">
        <v>0.611621544947338</v>
      </c>
      <c r="AP1507">
        <v>0.611621544947338</v>
      </c>
      <c r="AQ1507">
        <v>0</v>
      </c>
      <c r="AR1507">
        <v>0</v>
      </c>
      <c r="AS1507">
        <v>11</v>
      </c>
      <c r="AT1507">
        <v>34</v>
      </c>
      <c r="AU1507">
        <v>0</v>
      </c>
      <c r="AV1507">
        <v>7</v>
      </c>
      <c r="AW1507">
        <v>0</v>
      </c>
      <c r="AX1507">
        <v>0</v>
      </c>
      <c r="AY1507">
        <v>15.5</v>
      </c>
      <c r="AZ1507">
        <v>2.4</v>
      </c>
      <c r="BA1507">
        <v>10.9</v>
      </c>
      <c r="BB1507">
        <v>564</v>
      </c>
      <c r="BC1507">
        <v>68</v>
      </c>
      <c r="BD1507">
        <v>1.5</v>
      </c>
      <c r="BE1507">
        <v>135</v>
      </c>
      <c r="BF1507">
        <v>0</v>
      </c>
      <c r="BG1507">
        <v>162</v>
      </c>
      <c r="BH1507">
        <v>9.1</v>
      </c>
      <c r="BI1507">
        <v>9.1999999999999993</v>
      </c>
      <c r="BJ1507">
        <v>18.3</v>
      </c>
      <c r="BK1507">
        <v>0.34</v>
      </c>
      <c r="BL1507">
        <v>7.3</v>
      </c>
      <c r="BM1507">
        <v>0.9</v>
      </c>
      <c r="BN1507">
        <v>7.5</v>
      </c>
      <c r="BO1507">
        <v>2.9</v>
      </c>
      <c r="BP1507">
        <f t="shared" si="46"/>
        <v>2.1910642929065793</v>
      </c>
      <c r="BQ1507">
        <f t="shared" si="47"/>
        <v>10.429122601488105</v>
      </c>
    </row>
    <row r="1508" spans="1:69" hidden="1" x14ac:dyDescent="0.2">
      <c r="A1508" t="s">
        <v>897</v>
      </c>
      <c r="B1508" t="s">
        <v>68</v>
      </c>
      <c r="C1508" t="s">
        <v>69</v>
      </c>
      <c r="D1508" t="s">
        <v>70</v>
      </c>
      <c r="E1508" t="s">
        <v>102</v>
      </c>
      <c r="F1508">
        <v>6</v>
      </c>
      <c r="G1508">
        <v>220</v>
      </c>
      <c r="H1508">
        <v>3</v>
      </c>
      <c r="I1508">
        <v>4</v>
      </c>
      <c r="J1508">
        <v>3</v>
      </c>
      <c r="K1508" t="s">
        <v>110</v>
      </c>
      <c r="L1508" t="s">
        <v>133</v>
      </c>
      <c r="M1508" s="4">
        <v>2300000000</v>
      </c>
      <c r="N1508">
        <v>0</v>
      </c>
      <c r="O1508">
        <v>4.6999075000000001</v>
      </c>
      <c r="P1508">
        <v>-74.040057899999994</v>
      </c>
      <c r="Q1508" t="s">
        <v>898</v>
      </c>
      <c r="R1508">
        <v>10454545.449999999</v>
      </c>
      <c r="S1508">
        <v>0</v>
      </c>
      <c r="T1508" t="s">
        <v>104</v>
      </c>
      <c r="U1508" t="s">
        <v>105</v>
      </c>
      <c r="V1508" t="s">
        <v>77</v>
      </c>
      <c r="W1508" t="s">
        <v>104</v>
      </c>
      <c r="X1508" t="s">
        <v>106</v>
      </c>
      <c r="Y1508">
        <v>1.57969278464966</v>
      </c>
      <c r="Z1508">
        <v>1579.6927846496601</v>
      </c>
      <c r="AA1508">
        <v>4.71035</v>
      </c>
      <c r="AB1508">
        <v>-74.030416666666696</v>
      </c>
      <c r="AC1508">
        <v>2570</v>
      </c>
      <c r="AD1508">
        <v>10</v>
      </c>
      <c r="AE1508" t="s">
        <v>80</v>
      </c>
      <c r="AF1508" t="s">
        <v>107</v>
      </c>
      <c r="AG1508" t="s">
        <v>82</v>
      </c>
      <c r="AH1508" t="s">
        <v>83</v>
      </c>
      <c r="AI1508" t="s">
        <v>108</v>
      </c>
      <c r="AJ1508">
        <v>1.6555885209032</v>
      </c>
      <c r="AK1508">
        <v>1.57591702226459</v>
      </c>
      <c r="AL1508">
        <v>0.85658535810318104</v>
      </c>
      <c r="AM1508">
        <v>6.5747557010965699E-2</v>
      </c>
      <c r="AN1508">
        <v>4.8319995098427597</v>
      </c>
      <c r="AO1508">
        <v>2.9681819786046299E-2</v>
      </c>
      <c r="AP1508">
        <v>2.9681819786046299E-2</v>
      </c>
      <c r="AQ1508">
        <v>0</v>
      </c>
      <c r="AR1508">
        <v>0</v>
      </c>
      <c r="AS1508">
        <v>0</v>
      </c>
      <c r="AT1508">
        <v>0</v>
      </c>
      <c r="AU1508">
        <v>1</v>
      </c>
      <c r="AV1508">
        <v>135</v>
      </c>
      <c r="AW1508">
        <v>0</v>
      </c>
      <c r="AX1508">
        <v>0</v>
      </c>
      <c r="AY1508">
        <v>15.5</v>
      </c>
      <c r="AZ1508">
        <v>2.4</v>
      </c>
      <c r="BA1508">
        <v>10.9</v>
      </c>
      <c r="BB1508">
        <v>564</v>
      </c>
      <c r="BC1508">
        <v>68</v>
      </c>
      <c r="BD1508">
        <v>1.5</v>
      </c>
      <c r="BE1508">
        <v>135</v>
      </c>
      <c r="BF1508">
        <v>0</v>
      </c>
      <c r="BG1508">
        <v>162</v>
      </c>
      <c r="BH1508">
        <v>9.1</v>
      </c>
      <c r="BI1508">
        <v>9.1999999999999993</v>
      </c>
      <c r="BJ1508">
        <v>18.3</v>
      </c>
      <c r="BK1508">
        <v>0.34</v>
      </c>
      <c r="BL1508">
        <v>7.3</v>
      </c>
      <c r="BM1508">
        <v>0.9</v>
      </c>
      <c r="BN1508">
        <v>7.5</v>
      </c>
      <c r="BO1508">
        <v>2.9</v>
      </c>
      <c r="BP1508">
        <f t="shared" si="46"/>
        <v>2.2194822423437981</v>
      </c>
      <c r="BQ1508">
        <f t="shared" si="47"/>
        <v>10.494487952320627</v>
      </c>
    </row>
    <row r="1509" spans="1:69" hidden="1" x14ac:dyDescent="0.2">
      <c r="A1509" t="s">
        <v>588</v>
      </c>
      <c r="B1509" t="s">
        <v>68</v>
      </c>
      <c r="C1509" t="s">
        <v>69</v>
      </c>
      <c r="D1509" t="s">
        <v>70</v>
      </c>
      <c r="E1509" t="s">
        <v>73</v>
      </c>
      <c r="F1509">
        <v>6</v>
      </c>
      <c r="G1509">
        <v>220</v>
      </c>
      <c r="H1509">
        <v>3</v>
      </c>
      <c r="I1509">
        <v>5</v>
      </c>
      <c r="J1509">
        <v>3</v>
      </c>
      <c r="K1509" t="s">
        <v>110</v>
      </c>
      <c r="L1509" t="s">
        <v>133</v>
      </c>
      <c r="M1509" s="4">
        <v>2300000000</v>
      </c>
      <c r="N1509">
        <v>0</v>
      </c>
      <c r="O1509">
        <v>4.6999073029999998</v>
      </c>
      <c r="P1509">
        <v>-74.040054319999996</v>
      </c>
      <c r="Q1509" t="s">
        <v>589</v>
      </c>
      <c r="R1509">
        <v>10454545.449999999</v>
      </c>
      <c r="S1509">
        <v>0</v>
      </c>
      <c r="T1509" t="s">
        <v>104</v>
      </c>
      <c r="U1509" t="s">
        <v>105</v>
      </c>
      <c r="V1509" t="s">
        <v>77</v>
      </c>
      <c r="W1509" t="s">
        <v>104</v>
      </c>
      <c r="X1509" t="s">
        <v>106</v>
      </c>
      <c r="Y1509">
        <v>1.57944001353351</v>
      </c>
      <c r="Z1509">
        <v>1579.44001353351</v>
      </c>
      <c r="AA1509">
        <v>4.71035</v>
      </c>
      <c r="AB1509">
        <v>-74.030416666666696</v>
      </c>
      <c r="AC1509">
        <v>2570</v>
      </c>
      <c r="AD1509">
        <v>10</v>
      </c>
      <c r="AE1509" t="s">
        <v>80</v>
      </c>
      <c r="AF1509" t="s">
        <v>107</v>
      </c>
      <c r="AG1509" t="s">
        <v>82</v>
      </c>
      <c r="AH1509" t="s">
        <v>83</v>
      </c>
      <c r="AI1509" t="s">
        <v>108</v>
      </c>
      <c r="AJ1509">
        <v>1.65597201736709</v>
      </c>
      <c r="AK1509">
        <v>1.57551949840289</v>
      </c>
      <c r="AL1509">
        <v>0.85619920507939795</v>
      </c>
      <c r="AM1509">
        <v>6.5409200609849893E-2</v>
      </c>
      <c r="AN1509">
        <v>4.8318988813213997</v>
      </c>
      <c r="AO1509">
        <v>2.9284294500871801E-2</v>
      </c>
      <c r="AP1509">
        <v>2.9284294500871801E-2</v>
      </c>
      <c r="AQ1509">
        <v>0</v>
      </c>
      <c r="AR1509">
        <v>0</v>
      </c>
      <c r="AS1509">
        <v>0</v>
      </c>
      <c r="AT1509">
        <v>0</v>
      </c>
      <c r="AU1509">
        <v>1</v>
      </c>
      <c r="AV1509">
        <v>135</v>
      </c>
      <c r="AW1509">
        <v>0</v>
      </c>
      <c r="AX1509">
        <v>0</v>
      </c>
      <c r="AY1509">
        <v>15.5</v>
      </c>
      <c r="AZ1509">
        <v>2.4</v>
      </c>
      <c r="BA1509">
        <v>10.9</v>
      </c>
      <c r="BB1509">
        <v>564</v>
      </c>
      <c r="BC1509">
        <v>68</v>
      </c>
      <c r="BD1509">
        <v>1.5</v>
      </c>
      <c r="BE1509">
        <v>135</v>
      </c>
      <c r="BF1509">
        <v>0</v>
      </c>
      <c r="BG1509">
        <v>162</v>
      </c>
      <c r="BH1509">
        <v>9.1</v>
      </c>
      <c r="BI1509">
        <v>9.1999999999999993</v>
      </c>
      <c r="BJ1509">
        <v>18.3</v>
      </c>
      <c r="BK1509">
        <v>0.34</v>
      </c>
      <c r="BL1509">
        <v>7.3</v>
      </c>
      <c r="BM1509">
        <v>0.9</v>
      </c>
      <c r="BN1509">
        <v>7.5</v>
      </c>
      <c r="BO1509">
        <v>2.9</v>
      </c>
      <c r="BP1509">
        <f t="shared" si="46"/>
        <v>2.2195100130572154</v>
      </c>
      <c r="BQ1509">
        <f t="shared" si="47"/>
        <v>10.494551617396134</v>
      </c>
    </row>
    <row r="1510" spans="1:69" hidden="1" x14ac:dyDescent="0.2">
      <c r="A1510" t="s">
        <v>2082</v>
      </c>
      <c r="B1510" t="s">
        <v>68</v>
      </c>
      <c r="C1510" t="s">
        <v>1956</v>
      </c>
      <c r="D1510" t="s">
        <v>70</v>
      </c>
      <c r="E1510" t="s">
        <v>2083</v>
      </c>
      <c r="F1510">
        <v>5</v>
      </c>
      <c r="G1510">
        <v>220</v>
      </c>
      <c r="H1510">
        <v>5</v>
      </c>
      <c r="I1510">
        <v>5</v>
      </c>
      <c r="J1510">
        <v>2</v>
      </c>
      <c r="K1510" t="s">
        <v>110</v>
      </c>
      <c r="L1510" t="s">
        <v>162</v>
      </c>
      <c r="M1510" s="4">
        <v>1350000000</v>
      </c>
      <c r="N1510">
        <v>0</v>
      </c>
      <c r="O1510">
        <v>4.7195619999999998</v>
      </c>
      <c r="P1510">
        <v>-74.0304</v>
      </c>
      <c r="Q1510" t="s">
        <v>2084</v>
      </c>
      <c r="R1510">
        <v>6136363.6359999999</v>
      </c>
      <c r="S1510">
        <v>0</v>
      </c>
      <c r="T1510" t="s">
        <v>104</v>
      </c>
      <c r="U1510" t="s">
        <v>105</v>
      </c>
      <c r="V1510" t="s">
        <v>77</v>
      </c>
      <c r="W1510" t="s">
        <v>104</v>
      </c>
      <c r="X1510" t="s">
        <v>106</v>
      </c>
      <c r="Y1510">
        <v>1.0254768162049299</v>
      </c>
      <c r="Z1510">
        <v>1025.4768162049299</v>
      </c>
      <c r="AA1510">
        <v>4.71035</v>
      </c>
      <c r="AB1510">
        <v>-74.030416666666696</v>
      </c>
      <c r="AC1510">
        <v>2570</v>
      </c>
      <c r="AD1510">
        <v>10</v>
      </c>
      <c r="AE1510" t="s">
        <v>80</v>
      </c>
      <c r="AF1510" t="s">
        <v>107</v>
      </c>
      <c r="AG1510" t="s">
        <v>82</v>
      </c>
      <c r="AH1510" t="s">
        <v>83</v>
      </c>
      <c r="AI1510" t="s">
        <v>108</v>
      </c>
      <c r="AJ1510">
        <v>2.34156687258726</v>
      </c>
      <c r="AK1510">
        <v>0.75853137777120805</v>
      </c>
      <c r="AL1510">
        <v>1.00978853365656</v>
      </c>
      <c r="AM1510">
        <v>0.33534819081804201</v>
      </c>
      <c r="AN1510">
        <v>2.4623380887933299</v>
      </c>
      <c r="AO1510">
        <v>0.208833457600577</v>
      </c>
      <c r="AP1510">
        <v>0.208833457600577</v>
      </c>
      <c r="AQ1510">
        <v>0</v>
      </c>
      <c r="AR1510">
        <v>0</v>
      </c>
      <c r="AS1510">
        <v>0</v>
      </c>
      <c r="AT1510">
        <v>21</v>
      </c>
      <c r="AU1510">
        <v>0</v>
      </c>
      <c r="AV1510">
        <v>74</v>
      </c>
      <c r="AW1510">
        <v>0</v>
      </c>
      <c r="AX1510">
        <v>0</v>
      </c>
      <c r="AY1510">
        <v>15.5</v>
      </c>
      <c r="AZ1510">
        <v>2.4</v>
      </c>
      <c r="BA1510">
        <v>10.9</v>
      </c>
      <c r="BB1510">
        <v>564</v>
      </c>
      <c r="BC1510">
        <v>68</v>
      </c>
      <c r="BD1510">
        <v>1.5</v>
      </c>
      <c r="BE1510">
        <v>135</v>
      </c>
      <c r="BF1510">
        <v>0</v>
      </c>
      <c r="BG1510">
        <v>162</v>
      </c>
      <c r="BH1510">
        <v>9.1</v>
      </c>
      <c r="BI1510">
        <v>9.1999999999999993</v>
      </c>
      <c r="BJ1510">
        <v>18.3</v>
      </c>
      <c r="BK1510">
        <v>0.34</v>
      </c>
      <c r="BL1510">
        <v>7.3</v>
      </c>
      <c r="BM1510">
        <v>0.9</v>
      </c>
      <c r="BN1510">
        <v>7.5</v>
      </c>
      <c r="BO1510">
        <v>2.9</v>
      </c>
      <c r="BP1510">
        <f t="shared" si="46"/>
        <v>2.2812137206642853</v>
      </c>
      <c r="BQ1510">
        <f t="shared" si="47"/>
        <v>10.635009539535247</v>
      </c>
    </row>
    <row r="1511" spans="1:69" hidden="1" x14ac:dyDescent="0.2">
      <c r="A1511" t="s">
        <v>192</v>
      </c>
      <c r="B1511" t="s">
        <v>68</v>
      </c>
      <c r="C1511" t="s">
        <v>69</v>
      </c>
      <c r="D1511" t="s">
        <v>70</v>
      </c>
      <c r="E1511" t="s">
        <v>193</v>
      </c>
      <c r="F1511">
        <v>5</v>
      </c>
      <c r="G1511">
        <v>220</v>
      </c>
      <c r="H1511">
        <v>3</v>
      </c>
      <c r="I1511">
        <v>4</v>
      </c>
      <c r="J1511">
        <v>3</v>
      </c>
      <c r="K1511" t="s">
        <v>110</v>
      </c>
      <c r="L1511" t="s">
        <v>124</v>
      </c>
      <c r="M1511" s="4">
        <v>2800000000</v>
      </c>
      <c r="N1511">
        <v>0</v>
      </c>
      <c r="O1511">
        <v>4.7015838619999997</v>
      </c>
      <c r="P1511">
        <v>-74.031547549999999</v>
      </c>
      <c r="Q1511" t="s">
        <v>194</v>
      </c>
      <c r="R1511">
        <v>12727272.73</v>
      </c>
      <c r="S1511">
        <v>0</v>
      </c>
      <c r="T1511" t="s">
        <v>104</v>
      </c>
      <c r="U1511" t="s">
        <v>105</v>
      </c>
      <c r="V1511" t="s">
        <v>77</v>
      </c>
      <c r="W1511" t="s">
        <v>104</v>
      </c>
      <c r="X1511" t="s">
        <v>106</v>
      </c>
      <c r="Y1511">
        <v>0.98387453578777895</v>
      </c>
      <c r="Z1511">
        <v>983.874535787779</v>
      </c>
      <c r="AA1511">
        <v>4.71035</v>
      </c>
      <c r="AB1511">
        <v>-74.030416666666696</v>
      </c>
      <c r="AC1511">
        <v>2570</v>
      </c>
      <c r="AD1511">
        <v>10</v>
      </c>
      <c r="AE1511" t="s">
        <v>80</v>
      </c>
      <c r="AF1511" t="s">
        <v>107</v>
      </c>
      <c r="AG1511" t="s">
        <v>82</v>
      </c>
      <c r="AH1511" t="s">
        <v>83</v>
      </c>
      <c r="AI1511" t="s">
        <v>108</v>
      </c>
      <c r="AJ1511">
        <v>2.5369966113754598</v>
      </c>
      <c r="AK1511">
        <v>0.66717051416451201</v>
      </c>
      <c r="AL1511">
        <v>0.10533467421758599</v>
      </c>
      <c r="AM1511">
        <v>6.1447112159727299E-2</v>
      </c>
      <c r="AN1511">
        <v>4.4474718348175104</v>
      </c>
      <c r="AO1511">
        <v>0.42281337681862302</v>
      </c>
      <c r="AP1511">
        <v>0.42281337681862302</v>
      </c>
      <c r="AQ1511">
        <v>0</v>
      </c>
      <c r="AR1511">
        <v>0</v>
      </c>
      <c r="AS1511">
        <v>0</v>
      </c>
      <c r="AT1511">
        <v>21</v>
      </c>
      <c r="AU1511">
        <v>2</v>
      </c>
      <c r="AV1511">
        <v>122</v>
      </c>
      <c r="AW1511">
        <v>0</v>
      </c>
      <c r="AX1511">
        <v>0</v>
      </c>
      <c r="AY1511">
        <v>15.5</v>
      </c>
      <c r="AZ1511">
        <v>2.4</v>
      </c>
      <c r="BA1511">
        <v>10.9</v>
      </c>
      <c r="BB1511">
        <v>564</v>
      </c>
      <c r="BC1511">
        <v>68</v>
      </c>
      <c r="BD1511">
        <v>1.5</v>
      </c>
      <c r="BE1511">
        <v>135</v>
      </c>
      <c r="BF1511">
        <v>0</v>
      </c>
      <c r="BG1511">
        <v>162</v>
      </c>
      <c r="BH1511">
        <v>9.1</v>
      </c>
      <c r="BI1511">
        <v>9.1999999999999993</v>
      </c>
      <c r="BJ1511">
        <v>18.3</v>
      </c>
      <c r="BK1511">
        <v>0.34</v>
      </c>
      <c r="BL1511">
        <v>7.3</v>
      </c>
      <c r="BM1511">
        <v>0.9</v>
      </c>
      <c r="BN1511">
        <v>7.5</v>
      </c>
      <c r="BO1511">
        <v>2.9</v>
      </c>
      <c r="BP1511">
        <f t="shared" si="46"/>
        <v>2.285916293835637</v>
      </c>
      <c r="BQ1511">
        <f t="shared" si="47"/>
        <v>10.645633417961959</v>
      </c>
    </row>
    <row r="1512" spans="1:69" hidden="1" x14ac:dyDescent="0.2">
      <c r="A1512" t="s">
        <v>1828</v>
      </c>
      <c r="B1512" t="s">
        <v>68</v>
      </c>
      <c r="C1512" t="s">
        <v>69</v>
      </c>
      <c r="D1512" t="s">
        <v>70</v>
      </c>
      <c r="E1512" t="s">
        <v>1829</v>
      </c>
      <c r="F1512">
        <v>6</v>
      </c>
      <c r="G1512">
        <v>218</v>
      </c>
      <c r="H1512">
        <v>3</v>
      </c>
      <c r="I1512">
        <v>4</v>
      </c>
      <c r="J1512">
        <v>3</v>
      </c>
      <c r="K1512" t="s">
        <v>110</v>
      </c>
      <c r="L1512" t="s">
        <v>162</v>
      </c>
      <c r="M1512" s="4">
        <v>1500000000</v>
      </c>
      <c r="N1512">
        <v>0</v>
      </c>
      <c r="O1512">
        <v>4.7183159999999997</v>
      </c>
      <c r="P1512">
        <v>-74.027266999999995</v>
      </c>
      <c r="Q1512" t="s">
        <v>1830</v>
      </c>
      <c r="R1512">
        <v>6880733.9450000003</v>
      </c>
      <c r="S1512">
        <v>0</v>
      </c>
      <c r="T1512" t="s">
        <v>104</v>
      </c>
      <c r="U1512" t="s">
        <v>105</v>
      </c>
      <c r="V1512" t="s">
        <v>77</v>
      </c>
      <c r="W1512" t="s">
        <v>104</v>
      </c>
      <c r="X1512" t="s">
        <v>106</v>
      </c>
      <c r="Y1512">
        <v>0.95313504121863402</v>
      </c>
      <c r="Z1512">
        <v>953.135041218634</v>
      </c>
      <c r="AA1512">
        <v>4.71035</v>
      </c>
      <c r="AB1512">
        <v>-74.030416666666696</v>
      </c>
      <c r="AC1512">
        <v>2570</v>
      </c>
      <c r="AD1512">
        <v>10</v>
      </c>
      <c r="AE1512" t="s">
        <v>80</v>
      </c>
      <c r="AF1512" t="s">
        <v>107</v>
      </c>
      <c r="AG1512" t="s">
        <v>82</v>
      </c>
      <c r="AH1512" t="s">
        <v>83</v>
      </c>
      <c r="AI1512" t="s">
        <v>108</v>
      </c>
      <c r="AJ1512">
        <v>2.7006099934426602</v>
      </c>
      <c r="AK1512">
        <v>0.43484383514401098</v>
      </c>
      <c r="AL1512">
        <v>1.0363730309232999</v>
      </c>
      <c r="AM1512">
        <v>0.31912799413709703</v>
      </c>
      <c r="AN1512">
        <v>2.56690408028923</v>
      </c>
      <c r="AO1512">
        <v>0.218576400391465</v>
      </c>
      <c r="AP1512">
        <v>0.218576400391465</v>
      </c>
      <c r="AQ1512">
        <v>0</v>
      </c>
      <c r="AR1512">
        <v>0</v>
      </c>
      <c r="AS1512">
        <v>3</v>
      </c>
      <c r="AT1512">
        <v>32</v>
      </c>
      <c r="AU1512">
        <v>0</v>
      </c>
      <c r="AV1512">
        <v>69</v>
      </c>
      <c r="AW1512">
        <v>0</v>
      </c>
      <c r="AX1512">
        <v>0</v>
      </c>
      <c r="AY1512">
        <v>15.5</v>
      </c>
      <c r="AZ1512">
        <v>2.4</v>
      </c>
      <c r="BA1512">
        <v>10.9</v>
      </c>
      <c r="BB1512">
        <v>564</v>
      </c>
      <c r="BC1512">
        <v>68</v>
      </c>
      <c r="BD1512">
        <v>1.5</v>
      </c>
      <c r="BE1512">
        <v>135</v>
      </c>
      <c r="BF1512">
        <v>0</v>
      </c>
      <c r="BG1512">
        <v>162</v>
      </c>
      <c r="BH1512">
        <v>9.1</v>
      </c>
      <c r="BI1512">
        <v>9.1999999999999993</v>
      </c>
      <c r="BJ1512">
        <v>18.3</v>
      </c>
      <c r="BK1512">
        <v>0.34</v>
      </c>
      <c r="BL1512">
        <v>7.3</v>
      </c>
      <c r="BM1512">
        <v>0.9</v>
      </c>
      <c r="BN1512">
        <v>7.5</v>
      </c>
      <c r="BO1512">
        <v>2.9</v>
      </c>
      <c r="BP1512">
        <f t="shared" si="46"/>
        <v>2.2893972030676872</v>
      </c>
      <c r="BQ1512">
        <f t="shared" si="47"/>
        <v>10.653490109109468</v>
      </c>
    </row>
    <row r="1513" spans="1:69" hidden="1" x14ac:dyDescent="0.2">
      <c r="A1513" t="s">
        <v>2824</v>
      </c>
      <c r="B1513" t="s">
        <v>68</v>
      </c>
      <c r="C1513" t="s">
        <v>1956</v>
      </c>
      <c r="D1513" t="s">
        <v>70</v>
      </c>
      <c r="E1513" t="s">
        <v>344</v>
      </c>
      <c r="F1513">
        <v>5</v>
      </c>
      <c r="G1513">
        <v>217</v>
      </c>
      <c r="H1513">
        <v>4</v>
      </c>
      <c r="I1513">
        <v>3</v>
      </c>
      <c r="J1513">
        <v>3</v>
      </c>
      <c r="K1513" t="s">
        <v>110</v>
      </c>
      <c r="L1513" t="s">
        <v>162</v>
      </c>
      <c r="M1513" s="4">
        <v>950000000</v>
      </c>
      <c r="N1513">
        <v>0</v>
      </c>
      <c r="O1513">
        <v>4.70275</v>
      </c>
      <c r="P1513">
        <v>-74.059690000000003</v>
      </c>
      <c r="Q1513" t="s">
        <v>2825</v>
      </c>
      <c r="R1513">
        <v>4377880.1840000004</v>
      </c>
      <c r="S1513">
        <v>0</v>
      </c>
      <c r="T1513" t="s">
        <v>104</v>
      </c>
      <c r="U1513" t="s">
        <v>105</v>
      </c>
      <c r="V1513" t="s">
        <v>77</v>
      </c>
      <c r="W1513" t="s">
        <v>104</v>
      </c>
      <c r="X1513" t="s">
        <v>106</v>
      </c>
      <c r="Y1513">
        <v>3.3560909922686499</v>
      </c>
      <c r="Z1513">
        <v>3356.0909922686501</v>
      </c>
      <c r="AA1513">
        <v>4.71035</v>
      </c>
      <c r="AB1513">
        <v>-74.030416666666696</v>
      </c>
      <c r="AC1513">
        <v>2570</v>
      </c>
      <c r="AD1513">
        <v>10</v>
      </c>
      <c r="AE1513" t="s">
        <v>80</v>
      </c>
      <c r="AF1513" t="s">
        <v>107</v>
      </c>
      <c r="AG1513" t="s">
        <v>82</v>
      </c>
      <c r="AH1513" t="s">
        <v>83</v>
      </c>
      <c r="AI1513" t="s">
        <v>121</v>
      </c>
      <c r="AJ1513">
        <v>0.640901583630616</v>
      </c>
      <c r="AK1513">
        <v>3.7262095634355399</v>
      </c>
      <c r="AL1513">
        <v>1.2273061128719001</v>
      </c>
      <c r="AM1513">
        <v>0.13957814209265301</v>
      </c>
      <c r="AN1513">
        <v>4.03373993972634</v>
      </c>
      <c r="AO1513">
        <v>7.5063621058680502E-2</v>
      </c>
      <c r="AP1513">
        <v>7.5063621058680502E-2</v>
      </c>
      <c r="AQ1513">
        <v>0</v>
      </c>
      <c r="AR1513">
        <v>2</v>
      </c>
      <c r="AS1513">
        <v>0</v>
      </c>
      <c r="AT1513">
        <v>0</v>
      </c>
      <c r="AU1513">
        <v>0</v>
      </c>
      <c r="AV1513">
        <v>74</v>
      </c>
      <c r="AW1513">
        <v>0</v>
      </c>
      <c r="AX1513">
        <v>0</v>
      </c>
      <c r="AY1513">
        <v>15.5</v>
      </c>
      <c r="AZ1513">
        <v>2.4</v>
      </c>
      <c r="BA1513">
        <v>10.9</v>
      </c>
      <c r="BB1513">
        <v>564</v>
      </c>
      <c r="BC1513">
        <v>68</v>
      </c>
      <c r="BD1513">
        <v>1.5</v>
      </c>
      <c r="BE1513">
        <v>135</v>
      </c>
      <c r="BF1513">
        <v>0</v>
      </c>
      <c r="BG1513">
        <v>162</v>
      </c>
      <c r="BH1513">
        <v>9.1</v>
      </c>
      <c r="BI1513">
        <v>9.1999999999999993</v>
      </c>
      <c r="BJ1513">
        <v>18.3</v>
      </c>
      <c r="BK1513">
        <v>0.34</v>
      </c>
      <c r="BL1513">
        <v>7.3</v>
      </c>
      <c r="BM1513">
        <v>0.9</v>
      </c>
      <c r="BN1513">
        <v>7.5</v>
      </c>
      <c r="BO1513">
        <v>2.9</v>
      </c>
      <c r="BP1513">
        <f t="shared" si="46"/>
        <v>2.0326538067137063</v>
      </c>
      <c r="BQ1513">
        <f t="shared" si="47"/>
        <v>10.056473992008987</v>
      </c>
    </row>
    <row r="1514" spans="1:69" hidden="1" x14ac:dyDescent="0.2">
      <c r="A1514" t="s">
        <v>1544</v>
      </c>
      <c r="B1514" t="s">
        <v>68</v>
      </c>
      <c r="C1514" t="s">
        <v>69</v>
      </c>
      <c r="D1514" t="s">
        <v>70</v>
      </c>
      <c r="E1514" t="s">
        <v>1545</v>
      </c>
      <c r="F1514">
        <v>6</v>
      </c>
      <c r="G1514">
        <v>215</v>
      </c>
      <c r="H1514">
        <v>3</v>
      </c>
      <c r="I1514">
        <v>4</v>
      </c>
      <c r="J1514">
        <v>3</v>
      </c>
      <c r="K1514" t="s">
        <v>110</v>
      </c>
      <c r="L1514" t="s">
        <v>162</v>
      </c>
      <c r="M1514" s="4">
        <v>1530000000</v>
      </c>
      <c r="N1514">
        <v>0</v>
      </c>
      <c r="O1514">
        <v>4.7110743519999998</v>
      </c>
      <c r="P1514">
        <v>-74.026992800000002</v>
      </c>
      <c r="Q1514" t="s">
        <v>1546</v>
      </c>
      <c r="R1514">
        <v>7116279.0700000003</v>
      </c>
      <c r="S1514">
        <v>0</v>
      </c>
      <c r="T1514" t="s">
        <v>104</v>
      </c>
      <c r="U1514" t="s">
        <v>105</v>
      </c>
      <c r="V1514" t="s">
        <v>77</v>
      </c>
      <c r="W1514" t="s">
        <v>104</v>
      </c>
      <c r="X1514" t="s">
        <v>106</v>
      </c>
      <c r="Y1514">
        <v>0.38831972333682602</v>
      </c>
      <c r="Z1514">
        <v>388.31972333682597</v>
      </c>
      <c r="AA1514">
        <v>4.71035</v>
      </c>
      <c r="AB1514">
        <v>-74.030416666666696</v>
      </c>
      <c r="AC1514">
        <v>2570</v>
      </c>
      <c r="AD1514">
        <v>10</v>
      </c>
      <c r="AE1514" t="s">
        <v>80</v>
      </c>
      <c r="AF1514" t="s">
        <v>107</v>
      </c>
      <c r="AG1514" t="s">
        <v>82</v>
      </c>
      <c r="AH1514" t="s">
        <v>83</v>
      </c>
      <c r="AI1514" t="s">
        <v>108</v>
      </c>
      <c r="AJ1514">
        <v>2.8606077231059199</v>
      </c>
      <c r="AK1514">
        <v>0.26982510397814502</v>
      </c>
      <c r="AL1514">
        <v>0.64253759428271295</v>
      </c>
      <c r="AM1514">
        <v>0.31824216393475702</v>
      </c>
      <c r="AN1514">
        <v>3.3666249407397899</v>
      </c>
      <c r="AO1514">
        <v>0.62449412446749597</v>
      </c>
      <c r="AP1514">
        <v>0.62449412446749597</v>
      </c>
      <c r="AQ1514">
        <v>0</v>
      </c>
      <c r="AR1514">
        <v>0</v>
      </c>
      <c r="AS1514">
        <v>14</v>
      </c>
      <c r="AT1514">
        <v>46</v>
      </c>
      <c r="AU1514">
        <v>1</v>
      </c>
      <c r="AV1514">
        <v>84</v>
      </c>
      <c r="AW1514">
        <v>0</v>
      </c>
      <c r="AX1514">
        <v>0</v>
      </c>
      <c r="AY1514">
        <v>15.5</v>
      </c>
      <c r="AZ1514">
        <v>2.4</v>
      </c>
      <c r="BA1514">
        <v>10.9</v>
      </c>
      <c r="BB1514">
        <v>564</v>
      </c>
      <c r="BC1514">
        <v>68</v>
      </c>
      <c r="BD1514">
        <v>1.5</v>
      </c>
      <c r="BE1514">
        <v>135</v>
      </c>
      <c r="BF1514">
        <v>0</v>
      </c>
      <c r="BG1514">
        <v>162</v>
      </c>
      <c r="BH1514">
        <v>9.1</v>
      </c>
      <c r="BI1514">
        <v>9.1999999999999993</v>
      </c>
      <c r="BJ1514">
        <v>18.3</v>
      </c>
      <c r="BK1514">
        <v>0.34</v>
      </c>
      <c r="BL1514">
        <v>7.3</v>
      </c>
      <c r="BM1514">
        <v>0.9</v>
      </c>
      <c r="BN1514">
        <v>7.5</v>
      </c>
      <c r="BO1514">
        <v>2.9</v>
      </c>
      <c r="BP1514">
        <f t="shared" si="46"/>
        <v>2.3543081639730841</v>
      </c>
      <c r="BQ1514">
        <f t="shared" si="47"/>
        <v>10.798887460151215</v>
      </c>
    </row>
    <row r="1515" spans="1:69" hidden="1" x14ac:dyDescent="0.2">
      <c r="A1515" t="s">
        <v>2649</v>
      </c>
      <c r="B1515" t="s">
        <v>68</v>
      </c>
      <c r="C1515" t="s">
        <v>1956</v>
      </c>
      <c r="D1515" t="s">
        <v>70</v>
      </c>
      <c r="E1515" t="s">
        <v>1010</v>
      </c>
      <c r="F1515">
        <v>5</v>
      </c>
      <c r="G1515">
        <v>214</v>
      </c>
      <c r="H1515">
        <v>5</v>
      </c>
      <c r="I1515">
        <v>3</v>
      </c>
      <c r="J1515">
        <v>1</v>
      </c>
      <c r="K1515" t="s">
        <v>110</v>
      </c>
      <c r="L1515" t="s">
        <v>162</v>
      </c>
      <c r="M1515" s="4">
        <v>1350000000</v>
      </c>
      <c r="N1515">
        <v>0</v>
      </c>
      <c r="O1515">
        <v>4.6897700000000002</v>
      </c>
      <c r="P1515">
        <v>-74.060019999999994</v>
      </c>
      <c r="Q1515" t="s">
        <v>2650</v>
      </c>
      <c r="R1515">
        <v>6308411.2149999999</v>
      </c>
      <c r="S1515">
        <v>0</v>
      </c>
      <c r="T1515" t="s">
        <v>104</v>
      </c>
      <c r="U1515" t="s">
        <v>105</v>
      </c>
      <c r="V1515" t="s">
        <v>77</v>
      </c>
      <c r="W1515" t="s">
        <v>104</v>
      </c>
      <c r="X1515" t="s">
        <v>106</v>
      </c>
      <c r="Y1515">
        <v>4.00442341843668</v>
      </c>
      <c r="Z1515">
        <v>4004.4234184366801</v>
      </c>
      <c r="AA1515">
        <v>4.71035</v>
      </c>
      <c r="AB1515">
        <v>-74.030416666666696</v>
      </c>
      <c r="AC1515">
        <v>2570</v>
      </c>
      <c r="AD1515">
        <v>10</v>
      </c>
      <c r="AE1515" t="s">
        <v>80</v>
      </c>
      <c r="AF1515" t="s">
        <v>107</v>
      </c>
      <c r="AG1515" t="s">
        <v>82</v>
      </c>
      <c r="AH1515" t="s">
        <v>83</v>
      </c>
      <c r="AI1515" t="s">
        <v>121</v>
      </c>
      <c r="AJ1515">
        <v>0.55416845789129998</v>
      </c>
      <c r="AK1515">
        <v>2.86453880589454</v>
      </c>
      <c r="AL1515">
        <v>0.91426837518752901</v>
      </c>
      <c r="AM1515">
        <v>0.123660203158601</v>
      </c>
      <c r="AN1515">
        <v>2.9959068370620598</v>
      </c>
      <c r="AO1515">
        <v>0.16281421786247899</v>
      </c>
      <c r="AP1515">
        <v>0.16281421786247899</v>
      </c>
      <c r="AQ1515">
        <v>0</v>
      </c>
      <c r="AR1515">
        <v>5</v>
      </c>
      <c r="AS1515">
        <v>0</v>
      </c>
      <c r="AT1515">
        <v>0</v>
      </c>
      <c r="AU1515">
        <v>1</v>
      </c>
      <c r="AV1515">
        <v>201</v>
      </c>
      <c r="AW1515">
        <v>0</v>
      </c>
      <c r="AX1515">
        <v>0</v>
      </c>
      <c r="AY1515">
        <v>15.5</v>
      </c>
      <c r="AZ1515">
        <v>2.4</v>
      </c>
      <c r="BA1515">
        <v>10.9</v>
      </c>
      <c r="BB1515">
        <v>564</v>
      </c>
      <c r="BC1515">
        <v>68</v>
      </c>
      <c r="BD1515">
        <v>1.5</v>
      </c>
      <c r="BE1515">
        <v>135</v>
      </c>
      <c r="BF1515">
        <v>0</v>
      </c>
      <c r="BG1515">
        <v>162</v>
      </c>
      <c r="BH1515">
        <v>9.1</v>
      </c>
      <c r="BI1515">
        <v>9.1999999999999993</v>
      </c>
      <c r="BJ1515">
        <v>18.3</v>
      </c>
      <c r="BK1515">
        <v>0.34</v>
      </c>
      <c r="BL1515">
        <v>7.3</v>
      </c>
      <c r="BM1515">
        <v>0.9</v>
      </c>
      <c r="BN1515">
        <v>7.5</v>
      </c>
      <c r="BO1515">
        <v>2.9</v>
      </c>
      <c r="BP1515">
        <f t="shared" si="46"/>
        <v>1.9684565886356427</v>
      </c>
      <c r="BQ1515">
        <f t="shared" si="47"/>
        <v>9.9012065870374464</v>
      </c>
    </row>
    <row r="1516" spans="1:69" hidden="1" x14ac:dyDescent="0.2">
      <c r="A1516" t="s">
        <v>2204</v>
      </c>
      <c r="B1516" t="s">
        <v>68</v>
      </c>
      <c r="C1516" t="s">
        <v>1956</v>
      </c>
      <c r="D1516" t="s">
        <v>70</v>
      </c>
      <c r="E1516" t="s">
        <v>1564</v>
      </c>
      <c r="F1516">
        <v>3</v>
      </c>
      <c r="G1516">
        <v>214</v>
      </c>
      <c r="H1516">
        <v>5</v>
      </c>
      <c r="I1516">
        <v>4</v>
      </c>
      <c r="J1516">
        <v>0</v>
      </c>
      <c r="K1516" t="s">
        <v>110</v>
      </c>
      <c r="L1516" t="s">
        <v>162</v>
      </c>
      <c r="M1516" s="4">
        <v>750000000</v>
      </c>
      <c r="N1516">
        <v>0</v>
      </c>
      <c r="O1516">
        <v>4.7341084000000002</v>
      </c>
      <c r="P1516">
        <v>-74.0304</v>
      </c>
      <c r="Q1516" t="s">
        <v>2205</v>
      </c>
      <c r="R1516">
        <v>3504672.8969999999</v>
      </c>
      <c r="S1516">
        <v>0</v>
      </c>
      <c r="T1516" t="s">
        <v>104</v>
      </c>
      <c r="U1516" t="s">
        <v>105</v>
      </c>
      <c r="V1516" t="s">
        <v>77</v>
      </c>
      <c r="W1516" t="s">
        <v>104</v>
      </c>
      <c r="X1516" t="s">
        <v>106</v>
      </c>
      <c r="Y1516">
        <v>2.6447736364133498</v>
      </c>
      <c r="Z1516">
        <v>2644.7736364133498</v>
      </c>
      <c r="AA1516">
        <v>4.71035</v>
      </c>
      <c r="AB1516">
        <v>-74.030416666666696</v>
      </c>
      <c r="AC1516">
        <v>2570</v>
      </c>
      <c r="AD1516">
        <v>10</v>
      </c>
      <c r="AE1516" t="s">
        <v>80</v>
      </c>
      <c r="AF1516" t="s">
        <v>107</v>
      </c>
      <c r="AG1516" t="s">
        <v>82</v>
      </c>
      <c r="AH1516" t="s">
        <v>83</v>
      </c>
      <c r="AI1516" t="s">
        <v>108</v>
      </c>
      <c r="AJ1516">
        <v>2.0879713698226099</v>
      </c>
      <c r="AK1516">
        <v>0.945076840955832</v>
      </c>
      <c r="AL1516">
        <v>1.0698987724309099</v>
      </c>
      <c r="AM1516">
        <v>0.513234355600234</v>
      </c>
      <c r="AN1516">
        <v>0.91618505787263105</v>
      </c>
      <c r="AO1516">
        <v>4.4641770871558302E-2</v>
      </c>
      <c r="AP1516">
        <v>4.4641770871558302E-2</v>
      </c>
      <c r="AQ1516">
        <v>0</v>
      </c>
      <c r="AR1516">
        <v>0</v>
      </c>
      <c r="AS1516">
        <v>0</v>
      </c>
      <c r="AT1516">
        <v>1</v>
      </c>
      <c r="AU1516">
        <v>0</v>
      </c>
      <c r="AV1516">
        <v>11</v>
      </c>
      <c r="AW1516">
        <v>1</v>
      </c>
      <c r="AX1516">
        <v>0</v>
      </c>
      <c r="AY1516">
        <v>15.5</v>
      </c>
      <c r="AZ1516">
        <v>2.4</v>
      </c>
      <c r="BA1516">
        <v>10.9</v>
      </c>
      <c r="BB1516">
        <v>564</v>
      </c>
      <c r="BC1516">
        <v>68</v>
      </c>
      <c r="BD1516">
        <v>1.5</v>
      </c>
      <c r="BE1516">
        <v>135</v>
      </c>
      <c r="BF1516">
        <v>0</v>
      </c>
      <c r="BG1516">
        <v>162</v>
      </c>
      <c r="BH1516">
        <v>9.1</v>
      </c>
      <c r="BI1516">
        <v>9.1999999999999993</v>
      </c>
      <c r="BJ1516">
        <v>18.3</v>
      </c>
      <c r="BK1516">
        <v>0.34</v>
      </c>
      <c r="BL1516">
        <v>7.3</v>
      </c>
      <c r="BM1516">
        <v>0.9</v>
      </c>
      <c r="BN1516">
        <v>7.5</v>
      </c>
      <c r="BO1516">
        <v>2.9</v>
      </c>
      <c r="BP1516">
        <f t="shared" si="46"/>
        <v>2.1054988919421618</v>
      </c>
      <c r="BQ1516">
        <f t="shared" si="47"/>
        <v>10.229628064397343</v>
      </c>
    </row>
    <row r="1517" spans="1:69" hidden="1" x14ac:dyDescent="0.2">
      <c r="A1517" t="s">
        <v>2831</v>
      </c>
      <c r="B1517" t="s">
        <v>68</v>
      </c>
      <c r="C1517" t="s">
        <v>1956</v>
      </c>
      <c r="D1517" t="s">
        <v>70</v>
      </c>
      <c r="E1517" t="s">
        <v>2220</v>
      </c>
      <c r="F1517">
        <v>5</v>
      </c>
      <c r="G1517">
        <v>212</v>
      </c>
      <c r="H1517">
        <v>3</v>
      </c>
      <c r="I1517">
        <v>3</v>
      </c>
      <c r="J1517">
        <v>3</v>
      </c>
      <c r="K1517" t="s">
        <v>110</v>
      </c>
      <c r="L1517" t="s">
        <v>162</v>
      </c>
      <c r="M1517" s="4">
        <v>1400000000</v>
      </c>
      <c r="N1517">
        <v>0</v>
      </c>
      <c r="O1517">
        <v>4.7013480000000003</v>
      </c>
      <c r="P1517">
        <v>-74.059985999999995</v>
      </c>
      <c r="Q1517" t="s">
        <v>2832</v>
      </c>
      <c r="R1517">
        <v>6603773.585</v>
      </c>
      <c r="S1517">
        <v>0</v>
      </c>
      <c r="T1517" t="s">
        <v>104</v>
      </c>
      <c r="U1517" t="s">
        <v>105</v>
      </c>
      <c r="V1517" t="s">
        <v>77</v>
      </c>
      <c r="W1517" t="s">
        <v>104</v>
      </c>
      <c r="X1517" t="s">
        <v>106</v>
      </c>
      <c r="Y1517">
        <v>3.4301879658507</v>
      </c>
      <c r="Z1517">
        <v>3430.1879658507</v>
      </c>
      <c r="AA1517">
        <v>4.71035</v>
      </c>
      <c r="AB1517">
        <v>-74.030416666666696</v>
      </c>
      <c r="AC1517">
        <v>2570</v>
      </c>
      <c r="AD1517">
        <v>10</v>
      </c>
      <c r="AE1517" t="s">
        <v>80</v>
      </c>
      <c r="AF1517" t="s">
        <v>107</v>
      </c>
      <c r="AG1517" t="s">
        <v>82</v>
      </c>
      <c r="AH1517" t="s">
        <v>83</v>
      </c>
      <c r="AI1517" t="s">
        <v>121</v>
      </c>
      <c r="AJ1517">
        <v>0.62901470474072796</v>
      </c>
      <c r="AK1517">
        <v>3.6415325998963102</v>
      </c>
      <c r="AL1517">
        <v>1.13599689121392</v>
      </c>
      <c r="AM1517">
        <v>0.110644813542318</v>
      </c>
      <c r="AN1517">
        <v>3.8915023613795299</v>
      </c>
      <c r="AO1517">
        <v>8.15111673763175E-2</v>
      </c>
      <c r="AP1517">
        <v>8.15111673763175E-2</v>
      </c>
      <c r="AQ1517">
        <v>0</v>
      </c>
      <c r="AR1517">
        <v>2</v>
      </c>
      <c r="AS1517">
        <v>0</v>
      </c>
      <c r="AT1517">
        <v>0</v>
      </c>
      <c r="AU1517">
        <v>0</v>
      </c>
      <c r="AV1517">
        <v>65</v>
      </c>
      <c r="AW1517">
        <v>0</v>
      </c>
      <c r="AX1517">
        <v>0</v>
      </c>
      <c r="AY1517">
        <v>15.5</v>
      </c>
      <c r="AZ1517">
        <v>2.4</v>
      </c>
      <c r="BA1517">
        <v>10.9</v>
      </c>
      <c r="BB1517">
        <v>564</v>
      </c>
      <c r="BC1517">
        <v>68</v>
      </c>
      <c r="BD1517">
        <v>1.5</v>
      </c>
      <c r="BE1517">
        <v>135</v>
      </c>
      <c r="BF1517">
        <v>0</v>
      </c>
      <c r="BG1517">
        <v>162</v>
      </c>
      <c r="BH1517">
        <v>9.1</v>
      </c>
      <c r="BI1517">
        <v>9.1999999999999993</v>
      </c>
      <c r="BJ1517">
        <v>18.3</v>
      </c>
      <c r="BK1517">
        <v>0.34</v>
      </c>
      <c r="BL1517">
        <v>7.3</v>
      </c>
      <c r="BM1517">
        <v>0.9</v>
      </c>
      <c r="BN1517">
        <v>7.5</v>
      </c>
      <c r="BO1517">
        <v>2.9</v>
      </c>
      <c r="BP1517">
        <f t="shared" si="46"/>
        <v>2.0252120943901128</v>
      </c>
      <c r="BQ1517">
        <f t="shared" si="47"/>
        <v>10.038606181221121</v>
      </c>
    </row>
    <row r="1518" spans="1:69" hidden="1" x14ac:dyDescent="0.2">
      <c r="A1518" t="s">
        <v>1576</v>
      </c>
      <c r="B1518" t="s">
        <v>68</v>
      </c>
      <c r="C1518" t="s">
        <v>69</v>
      </c>
      <c r="D1518" t="s">
        <v>70</v>
      </c>
      <c r="E1518" t="s">
        <v>982</v>
      </c>
      <c r="F1518">
        <v>6</v>
      </c>
      <c r="G1518">
        <v>212</v>
      </c>
      <c r="H1518">
        <v>4</v>
      </c>
      <c r="I1518">
        <v>5</v>
      </c>
      <c r="J1518">
        <v>4</v>
      </c>
      <c r="K1518" t="s">
        <v>110</v>
      </c>
      <c r="L1518" t="s">
        <v>162</v>
      </c>
      <c r="M1518" s="4">
        <v>1670000000</v>
      </c>
      <c r="N1518">
        <v>0</v>
      </c>
      <c r="O1518">
        <v>4.7151520720000004</v>
      </c>
      <c r="P1518">
        <v>-74.046709969999995</v>
      </c>
      <c r="Q1518" t="s">
        <v>1577</v>
      </c>
      <c r="R1518">
        <v>7877358.4910000004</v>
      </c>
      <c r="S1518">
        <v>0</v>
      </c>
      <c r="T1518" t="s">
        <v>104</v>
      </c>
      <c r="U1518" t="s">
        <v>105</v>
      </c>
      <c r="V1518" t="s">
        <v>77</v>
      </c>
      <c r="W1518" t="s">
        <v>104</v>
      </c>
      <c r="X1518" t="s">
        <v>106</v>
      </c>
      <c r="Y1518">
        <v>1.8850160691695601</v>
      </c>
      <c r="Z1518">
        <v>1885.0160691695601</v>
      </c>
      <c r="AA1518">
        <v>4.71035</v>
      </c>
      <c r="AB1518">
        <v>-74.030416666666696</v>
      </c>
      <c r="AC1518">
        <v>2570</v>
      </c>
      <c r="AD1518">
        <v>10</v>
      </c>
      <c r="AE1518" t="s">
        <v>80</v>
      </c>
      <c r="AF1518" t="s">
        <v>107</v>
      </c>
      <c r="AG1518" t="s">
        <v>82</v>
      </c>
      <c r="AH1518" t="s">
        <v>83</v>
      </c>
      <c r="AI1518" t="s">
        <v>108</v>
      </c>
      <c r="AJ1518">
        <v>0.65174394450694795</v>
      </c>
      <c r="AK1518">
        <v>2.4582821227872902</v>
      </c>
      <c r="AL1518">
        <v>1.61973113186592</v>
      </c>
      <c r="AM1518">
        <v>0.323373038111474</v>
      </c>
      <c r="AN1518">
        <v>3.6617734504157999</v>
      </c>
      <c r="AO1518">
        <v>0.61353058172763897</v>
      </c>
      <c r="AP1518">
        <v>0.61353058172763897</v>
      </c>
      <c r="AQ1518">
        <v>0</v>
      </c>
      <c r="AR1518">
        <v>2</v>
      </c>
      <c r="AS1518">
        <v>0</v>
      </c>
      <c r="AT1518">
        <v>0</v>
      </c>
      <c r="AU1518">
        <v>0</v>
      </c>
      <c r="AV1518">
        <v>47</v>
      </c>
      <c r="AW1518">
        <v>0</v>
      </c>
      <c r="AX1518">
        <v>0</v>
      </c>
      <c r="AY1518">
        <v>15.5</v>
      </c>
      <c r="AZ1518">
        <v>2.4</v>
      </c>
      <c r="BA1518">
        <v>10.9</v>
      </c>
      <c r="BB1518">
        <v>564</v>
      </c>
      <c r="BC1518">
        <v>68</v>
      </c>
      <c r="BD1518">
        <v>1.5</v>
      </c>
      <c r="BE1518">
        <v>135</v>
      </c>
      <c r="BF1518">
        <v>0</v>
      </c>
      <c r="BG1518">
        <v>162</v>
      </c>
      <c r="BH1518">
        <v>9.1</v>
      </c>
      <c r="BI1518">
        <v>9.1999999999999993</v>
      </c>
      <c r="BJ1518">
        <v>18.3</v>
      </c>
      <c r="BK1518">
        <v>0.34</v>
      </c>
      <c r="BL1518">
        <v>7.3</v>
      </c>
      <c r="BM1518">
        <v>0.9</v>
      </c>
      <c r="BN1518">
        <v>7.5</v>
      </c>
      <c r="BO1518">
        <v>2.9</v>
      </c>
      <c r="BP1518">
        <f t="shared" si="46"/>
        <v>2.1861903043390756</v>
      </c>
      <c r="BQ1518">
        <f t="shared" si="47"/>
        <v>10.417867944894587</v>
      </c>
    </row>
    <row r="1519" spans="1:69" hidden="1" x14ac:dyDescent="0.2">
      <c r="A1519" t="s">
        <v>1218</v>
      </c>
      <c r="B1519" t="s">
        <v>68</v>
      </c>
      <c r="C1519" t="s">
        <v>69</v>
      </c>
      <c r="D1519" t="s">
        <v>70</v>
      </c>
      <c r="E1519" t="s">
        <v>1083</v>
      </c>
      <c r="F1519">
        <v>6</v>
      </c>
      <c r="G1519">
        <v>212</v>
      </c>
      <c r="H1519">
        <v>3</v>
      </c>
      <c r="I1519">
        <v>4</v>
      </c>
      <c r="J1519">
        <v>3</v>
      </c>
      <c r="K1519" t="s">
        <v>110</v>
      </c>
      <c r="L1519" t="s">
        <v>115</v>
      </c>
      <c r="M1519" s="4">
        <v>1700000000</v>
      </c>
      <c r="N1519">
        <v>0</v>
      </c>
      <c r="O1519">
        <v>4.7087264060000003</v>
      </c>
      <c r="P1519">
        <v>-74.028236390000004</v>
      </c>
      <c r="Q1519" t="s">
        <v>1219</v>
      </c>
      <c r="R1519">
        <v>8018867.9249999998</v>
      </c>
      <c r="S1519">
        <v>0</v>
      </c>
      <c r="T1519" t="s">
        <v>104</v>
      </c>
      <c r="U1519" t="s">
        <v>105</v>
      </c>
      <c r="V1519" t="s">
        <v>77</v>
      </c>
      <c r="W1519" t="s">
        <v>104</v>
      </c>
      <c r="X1519" t="s">
        <v>106</v>
      </c>
      <c r="Y1519">
        <v>0.30195335674080698</v>
      </c>
      <c r="Z1519">
        <v>301.95335674080701</v>
      </c>
      <c r="AA1519">
        <v>4.71035</v>
      </c>
      <c r="AB1519">
        <v>-74.030416666666696</v>
      </c>
      <c r="AC1519">
        <v>2570</v>
      </c>
      <c r="AD1519">
        <v>10</v>
      </c>
      <c r="AE1519" t="s">
        <v>80</v>
      </c>
      <c r="AF1519" t="s">
        <v>107</v>
      </c>
      <c r="AG1519" t="s">
        <v>82</v>
      </c>
      <c r="AH1519" t="s">
        <v>83</v>
      </c>
      <c r="AI1519" t="s">
        <v>108</v>
      </c>
      <c r="AJ1519">
        <v>2.77264734691544</v>
      </c>
      <c r="AK1519">
        <v>0.354961587475072</v>
      </c>
      <c r="AL1519">
        <v>0.55064936793612496</v>
      </c>
      <c r="AM1519">
        <v>0.31911667404280702</v>
      </c>
      <c r="AN1519">
        <v>3.6298096003909501</v>
      </c>
      <c r="AO1519">
        <v>0.35411782818635401</v>
      </c>
      <c r="AP1519">
        <v>0.35411782818635401</v>
      </c>
      <c r="AQ1519">
        <v>0</v>
      </c>
      <c r="AR1519">
        <v>0</v>
      </c>
      <c r="AS1519">
        <v>5</v>
      </c>
      <c r="AT1519">
        <v>37</v>
      </c>
      <c r="AU1519">
        <v>2</v>
      </c>
      <c r="AV1519">
        <v>92</v>
      </c>
      <c r="AW1519">
        <v>0</v>
      </c>
      <c r="AX1519">
        <v>0</v>
      </c>
      <c r="AY1519">
        <v>15.5</v>
      </c>
      <c r="AZ1519">
        <v>2.4</v>
      </c>
      <c r="BA1519">
        <v>10.9</v>
      </c>
      <c r="BB1519">
        <v>564</v>
      </c>
      <c r="BC1519">
        <v>68</v>
      </c>
      <c r="BD1519">
        <v>1.5</v>
      </c>
      <c r="BE1519">
        <v>135</v>
      </c>
      <c r="BF1519">
        <v>0</v>
      </c>
      <c r="BG1519">
        <v>162</v>
      </c>
      <c r="BH1519">
        <v>9.1</v>
      </c>
      <c r="BI1519">
        <v>9.1999999999999993</v>
      </c>
      <c r="BJ1519">
        <v>18.3</v>
      </c>
      <c r="BK1519">
        <v>0.34</v>
      </c>
      <c r="BL1519">
        <v>7.3</v>
      </c>
      <c r="BM1519">
        <v>0.9</v>
      </c>
      <c r="BN1519">
        <v>7.5</v>
      </c>
      <c r="BO1519">
        <v>2.9</v>
      </c>
      <c r="BP1519">
        <f t="shared" si="46"/>
        <v>2.3643946948294312</v>
      </c>
      <c r="BQ1519">
        <f t="shared" si="47"/>
        <v>10.821294530893141</v>
      </c>
    </row>
    <row r="1520" spans="1:69" hidden="1" x14ac:dyDescent="0.2">
      <c r="A1520" t="s">
        <v>2716</v>
      </c>
      <c r="B1520" t="s">
        <v>68</v>
      </c>
      <c r="C1520" t="s">
        <v>1956</v>
      </c>
      <c r="D1520" t="s">
        <v>70</v>
      </c>
      <c r="E1520" t="s">
        <v>344</v>
      </c>
      <c r="F1520">
        <v>5</v>
      </c>
      <c r="G1520">
        <v>210</v>
      </c>
      <c r="H1520">
        <v>5</v>
      </c>
      <c r="I1520">
        <v>4</v>
      </c>
      <c r="J1520">
        <v>2</v>
      </c>
      <c r="K1520" t="s">
        <v>110</v>
      </c>
      <c r="L1520" t="s">
        <v>162</v>
      </c>
      <c r="M1520" s="4">
        <v>1100000000</v>
      </c>
      <c r="N1520">
        <v>0</v>
      </c>
      <c r="O1520">
        <v>4.7039365770000003</v>
      </c>
      <c r="P1520">
        <v>-74.062171939999999</v>
      </c>
      <c r="Q1520" t="s">
        <v>2717</v>
      </c>
      <c r="R1520">
        <v>5238095.2379999999</v>
      </c>
      <c r="S1520">
        <v>0</v>
      </c>
      <c r="T1520" t="s">
        <v>104</v>
      </c>
      <c r="U1520" t="s">
        <v>105</v>
      </c>
      <c r="V1520" t="s">
        <v>77</v>
      </c>
      <c r="W1520" t="s">
        <v>104</v>
      </c>
      <c r="X1520" t="s">
        <v>106</v>
      </c>
      <c r="Y1520">
        <v>3.59466912786832</v>
      </c>
      <c r="Z1520">
        <v>3594.6691278683202</v>
      </c>
      <c r="AA1520">
        <v>4.71035</v>
      </c>
      <c r="AB1520">
        <v>-74.030416666666696</v>
      </c>
      <c r="AC1520">
        <v>2570</v>
      </c>
      <c r="AD1520">
        <v>10</v>
      </c>
      <c r="AE1520" t="s">
        <v>80</v>
      </c>
      <c r="AF1520" t="s">
        <v>107</v>
      </c>
      <c r="AG1520" t="s">
        <v>82</v>
      </c>
      <c r="AH1520" t="s">
        <v>83</v>
      </c>
      <c r="AI1520" t="s">
        <v>121</v>
      </c>
      <c r="AJ1520">
        <v>0.88453473478697997</v>
      </c>
      <c r="AK1520">
        <v>4.0142907063136297</v>
      </c>
      <c r="AL1520">
        <v>1.06608671828033</v>
      </c>
      <c r="AM1520">
        <v>0.440564932042249</v>
      </c>
      <c r="AN1520">
        <v>3.9811575574005902</v>
      </c>
      <c r="AO1520">
        <v>3.1382160903610297E-2</v>
      </c>
      <c r="AP1520">
        <v>3.1382160903610297E-2</v>
      </c>
      <c r="AQ1520">
        <v>0</v>
      </c>
      <c r="AR1520">
        <v>3</v>
      </c>
      <c r="AS1520">
        <v>0</v>
      </c>
      <c r="AT1520">
        <v>0</v>
      </c>
      <c r="AU1520">
        <v>0</v>
      </c>
      <c r="AV1520">
        <v>34</v>
      </c>
      <c r="AW1520">
        <v>0</v>
      </c>
      <c r="AX1520">
        <v>0</v>
      </c>
      <c r="AY1520">
        <v>15.5</v>
      </c>
      <c r="AZ1520">
        <v>2.4</v>
      </c>
      <c r="BA1520">
        <v>10.9</v>
      </c>
      <c r="BB1520">
        <v>564</v>
      </c>
      <c r="BC1520">
        <v>68</v>
      </c>
      <c r="BD1520">
        <v>1.5</v>
      </c>
      <c r="BE1520">
        <v>135</v>
      </c>
      <c r="BF1520">
        <v>0</v>
      </c>
      <c r="BG1520">
        <v>162</v>
      </c>
      <c r="BH1520">
        <v>9.1</v>
      </c>
      <c r="BI1520">
        <v>9.1999999999999993</v>
      </c>
      <c r="BJ1520">
        <v>18.3</v>
      </c>
      <c r="BK1520">
        <v>0.34</v>
      </c>
      <c r="BL1520">
        <v>7.3</v>
      </c>
      <c r="BM1520">
        <v>0.9</v>
      </c>
      <c r="BN1520">
        <v>7.5</v>
      </c>
      <c r="BO1520">
        <v>2.9</v>
      </c>
      <c r="BP1520">
        <f t="shared" si="46"/>
        <v>2.0087901301132427</v>
      </c>
      <c r="BQ1520">
        <f t="shared" si="47"/>
        <v>9.9990564162424427</v>
      </c>
    </row>
    <row r="1521" spans="1:69" hidden="1" x14ac:dyDescent="0.2">
      <c r="A1521" t="s">
        <v>334</v>
      </c>
      <c r="B1521" t="s">
        <v>68</v>
      </c>
      <c r="C1521" t="s">
        <v>69</v>
      </c>
      <c r="D1521" t="s">
        <v>70</v>
      </c>
      <c r="E1521" t="s">
        <v>213</v>
      </c>
      <c r="F1521">
        <v>6</v>
      </c>
      <c r="G1521">
        <v>210</v>
      </c>
      <c r="H1521">
        <v>5</v>
      </c>
      <c r="I1521">
        <v>4</v>
      </c>
      <c r="J1521">
        <v>2</v>
      </c>
      <c r="K1521" t="s">
        <v>110</v>
      </c>
      <c r="L1521" t="s">
        <v>162</v>
      </c>
      <c r="M1521" s="4">
        <v>1450000000</v>
      </c>
      <c r="N1521">
        <v>0</v>
      </c>
      <c r="O1521">
        <v>4.7018930000000001</v>
      </c>
      <c r="P1521">
        <v>-74.039439999999999</v>
      </c>
      <c r="Q1521" t="s">
        <v>335</v>
      </c>
      <c r="R1521">
        <v>6904761.9050000003</v>
      </c>
      <c r="S1521">
        <v>0</v>
      </c>
      <c r="T1521" t="s">
        <v>104</v>
      </c>
      <c r="U1521" t="s">
        <v>105</v>
      </c>
      <c r="V1521" t="s">
        <v>77</v>
      </c>
      <c r="W1521" t="s">
        <v>104</v>
      </c>
      <c r="X1521" t="s">
        <v>106</v>
      </c>
      <c r="Y1521">
        <v>1.3742133944625301</v>
      </c>
      <c r="Z1521">
        <v>1374.21339446253</v>
      </c>
      <c r="AA1521">
        <v>4.71035</v>
      </c>
      <c r="AB1521">
        <v>-74.030416666666696</v>
      </c>
      <c r="AC1521">
        <v>2570</v>
      </c>
      <c r="AD1521">
        <v>10</v>
      </c>
      <c r="AE1521" t="s">
        <v>80</v>
      </c>
      <c r="AF1521" t="s">
        <v>107</v>
      </c>
      <c r="AG1521" t="s">
        <v>82</v>
      </c>
      <c r="AH1521" t="s">
        <v>83</v>
      </c>
      <c r="AI1521" t="s">
        <v>108</v>
      </c>
      <c r="AJ1521">
        <v>1.6671972003197499</v>
      </c>
      <c r="AK1521">
        <v>1.5317858173130601</v>
      </c>
      <c r="AL1521">
        <v>0.77591746709578902</v>
      </c>
      <c r="AM1521">
        <v>0.195844168078708</v>
      </c>
      <c r="AN1521">
        <v>4.6021398497299799</v>
      </c>
      <c r="AO1521">
        <v>8.8134563912122005E-3</v>
      </c>
      <c r="AP1521">
        <v>8.8134563912122005E-3</v>
      </c>
      <c r="AQ1521">
        <v>0</v>
      </c>
      <c r="AR1521">
        <v>0</v>
      </c>
      <c r="AS1521">
        <v>0</v>
      </c>
      <c r="AT1521">
        <v>0</v>
      </c>
      <c r="AU1521">
        <v>1</v>
      </c>
      <c r="AV1521">
        <v>121</v>
      </c>
      <c r="AW1521">
        <v>0</v>
      </c>
      <c r="AX1521">
        <v>0</v>
      </c>
      <c r="AY1521">
        <v>15.5</v>
      </c>
      <c r="AZ1521">
        <v>2.4</v>
      </c>
      <c r="BA1521">
        <v>10.9</v>
      </c>
      <c r="BB1521">
        <v>564</v>
      </c>
      <c r="BC1521">
        <v>68</v>
      </c>
      <c r="BD1521">
        <v>1.5</v>
      </c>
      <c r="BE1521">
        <v>135</v>
      </c>
      <c r="BF1521">
        <v>0</v>
      </c>
      <c r="BG1521">
        <v>162</v>
      </c>
      <c r="BH1521">
        <v>9.1</v>
      </c>
      <c r="BI1521">
        <v>9.1999999999999993</v>
      </c>
      <c r="BJ1521">
        <v>18.3</v>
      </c>
      <c r="BK1521">
        <v>0.34</v>
      </c>
      <c r="BL1521">
        <v>7.3</v>
      </c>
      <c r="BM1521">
        <v>0.9</v>
      </c>
      <c r="BN1521">
        <v>7.5</v>
      </c>
      <c r="BO1521">
        <v>2.9</v>
      </c>
      <c r="BP1521">
        <f t="shared" si="46"/>
        <v>2.242172303598811</v>
      </c>
      <c r="BQ1521">
        <f t="shared" si="47"/>
        <v>10.546369397622744</v>
      </c>
    </row>
    <row r="1522" spans="1:69" hidden="1" x14ac:dyDescent="0.2">
      <c r="A1522" t="s">
        <v>1792</v>
      </c>
      <c r="B1522" t="s">
        <v>68</v>
      </c>
      <c r="C1522" t="s">
        <v>69</v>
      </c>
      <c r="D1522" t="s">
        <v>70</v>
      </c>
      <c r="E1522" t="s">
        <v>235</v>
      </c>
      <c r="F1522">
        <v>6</v>
      </c>
      <c r="G1522">
        <v>209</v>
      </c>
      <c r="H1522">
        <v>3</v>
      </c>
      <c r="I1522">
        <v>3</v>
      </c>
      <c r="J1522">
        <v>3</v>
      </c>
      <c r="K1522" t="s">
        <v>110</v>
      </c>
      <c r="L1522" t="s">
        <v>162</v>
      </c>
      <c r="M1522" s="4">
        <v>1500000000</v>
      </c>
      <c r="N1522">
        <v>0</v>
      </c>
      <c r="O1522">
        <v>4.7065511649999996</v>
      </c>
      <c r="P1522">
        <v>-74.041690470000006</v>
      </c>
      <c r="Q1522" t="s">
        <v>1793</v>
      </c>
      <c r="R1522">
        <v>7177033.4929999998</v>
      </c>
      <c r="S1522">
        <v>0</v>
      </c>
      <c r="T1522" t="s">
        <v>104</v>
      </c>
      <c r="U1522" t="s">
        <v>105</v>
      </c>
      <c r="V1522" t="s">
        <v>77</v>
      </c>
      <c r="W1522" t="s">
        <v>104</v>
      </c>
      <c r="X1522" t="s">
        <v>106</v>
      </c>
      <c r="Y1522">
        <v>1.32031389763544</v>
      </c>
      <c r="Z1522">
        <v>1320.3138976354401</v>
      </c>
      <c r="AA1522">
        <v>4.71035</v>
      </c>
      <c r="AB1522">
        <v>-74.030416666666696</v>
      </c>
      <c r="AC1522">
        <v>2570</v>
      </c>
      <c r="AD1522">
        <v>10</v>
      </c>
      <c r="AE1522" t="s">
        <v>80</v>
      </c>
      <c r="AF1522" t="s">
        <v>107</v>
      </c>
      <c r="AG1522" t="s">
        <v>82</v>
      </c>
      <c r="AH1522" t="s">
        <v>83</v>
      </c>
      <c r="AI1522" t="s">
        <v>108</v>
      </c>
      <c r="AJ1522">
        <v>1.4057665337533201</v>
      </c>
      <c r="AK1522">
        <v>1.84916691083385</v>
      </c>
      <c r="AL1522">
        <v>1.0912619807674799</v>
      </c>
      <c r="AM1522">
        <v>7.9820711160270397E-2</v>
      </c>
      <c r="AN1522">
        <v>4.2070675849328696</v>
      </c>
      <c r="AO1522">
        <v>0.226026395978695</v>
      </c>
      <c r="AP1522">
        <v>0.226026395978695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92</v>
      </c>
      <c r="AW1522">
        <v>0</v>
      </c>
      <c r="AX1522">
        <v>0</v>
      </c>
      <c r="AY1522">
        <v>15.5</v>
      </c>
      <c r="AZ1522">
        <v>2.4</v>
      </c>
      <c r="BA1522">
        <v>10.9</v>
      </c>
      <c r="BB1522">
        <v>564</v>
      </c>
      <c r="BC1522">
        <v>68</v>
      </c>
      <c r="BD1522">
        <v>1.5</v>
      </c>
      <c r="BE1522">
        <v>135</v>
      </c>
      <c r="BF1522">
        <v>0</v>
      </c>
      <c r="BG1522">
        <v>162</v>
      </c>
      <c r="BH1522">
        <v>9.1</v>
      </c>
      <c r="BI1522">
        <v>9.1999999999999993</v>
      </c>
      <c r="BJ1522">
        <v>18.3</v>
      </c>
      <c r="BK1522">
        <v>0.34</v>
      </c>
      <c r="BL1522">
        <v>7.3</v>
      </c>
      <c r="BM1522">
        <v>0.9</v>
      </c>
      <c r="BN1522">
        <v>7.5</v>
      </c>
      <c r="BO1522">
        <v>2.9</v>
      </c>
      <c r="BP1522">
        <f t="shared" si="46"/>
        <v>2.2481624629619144</v>
      </c>
      <c r="BQ1522">
        <f t="shared" si="47"/>
        <v>10.560020881509656</v>
      </c>
    </row>
    <row r="1523" spans="1:69" hidden="1" x14ac:dyDescent="0.2">
      <c r="A1523" t="s">
        <v>256</v>
      </c>
      <c r="B1523" t="s">
        <v>68</v>
      </c>
      <c r="C1523" t="s">
        <v>69</v>
      </c>
      <c r="D1523" t="s">
        <v>70</v>
      </c>
      <c r="E1523" t="s">
        <v>257</v>
      </c>
      <c r="F1523">
        <v>6</v>
      </c>
      <c r="G1523">
        <v>208</v>
      </c>
      <c r="H1523">
        <v>4</v>
      </c>
      <c r="I1523">
        <v>5</v>
      </c>
      <c r="J1523">
        <v>4</v>
      </c>
      <c r="K1523" t="s">
        <v>110</v>
      </c>
      <c r="L1523" t="s">
        <v>162</v>
      </c>
      <c r="M1523" s="4">
        <v>1550000000</v>
      </c>
      <c r="N1523">
        <v>0</v>
      </c>
      <c r="O1523">
        <v>4.7071380620000003</v>
      </c>
      <c r="P1523">
        <v>-74.034072879999997</v>
      </c>
      <c r="Q1523" t="s">
        <v>258</v>
      </c>
      <c r="R1523">
        <v>7451923.0769999996</v>
      </c>
      <c r="S1523">
        <v>0</v>
      </c>
      <c r="T1523" t="s">
        <v>104</v>
      </c>
      <c r="U1523" t="s">
        <v>105</v>
      </c>
      <c r="V1523" t="s">
        <v>77</v>
      </c>
      <c r="W1523" t="s">
        <v>104</v>
      </c>
      <c r="X1523" t="s">
        <v>106</v>
      </c>
      <c r="Y1523">
        <v>0.54072355135796202</v>
      </c>
      <c r="Z1523">
        <v>540.72355135796204</v>
      </c>
      <c r="AA1523">
        <v>4.71035</v>
      </c>
      <c r="AB1523">
        <v>-74.030416666666696</v>
      </c>
      <c r="AC1523">
        <v>2570</v>
      </c>
      <c r="AD1523">
        <v>10</v>
      </c>
      <c r="AE1523" t="s">
        <v>80</v>
      </c>
      <c r="AF1523" t="s">
        <v>107</v>
      </c>
      <c r="AG1523" t="s">
        <v>82</v>
      </c>
      <c r="AH1523" t="s">
        <v>83</v>
      </c>
      <c r="AI1523" t="s">
        <v>108</v>
      </c>
      <c r="AJ1523">
        <v>2.2075416479560901</v>
      </c>
      <c r="AK1523">
        <v>1.02407455778795</v>
      </c>
      <c r="AL1523">
        <v>0.42331080201926502</v>
      </c>
      <c r="AM1523">
        <v>0.249124473425022</v>
      </c>
      <c r="AN1523">
        <v>3.8876603536792098</v>
      </c>
      <c r="AO1523">
        <v>2.0218344267336302E-2</v>
      </c>
      <c r="AP1523">
        <v>2.0218344267336302E-2</v>
      </c>
      <c r="AQ1523">
        <v>0</v>
      </c>
      <c r="AR1523">
        <v>0</v>
      </c>
      <c r="AS1523">
        <v>0</v>
      </c>
      <c r="AT1523">
        <v>0</v>
      </c>
      <c r="AU1523">
        <v>2</v>
      </c>
      <c r="AV1523">
        <v>118</v>
      </c>
      <c r="AW1523">
        <v>0</v>
      </c>
      <c r="AX1523">
        <v>0</v>
      </c>
      <c r="AY1523">
        <v>15.5</v>
      </c>
      <c r="AZ1523">
        <v>2.4</v>
      </c>
      <c r="BA1523">
        <v>10.9</v>
      </c>
      <c r="BB1523">
        <v>564</v>
      </c>
      <c r="BC1523">
        <v>68</v>
      </c>
      <c r="BD1523">
        <v>1.5</v>
      </c>
      <c r="BE1523">
        <v>135</v>
      </c>
      <c r="BF1523">
        <v>0</v>
      </c>
      <c r="BG1523">
        <v>162</v>
      </c>
      <c r="BH1523">
        <v>9.1</v>
      </c>
      <c r="BI1523">
        <v>9.1999999999999993</v>
      </c>
      <c r="BJ1523">
        <v>18.3</v>
      </c>
      <c r="BK1523">
        <v>0.34</v>
      </c>
      <c r="BL1523">
        <v>7.3</v>
      </c>
      <c r="BM1523">
        <v>0.9</v>
      </c>
      <c r="BN1523">
        <v>7.5</v>
      </c>
      <c r="BO1523">
        <v>2.9</v>
      </c>
      <c r="BP1523">
        <f t="shared" si="46"/>
        <v>2.3366141137159397</v>
      </c>
      <c r="BQ1523">
        <f t="shared" si="47"/>
        <v>10.759460606853226</v>
      </c>
    </row>
    <row r="1524" spans="1:69" hidden="1" x14ac:dyDescent="0.2">
      <c r="A1524" t="s">
        <v>1183</v>
      </c>
      <c r="B1524" t="s">
        <v>68</v>
      </c>
      <c r="C1524" t="s">
        <v>69</v>
      </c>
      <c r="D1524" t="s">
        <v>70</v>
      </c>
      <c r="E1524" t="s">
        <v>1184</v>
      </c>
      <c r="F1524">
        <v>6</v>
      </c>
      <c r="G1524">
        <v>205</v>
      </c>
      <c r="H1524">
        <v>3</v>
      </c>
      <c r="I1524">
        <v>3</v>
      </c>
      <c r="J1524">
        <v>4</v>
      </c>
      <c r="K1524" t="s">
        <v>110</v>
      </c>
      <c r="L1524" t="s">
        <v>162</v>
      </c>
      <c r="M1524" s="4">
        <v>1250000000</v>
      </c>
      <c r="N1524">
        <v>0</v>
      </c>
      <c r="O1524">
        <v>4.7226758000000002</v>
      </c>
      <c r="P1524">
        <v>-74.023216250000004</v>
      </c>
      <c r="Q1524" t="s">
        <v>1185</v>
      </c>
      <c r="R1524">
        <v>6097560.9759999998</v>
      </c>
      <c r="S1524">
        <v>0</v>
      </c>
      <c r="T1524" t="s">
        <v>104</v>
      </c>
      <c r="U1524" t="s">
        <v>105</v>
      </c>
      <c r="V1524" t="s">
        <v>77</v>
      </c>
      <c r="W1524" t="s">
        <v>104</v>
      </c>
      <c r="X1524" t="s">
        <v>106</v>
      </c>
      <c r="Y1524">
        <v>1.587701670945</v>
      </c>
      <c r="Z1524">
        <v>1587.7016709449999</v>
      </c>
      <c r="AA1524">
        <v>4.71035</v>
      </c>
      <c r="AB1524">
        <v>-74.030416666666696</v>
      </c>
      <c r="AC1524">
        <v>2570</v>
      </c>
      <c r="AD1524">
        <v>10</v>
      </c>
      <c r="AE1524" t="s">
        <v>80</v>
      </c>
      <c r="AF1524" t="s">
        <v>107</v>
      </c>
      <c r="AG1524" t="s">
        <v>82</v>
      </c>
      <c r="AH1524" t="s">
        <v>83</v>
      </c>
      <c r="AI1524" t="s">
        <v>108</v>
      </c>
      <c r="AJ1524">
        <v>3.0603716377732799</v>
      </c>
      <c r="AK1524">
        <v>0.111917923405511</v>
      </c>
      <c r="AL1524">
        <v>1.69215925767998</v>
      </c>
      <c r="AM1524">
        <v>0.41464166948581299</v>
      </c>
      <c r="AN1524">
        <v>2.1205457114905601</v>
      </c>
      <c r="AO1524">
        <v>0.53012986260883599</v>
      </c>
      <c r="AP1524">
        <v>0.53012986260883599</v>
      </c>
      <c r="AQ1524">
        <v>0</v>
      </c>
      <c r="AR1524">
        <v>0</v>
      </c>
      <c r="AS1524">
        <v>15</v>
      </c>
      <c r="AT1524">
        <v>44</v>
      </c>
      <c r="AU1524">
        <v>0</v>
      </c>
      <c r="AV1524">
        <v>9</v>
      </c>
      <c r="AW1524">
        <v>0</v>
      </c>
      <c r="AX1524">
        <v>0</v>
      </c>
      <c r="AY1524">
        <v>15.5</v>
      </c>
      <c r="AZ1524">
        <v>2.4</v>
      </c>
      <c r="BA1524">
        <v>10.9</v>
      </c>
      <c r="BB1524">
        <v>564</v>
      </c>
      <c r="BC1524">
        <v>68</v>
      </c>
      <c r="BD1524">
        <v>1.5</v>
      </c>
      <c r="BE1524">
        <v>135</v>
      </c>
      <c r="BF1524">
        <v>0</v>
      </c>
      <c r="BG1524">
        <v>162</v>
      </c>
      <c r="BH1524">
        <v>9.1</v>
      </c>
      <c r="BI1524">
        <v>9.1999999999999993</v>
      </c>
      <c r="BJ1524">
        <v>18.3</v>
      </c>
      <c r="BK1524">
        <v>0.34</v>
      </c>
      <c r="BL1524">
        <v>7.3</v>
      </c>
      <c r="BM1524">
        <v>0.9</v>
      </c>
      <c r="BN1524">
        <v>7.5</v>
      </c>
      <c r="BO1524">
        <v>2.9</v>
      </c>
      <c r="BP1524">
        <f t="shared" si="46"/>
        <v>2.2186025254775243</v>
      </c>
      <c r="BQ1524">
        <f t="shared" si="47"/>
        <v>10.492470966314865</v>
      </c>
    </row>
    <row r="1525" spans="1:69" hidden="1" x14ac:dyDescent="0.2">
      <c r="A1525" t="s">
        <v>857</v>
      </c>
      <c r="B1525" t="s">
        <v>68</v>
      </c>
      <c r="C1525" t="s">
        <v>69</v>
      </c>
      <c r="D1525" t="s">
        <v>70</v>
      </c>
      <c r="E1525" t="s">
        <v>370</v>
      </c>
      <c r="F1525">
        <v>6</v>
      </c>
      <c r="G1525">
        <v>204</v>
      </c>
      <c r="H1525">
        <v>3</v>
      </c>
      <c r="I1525">
        <v>4</v>
      </c>
      <c r="J1525">
        <v>2</v>
      </c>
      <c r="K1525" t="s">
        <v>110</v>
      </c>
      <c r="L1525" t="s">
        <v>124</v>
      </c>
      <c r="M1525" s="4">
        <v>2000000000</v>
      </c>
      <c r="N1525">
        <v>0</v>
      </c>
      <c r="O1525">
        <v>4.7112528390000001</v>
      </c>
      <c r="P1525">
        <v>-74.025033640000004</v>
      </c>
      <c r="Q1525" t="s">
        <v>858</v>
      </c>
      <c r="R1525">
        <v>9803921.5690000001</v>
      </c>
      <c r="S1525">
        <v>0</v>
      </c>
      <c r="T1525" t="s">
        <v>104</v>
      </c>
      <c r="U1525" t="s">
        <v>105</v>
      </c>
      <c r="V1525" t="s">
        <v>77</v>
      </c>
      <c r="W1525" t="s">
        <v>104</v>
      </c>
      <c r="X1525" t="s">
        <v>106</v>
      </c>
      <c r="Y1525">
        <v>0.60560925640005103</v>
      </c>
      <c r="Z1525">
        <v>605.60925640005098</v>
      </c>
      <c r="AA1525">
        <v>4.71035</v>
      </c>
      <c r="AB1525">
        <v>-74.030416666666696</v>
      </c>
      <c r="AC1525">
        <v>2570</v>
      </c>
      <c r="AD1525">
        <v>10</v>
      </c>
      <c r="AE1525" t="s">
        <v>80</v>
      </c>
      <c r="AF1525" t="s">
        <v>107</v>
      </c>
      <c r="AG1525" t="s">
        <v>82</v>
      </c>
      <c r="AH1525" t="s">
        <v>83</v>
      </c>
      <c r="AI1525" t="s">
        <v>108</v>
      </c>
      <c r="AJ1525">
        <v>3.0735841084319002</v>
      </c>
      <c r="AK1525">
        <v>6.7221756050779805E-2</v>
      </c>
      <c r="AL1525">
        <v>0.86056265669686904</v>
      </c>
      <c r="AM1525">
        <v>0.53567781429343597</v>
      </c>
      <c r="AN1525">
        <v>3.3520682404044502</v>
      </c>
      <c r="AO1525">
        <v>0.66078024660277301</v>
      </c>
      <c r="AP1525">
        <v>0.66078024660277301</v>
      </c>
      <c r="AQ1525">
        <v>0</v>
      </c>
      <c r="AR1525">
        <v>0</v>
      </c>
      <c r="AS1525">
        <v>17</v>
      </c>
      <c r="AT1525">
        <v>46</v>
      </c>
      <c r="AU1525">
        <v>1</v>
      </c>
      <c r="AV1525">
        <v>72</v>
      </c>
      <c r="AW1525">
        <v>0</v>
      </c>
      <c r="AX1525">
        <v>0</v>
      </c>
      <c r="AY1525">
        <v>15.5</v>
      </c>
      <c r="AZ1525">
        <v>2.4</v>
      </c>
      <c r="BA1525">
        <v>10.9</v>
      </c>
      <c r="BB1525">
        <v>564</v>
      </c>
      <c r="BC1525">
        <v>68</v>
      </c>
      <c r="BD1525">
        <v>1.5</v>
      </c>
      <c r="BE1525">
        <v>135</v>
      </c>
      <c r="BF1525">
        <v>0</v>
      </c>
      <c r="BG1525">
        <v>162</v>
      </c>
      <c r="BH1525">
        <v>9.1</v>
      </c>
      <c r="BI1525">
        <v>9.1999999999999993</v>
      </c>
      <c r="BJ1525">
        <v>18.3</v>
      </c>
      <c r="BK1525">
        <v>0.34</v>
      </c>
      <c r="BL1525">
        <v>7.3</v>
      </c>
      <c r="BM1525">
        <v>0.9</v>
      </c>
      <c r="BN1525">
        <v>7.5</v>
      </c>
      <c r="BO1525">
        <v>2.9</v>
      </c>
      <c r="BP1525">
        <f t="shared" si="46"/>
        <v>2.3291213167168525</v>
      </c>
      <c r="BQ1525">
        <f t="shared" si="47"/>
        <v>10.742718401697681</v>
      </c>
    </row>
    <row r="1526" spans="1:69" hidden="1" x14ac:dyDescent="0.2">
      <c r="A1526" t="s">
        <v>1885</v>
      </c>
      <c r="B1526" t="s">
        <v>68</v>
      </c>
      <c r="C1526" t="s">
        <v>69</v>
      </c>
      <c r="D1526" t="s">
        <v>70</v>
      </c>
      <c r="E1526" t="s">
        <v>210</v>
      </c>
      <c r="F1526">
        <v>5</v>
      </c>
      <c r="G1526">
        <v>203</v>
      </c>
      <c r="H1526">
        <v>3</v>
      </c>
      <c r="I1526">
        <v>3</v>
      </c>
      <c r="J1526">
        <v>4</v>
      </c>
      <c r="K1526" t="s">
        <v>110</v>
      </c>
      <c r="L1526" t="s">
        <v>162</v>
      </c>
      <c r="M1526" s="4">
        <v>1190000000</v>
      </c>
      <c r="N1526">
        <v>0</v>
      </c>
      <c r="O1526">
        <v>4.6936590499999999</v>
      </c>
      <c r="P1526">
        <v>-74.044407710000002</v>
      </c>
      <c r="Q1526" t="s">
        <v>1886</v>
      </c>
      <c r="R1526">
        <v>5862068.966</v>
      </c>
      <c r="S1526">
        <v>0</v>
      </c>
      <c r="T1526" t="s">
        <v>104</v>
      </c>
      <c r="U1526" t="s">
        <v>105</v>
      </c>
      <c r="V1526" t="s">
        <v>77</v>
      </c>
      <c r="W1526" t="s">
        <v>104</v>
      </c>
      <c r="X1526" t="s">
        <v>106</v>
      </c>
      <c r="Y1526">
        <v>2.4210946157621902</v>
      </c>
      <c r="Z1526">
        <v>2421.0946157621902</v>
      </c>
      <c r="AA1526">
        <v>4.71035</v>
      </c>
      <c r="AB1526">
        <v>-74.030416666666696</v>
      </c>
      <c r="AC1526">
        <v>2570</v>
      </c>
      <c r="AD1526">
        <v>10</v>
      </c>
      <c r="AE1526" t="s">
        <v>80</v>
      </c>
      <c r="AF1526" t="s">
        <v>107</v>
      </c>
      <c r="AG1526" t="s">
        <v>82</v>
      </c>
      <c r="AH1526" t="s">
        <v>83</v>
      </c>
      <c r="AI1526" t="s">
        <v>108</v>
      </c>
      <c r="AJ1526">
        <v>1.3056517174763</v>
      </c>
      <c r="AK1526">
        <v>1.88732964378977</v>
      </c>
      <c r="AL1526">
        <v>0.60485148313578296</v>
      </c>
      <c r="AM1526">
        <v>0.16382757599011899</v>
      </c>
      <c r="AN1526">
        <v>4.6965480858550803</v>
      </c>
      <c r="AO1526">
        <v>0.12437949151493601</v>
      </c>
      <c r="AP1526">
        <v>0.12437949151493601</v>
      </c>
      <c r="AQ1526">
        <v>0</v>
      </c>
      <c r="AR1526">
        <v>0</v>
      </c>
      <c r="AS1526">
        <v>0</v>
      </c>
      <c r="AT1526">
        <v>0</v>
      </c>
      <c r="AU1526">
        <v>3</v>
      </c>
      <c r="AV1526">
        <v>120</v>
      </c>
      <c r="AW1526">
        <v>0</v>
      </c>
      <c r="AX1526">
        <v>0</v>
      </c>
      <c r="AY1526">
        <v>15.5</v>
      </c>
      <c r="AZ1526">
        <v>2.4</v>
      </c>
      <c r="BA1526">
        <v>10.9</v>
      </c>
      <c r="BB1526">
        <v>564</v>
      </c>
      <c r="BC1526">
        <v>68</v>
      </c>
      <c r="BD1526">
        <v>1.5</v>
      </c>
      <c r="BE1526">
        <v>135</v>
      </c>
      <c r="BF1526">
        <v>0</v>
      </c>
      <c r="BG1526">
        <v>162</v>
      </c>
      <c r="BH1526">
        <v>9.1</v>
      </c>
      <c r="BI1526">
        <v>9.1999999999999993</v>
      </c>
      <c r="BJ1526">
        <v>18.3</v>
      </c>
      <c r="BK1526">
        <v>0.34</v>
      </c>
      <c r="BL1526">
        <v>7.3</v>
      </c>
      <c r="BM1526">
        <v>0.9</v>
      </c>
      <c r="BN1526">
        <v>7.5</v>
      </c>
      <c r="BO1526">
        <v>2.9</v>
      </c>
      <c r="BP1526">
        <f t="shared" si="46"/>
        <v>2.1289407464163763</v>
      </c>
      <c r="BQ1526">
        <f t="shared" si="47"/>
        <v>10.284691406823775</v>
      </c>
    </row>
    <row r="1527" spans="1:69" hidden="1" x14ac:dyDescent="0.2">
      <c r="A1527" t="s">
        <v>2850</v>
      </c>
      <c r="B1527" t="s">
        <v>68</v>
      </c>
      <c r="C1527" t="s">
        <v>1956</v>
      </c>
      <c r="D1527" t="s">
        <v>70</v>
      </c>
      <c r="E1527" t="s">
        <v>1279</v>
      </c>
      <c r="F1527">
        <v>5</v>
      </c>
      <c r="G1527">
        <v>201.59</v>
      </c>
      <c r="H1527">
        <v>4</v>
      </c>
      <c r="I1527">
        <v>2</v>
      </c>
      <c r="J1527">
        <v>4</v>
      </c>
      <c r="K1527" t="s">
        <v>110</v>
      </c>
      <c r="L1527" t="s">
        <v>162</v>
      </c>
      <c r="M1527" s="4">
        <v>1800000000</v>
      </c>
      <c r="N1527">
        <v>0</v>
      </c>
      <c r="O1527">
        <v>4.7039499999999999</v>
      </c>
      <c r="P1527">
        <v>-74.05744</v>
      </c>
      <c r="Q1527" t="s">
        <v>2851</v>
      </c>
      <c r="R1527">
        <v>8929014.3359999992</v>
      </c>
      <c r="S1527">
        <v>0</v>
      </c>
      <c r="T1527" t="s">
        <v>104</v>
      </c>
      <c r="U1527" t="s">
        <v>105</v>
      </c>
      <c r="V1527" t="s">
        <v>77</v>
      </c>
      <c r="W1527" t="s">
        <v>104</v>
      </c>
      <c r="X1527" t="s">
        <v>106</v>
      </c>
      <c r="Y1527">
        <v>3.0815654751667401</v>
      </c>
      <c r="Z1527">
        <v>3081.5654751667398</v>
      </c>
      <c r="AA1527">
        <v>4.71035</v>
      </c>
      <c r="AB1527">
        <v>-74.030416666666696</v>
      </c>
      <c r="AC1527">
        <v>2570</v>
      </c>
      <c r="AD1527">
        <v>10</v>
      </c>
      <c r="AE1527" t="s">
        <v>80</v>
      </c>
      <c r="AF1527" t="s">
        <v>107</v>
      </c>
      <c r="AG1527" t="s">
        <v>82</v>
      </c>
      <c r="AH1527" t="s">
        <v>83</v>
      </c>
      <c r="AI1527" t="s">
        <v>121</v>
      </c>
      <c r="AJ1527">
        <v>0.36450806413144599</v>
      </c>
      <c r="AK1527">
        <v>3.5386647716579902</v>
      </c>
      <c r="AL1527">
        <v>1.4474307633736201</v>
      </c>
      <c r="AM1527">
        <v>2.39300630774999E-2</v>
      </c>
      <c r="AN1527">
        <v>4.2925188003570698</v>
      </c>
      <c r="AO1527">
        <v>6.1143842476335697E-2</v>
      </c>
      <c r="AP1527">
        <v>6.1143842476335697E-2</v>
      </c>
      <c r="AQ1527">
        <v>1</v>
      </c>
      <c r="AR1527">
        <v>2</v>
      </c>
      <c r="AS1527">
        <v>0</v>
      </c>
      <c r="AT1527">
        <v>0</v>
      </c>
      <c r="AU1527">
        <v>0</v>
      </c>
      <c r="AV1527">
        <v>121</v>
      </c>
      <c r="AW1527">
        <v>0</v>
      </c>
      <c r="AX1527">
        <v>0</v>
      </c>
      <c r="AY1527">
        <v>15.5</v>
      </c>
      <c r="AZ1527">
        <v>2.4</v>
      </c>
      <c r="BA1527">
        <v>10.9</v>
      </c>
      <c r="BB1527">
        <v>564</v>
      </c>
      <c r="BC1527">
        <v>68</v>
      </c>
      <c r="BD1527">
        <v>1.5</v>
      </c>
      <c r="BE1527">
        <v>135</v>
      </c>
      <c r="BF1527">
        <v>0</v>
      </c>
      <c r="BG1527">
        <v>162</v>
      </c>
      <c r="BH1527">
        <v>9.1</v>
      </c>
      <c r="BI1527">
        <v>9.1999999999999993</v>
      </c>
      <c r="BJ1527">
        <v>18.3</v>
      </c>
      <c r="BK1527">
        <v>0.34</v>
      </c>
      <c r="BL1527">
        <v>7.3</v>
      </c>
      <c r="BM1527">
        <v>0.9</v>
      </c>
      <c r="BN1527">
        <v>7.5</v>
      </c>
      <c r="BO1527">
        <v>2.9</v>
      </c>
      <c r="BP1527">
        <f t="shared" si="46"/>
        <v>2.0604640951451056</v>
      </c>
      <c r="BQ1527">
        <f t="shared" si="47"/>
        <v>10.122950956355</v>
      </c>
    </row>
    <row r="1528" spans="1:69" hidden="1" x14ac:dyDescent="0.2">
      <c r="A1528" t="s">
        <v>2902</v>
      </c>
      <c r="B1528" t="s">
        <v>68</v>
      </c>
      <c r="C1528" t="s">
        <v>1956</v>
      </c>
      <c r="D1528" t="s">
        <v>70</v>
      </c>
      <c r="E1528" t="s">
        <v>562</v>
      </c>
      <c r="F1528">
        <v>5</v>
      </c>
      <c r="G1528">
        <v>201.1</v>
      </c>
      <c r="H1528">
        <v>3</v>
      </c>
      <c r="I1528">
        <v>4</v>
      </c>
      <c r="J1528">
        <v>2</v>
      </c>
      <c r="K1528" t="s">
        <v>110</v>
      </c>
      <c r="L1528" t="s">
        <v>162</v>
      </c>
      <c r="M1528" s="4">
        <v>2100000000</v>
      </c>
      <c r="N1528">
        <v>0</v>
      </c>
      <c r="O1528">
        <v>4.693403</v>
      </c>
      <c r="P1528">
        <v>-74.030276999999998</v>
      </c>
      <c r="Q1528" t="s">
        <v>2903</v>
      </c>
      <c r="R1528">
        <v>10442565.890000001</v>
      </c>
      <c r="S1528">
        <v>0</v>
      </c>
      <c r="T1528" t="s">
        <v>104</v>
      </c>
      <c r="U1528" t="s">
        <v>105</v>
      </c>
      <c r="V1528" t="s">
        <v>77</v>
      </c>
      <c r="W1528" t="s">
        <v>104</v>
      </c>
      <c r="X1528" t="s">
        <v>106</v>
      </c>
      <c r="Y1528">
        <v>1.8865950458481799</v>
      </c>
      <c r="Z1528">
        <v>1886.59504584818</v>
      </c>
      <c r="AA1528">
        <v>4.71035</v>
      </c>
      <c r="AB1528">
        <v>-74.030416666666696</v>
      </c>
      <c r="AC1528">
        <v>2570</v>
      </c>
      <c r="AD1528">
        <v>10</v>
      </c>
      <c r="AE1528" t="s">
        <v>80</v>
      </c>
      <c r="AF1528" t="s">
        <v>107</v>
      </c>
      <c r="AG1528" t="s">
        <v>82</v>
      </c>
      <c r="AH1528" t="s">
        <v>83</v>
      </c>
      <c r="AI1528" t="s">
        <v>108</v>
      </c>
      <c r="AJ1528">
        <v>2.8241436979761301</v>
      </c>
      <c r="AK1528">
        <v>0.45183210114398697</v>
      </c>
      <c r="AL1528">
        <v>0.13240485757058701</v>
      </c>
      <c r="AM1528">
        <v>0.18523501209330601</v>
      </c>
      <c r="AN1528">
        <v>5.3338837642336401</v>
      </c>
      <c r="AO1528">
        <v>0.52090197139611705</v>
      </c>
      <c r="AP1528">
        <v>0.52090197139611705</v>
      </c>
      <c r="AQ1528">
        <v>0</v>
      </c>
      <c r="AR1528">
        <v>0</v>
      </c>
      <c r="AS1528">
        <v>2</v>
      </c>
      <c r="AT1528">
        <v>21</v>
      </c>
      <c r="AU1528">
        <v>2</v>
      </c>
      <c r="AV1528">
        <v>108</v>
      </c>
      <c r="AW1528">
        <v>0</v>
      </c>
      <c r="AX1528">
        <v>0</v>
      </c>
      <c r="AY1528">
        <v>15.5</v>
      </c>
      <c r="AZ1528">
        <v>2.4</v>
      </c>
      <c r="BA1528">
        <v>10.9</v>
      </c>
      <c r="BB1528">
        <v>564</v>
      </c>
      <c r="BC1528">
        <v>68</v>
      </c>
      <c r="BD1528">
        <v>1.5</v>
      </c>
      <c r="BE1528">
        <v>135</v>
      </c>
      <c r="BF1528">
        <v>0</v>
      </c>
      <c r="BG1528">
        <v>162</v>
      </c>
      <c r="BH1528">
        <v>9.1</v>
      </c>
      <c r="BI1528">
        <v>9.1999999999999993</v>
      </c>
      <c r="BJ1528">
        <v>18.3</v>
      </c>
      <c r="BK1528">
        <v>0.34</v>
      </c>
      <c r="BL1528">
        <v>7.3</v>
      </c>
      <c r="BM1528">
        <v>0.9</v>
      </c>
      <c r="BN1528">
        <v>7.5</v>
      </c>
      <c r="BO1528">
        <v>2.9</v>
      </c>
      <c r="BP1528">
        <f t="shared" si="46"/>
        <v>2.1860194398129664</v>
      </c>
      <c r="BQ1528">
        <f t="shared" si="47"/>
        <v>10.417473162682235</v>
      </c>
    </row>
    <row r="1529" spans="1:69" hidden="1" x14ac:dyDescent="0.2">
      <c r="A1529" t="s">
        <v>963</v>
      </c>
      <c r="B1529" t="s">
        <v>68</v>
      </c>
      <c r="C1529" t="s">
        <v>69</v>
      </c>
      <c r="D1529" t="s">
        <v>70</v>
      </c>
      <c r="E1529" t="s">
        <v>179</v>
      </c>
      <c r="F1529">
        <v>6</v>
      </c>
      <c r="G1529">
        <v>200</v>
      </c>
      <c r="H1529">
        <v>3</v>
      </c>
      <c r="I1529">
        <v>4</v>
      </c>
      <c r="J1529">
        <v>1</v>
      </c>
      <c r="K1529" t="s">
        <v>110</v>
      </c>
      <c r="L1529" t="s">
        <v>115</v>
      </c>
      <c r="M1529" s="4">
        <v>1250000000</v>
      </c>
      <c r="N1529">
        <v>0</v>
      </c>
      <c r="O1529">
        <v>4.6792509999999998</v>
      </c>
      <c r="P1529">
        <v>-74.046000000000006</v>
      </c>
      <c r="Q1529" t="s">
        <v>964</v>
      </c>
      <c r="R1529">
        <v>6250000</v>
      </c>
      <c r="S1529">
        <v>0</v>
      </c>
      <c r="T1529" t="s">
        <v>104</v>
      </c>
      <c r="U1529" t="s">
        <v>105</v>
      </c>
      <c r="V1529" t="s">
        <v>77</v>
      </c>
      <c r="W1529" t="s">
        <v>104</v>
      </c>
      <c r="X1529" t="s">
        <v>106</v>
      </c>
      <c r="Y1529">
        <v>3.86963148290925</v>
      </c>
      <c r="Z1529">
        <v>3869.6314829092498</v>
      </c>
      <c r="AA1529">
        <v>4.71035</v>
      </c>
      <c r="AB1529">
        <v>-74.030416666666696</v>
      </c>
      <c r="AC1529">
        <v>2570</v>
      </c>
      <c r="AD1529">
        <v>10</v>
      </c>
      <c r="AE1529" t="s">
        <v>80</v>
      </c>
      <c r="AF1529" t="s">
        <v>107</v>
      </c>
      <c r="AG1529" t="s">
        <v>82</v>
      </c>
      <c r="AH1529" t="s">
        <v>83</v>
      </c>
      <c r="AI1529" t="s">
        <v>130</v>
      </c>
      <c r="AJ1529">
        <v>1.3986187321575201</v>
      </c>
      <c r="AK1529">
        <v>0.92342432282646403</v>
      </c>
      <c r="AL1529">
        <v>0.82652476163703703</v>
      </c>
      <c r="AM1529">
        <v>6.0306343421051997E-2</v>
      </c>
      <c r="AN1529">
        <v>4.0215888986002497</v>
      </c>
      <c r="AO1529">
        <v>1.1013523874014399</v>
      </c>
      <c r="AP1529">
        <v>1.1013523874014399</v>
      </c>
      <c r="AQ1529">
        <v>0</v>
      </c>
      <c r="AR1529">
        <v>0</v>
      </c>
      <c r="AS1529">
        <v>0</v>
      </c>
      <c r="AT1529">
        <v>1</v>
      </c>
      <c r="AU1529">
        <v>4</v>
      </c>
      <c r="AV1529">
        <v>100</v>
      </c>
      <c r="AW1529">
        <v>0</v>
      </c>
      <c r="AX1529">
        <v>0</v>
      </c>
      <c r="AY1529">
        <v>15.5</v>
      </c>
      <c r="AZ1529">
        <v>2.4</v>
      </c>
      <c r="BA1529">
        <v>10.9</v>
      </c>
      <c r="BB1529">
        <v>564</v>
      </c>
      <c r="BC1529">
        <v>68</v>
      </c>
      <c r="BD1529">
        <v>1.5</v>
      </c>
      <c r="BE1529">
        <v>135</v>
      </c>
      <c r="BF1529">
        <v>0</v>
      </c>
      <c r="BG1529">
        <v>162</v>
      </c>
      <c r="BH1529">
        <v>9.1</v>
      </c>
      <c r="BI1529">
        <v>9.1999999999999993</v>
      </c>
      <c r="BJ1529">
        <v>18.3</v>
      </c>
      <c r="BK1529">
        <v>0.34</v>
      </c>
      <c r="BL1529">
        <v>7.3</v>
      </c>
      <c r="BM1529">
        <v>0.9</v>
      </c>
      <c r="BN1529">
        <v>7.5</v>
      </c>
      <c r="BO1529">
        <v>2.9</v>
      </c>
      <c r="BP1529">
        <f t="shared" si="46"/>
        <v>1.9816344400255108</v>
      </c>
      <c r="BQ1529">
        <f t="shared" si="47"/>
        <v>9.9332889195327603</v>
      </c>
    </row>
    <row r="1530" spans="1:69" hidden="1" x14ac:dyDescent="0.2">
      <c r="A1530" t="s">
        <v>1574</v>
      </c>
      <c r="B1530" t="s">
        <v>68</v>
      </c>
      <c r="C1530" t="s">
        <v>69</v>
      </c>
      <c r="D1530" t="s">
        <v>70</v>
      </c>
      <c r="E1530" t="s">
        <v>210</v>
      </c>
      <c r="F1530">
        <v>6</v>
      </c>
      <c r="G1530">
        <v>200</v>
      </c>
      <c r="H1530">
        <v>3</v>
      </c>
      <c r="I1530">
        <v>5</v>
      </c>
      <c r="J1530">
        <v>2</v>
      </c>
      <c r="K1530" t="s">
        <v>110</v>
      </c>
      <c r="L1530" t="s">
        <v>162</v>
      </c>
      <c r="M1530" s="4">
        <v>1350000000</v>
      </c>
      <c r="N1530">
        <v>0</v>
      </c>
      <c r="O1530">
        <v>4.6950867000000001</v>
      </c>
      <c r="P1530">
        <v>-74.044561700000003</v>
      </c>
      <c r="Q1530" t="s">
        <v>1575</v>
      </c>
      <c r="R1530">
        <v>6750000</v>
      </c>
      <c r="S1530">
        <v>0</v>
      </c>
      <c r="T1530" t="s">
        <v>104</v>
      </c>
      <c r="U1530" t="s">
        <v>105</v>
      </c>
      <c r="V1530" t="s">
        <v>77</v>
      </c>
      <c r="W1530" t="s">
        <v>104</v>
      </c>
      <c r="X1530" t="s">
        <v>106</v>
      </c>
      <c r="Y1530">
        <v>2.3129431373940399</v>
      </c>
      <c r="Z1530">
        <v>2312.9431373940401</v>
      </c>
      <c r="AA1530">
        <v>4.71035</v>
      </c>
      <c r="AB1530">
        <v>-74.030416666666696</v>
      </c>
      <c r="AC1530">
        <v>2570</v>
      </c>
      <c r="AD1530">
        <v>10</v>
      </c>
      <c r="AE1530" t="s">
        <v>80</v>
      </c>
      <c r="AF1530" t="s">
        <v>107</v>
      </c>
      <c r="AG1530" t="s">
        <v>82</v>
      </c>
      <c r="AH1530" t="s">
        <v>83</v>
      </c>
      <c r="AI1530" t="s">
        <v>108</v>
      </c>
      <c r="AJ1530">
        <v>1.2380762153927001</v>
      </c>
      <c r="AK1530">
        <v>2.0199058334003999</v>
      </c>
      <c r="AL1530">
        <v>0.61900829313802797</v>
      </c>
      <c r="AM1530">
        <v>6.1077206888256299E-3</v>
      </c>
      <c r="AN1530">
        <v>4.7574147930617503</v>
      </c>
      <c r="AO1530">
        <v>0.26188877961818202</v>
      </c>
      <c r="AP1530">
        <v>0.26188877961818202</v>
      </c>
      <c r="AQ1530">
        <v>0</v>
      </c>
      <c r="AR1530">
        <v>0</v>
      </c>
      <c r="AS1530">
        <v>0</v>
      </c>
      <c r="AT1530">
        <v>0</v>
      </c>
      <c r="AU1530">
        <v>1</v>
      </c>
      <c r="AV1530">
        <v>124</v>
      </c>
      <c r="AW1530">
        <v>0</v>
      </c>
      <c r="AX1530">
        <v>0</v>
      </c>
      <c r="AY1530">
        <v>15.5</v>
      </c>
      <c r="AZ1530">
        <v>2.4</v>
      </c>
      <c r="BA1530">
        <v>10.9</v>
      </c>
      <c r="BB1530">
        <v>564</v>
      </c>
      <c r="BC1530">
        <v>68</v>
      </c>
      <c r="BD1530">
        <v>1.5</v>
      </c>
      <c r="BE1530">
        <v>135</v>
      </c>
      <c r="BF1530">
        <v>0</v>
      </c>
      <c r="BG1530">
        <v>162</v>
      </c>
      <c r="BH1530">
        <v>9.1</v>
      </c>
      <c r="BI1530">
        <v>9.1999999999999993</v>
      </c>
      <c r="BJ1530">
        <v>18.3</v>
      </c>
      <c r="BK1530">
        <v>0.34</v>
      </c>
      <c r="BL1530">
        <v>7.3</v>
      </c>
      <c r="BM1530">
        <v>0.9</v>
      </c>
      <c r="BN1530">
        <v>7.5</v>
      </c>
      <c r="BO1530">
        <v>2.9</v>
      </c>
      <c r="BP1530">
        <f t="shared" si="46"/>
        <v>2.1403685889997925</v>
      </c>
      <c r="BQ1530">
        <f t="shared" si="47"/>
        <v>10.311421392390864</v>
      </c>
    </row>
    <row r="1531" spans="1:69" hidden="1" x14ac:dyDescent="0.2">
      <c r="A1531" t="s">
        <v>2377</v>
      </c>
      <c r="B1531" t="s">
        <v>68</v>
      </c>
      <c r="C1531" t="s">
        <v>1956</v>
      </c>
      <c r="D1531" t="s">
        <v>70</v>
      </c>
      <c r="E1531" t="s">
        <v>2378</v>
      </c>
      <c r="F1531">
        <v>5</v>
      </c>
      <c r="G1531">
        <v>200</v>
      </c>
      <c r="H1531">
        <v>4</v>
      </c>
      <c r="I1531">
        <v>5</v>
      </c>
      <c r="J1531">
        <v>2</v>
      </c>
      <c r="K1531" t="s">
        <v>110</v>
      </c>
      <c r="L1531" t="s">
        <v>115</v>
      </c>
      <c r="M1531" s="4">
        <v>1550000000</v>
      </c>
      <c r="N1531">
        <v>0</v>
      </c>
      <c r="O1531">
        <v>4.7154479030000003</v>
      </c>
      <c r="P1531">
        <v>-74.05001068</v>
      </c>
      <c r="Q1531" t="s">
        <v>2379</v>
      </c>
      <c r="R1531">
        <v>7750000</v>
      </c>
      <c r="S1531">
        <v>0</v>
      </c>
      <c r="T1531" t="s">
        <v>104</v>
      </c>
      <c r="U1531" t="s">
        <v>105</v>
      </c>
      <c r="V1531" t="s">
        <v>77</v>
      </c>
      <c r="W1531" t="s">
        <v>104</v>
      </c>
      <c r="X1531" t="s">
        <v>106</v>
      </c>
      <c r="Y1531">
        <v>2.24667497565797</v>
      </c>
      <c r="Z1531">
        <v>2246.6749756579702</v>
      </c>
      <c r="AA1531">
        <v>4.71035</v>
      </c>
      <c r="AB1531">
        <v>-74.030416666666696</v>
      </c>
      <c r="AC1531">
        <v>2570</v>
      </c>
      <c r="AD1531">
        <v>10</v>
      </c>
      <c r="AE1531" t="s">
        <v>80</v>
      </c>
      <c r="AF1531" t="s">
        <v>107</v>
      </c>
      <c r="AG1531" t="s">
        <v>82</v>
      </c>
      <c r="AH1531" t="s">
        <v>83</v>
      </c>
      <c r="AI1531" t="s">
        <v>108</v>
      </c>
      <c r="AJ1531">
        <v>0.299082023803935</v>
      </c>
      <c r="AK1531">
        <v>2.8256026783408901</v>
      </c>
      <c r="AL1531">
        <v>1.9801483343544699</v>
      </c>
      <c r="AM1531">
        <v>0.460285390511811</v>
      </c>
      <c r="AN1531">
        <v>3.8696426787785998</v>
      </c>
      <c r="AO1531">
        <v>0.31443799475387002</v>
      </c>
      <c r="AP1531">
        <v>0.31443799475387002</v>
      </c>
      <c r="AQ1531">
        <v>1</v>
      </c>
      <c r="AR1531">
        <v>2</v>
      </c>
      <c r="AS1531">
        <v>0</v>
      </c>
      <c r="AT1531">
        <v>0</v>
      </c>
      <c r="AU1531">
        <v>0</v>
      </c>
      <c r="AV1531">
        <v>64</v>
      </c>
      <c r="AW1531">
        <v>0</v>
      </c>
      <c r="AX1531">
        <v>0</v>
      </c>
      <c r="AY1531">
        <v>15.5</v>
      </c>
      <c r="AZ1531">
        <v>2.4</v>
      </c>
      <c r="BA1531">
        <v>10.9</v>
      </c>
      <c r="BB1531">
        <v>564</v>
      </c>
      <c r="BC1531">
        <v>68</v>
      </c>
      <c r="BD1531">
        <v>1.5</v>
      </c>
      <c r="BE1531">
        <v>135</v>
      </c>
      <c r="BF1531">
        <v>0</v>
      </c>
      <c r="BG1531">
        <v>162</v>
      </c>
      <c r="BH1531">
        <v>9.1</v>
      </c>
      <c r="BI1531">
        <v>9.1999999999999993</v>
      </c>
      <c r="BJ1531">
        <v>18.3</v>
      </c>
      <c r="BK1531">
        <v>0.34</v>
      </c>
      <c r="BL1531">
        <v>7.3</v>
      </c>
      <c r="BM1531">
        <v>0.9</v>
      </c>
      <c r="BN1531">
        <v>7.5</v>
      </c>
      <c r="BO1531">
        <v>2.9</v>
      </c>
      <c r="BP1531">
        <f t="shared" si="46"/>
        <v>2.1474011124413863</v>
      </c>
      <c r="BQ1531">
        <f t="shared" si="47"/>
        <v>10.327834095180371</v>
      </c>
    </row>
    <row r="1532" spans="1:69" hidden="1" x14ac:dyDescent="0.2">
      <c r="A1532" t="s">
        <v>1370</v>
      </c>
      <c r="B1532" t="s">
        <v>68</v>
      </c>
      <c r="C1532" t="s">
        <v>69</v>
      </c>
      <c r="D1532" t="s">
        <v>70</v>
      </c>
      <c r="E1532" t="s">
        <v>560</v>
      </c>
      <c r="F1532">
        <v>5</v>
      </c>
      <c r="G1532">
        <v>200</v>
      </c>
      <c r="H1532">
        <v>3</v>
      </c>
      <c r="I1532">
        <v>3</v>
      </c>
      <c r="J1532">
        <v>3</v>
      </c>
      <c r="K1532" t="s">
        <v>110</v>
      </c>
      <c r="L1532" t="s">
        <v>162</v>
      </c>
      <c r="M1532" s="4">
        <v>1600000000</v>
      </c>
      <c r="N1532">
        <v>0</v>
      </c>
      <c r="O1532">
        <v>4.7141590679999998</v>
      </c>
      <c r="P1532">
        <v>-74.031322009999997</v>
      </c>
      <c r="Q1532" t="s">
        <v>1371</v>
      </c>
      <c r="R1532">
        <v>8000000</v>
      </c>
      <c r="S1532">
        <v>0</v>
      </c>
      <c r="T1532" t="s">
        <v>104</v>
      </c>
      <c r="U1532" t="s">
        <v>105</v>
      </c>
      <c r="V1532" t="s">
        <v>77</v>
      </c>
      <c r="W1532" t="s">
        <v>104</v>
      </c>
      <c r="X1532" t="s">
        <v>106</v>
      </c>
      <c r="Y1532">
        <v>0.43575735439390001</v>
      </c>
      <c r="Z1532">
        <v>435.75735439390002</v>
      </c>
      <c r="AA1532">
        <v>4.71035</v>
      </c>
      <c r="AB1532">
        <v>-74.030416666666696</v>
      </c>
      <c r="AC1532">
        <v>2570</v>
      </c>
      <c r="AD1532">
        <v>10</v>
      </c>
      <c r="AE1532" t="s">
        <v>80</v>
      </c>
      <c r="AF1532" t="s">
        <v>107</v>
      </c>
      <c r="AG1532" t="s">
        <v>82</v>
      </c>
      <c r="AH1532" t="s">
        <v>83</v>
      </c>
      <c r="AI1532" t="s">
        <v>108</v>
      </c>
      <c r="AJ1532">
        <v>2.3549855402814401</v>
      </c>
      <c r="AK1532">
        <v>0.75565550825374495</v>
      </c>
      <c r="AL1532">
        <v>0.41073716788892001</v>
      </c>
      <c r="AM1532">
        <v>7.6925389830023005E-2</v>
      </c>
      <c r="AN1532">
        <v>3.0681073367708702</v>
      </c>
      <c r="AO1532">
        <v>0.31142912930715599</v>
      </c>
      <c r="AP1532">
        <v>0.31142912930715599</v>
      </c>
      <c r="AQ1532">
        <v>0</v>
      </c>
      <c r="AR1532">
        <v>0</v>
      </c>
      <c r="AS1532">
        <v>0</v>
      </c>
      <c r="AT1532">
        <v>19</v>
      </c>
      <c r="AU1532">
        <v>1</v>
      </c>
      <c r="AV1532">
        <v>77</v>
      </c>
      <c r="AW1532">
        <v>0</v>
      </c>
      <c r="AX1532">
        <v>0</v>
      </c>
      <c r="AY1532">
        <v>15.5</v>
      </c>
      <c r="AZ1532">
        <v>2.4</v>
      </c>
      <c r="BA1532">
        <v>10.9</v>
      </c>
      <c r="BB1532">
        <v>564</v>
      </c>
      <c r="BC1532">
        <v>68</v>
      </c>
      <c r="BD1532">
        <v>1.5</v>
      </c>
      <c r="BE1532">
        <v>135</v>
      </c>
      <c r="BF1532">
        <v>0</v>
      </c>
      <c r="BG1532">
        <v>162</v>
      </c>
      <c r="BH1532">
        <v>9.1</v>
      </c>
      <c r="BI1532">
        <v>9.1999999999999993</v>
      </c>
      <c r="BJ1532">
        <v>18.3</v>
      </c>
      <c r="BK1532">
        <v>0.34</v>
      </c>
      <c r="BL1532">
        <v>7.3</v>
      </c>
      <c r="BM1532">
        <v>0.9</v>
      </c>
      <c r="BN1532">
        <v>7.5</v>
      </c>
      <c r="BO1532">
        <v>2.9</v>
      </c>
      <c r="BP1532">
        <f t="shared" si="46"/>
        <v>2.3487863508653652</v>
      </c>
      <c r="BQ1532">
        <f t="shared" si="47"/>
        <v>10.786599888857873</v>
      </c>
    </row>
    <row r="1533" spans="1:69" hidden="1" x14ac:dyDescent="0.2">
      <c r="A1533" t="s">
        <v>1823</v>
      </c>
      <c r="B1533" t="s">
        <v>68</v>
      </c>
      <c r="C1533" t="s">
        <v>69</v>
      </c>
      <c r="D1533" t="s">
        <v>70</v>
      </c>
      <c r="E1533" t="s">
        <v>1824</v>
      </c>
      <c r="F1533">
        <v>5</v>
      </c>
      <c r="G1533">
        <v>199</v>
      </c>
      <c r="H1533">
        <v>3</v>
      </c>
      <c r="I1533">
        <v>4</v>
      </c>
      <c r="J1533">
        <v>4</v>
      </c>
      <c r="K1533" t="s">
        <v>110</v>
      </c>
      <c r="L1533" t="s">
        <v>133</v>
      </c>
      <c r="M1533" s="4">
        <v>2200000000</v>
      </c>
      <c r="N1533">
        <v>0</v>
      </c>
      <c r="O1533">
        <v>4.7056126589999998</v>
      </c>
      <c r="P1533">
        <v>-74.027030940000003</v>
      </c>
      <c r="Q1533" t="s">
        <v>1825</v>
      </c>
      <c r="R1533">
        <v>11055276.380000001</v>
      </c>
      <c r="S1533">
        <v>0</v>
      </c>
      <c r="T1533" t="s">
        <v>104</v>
      </c>
      <c r="U1533" t="s">
        <v>105</v>
      </c>
      <c r="V1533" t="s">
        <v>77</v>
      </c>
      <c r="W1533" t="s">
        <v>104</v>
      </c>
      <c r="X1533" t="s">
        <v>106</v>
      </c>
      <c r="Y1533">
        <v>0.647457749807126</v>
      </c>
      <c r="Z1533">
        <v>647.45774980712599</v>
      </c>
      <c r="AA1533">
        <v>4.71035</v>
      </c>
      <c r="AB1533">
        <v>-74.030416666666696</v>
      </c>
      <c r="AC1533">
        <v>2570</v>
      </c>
      <c r="AD1533">
        <v>10</v>
      </c>
      <c r="AE1533" t="s">
        <v>80</v>
      </c>
      <c r="AF1533" t="s">
        <v>107</v>
      </c>
      <c r="AG1533" t="s">
        <v>82</v>
      </c>
      <c r="AH1533" t="s">
        <v>83</v>
      </c>
      <c r="AI1533" t="s">
        <v>108</v>
      </c>
      <c r="AJ1533">
        <v>2.9980468715366499</v>
      </c>
      <c r="AK1533">
        <v>0.332947711444251</v>
      </c>
      <c r="AL1533">
        <v>0.76585516078716098</v>
      </c>
      <c r="AM1533">
        <v>0.34426606992471198</v>
      </c>
      <c r="AN1533">
        <v>3.9702165014907802</v>
      </c>
      <c r="AO1533">
        <v>2.3251852403442599E-2</v>
      </c>
      <c r="AP1533">
        <v>2.3251852403442599E-2</v>
      </c>
      <c r="AQ1533">
        <v>0</v>
      </c>
      <c r="AR1533">
        <v>0</v>
      </c>
      <c r="AS1533">
        <v>14</v>
      </c>
      <c r="AT1533">
        <v>36</v>
      </c>
      <c r="AU1533">
        <v>2</v>
      </c>
      <c r="AV1533">
        <v>79</v>
      </c>
      <c r="AW1533">
        <v>0</v>
      </c>
      <c r="AX1533">
        <v>0</v>
      </c>
      <c r="AY1533">
        <v>15.5</v>
      </c>
      <c r="AZ1533">
        <v>2.4</v>
      </c>
      <c r="BA1533">
        <v>10.9</v>
      </c>
      <c r="BB1533">
        <v>564</v>
      </c>
      <c r="BC1533">
        <v>68</v>
      </c>
      <c r="BD1533">
        <v>1.5</v>
      </c>
      <c r="BE1533">
        <v>135</v>
      </c>
      <c r="BF1533">
        <v>0</v>
      </c>
      <c r="BG1533">
        <v>162</v>
      </c>
      <c r="BH1533">
        <v>9.1</v>
      </c>
      <c r="BI1533">
        <v>9.1999999999999993</v>
      </c>
      <c r="BJ1533">
        <v>18.3</v>
      </c>
      <c r="BK1533">
        <v>0.34</v>
      </c>
      <c r="BL1533">
        <v>7.3</v>
      </c>
      <c r="BM1533">
        <v>0.9</v>
      </c>
      <c r="BN1533">
        <v>7.5</v>
      </c>
      <c r="BO1533">
        <v>2.9</v>
      </c>
      <c r="BP1533">
        <f t="shared" si="46"/>
        <v>2.3243015347362679</v>
      </c>
      <c r="BQ1533">
        <f t="shared" si="47"/>
        <v>10.731934220300174</v>
      </c>
    </row>
    <row r="1534" spans="1:69" hidden="1" x14ac:dyDescent="0.2">
      <c r="A1534" t="s">
        <v>237</v>
      </c>
      <c r="B1534" t="s">
        <v>68</v>
      </c>
      <c r="C1534" t="s">
        <v>69</v>
      </c>
      <c r="D1534" t="s">
        <v>70</v>
      </c>
      <c r="E1534" t="s">
        <v>229</v>
      </c>
      <c r="F1534">
        <v>6</v>
      </c>
      <c r="G1534">
        <v>198</v>
      </c>
      <c r="H1534">
        <v>4</v>
      </c>
      <c r="I1534">
        <v>5</v>
      </c>
      <c r="J1534">
        <v>3</v>
      </c>
      <c r="K1534" t="s">
        <v>110</v>
      </c>
      <c r="L1534" t="s">
        <v>115</v>
      </c>
      <c r="M1534" s="4">
        <v>1100000000</v>
      </c>
      <c r="N1534">
        <v>0</v>
      </c>
      <c r="O1534">
        <v>4.6799244880000002</v>
      </c>
      <c r="P1534">
        <v>-74.052223209999994</v>
      </c>
      <c r="Q1534" t="s">
        <v>238</v>
      </c>
      <c r="R1534">
        <v>5555555.5559999999</v>
      </c>
      <c r="S1534">
        <v>0</v>
      </c>
      <c r="T1534" t="s">
        <v>104</v>
      </c>
      <c r="U1534" t="s">
        <v>105</v>
      </c>
      <c r="V1534" t="s">
        <v>77</v>
      </c>
      <c r="W1534" t="s">
        <v>104</v>
      </c>
      <c r="X1534" t="s">
        <v>106</v>
      </c>
      <c r="Y1534">
        <v>4.1622937435219001</v>
      </c>
      <c r="Z1534">
        <v>4162.2937435219001</v>
      </c>
      <c r="AA1534">
        <v>4.71035</v>
      </c>
      <c r="AB1534">
        <v>-74.030416666666696</v>
      </c>
      <c r="AC1534">
        <v>2570</v>
      </c>
      <c r="AD1534">
        <v>10</v>
      </c>
      <c r="AE1534" t="s">
        <v>80</v>
      </c>
      <c r="AF1534" t="s">
        <v>107</v>
      </c>
      <c r="AG1534" t="s">
        <v>82</v>
      </c>
      <c r="AH1534" t="s">
        <v>83</v>
      </c>
      <c r="AI1534" t="s">
        <v>130</v>
      </c>
      <c r="AJ1534">
        <v>0.75384723586034097</v>
      </c>
      <c r="AK1534">
        <v>1.5538914833403701</v>
      </c>
      <c r="AL1534">
        <v>0.64806250572072099</v>
      </c>
      <c r="AM1534">
        <v>4.3455130515512599E-2</v>
      </c>
      <c r="AN1534">
        <v>3.3550835123806499</v>
      </c>
      <c r="AO1534">
        <v>0.72994036556174802</v>
      </c>
      <c r="AP1534">
        <v>0.72994036556174802</v>
      </c>
      <c r="AQ1534">
        <v>0</v>
      </c>
      <c r="AR1534">
        <v>2</v>
      </c>
      <c r="AS1534">
        <v>0</v>
      </c>
      <c r="AT1534">
        <v>0</v>
      </c>
      <c r="AU1534">
        <v>4</v>
      </c>
      <c r="AV1534">
        <v>215</v>
      </c>
      <c r="AW1534">
        <v>0</v>
      </c>
      <c r="AX1534">
        <v>0</v>
      </c>
      <c r="AY1534">
        <v>15.5</v>
      </c>
      <c r="AZ1534">
        <v>2.4</v>
      </c>
      <c r="BA1534">
        <v>10.9</v>
      </c>
      <c r="BB1534">
        <v>564</v>
      </c>
      <c r="BC1534">
        <v>68</v>
      </c>
      <c r="BD1534">
        <v>1.5</v>
      </c>
      <c r="BE1534">
        <v>135</v>
      </c>
      <c r="BF1534">
        <v>0</v>
      </c>
      <c r="BG1534">
        <v>162</v>
      </c>
      <c r="BH1534">
        <v>9.1</v>
      </c>
      <c r="BI1534">
        <v>9.1999999999999993</v>
      </c>
      <c r="BJ1534">
        <v>18.3</v>
      </c>
      <c r="BK1534">
        <v>0.34</v>
      </c>
      <c r="BL1534">
        <v>7.3</v>
      </c>
      <c r="BM1534">
        <v>0.9</v>
      </c>
      <c r="BN1534">
        <v>7.5</v>
      </c>
      <c r="BO1534">
        <v>2.9</v>
      </c>
      <c r="BP1534">
        <f t="shared" si="46"/>
        <v>1.9531338732758916</v>
      </c>
      <c r="BQ1534">
        <f t="shared" si="47"/>
        <v>9.8637630057324923</v>
      </c>
    </row>
    <row r="1535" spans="1:69" hidden="1" x14ac:dyDescent="0.2">
      <c r="A1535" t="s">
        <v>2645</v>
      </c>
      <c r="B1535" t="s">
        <v>68</v>
      </c>
      <c r="C1535" t="s">
        <v>1956</v>
      </c>
      <c r="D1535" t="s">
        <v>70</v>
      </c>
      <c r="E1535" t="s">
        <v>874</v>
      </c>
      <c r="F1535">
        <v>6</v>
      </c>
      <c r="G1535">
        <v>197</v>
      </c>
      <c r="H1535">
        <v>3</v>
      </c>
      <c r="I1535">
        <v>4</v>
      </c>
      <c r="J1535">
        <v>3</v>
      </c>
      <c r="K1535" t="s">
        <v>110</v>
      </c>
      <c r="L1535" t="s">
        <v>133</v>
      </c>
      <c r="M1535" s="4">
        <v>1600000000</v>
      </c>
      <c r="N1535">
        <v>0</v>
      </c>
      <c r="O1535">
        <v>4.7235083580000001</v>
      </c>
      <c r="P1535">
        <v>-74.023399350000005</v>
      </c>
      <c r="Q1535" t="s">
        <v>2646</v>
      </c>
      <c r="R1535">
        <v>8121827.4110000003</v>
      </c>
      <c r="S1535">
        <v>0</v>
      </c>
      <c r="T1535" t="s">
        <v>104</v>
      </c>
      <c r="U1535" t="s">
        <v>105</v>
      </c>
      <c r="V1535" t="s">
        <v>77</v>
      </c>
      <c r="W1535" t="s">
        <v>104</v>
      </c>
      <c r="X1535" t="s">
        <v>106</v>
      </c>
      <c r="Y1535">
        <v>1.6588177689502099</v>
      </c>
      <c r="Z1535">
        <v>1658.8177689502099</v>
      </c>
      <c r="AA1535">
        <v>4.71035</v>
      </c>
      <c r="AB1535">
        <v>-74.030416666666696</v>
      </c>
      <c r="AC1535">
        <v>2570</v>
      </c>
      <c r="AD1535">
        <v>10</v>
      </c>
      <c r="AE1535" t="s">
        <v>80</v>
      </c>
      <c r="AF1535" t="s">
        <v>107</v>
      </c>
      <c r="AG1535" t="s">
        <v>82</v>
      </c>
      <c r="AH1535" t="s">
        <v>83</v>
      </c>
      <c r="AI1535" t="s">
        <v>108</v>
      </c>
      <c r="AJ1535">
        <v>3.0277083773419</v>
      </c>
      <c r="AK1535">
        <v>0.189153186174707</v>
      </c>
      <c r="AL1535">
        <v>1.75268946591068</v>
      </c>
      <c r="AM1535">
        <v>0.373253674365912</v>
      </c>
      <c r="AN1535">
        <v>2.0263773282925501</v>
      </c>
      <c r="AO1535">
        <v>0.56544281887685399</v>
      </c>
      <c r="AP1535">
        <v>0.56544281887685399</v>
      </c>
      <c r="AQ1535">
        <v>0</v>
      </c>
      <c r="AR1535">
        <v>0</v>
      </c>
      <c r="AS1535">
        <v>15</v>
      </c>
      <c r="AT1535">
        <v>42</v>
      </c>
      <c r="AU1535">
        <v>0</v>
      </c>
      <c r="AV1535">
        <v>4</v>
      </c>
      <c r="AW1535">
        <v>0</v>
      </c>
      <c r="AX1535">
        <v>0</v>
      </c>
      <c r="AY1535">
        <v>15.5</v>
      </c>
      <c r="AZ1535">
        <v>2.4</v>
      </c>
      <c r="BA1535">
        <v>10.9</v>
      </c>
      <c r="BB1535">
        <v>564</v>
      </c>
      <c r="BC1535">
        <v>68</v>
      </c>
      <c r="BD1535">
        <v>1.5</v>
      </c>
      <c r="BE1535">
        <v>135</v>
      </c>
      <c r="BF1535">
        <v>0</v>
      </c>
      <c r="BG1535">
        <v>162</v>
      </c>
      <c r="BH1535">
        <v>9.1</v>
      </c>
      <c r="BI1535">
        <v>9.1999999999999993</v>
      </c>
      <c r="BJ1535">
        <v>18.3</v>
      </c>
      <c r="BK1535">
        <v>0.34</v>
      </c>
      <c r="BL1535">
        <v>7.3</v>
      </c>
      <c r="BM1535">
        <v>0.9</v>
      </c>
      <c r="BN1535">
        <v>7.5</v>
      </c>
      <c r="BO1535">
        <v>2.9</v>
      </c>
      <c r="BP1535">
        <f t="shared" si="46"/>
        <v>2.2108062274209268</v>
      </c>
      <c r="BQ1535">
        <f t="shared" si="47"/>
        <v>10.474577834289995</v>
      </c>
    </row>
    <row r="1536" spans="1:69" hidden="1" x14ac:dyDescent="0.2">
      <c r="A1536" t="s">
        <v>2609</v>
      </c>
      <c r="B1536" t="s">
        <v>68</v>
      </c>
      <c r="C1536" t="s">
        <v>1956</v>
      </c>
      <c r="D1536" t="s">
        <v>70</v>
      </c>
      <c r="E1536" t="s">
        <v>772</v>
      </c>
      <c r="F1536">
        <v>4</v>
      </c>
      <c r="G1536">
        <v>197</v>
      </c>
      <c r="H1536">
        <v>4</v>
      </c>
      <c r="I1536">
        <v>4</v>
      </c>
      <c r="J1536">
        <v>2</v>
      </c>
      <c r="K1536" t="s">
        <v>110</v>
      </c>
      <c r="L1536" t="s">
        <v>162</v>
      </c>
      <c r="M1536" s="4">
        <v>849000000</v>
      </c>
      <c r="N1536">
        <v>0</v>
      </c>
      <c r="O1536">
        <v>4.7222229999999996</v>
      </c>
      <c r="P1536">
        <v>-74.037636000000006</v>
      </c>
      <c r="Q1536" t="s">
        <v>2610</v>
      </c>
      <c r="R1536">
        <v>4309644.67</v>
      </c>
      <c r="S1536">
        <v>0</v>
      </c>
      <c r="T1536" t="s">
        <v>104</v>
      </c>
      <c r="U1536" t="s">
        <v>105</v>
      </c>
      <c r="V1536" t="s">
        <v>77</v>
      </c>
      <c r="W1536" t="s">
        <v>104</v>
      </c>
      <c r="X1536" t="s">
        <v>106</v>
      </c>
      <c r="Y1536">
        <v>1.5454359359652099</v>
      </c>
      <c r="Z1536">
        <v>1545.4359359652101</v>
      </c>
      <c r="AA1536">
        <v>4.71035</v>
      </c>
      <c r="AB1536">
        <v>-74.030416666666696</v>
      </c>
      <c r="AC1536">
        <v>2570</v>
      </c>
      <c r="AD1536">
        <v>10</v>
      </c>
      <c r="AE1536" t="s">
        <v>80</v>
      </c>
      <c r="AF1536" t="s">
        <v>107</v>
      </c>
      <c r="AG1536" t="s">
        <v>82</v>
      </c>
      <c r="AH1536" t="s">
        <v>83</v>
      </c>
      <c r="AI1536" t="s">
        <v>108</v>
      </c>
      <c r="AJ1536">
        <v>1.51551722839083</v>
      </c>
      <c r="AK1536">
        <v>1.58546315639707</v>
      </c>
      <c r="AL1536">
        <v>1.2063108493146599</v>
      </c>
      <c r="AM1536">
        <v>0.29465694545107302</v>
      </c>
      <c r="AN1536">
        <v>2.4530477286411299</v>
      </c>
      <c r="AO1536">
        <v>7.7174952689478002E-3</v>
      </c>
      <c r="AP1536">
        <v>7.7174952689478002E-3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36</v>
      </c>
      <c r="AW1536">
        <v>0</v>
      </c>
      <c r="AX1536">
        <v>0</v>
      </c>
      <c r="AY1536">
        <v>15.5</v>
      </c>
      <c r="AZ1536">
        <v>2.4</v>
      </c>
      <c r="BA1536">
        <v>10.9</v>
      </c>
      <c r="BB1536">
        <v>564</v>
      </c>
      <c r="BC1536">
        <v>68</v>
      </c>
      <c r="BD1536">
        <v>1.5</v>
      </c>
      <c r="BE1536">
        <v>135</v>
      </c>
      <c r="BF1536">
        <v>0</v>
      </c>
      <c r="BG1536">
        <v>162</v>
      </c>
      <c r="BH1536">
        <v>9.1</v>
      </c>
      <c r="BI1536">
        <v>9.1999999999999993</v>
      </c>
      <c r="BJ1536">
        <v>18.3</v>
      </c>
      <c r="BK1536">
        <v>0.34</v>
      </c>
      <c r="BL1536">
        <v>7.3</v>
      </c>
      <c r="BM1536">
        <v>0.9</v>
      </c>
      <c r="BN1536">
        <v>7.5</v>
      </c>
      <c r="BO1536">
        <v>2.9</v>
      </c>
      <c r="BP1536">
        <f t="shared" si="46"/>
        <v>2.2232490422819322</v>
      </c>
      <c r="BQ1536">
        <f t="shared" si="47"/>
        <v>10.503119694249012</v>
      </c>
    </row>
    <row r="1537" spans="1:69" hidden="1" x14ac:dyDescent="0.2">
      <c r="A1537" t="s">
        <v>1288</v>
      </c>
      <c r="B1537" t="s">
        <v>68</v>
      </c>
      <c r="C1537" t="s">
        <v>69</v>
      </c>
      <c r="D1537" t="s">
        <v>70</v>
      </c>
      <c r="E1537" t="s">
        <v>213</v>
      </c>
      <c r="F1537">
        <v>6</v>
      </c>
      <c r="G1537">
        <v>196.08</v>
      </c>
      <c r="H1537">
        <v>3</v>
      </c>
      <c r="I1537">
        <v>3</v>
      </c>
      <c r="J1537">
        <v>2</v>
      </c>
      <c r="K1537" t="s">
        <v>110</v>
      </c>
      <c r="L1537" t="s">
        <v>162</v>
      </c>
      <c r="M1537" s="4">
        <v>1350000000</v>
      </c>
      <c r="N1537">
        <v>0</v>
      </c>
      <c r="O1537">
        <v>4.6950900000000004</v>
      </c>
      <c r="P1537">
        <v>-74.038399999999996</v>
      </c>
      <c r="Q1537" t="s">
        <v>1289</v>
      </c>
      <c r="R1537">
        <v>6884944.9199999999</v>
      </c>
      <c r="S1537">
        <v>0</v>
      </c>
      <c r="T1537" t="s">
        <v>104</v>
      </c>
      <c r="U1537" t="s">
        <v>105</v>
      </c>
      <c r="V1537" t="s">
        <v>77</v>
      </c>
      <c r="W1537" t="s">
        <v>104</v>
      </c>
      <c r="X1537" t="s">
        <v>106</v>
      </c>
      <c r="Y1537">
        <v>1.91577193592424</v>
      </c>
      <c r="Z1537">
        <v>1915.7719359242401</v>
      </c>
      <c r="AA1537">
        <v>4.71035</v>
      </c>
      <c r="AB1537">
        <v>-74.030416666666696</v>
      </c>
      <c r="AC1537">
        <v>2570</v>
      </c>
      <c r="AD1537">
        <v>10</v>
      </c>
      <c r="AE1537" t="s">
        <v>80</v>
      </c>
      <c r="AF1537" t="s">
        <v>107</v>
      </c>
      <c r="AG1537" t="s">
        <v>82</v>
      </c>
      <c r="AH1537" t="s">
        <v>83</v>
      </c>
      <c r="AI1537" t="s">
        <v>108</v>
      </c>
      <c r="AJ1537">
        <v>1.9046151594366101</v>
      </c>
      <c r="AK1537">
        <v>1.3576842137724401</v>
      </c>
      <c r="AL1537">
        <v>0.95353670107735</v>
      </c>
      <c r="AM1537">
        <v>9.8842513169400903E-2</v>
      </c>
      <c r="AN1537">
        <v>5.2934716042163803</v>
      </c>
      <c r="AO1537">
        <v>0.19387123273919901</v>
      </c>
      <c r="AP1537">
        <v>0.19387123273919901</v>
      </c>
      <c r="AQ1537">
        <v>0</v>
      </c>
      <c r="AR1537">
        <v>0</v>
      </c>
      <c r="AS1537">
        <v>0</v>
      </c>
      <c r="AT1537">
        <v>0</v>
      </c>
      <c r="AU1537">
        <v>2</v>
      </c>
      <c r="AV1537">
        <v>144</v>
      </c>
      <c r="AW1537">
        <v>0</v>
      </c>
      <c r="AX1537">
        <v>0</v>
      </c>
      <c r="AY1537">
        <v>15.5</v>
      </c>
      <c r="AZ1537">
        <v>2.4</v>
      </c>
      <c r="BA1537">
        <v>10.9</v>
      </c>
      <c r="BB1537">
        <v>564</v>
      </c>
      <c r="BC1537">
        <v>68</v>
      </c>
      <c r="BD1537">
        <v>1.5</v>
      </c>
      <c r="BE1537">
        <v>135</v>
      </c>
      <c r="BF1537">
        <v>0</v>
      </c>
      <c r="BG1537">
        <v>162</v>
      </c>
      <c r="BH1537">
        <v>9.1</v>
      </c>
      <c r="BI1537">
        <v>9.1999999999999993</v>
      </c>
      <c r="BJ1537">
        <v>18.3</v>
      </c>
      <c r="BK1537">
        <v>0.34</v>
      </c>
      <c r="BL1537">
        <v>7.3</v>
      </c>
      <c r="BM1537">
        <v>0.9</v>
      </c>
      <c r="BN1537">
        <v>7.5</v>
      </c>
      <c r="BO1537">
        <v>2.9</v>
      </c>
      <c r="BP1537">
        <f t="shared" si="46"/>
        <v>2.1828645467775218</v>
      </c>
      <c r="BQ1537">
        <f t="shared" si="47"/>
        <v>10.410180928892544</v>
      </c>
    </row>
    <row r="1538" spans="1:69" hidden="1" x14ac:dyDescent="0.2">
      <c r="A1538" t="s">
        <v>2968</v>
      </c>
      <c r="B1538" t="s">
        <v>68</v>
      </c>
      <c r="C1538" t="s">
        <v>1956</v>
      </c>
      <c r="D1538" t="s">
        <v>70</v>
      </c>
      <c r="E1538" t="s">
        <v>344</v>
      </c>
      <c r="F1538">
        <v>5</v>
      </c>
      <c r="G1538">
        <v>196</v>
      </c>
      <c r="H1538">
        <v>4</v>
      </c>
      <c r="I1538">
        <v>4</v>
      </c>
      <c r="J1538">
        <v>3</v>
      </c>
      <c r="K1538" t="s">
        <v>110</v>
      </c>
      <c r="L1538" t="s">
        <v>162</v>
      </c>
      <c r="M1538" s="4">
        <v>1200000000</v>
      </c>
      <c r="N1538">
        <v>0</v>
      </c>
      <c r="O1538">
        <v>4.696991444</v>
      </c>
      <c r="P1538">
        <v>-74.062255859999993</v>
      </c>
      <c r="Q1538" t="s">
        <v>2969</v>
      </c>
      <c r="R1538">
        <v>6122448.9800000004</v>
      </c>
      <c r="S1538">
        <v>0</v>
      </c>
      <c r="T1538" t="s">
        <v>104</v>
      </c>
      <c r="U1538" t="s">
        <v>105</v>
      </c>
      <c r="V1538" t="s">
        <v>77</v>
      </c>
      <c r="W1538" t="s">
        <v>104</v>
      </c>
      <c r="X1538" t="s">
        <v>106</v>
      </c>
      <c r="Y1538">
        <v>3.8326388976007499</v>
      </c>
      <c r="Z1538">
        <v>3832.6388976007502</v>
      </c>
      <c r="AA1538">
        <v>4.71035</v>
      </c>
      <c r="AB1538">
        <v>-74.030416666666696</v>
      </c>
      <c r="AC1538">
        <v>2570</v>
      </c>
      <c r="AD1538">
        <v>10</v>
      </c>
      <c r="AE1538" t="s">
        <v>80</v>
      </c>
      <c r="AF1538" t="s">
        <v>107</v>
      </c>
      <c r="AG1538" t="s">
        <v>82</v>
      </c>
      <c r="AH1538" t="s">
        <v>83</v>
      </c>
      <c r="AI1538" t="s">
        <v>121</v>
      </c>
      <c r="AJ1538">
        <v>0.67753088212774704</v>
      </c>
      <c r="AK1538">
        <v>3.5238778367468</v>
      </c>
      <c r="AL1538">
        <v>0.82068310187710503</v>
      </c>
      <c r="AM1538">
        <v>0.29212939656505998</v>
      </c>
      <c r="AN1538">
        <v>3.3597338121707501</v>
      </c>
      <c r="AO1538">
        <v>1.86969385631599E-2</v>
      </c>
      <c r="AP1538">
        <v>1.86969385631599E-2</v>
      </c>
      <c r="AQ1538">
        <v>0</v>
      </c>
      <c r="AR1538">
        <v>4</v>
      </c>
      <c r="AS1538">
        <v>0</v>
      </c>
      <c r="AT1538">
        <v>0</v>
      </c>
      <c r="AU1538">
        <v>1</v>
      </c>
      <c r="AV1538">
        <v>93</v>
      </c>
      <c r="AW1538">
        <v>0</v>
      </c>
      <c r="AX1538">
        <v>0</v>
      </c>
      <c r="AY1538">
        <v>15.5</v>
      </c>
      <c r="AZ1538">
        <v>2.4</v>
      </c>
      <c r="BA1538">
        <v>10.9</v>
      </c>
      <c r="BB1538">
        <v>564</v>
      </c>
      <c r="BC1538">
        <v>68</v>
      </c>
      <c r="BD1538">
        <v>1.5</v>
      </c>
      <c r="BE1538">
        <v>135</v>
      </c>
      <c r="BF1538">
        <v>0</v>
      </c>
      <c r="BG1538">
        <v>162</v>
      </c>
      <c r="BH1538">
        <v>9.1</v>
      </c>
      <c r="BI1538">
        <v>9.1999999999999993</v>
      </c>
      <c r="BJ1538">
        <v>18.3</v>
      </c>
      <c r="BK1538">
        <v>0.34</v>
      </c>
      <c r="BL1538">
        <v>7.3</v>
      </c>
      <c r="BM1538">
        <v>0.9</v>
      </c>
      <c r="BN1538">
        <v>7.5</v>
      </c>
      <c r="BO1538">
        <v>2.9</v>
      </c>
      <c r="BP1538">
        <f t="shared" ref="BP1538:BP1601" si="48">+AZ1538*EXP(-0.0495*Y1538)</f>
        <v>1.9852664004750422</v>
      </c>
      <c r="BQ1538">
        <f t="shared" ref="BQ1538:BQ1601" si="49">+BA1538*EXP(-0.024*Y1538)</f>
        <v>9.9421118284457428</v>
      </c>
    </row>
    <row r="1539" spans="1:69" hidden="1" x14ac:dyDescent="0.2">
      <c r="A1539" t="s">
        <v>2739</v>
      </c>
      <c r="B1539" t="s">
        <v>68</v>
      </c>
      <c r="C1539" t="s">
        <v>1956</v>
      </c>
      <c r="D1539" t="s">
        <v>70</v>
      </c>
      <c r="E1539" t="s">
        <v>205</v>
      </c>
      <c r="F1539">
        <v>5</v>
      </c>
      <c r="G1539">
        <v>195</v>
      </c>
      <c r="H1539">
        <v>4</v>
      </c>
      <c r="I1539">
        <v>4</v>
      </c>
      <c r="J1539">
        <v>2</v>
      </c>
      <c r="K1539" t="s">
        <v>110</v>
      </c>
      <c r="L1539" t="s">
        <v>111</v>
      </c>
      <c r="M1539" s="4">
        <v>1250000000</v>
      </c>
      <c r="N1539">
        <v>0</v>
      </c>
      <c r="O1539">
        <v>4.7178415200000003</v>
      </c>
      <c r="P1539">
        <v>-74.030208810000005</v>
      </c>
      <c r="Q1539" t="s">
        <v>2740</v>
      </c>
      <c r="R1539">
        <v>6410256.4100000001</v>
      </c>
      <c r="S1539">
        <v>0</v>
      </c>
      <c r="T1539" t="s">
        <v>104</v>
      </c>
      <c r="U1539" t="s">
        <v>105</v>
      </c>
      <c r="V1539" t="s">
        <v>77</v>
      </c>
      <c r="W1539" t="s">
        <v>104</v>
      </c>
      <c r="X1539" t="s">
        <v>106</v>
      </c>
      <c r="Y1539">
        <v>0.834270958369836</v>
      </c>
      <c r="Z1539">
        <v>834.27095836983597</v>
      </c>
      <c r="AA1539">
        <v>4.71035</v>
      </c>
      <c r="AB1539">
        <v>-74.030416666666696</v>
      </c>
      <c r="AC1539">
        <v>2570</v>
      </c>
      <c r="AD1539">
        <v>10</v>
      </c>
      <c r="AE1539" t="s">
        <v>80</v>
      </c>
      <c r="AF1539" t="s">
        <v>107</v>
      </c>
      <c r="AG1539" t="s">
        <v>82</v>
      </c>
      <c r="AH1539" t="s">
        <v>83</v>
      </c>
      <c r="AI1539" t="s">
        <v>108</v>
      </c>
      <c r="AJ1539">
        <v>2.38445336369786</v>
      </c>
      <c r="AK1539">
        <v>0.762419835340991</v>
      </c>
      <c r="AL1539">
        <v>0.83474033497585898</v>
      </c>
      <c r="AM1539">
        <v>0.175439341743339</v>
      </c>
      <c r="AN1539">
        <v>2.64687516946741</v>
      </c>
      <c r="AO1539">
        <v>0.111574250905557</v>
      </c>
      <c r="AP1539">
        <v>0.111574250905557</v>
      </c>
      <c r="AQ1539">
        <v>0</v>
      </c>
      <c r="AR1539">
        <v>0</v>
      </c>
      <c r="AS1539">
        <v>0</v>
      </c>
      <c r="AT1539">
        <v>27</v>
      </c>
      <c r="AU1539">
        <v>1</v>
      </c>
      <c r="AV1539">
        <v>74</v>
      </c>
      <c r="AW1539">
        <v>0</v>
      </c>
      <c r="AX1539">
        <v>0</v>
      </c>
      <c r="AY1539">
        <v>15.5</v>
      </c>
      <c r="AZ1539">
        <v>2.4</v>
      </c>
      <c r="BA1539">
        <v>10.9</v>
      </c>
      <c r="BB1539">
        <v>564</v>
      </c>
      <c r="BC1539">
        <v>68</v>
      </c>
      <c r="BD1539">
        <v>1.5</v>
      </c>
      <c r="BE1539">
        <v>135</v>
      </c>
      <c r="BF1539">
        <v>0</v>
      </c>
      <c r="BG1539">
        <v>162</v>
      </c>
      <c r="BH1539">
        <v>9.1</v>
      </c>
      <c r="BI1539">
        <v>9.1999999999999993</v>
      </c>
      <c r="BJ1539">
        <v>18.3</v>
      </c>
      <c r="BK1539">
        <v>0.34</v>
      </c>
      <c r="BL1539">
        <v>7.3</v>
      </c>
      <c r="BM1539">
        <v>0.9</v>
      </c>
      <c r="BN1539">
        <v>7.5</v>
      </c>
      <c r="BO1539">
        <v>2.9</v>
      </c>
      <c r="BP1539">
        <f t="shared" si="48"/>
        <v>2.3029072003568678</v>
      </c>
      <c r="BQ1539">
        <f t="shared" si="49"/>
        <v>10.683925115962278</v>
      </c>
    </row>
    <row r="1540" spans="1:69" hidden="1" x14ac:dyDescent="0.2">
      <c r="A1540" t="s">
        <v>3167</v>
      </c>
      <c r="B1540" t="s">
        <v>68</v>
      </c>
      <c r="C1540" t="s">
        <v>1956</v>
      </c>
      <c r="D1540" t="s">
        <v>70</v>
      </c>
      <c r="E1540" t="s">
        <v>2083</v>
      </c>
      <c r="F1540">
        <v>4</v>
      </c>
      <c r="G1540">
        <v>195</v>
      </c>
      <c r="H1540">
        <v>3</v>
      </c>
      <c r="I1540">
        <v>3</v>
      </c>
      <c r="J1540">
        <v>2</v>
      </c>
      <c r="K1540" t="s">
        <v>110</v>
      </c>
      <c r="L1540" t="s">
        <v>124</v>
      </c>
      <c r="M1540" s="4">
        <v>1310000000</v>
      </c>
      <c r="N1540">
        <v>0</v>
      </c>
      <c r="O1540">
        <v>4.7177065000000002</v>
      </c>
      <c r="P1540">
        <v>-74.029704600000002</v>
      </c>
      <c r="Q1540" t="s">
        <v>3168</v>
      </c>
      <c r="R1540">
        <v>6717948.7180000003</v>
      </c>
      <c r="S1540">
        <v>0</v>
      </c>
      <c r="T1540" t="s">
        <v>104</v>
      </c>
      <c r="U1540" t="s">
        <v>105</v>
      </c>
      <c r="V1540" t="s">
        <v>77</v>
      </c>
      <c r="W1540" t="s">
        <v>104</v>
      </c>
      <c r="X1540" t="s">
        <v>106</v>
      </c>
      <c r="Y1540">
        <v>0.82272338891044505</v>
      </c>
      <c r="Z1540">
        <v>822.72338891044501</v>
      </c>
      <c r="AA1540">
        <v>4.71035</v>
      </c>
      <c r="AB1540">
        <v>-74.030416666666696</v>
      </c>
      <c r="AC1540">
        <v>2570</v>
      </c>
      <c r="AD1540">
        <v>10</v>
      </c>
      <c r="AE1540" t="s">
        <v>80</v>
      </c>
      <c r="AF1540" t="s">
        <v>107</v>
      </c>
      <c r="AG1540" t="s">
        <v>82</v>
      </c>
      <c r="AH1540" t="s">
        <v>83</v>
      </c>
      <c r="AI1540" t="s">
        <v>108</v>
      </c>
      <c r="AJ1540">
        <v>2.4419942097345699</v>
      </c>
      <c r="AK1540">
        <v>0.71272932713551296</v>
      </c>
      <c r="AL1540">
        <v>0.84177165498676698</v>
      </c>
      <c r="AM1540">
        <v>0.14218170243821701</v>
      </c>
      <c r="AN1540">
        <v>2.65411817723527</v>
      </c>
      <c r="AO1540">
        <v>0.11922237894734899</v>
      </c>
      <c r="AP1540">
        <v>0.11922237894734899</v>
      </c>
      <c r="AQ1540">
        <v>0</v>
      </c>
      <c r="AR1540">
        <v>0</v>
      </c>
      <c r="AS1540">
        <v>0</v>
      </c>
      <c r="AT1540">
        <v>30</v>
      </c>
      <c r="AU1540">
        <v>1</v>
      </c>
      <c r="AV1540">
        <v>74</v>
      </c>
      <c r="AW1540">
        <v>0</v>
      </c>
      <c r="AX1540">
        <v>0</v>
      </c>
      <c r="AY1540">
        <v>15.5</v>
      </c>
      <c r="AZ1540">
        <v>2.4</v>
      </c>
      <c r="BA1540">
        <v>10.9</v>
      </c>
      <c r="BB1540">
        <v>564</v>
      </c>
      <c r="BC1540">
        <v>68</v>
      </c>
      <c r="BD1540">
        <v>1.5</v>
      </c>
      <c r="BE1540">
        <v>135</v>
      </c>
      <c r="BF1540">
        <v>0</v>
      </c>
      <c r="BG1540">
        <v>162</v>
      </c>
      <c r="BH1540">
        <v>9.1</v>
      </c>
      <c r="BI1540">
        <v>9.1999999999999993</v>
      </c>
      <c r="BJ1540">
        <v>18.3</v>
      </c>
      <c r="BK1540">
        <v>0.34</v>
      </c>
      <c r="BL1540">
        <v>7.3</v>
      </c>
      <c r="BM1540">
        <v>0.9</v>
      </c>
      <c r="BN1540">
        <v>7.5</v>
      </c>
      <c r="BO1540">
        <v>2.9</v>
      </c>
      <c r="BP1540">
        <f t="shared" si="48"/>
        <v>2.3042239291975108</v>
      </c>
      <c r="BQ1540">
        <f t="shared" si="49"/>
        <v>10.686886487120006</v>
      </c>
    </row>
    <row r="1541" spans="1:69" hidden="1" x14ac:dyDescent="0.2">
      <c r="A1541" t="s">
        <v>1141</v>
      </c>
      <c r="B1541" t="s">
        <v>68</v>
      </c>
      <c r="C1541" t="s">
        <v>69</v>
      </c>
      <c r="D1541" t="s">
        <v>70</v>
      </c>
      <c r="E1541" t="s">
        <v>1142</v>
      </c>
      <c r="F1541">
        <v>5</v>
      </c>
      <c r="G1541">
        <v>193.56</v>
      </c>
      <c r="H1541">
        <v>5</v>
      </c>
      <c r="I1541">
        <v>5</v>
      </c>
      <c r="J1541">
        <v>3</v>
      </c>
      <c r="K1541" t="s">
        <v>110</v>
      </c>
      <c r="L1541" t="s">
        <v>162</v>
      </c>
      <c r="M1541" s="4">
        <v>950000000</v>
      </c>
      <c r="N1541">
        <v>0</v>
      </c>
      <c r="O1541">
        <v>4.7054669999999996</v>
      </c>
      <c r="P1541">
        <v>-74.061438999999993</v>
      </c>
      <c r="Q1541" t="s">
        <v>1143</v>
      </c>
      <c r="R1541">
        <v>4908038.8509999998</v>
      </c>
      <c r="S1541">
        <v>0</v>
      </c>
      <c r="T1541" t="s">
        <v>104</v>
      </c>
      <c r="U1541" t="s">
        <v>105</v>
      </c>
      <c r="V1541" t="s">
        <v>77</v>
      </c>
      <c r="W1541" t="s">
        <v>104</v>
      </c>
      <c r="X1541" t="s">
        <v>106</v>
      </c>
      <c r="Y1541">
        <v>3.4843992229176002</v>
      </c>
      <c r="Z1541">
        <v>3484.3992229176001</v>
      </c>
      <c r="AA1541">
        <v>4.71035</v>
      </c>
      <c r="AB1541">
        <v>-74.030416666666696</v>
      </c>
      <c r="AC1541">
        <v>2570</v>
      </c>
      <c r="AD1541">
        <v>10</v>
      </c>
      <c r="AE1541" t="s">
        <v>80</v>
      </c>
      <c r="AF1541" t="s">
        <v>107</v>
      </c>
      <c r="AG1541" t="s">
        <v>82</v>
      </c>
      <c r="AH1541" t="s">
        <v>83</v>
      </c>
      <c r="AI1541" t="s">
        <v>121</v>
      </c>
      <c r="AJ1541">
        <v>0.80505758278155104</v>
      </c>
      <c r="AK1541">
        <v>3.99286261016581</v>
      </c>
      <c r="AL1541">
        <v>1.238663490185</v>
      </c>
      <c r="AM1541">
        <v>0.37158754669343202</v>
      </c>
      <c r="AN1541">
        <v>4.1672276051484198</v>
      </c>
      <c r="AO1541">
        <v>0.107832569451496</v>
      </c>
      <c r="AP1541">
        <v>0.107832569451496</v>
      </c>
      <c r="AQ1541">
        <v>0</v>
      </c>
      <c r="AR1541">
        <v>1</v>
      </c>
      <c r="AS1541">
        <v>0</v>
      </c>
      <c r="AT1541">
        <v>0</v>
      </c>
      <c r="AU1541">
        <v>0</v>
      </c>
      <c r="AV1541">
        <v>40</v>
      </c>
      <c r="AW1541">
        <v>0</v>
      </c>
      <c r="AX1541">
        <v>0</v>
      </c>
      <c r="AY1541">
        <v>15.5</v>
      </c>
      <c r="AZ1541">
        <v>2.4</v>
      </c>
      <c r="BA1541">
        <v>10.9</v>
      </c>
      <c r="BB1541">
        <v>564</v>
      </c>
      <c r="BC1541">
        <v>68</v>
      </c>
      <c r="BD1541">
        <v>1.5</v>
      </c>
      <c r="BE1541">
        <v>135</v>
      </c>
      <c r="BF1541">
        <v>0</v>
      </c>
      <c r="BG1541">
        <v>162</v>
      </c>
      <c r="BH1541">
        <v>9.1</v>
      </c>
      <c r="BI1541">
        <v>9.1999999999999993</v>
      </c>
      <c r="BJ1541">
        <v>18.3</v>
      </c>
      <c r="BK1541">
        <v>0.34</v>
      </c>
      <c r="BL1541">
        <v>7.3</v>
      </c>
      <c r="BM1541">
        <v>0.9</v>
      </c>
      <c r="BN1541">
        <v>7.5</v>
      </c>
      <c r="BO1541">
        <v>2.9</v>
      </c>
      <c r="BP1541">
        <f t="shared" si="48"/>
        <v>2.0197848095637818</v>
      </c>
      <c r="BQ1541">
        <f t="shared" si="49"/>
        <v>10.025553743084512</v>
      </c>
    </row>
    <row r="1542" spans="1:69" hidden="1" x14ac:dyDescent="0.2">
      <c r="A1542" t="s">
        <v>1685</v>
      </c>
      <c r="B1542" t="s">
        <v>68</v>
      </c>
      <c r="C1542" t="s">
        <v>69</v>
      </c>
      <c r="D1542" t="s">
        <v>70</v>
      </c>
      <c r="E1542" t="s">
        <v>1686</v>
      </c>
      <c r="F1542">
        <v>5</v>
      </c>
      <c r="G1542">
        <v>193</v>
      </c>
      <c r="H1542">
        <v>3</v>
      </c>
      <c r="I1542">
        <v>4</v>
      </c>
      <c r="J1542">
        <v>3</v>
      </c>
      <c r="K1542" t="s">
        <v>110</v>
      </c>
      <c r="L1542" t="s">
        <v>162</v>
      </c>
      <c r="M1542" s="4">
        <v>1390000000</v>
      </c>
      <c r="N1542">
        <v>0</v>
      </c>
      <c r="O1542">
        <v>4.7079930220000001</v>
      </c>
      <c r="P1542">
        <v>-74.049240569999995</v>
      </c>
      <c r="Q1542" t="s">
        <v>1687</v>
      </c>
      <c r="R1542">
        <v>7202072.5389999999</v>
      </c>
      <c r="S1542">
        <v>0</v>
      </c>
      <c r="T1542" t="s">
        <v>104</v>
      </c>
      <c r="U1542" t="s">
        <v>105</v>
      </c>
      <c r="V1542" t="s">
        <v>77</v>
      </c>
      <c r="W1542" t="s">
        <v>104</v>
      </c>
      <c r="X1542" t="s">
        <v>106</v>
      </c>
      <c r="Y1542">
        <v>2.10481109120688</v>
      </c>
      <c r="Z1542">
        <v>2104.8110912068801</v>
      </c>
      <c r="AA1542">
        <v>4.71035</v>
      </c>
      <c r="AB1542">
        <v>-74.030416666666696</v>
      </c>
      <c r="AC1542">
        <v>2570</v>
      </c>
      <c r="AD1542">
        <v>10</v>
      </c>
      <c r="AE1542" t="s">
        <v>80</v>
      </c>
      <c r="AF1542" t="s">
        <v>107</v>
      </c>
      <c r="AG1542" t="s">
        <v>82</v>
      </c>
      <c r="AH1542" t="s">
        <v>83</v>
      </c>
      <c r="AI1542" t="s">
        <v>108</v>
      </c>
      <c r="AJ1542">
        <v>0.66542135816079095</v>
      </c>
      <c r="AK1542">
        <v>2.68299398595006</v>
      </c>
      <c r="AL1542">
        <v>1.62589225701949</v>
      </c>
      <c r="AM1542">
        <v>9.7044373611101797E-2</v>
      </c>
      <c r="AN1542">
        <v>4.46879082152478</v>
      </c>
      <c r="AO1542">
        <v>0.22756006372319601</v>
      </c>
      <c r="AP1542">
        <v>0.22756006372319601</v>
      </c>
      <c r="AQ1542">
        <v>0</v>
      </c>
      <c r="AR1542">
        <v>2</v>
      </c>
      <c r="AS1542">
        <v>0</v>
      </c>
      <c r="AT1542">
        <v>0</v>
      </c>
      <c r="AU1542">
        <v>0</v>
      </c>
      <c r="AV1542">
        <v>133</v>
      </c>
      <c r="AW1542">
        <v>0</v>
      </c>
      <c r="AX1542">
        <v>0</v>
      </c>
      <c r="AY1542">
        <v>15.5</v>
      </c>
      <c r="AZ1542">
        <v>2.4</v>
      </c>
      <c r="BA1542">
        <v>10.9</v>
      </c>
      <c r="BB1542">
        <v>564</v>
      </c>
      <c r="BC1542">
        <v>68</v>
      </c>
      <c r="BD1542">
        <v>1.5</v>
      </c>
      <c r="BE1542">
        <v>135</v>
      </c>
      <c r="BF1542">
        <v>0</v>
      </c>
      <c r="BG1542">
        <v>162</v>
      </c>
      <c r="BH1542">
        <v>9.1</v>
      </c>
      <c r="BI1542">
        <v>9.1999999999999993</v>
      </c>
      <c r="BJ1542">
        <v>18.3</v>
      </c>
      <c r="BK1542">
        <v>0.34</v>
      </c>
      <c r="BL1542">
        <v>7.3</v>
      </c>
      <c r="BM1542">
        <v>0.9</v>
      </c>
      <c r="BN1542">
        <v>7.5</v>
      </c>
      <c r="BO1542">
        <v>2.9</v>
      </c>
      <c r="BP1542">
        <f t="shared" si="48"/>
        <v>2.1625337969283511</v>
      </c>
      <c r="BQ1542">
        <f t="shared" si="49"/>
        <v>10.363057544282684</v>
      </c>
    </row>
    <row r="1543" spans="1:69" hidden="1" x14ac:dyDescent="0.2">
      <c r="A1543" t="s">
        <v>195</v>
      </c>
      <c r="B1543" t="s">
        <v>68</v>
      </c>
      <c r="C1543" t="s">
        <v>69</v>
      </c>
      <c r="D1543" t="s">
        <v>70</v>
      </c>
      <c r="E1543" t="s">
        <v>196</v>
      </c>
      <c r="F1543">
        <v>6</v>
      </c>
      <c r="G1543">
        <v>192.3</v>
      </c>
      <c r="H1543">
        <v>3</v>
      </c>
      <c r="I1543">
        <v>3</v>
      </c>
      <c r="J1543">
        <v>2</v>
      </c>
      <c r="K1543" t="s">
        <v>110</v>
      </c>
      <c r="L1543" t="s">
        <v>162</v>
      </c>
      <c r="M1543" s="4">
        <v>980000000</v>
      </c>
      <c r="N1543">
        <v>0</v>
      </c>
      <c r="O1543">
        <v>4.678855896</v>
      </c>
      <c r="P1543">
        <v>-74.045677190000006</v>
      </c>
      <c r="Q1543" t="s">
        <v>197</v>
      </c>
      <c r="R1543">
        <v>5096203.8480000002</v>
      </c>
      <c r="S1543">
        <v>0</v>
      </c>
      <c r="T1543" t="s">
        <v>104</v>
      </c>
      <c r="U1543" t="s">
        <v>105</v>
      </c>
      <c r="V1543" t="s">
        <v>77</v>
      </c>
      <c r="W1543" t="s">
        <v>104</v>
      </c>
      <c r="X1543" t="s">
        <v>106</v>
      </c>
      <c r="Y1543">
        <v>3.89332208174836</v>
      </c>
      <c r="Z1543">
        <v>3893.3220817483598</v>
      </c>
      <c r="AA1543">
        <v>4.71035</v>
      </c>
      <c r="AB1543">
        <v>-74.030416666666696</v>
      </c>
      <c r="AC1543">
        <v>2570</v>
      </c>
      <c r="AD1543">
        <v>10</v>
      </c>
      <c r="AE1543" t="s">
        <v>80</v>
      </c>
      <c r="AF1543" t="s">
        <v>107</v>
      </c>
      <c r="AG1543" t="s">
        <v>82</v>
      </c>
      <c r="AH1543" t="s">
        <v>83</v>
      </c>
      <c r="AI1543" t="s">
        <v>130</v>
      </c>
      <c r="AJ1543">
        <v>1.4483208044748399</v>
      </c>
      <c r="AK1543">
        <v>0.86867148796271798</v>
      </c>
      <c r="AL1543">
        <v>0.81434729858094901</v>
      </c>
      <c r="AM1543">
        <v>4.4903368541760497E-2</v>
      </c>
      <c r="AN1543">
        <v>4.0507460065599101</v>
      </c>
      <c r="AO1543">
        <v>1.12331169893623</v>
      </c>
      <c r="AP1543">
        <v>1.12331169893623</v>
      </c>
      <c r="AQ1543">
        <v>0</v>
      </c>
      <c r="AR1543">
        <v>0</v>
      </c>
      <c r="AS1543">
        <v>0</v>
      </c>
      <c r="AT1543">
        <v>1</v>
      </c>
      <c r="AU1543">
        <v>4</v>
      </c>
      <c r="AV1543">
        <v>98</v>
      </c>
      <c r="AW1543">
        <v>0</v>
      </c>
      <c r="AX1543">
        <v>0</v>
      </c>
      <c r="AY1543">
        <v>15.5</v>
      </c>
      <c r="AZ1543">
        <v>2.4</v>
      </c>
      <c r="BA1543">
        <v>10.9</v>
      </c>
      <c r="BB1543">
        <v>564</v>
      </c>
      <c r="BC1543">
        <v>68</v>
      </c>
      <c r="BD1543">
        <v>1.5</v>
      </c>
      <c r="BE1543">
        <v>135</v>
      </c>
      <c r="BF1543">
        <v>0</v>
      </c>
      <c r="BG1543">
        <v>162</v>
      </c>
      <c r="BH1543">
        <v>9.1</v>
      </c>
      <c r="BI1543">
        <v>9.1999999999999993</v>
      </c>
      <c r="BJ1543">
        <v>18.3</v>
      </c>
      <c r="BK1543">
        <v>0.34</v>
      </c>
      <c r="BL1543">
        <v>7.3</v>
      </c>
      <c r="BM1543">
        <v>0.9</v>
      </c>
      <c r="BN1543">
        <v>7.5</v>
      </c>
      <c r="BO1543">
        <v>2.9</v>
      </c>
      <c r="BP1543">
        <f t="shared" si="48"/>
        <v>1.9793119697793209</v>
      </c>
      <c r="BQ1543">
        <f t="shared" si="49"/>
        <v>9.9276427113188159</v>
      </c>
    </row>
    <row r="1544" spans="1:69" hidden="1" x14ac:dyDescent="0.2">
      <c r="A1544" t="s">
        <v>910</v>
      </c>
      <c r="B1544" t="s">
        <v>68</v>
      </c>
      <c r="C1544" t="s">
        <v>69</v>
      </c>
      <c r="D1544" t="s">
        <v>70</v>
      </c>
      <c r="E1544" t="s">
        <v>468</v>
      </c>
      <c r="F1544">
        <v>6</v>
      </c>
      <c r="G1544">
        <v>190</v>
      </c>
      <c r="H1544">
        <v>3</v>
      </c>
      <c r="I1544">
        <v>3</v>
      </c>
      <c r="J1544">
        <v>2</v>
      </c>
      <c r="K1544" t="s">
        <v>110</v>
      </c>
      <c r="L1544" t="s">
        <v>162</v>
      </c>
      <c r="M1544" s="4">
        <v>1490000000</v>
      </c>
      <c r="N1544">
        <v>0</v>
      </c>
      <c r="O1544">
        <v>4.6873793600000004</v>
      </c>
      <c r="P1544">
        <v>-74.055862430000005</v>
      </c>
      <c r="Q1544" t="s">
        <v>911</v>
      </c>
      <c r="R1544">
        <v>7842105.2630000003</v>
      </c>
      <c r="S1544">
        <v>0</v>
      </c>
      <c r="T1544" t="s">
        <v>104</v>
      </c>
      <c r="U1544" t="s">
        <v>105</v>
      </c>
      <c r="V1544" t="s">
        <v>77</v>
      </c>
      <c r="W1544" t="s">
        <v>104</v>
      </c>
      <c r="X1544" t="s">
        <v>106</v>
      </c>
      <c r="Y1544">
        <v>3.8090011172943701</v>
      </c>
      <c r="Z1544">
        <v>3809.00111729437</v>
      </c>
      <c r="AA1544">
        <v>4.71035</v>
      </c>
      <c r="AB1544">
        <v>-74.030416666666696</v>
      </c>
      <c r="AC1544">
        <v>2570</v>
      </c>
      <c r="AD1544">
        <v>10</v>
      </c>
      <c r="AE1544" t="s">
        <v>80</v>
      </c>
      <c r="AF1544" t="s">
        <v>107</v>
      </c>
      <c r="AG1544" t="s">
        <v>82</v>
      </c>
      <c r="AH1544" t="s">
        <v>83</v>
      </c>
      <c r="AI1544" t="s">
        <v>108</v>
      </c>
      <c r="AJ1544">
        <v>0.430985632570484</v>
      </c>
      <c r="AK1544">
        <v>2.3381068346647802</v>
      </c>
      <c r="AL1544">
        <v>0.38306878776409597</v>
      </c>
      <c r="AM1544">
        <v>0.10631300514610199</v>
      </c>
      <c r="AN1544">
        <v>3.24943970615633</v>
      </c>
      <c r="AO1544">
        <v>0.489924257274163</v>
      </c>
      <c r="AP1544">
        <v>0.489924257274163</v>
      </c>
      <c r="AQ1544">
        <v>1</v>
      </c>
      <c r="AR1544">
        <v>4</v>
      </c>
      <c r="AS1544">
        <v>0</v>
      </c>
      <c r="AT1544">
        <v>0</v>
      </c>
      <c r="AU1544">
        <v>5</v>
      </c>
      <c r="AV1544">
        <v>227</v>
      </c>
      <c r="AW1544">
        <v>0</v>
      </c>
      <c r="AX1544">
        <v>0</v>
      </c>
      <c r="AY1544">
        <v>15.5</v>
      </c>
      <c r="AZ1544">
        <v>2.4</v>
      </c>
      <c r="BA1544">
        <v>10.9</v>
      </c>
      <c r="BB1544">
        <v>564</v>
      </c>
      <c r="BC1544">
        <v>68</v>
      </c>
      <c r="BD1544">
        <v>1.5</v>
      </c>
      <c r="BE1544">
        <v>135</v>
      </c>
      <c r="BF1544">
        <v>0</v>
      </c>
      <c r="BG1544">
        <v>162</v>
      </c>
      <c r="BH1544">
        <v>9.1</v>
      </c>
      <c r="BI1544">
        <v>9.1999999999999993</v>
      </c>
      <c r="BJ1544">
        <v>18.3</v>
      </c>
      <c r="BK1544">
        <v>0.34</v>
      </c>
      <c r="BL1544">
        <v>7.3</v>
      </c>
      <c r="BM1544">
        <v>0.9</v>
      </c>
      <c r="BN1544">
        <v>7.5</v>
      </c>
      <c r="BO1544">
        <v>2.9</v>
      </c>
      <c r="BP1544">
        <f t="shared" si="48"/>
        <v>1.9875906608893987</v>
      </c>
      <c r="BQ1544">
        <f t="shared" si="49"/>
        <v>9.9477536555420389</v>
      </c>
    </row>
    <row r="1545" spans="1:69" hidden="1" x14ac:dyDescent="0.2">
      <c r="A1545" t="s">
        <v>2042</v>
      </c>
      <c r="B1545" t="s">
        <v>68</v>
      </c>
      <c r="C1545" t="s">
        <v>1956</v>
      </c>
      <c r="D1545" t="s">
        <v>70</v>
      </c>
      <c r="E1545" t="s">
        <v>2043</v>
      </c>
      <c r="F1545">
        <v>5</v>
      </c>
      <c r="G1545">
        <v>189</v>
      </c>
      <c r="H1545">
        <v>3</v>
      </c>
      <c r="I1545">
        <v>5</v>
      </c>
      <c r="J1545">
        <v>2</v>
      </c>
      <c r="K1545" t="s">
        <v>110</v>
      </c>
      <c r="L1545" t="s">
        <v>124</v>
      </c>
      <c r="M1545" s="4">
        <v>1600000000</v>
      </c>
      <c r="N1545">
        <v>0</v>
      </c>
      <c r="O1545">
        <v>4.7145671839999999</v>
      </c>
      <c r="P1545">
        <v>-74.049453740000004</v>
      </c>
      <c r="Q1545" t="s">
        <v>2044</v>
      </c>
      <c r="R1545">
        <v>8465608.466</v>
      </c>
      <c r="S1545">
        <v>0</v>
      </c>
      <c r="T1545" t="s">
        <v>104</v>
      </c>
      <c r="U1545" t="s">
        <v>105</v>
      </c>
      <c r="V1545" t="s">
        <v>77</v>
      </c>
      <c r="W1545" t="s">
        <v>104</v>
      </c>
      <c r="X1545" t="s">
        <v>106</v>
      </c>
      <c r="Y1545">
        <v>2.1635787771880799</v>
      </c>
      <c r="Z1545">
        <v>2163.57877718808</v>
      </c>
      <c r="AA1545">
        <v>4.71035</v>
      </c>
      <c r="AB1545">
        <v>-74.030416666666696</v>
      </c>
      <c r="AC1545">
        <v>2570</v>
      </c>
      <c r="AD1545">
        <v>10</v>
      </c>
      <c r="AE1545" t="s">
        <v>80</v>
      </c>
      <c r="AF1545" t="s">
        <v>107</v>
      </c>
      <c r="AG1545" t="s">
        <v>82</v>
      </c>
      <c r="AH1545" t="s">
        <v>83</v>
      </c>
      <c r="AI1545" t="s">
        <v>108</v>
      </c>
      <c r="AJ1545">
        <v>0.34421935897906603</v>
      </c>
      <c r="AK1545">
        <v>2.7548991771445701</v>
      </c>
      <c r="AL1545">
        <v>1.8965945578674099</v>
      </c>
      <c r="AM1545">
        <v>0.50036685659735303</v>
      </c>
      <c r="AN1545">
        <v>3.9025527788308798</v>
      </c>
      <c r="AO1545">
        <v>0.39294586325247299</v>
      </c>
      <c r="AP1545">
        <v>0.39294586325247299</v>
      </c>
      <c r="AQ1545">
        <v>1</v>
      </c>
      <c r="AR1545">
        <v>2</v>
      </c>
      <c r="AS1545">
        <v>0</v>
      </c>
      <c r="AT1545">
        <v>0</v>
      </c>
      <c r="AU1545">
        <v>0</v>
      </c>
      <c r="AV1545">
        <v>81</v>
      </c>
      <c r="AW1545">
        <v>0</v>
      </c>
      <c r="AX1545">
        <v>0</v>
      </c>
      <c r="AY1545">
        <v>15.5</v>
      </c>
      <c r="AZ1545">
        <v>2.4</v>
      </c>
      <c r="BA1545">
        <v>10.9</v>
      </c>
      <c r="BB1545">
        <v>564</v>
      </c>
      <c r="BC1545">
        <v>68</v>
      </c>
      <c r="BD1545">
        <v>1.5</v>
      </c>
      <c r="BE1545">
        <v>135</v>
      </c>
      <c r="BF1545">
        <v>0</v>
      </c>
      <c r="BG1545">
        <v>162</v>
      </c>
      <c r="BH1545">
        <v>9.1</v>
      </c>
      <c r="BI1545">
        <v>9.1999999999999993</v>
      </c>
      <c r="BJ1545">
        <v>18.3</v>
      </c>
      <c r="BK1545">
        <v>0.34</v>
      </c>
      <c r="BL1545">
        <v>7.3</v>
      </c>
      <c r="BM1545">
        <v>0.9</v>
      </c>
      <c r="BN1545">
        <v>7.5</v>
      </c>
      <c r="BO1545">
        <v>2.9</v>
      </c>
      <c r="BP1545">
        <f t="shared" si="48"/>
        <v>2.156252126248031</v>
      </c>
      <c r="BQ1545">
        <f t="shared" si="49"/>
        <v>10.34845153716125</v>
      </c>
    </row>
    <row r="1546" spans="1:69" hidden="1" x14ac:dyDescent="0.2">
      <c r="A1546" t="s">
        <v>602</v>
      </c>
      <c r="B1546" t="s">
        <v>68</v>
      </c>
      <c r="C1546" t="s">
        <v>69</v>
      </c>
      <c r="D1546" t="s">
        <v>70</v>
      </c>
      <c r="E1546" t="s">
        <v>213</v>
      </c>
      <c r="F1546">
        <v>6</v>
      </c>
      <c r="G1546">
        <v>189</v>
      </c>
      <c r="H1546">
        <v>3</v>
      </c>
      <c r="I1546">
        <v>5</v>
      </c>
      <c r="J1546">
        <v>3</v>
      </c>
      <c r="K1546" t="s">
        <v>110</v>
      </c>
      <c r="L1546" t="s">
        <v>124</v>
      </c>
      <c r="M1546" s="4">
        <v>1450000000</v>
      </c>
      <c r="N1546">
        <v>0</v>
      </c>
      <c r="O1546">
        <v>4.7005734439999998</v>
      </c>
      <c r="P1546">
        <v>-74.034774780000006</v>
      </c>
      <c r="Q1546" t="s">
        <v>603</v>
      </c>
      <c r="R1546">
        <v>7671957.6720000003</v>
      </c>
      <c r="S1546">
        <v>0</v>
      </c>
      <c r="T1546" t="s">
        <v>104</v>
      </c>
      <c r="U1546" t="s">
        <v>105</v>
      </c>
      <c r="V1546" t="s">
        <v>77</v>
      </c>
      <c r="W1546" t="s">
        <v>104</v>
      </c>
      <c r="X1546" t="s">
        <v>106</v>
      </c>
      <c r="Y1546">
        <v>1.1908916495089099</v>
      </c>
      <c r="Z1546">
        <v>1190.8916495089099</v>
      </c>
      <c r="AA1546">
        <v>4.71035</v>
      </c>
      <c r="AB1546">
        <v>-74.030416666666696</v>
      </c>
      <c r="AC1546">
        <v>2570</v>
      </c>
      <c r="AD1546">
        <v>10</v>
      </c>
      <c r="AE1546" t="s">
        <v>80</v>
      </c>
      <c r="AF1546" t="s">
        <v>107</v>
      </c>
      <c r="AG1546" t="s">
        <v>82</v>
      </c>
      <c r="AH1546" t="s">
        <v>83</v>
      </c>
      <c r="AI1546" t="s">
        <v>108</v>
      </c>
      <c r="AJ1546">
        <v>2.2029169306801202</v>
      </c>
      <c r="AK1546">
        <v>0.998905072743698</v>
      </c>
      <c r="AL1546">
        <v>0.26960720846591302</v>
      </c>
      <c r="AM1546">
        <v>0.27675786341664499</v>
      </c>
      <c r="AN1546">
        <v>4.6139633957586996</v>
      </c>
      <c r="AO1546">
        <v>0.31895635328172001</v>
      </c>
      <c r="AP1546">
        <v>0.31895635328172001</v>
      </c>
      <c r="AQ1546">
        <v>0</v>
      </c>
      <c r="AR1546">
        <v>0</v>
      </c>
      <c r="AS1546">
        <v>0</v>
      </c>
      <c r="AT1546">
        <v>1</v>
      </c>
      <c r="AU1546">
        <v>2</v>
      </c>
      <c r="AV1546">
        <v>158</v>
      </c>
      <c r="AW1546">
        <v>0</v>
      </c>
      <c r="AX1546">
        <v>0</v>
      </c>
      <c r="AY1546">
        <v>15.5</v>
      </c>
      <c r="AZ1546">
        <v>2.4</v>
      </c>
      <c r="BA1546">
        <v>10.9</v>
      </c>
      <c r="BB1546">
        <v>564</v>
      </c>
      <c r="BC1546">
        <v>68</v>
      </c>
      <c r="BD1546">
        <v>1.5</v>
      </c>
      <c r="BE1546">
        <v>135</v>
      </c>
      <c r="BF1546">
        <v>0</v>
      </c>
      <c r="BG1546">
        <v>162</v>
      </c>
      <c r="BH1546">
        <v>9.1</v>
      </c>
      <c r="BI1546">
        <v>9.1999999999999993</v>
      </c>
      <c r="BJ1546">
        <v>18.3</v>
      </c>
      <c r="BK1546">
        <v>0.34</v>
      </c>
      <c r="BL1546">
        <v>7.3</v>
      </c>
      <c r="BM1546">
        <v>0.9</v>
      </c>
      <c r="BN1546">
        <v>7.5</v>
      </c>
      <c r="BO1546">
        <v>2.9</v>
      </c>
      <c r="BP1546">
        <f t="shared" si="48"/>
        <v>2.2626113270405881</v>
      </c>
      <c r="BQ1546">
        <f t="shared" si="49"/>
        <v>10.592872715621263</v>
      </c>
    </row>
    <row r="1547" spans="1:69" hidden="1" x14ac:dyDescent="0.2">
      <c r="A1547" t="s">
        <v>1202</v>
      </c>
      <c r="B1547" t="s">
        <v>68</v>
      </c>
      <c r="C1547" t="s">
        <v>69</v>
      </c>
      <c r="D1547" t="s">
        <v>70</v>
      </c>
      <c r="E1547" t="s">
        <v>190</v>
      </c>
      <c r="F1547">
        <v>6</v>
      </c>
      <c r="G1547">
        <v>188.25</v>
      </c>
      <c r="H1547">
        <v>4</v>
      </c>
      <c r="I1547">
        <v>4</v>
      </c>
      <c r="J1547">
        <v>3</v>
      </c>
      <c r="K1547" t="s">
        <v>110</v>
      </c>
      <c r="L1547" t="s">
        <v>162</v>
      </c>
      <c r="M1547" s="4">
        <v>1000000000</v>
      </c>
      <c r="N1547">
        <v>0</v>
      </c>
      <c r="O1547">
        <v>4.6855538000000001</v>
      </c>
      <c r="P1547">
        <v>-74.043851200000006</v>
      </c>
      <c r="Q1547" t="s">
        <v>1203</v>
      </c>
      <c r="R1547">
        <v>5312084.9929999998</v>
      </c>
      <c r="S1547">
        <v>0</v>
      </c>
      <c r="T1547" t="s">
        <v>104</v>
      </c>
      <c r="U1547" t="s">
        <v>105</v>
      </c>
      <c r="V1547" t="s">
        <v>77</v>
      </c>
      <c r="W1547" t="s">
        <v>104</v>
      </c>
      <c r="X1547" t="s">
        <v>106</v>
      </c>
      <c r="Y1547">
        <v>3.13701307111997</v>
      </c>
      <c r="Z1547">
        <v>3137.0130711199699</v>
      </c>
      <c r="AA1547">
        <v>4.71035</v>
      </c>
      <c r="AB1547">
        <v>-74.030416666666696</v>
      </c>
      <c r="AC1547">
        <v>2570</v>
      </c>
      <c r="AD1547">
        <v>10</v>
      </c>
      <c r="AE1547" t="s">
        <v>80</v>
      </c>
      <c r="AF1547" t="s">
        <v>107</v>
      </c>
      <c r="AG1547" t="s">
        <v>82</v>
      </c>
      <c r="AH1547" t="s">
        <v>83</v>
      </c>
      <c r="AI1547" t="s">
        <v>108</v>
      </c>
      <c r="AJ1547">
        <v>1.54711091063062</v>
      </c>
      <c r="AK1547">
        <v>1.1427009334751299</v>
      </c>
      <c r="AL1547">
        <v>0.61804651590043302</v>
      </c>
      <c r="AM1547">
        <v>6.5193065854640603E-2</v>
      </c>
      <c r="AN1547">
        <v>4.4098915689785203</v>
      </c>
      <c r="AO1547">
        <v>0.36795388278637398</v>
      </c>
      <c r="AP1547">
        <v>0.36795388278637398</v>
      </c>
      <c r="AQ1547">
        <v>0</v>
      </c>
      <c r="AR1547">
        <v>0</v>
      </c>
      <c r="AS1547">
        <v>0</v>
      </c>
      <c r="AT1547">
        <v>0</v>
      </c>
      <c r="AU1547">
        <v>7</v>
      </c>
      <c r="AV1547">
        <v>109</v>
      </c>
      <c r="AW1547">
        <v>0</v>
      </c>
      <c r="AX1547">
        <v>0</v>
      </c>
      <c r="AY1547">
        <v>15.5</v>
      </c>
      <c r="AZ1547">
        <v>2.4</v>
      </c>
      <c r="BA1547">
        <v>10.9</v>
      </c>
      <c r="BB1547">
        <v>564</v>
      </c>
      <c r="BC1547">
        <v>68</v>
      </c>
      <c r="BD1547">
        <v>1.5</v>
      </c>
      <c r="BE1547">
        <v>135</v>
      </c>
      <c r="BF1547">
        <v>0</v>
      </c>
      <c r="BG1547">
        <v>162</v>
      </c>
      <c r="BH1547">
        <v>9.1</v>
      </c>
      <c r="BI1547">
        <v>9.1999999999999993</v>
      </c>
      <c r="BJ1547">
        <v>18.3</v>
      </c>
      <c r="BK1547">
        <v>0.34</v>
      </c>
      <c r="BL1547">
        <v>7.3</v>
      </c>
      <c r="BM1547">
        <v>0.9</v>
      </c>
      <c r="BN1547">
        <v>7.5</v>
      </c>
      <c r="BO1547">
        <v>2.9</v>
      </c>
      <c r="BP1547">
        <f t="shared" si="48"/>
        <v>2.0548165837874848</v>
      </c>
      <c r="BQ1547">
        <f t="shared" si="49"/>
        <v>10.109488876553602</v>
      </c>
    </row>
    <row r="1548" spans="1:69" hidden="1" x14ac:dyDescent="0.2">
      <c r="A1548" t="s">
        <v>2709</v>
      </c>
      <c r="B1548" t="s">
        <v>68</v>
      </c>
      <c r="C1548" t="s">
        <v>1956</v>
      </c>
      <c r="D1548" t="s">
        <v>70</v>
      </c>
      <c r="E1548" t="s">
        <v>982</v>
      </c>
      <c r="F1548">
        <v>5</v>
      </c>
      <c r="G1548">
        <v>187</v>
      </c>
      <c r="H1548">
        <v>5</v>
      </c>
      <c r="I1548">
        <v>5</v>
      </c>
      <c r="J1548">
        <v>2</v>
      </c>
      <c r="K1548" t="s">
        <v>110</v>
      </c>
      <c r="L1548" t="s">
        <v>162</v>
      </c>
      <c r="M1548" s="4">
        <v>1100000000</v>
      </c>
      <c r="N1548">
        <v>0</v>
      </c>
      <c r="O1548">
        <v>4.7080799999999998</v>
      </c>
      <c r="P1548">
        <v>-74.053169999999994</v>
      </c>
      <c r="Q1548" t="s">
        <v>2710</v>
      </c>
      <c r="R1548">
        <v>5882352.9409999996</v>
      </c>
      <c r="S1548">
        <v>0</v>
      </c>
      <c r="T1548" t="s">
        <v>104</v>
      </c>
      <c r="U1548" t="s">
        <v>105</v>
      </c>
      <c r="V1548" t="s">
        <v>77</v>
      </c>
      <c r="W1548" t="s">
        <v>104</v>
      </c>
      <c r="X1548" t="s">
        <v>106</v>
      </c>
      <c r="Y1548">
        <v>2.5369552566342102</v>
      </c>
      <c r="Z1548">
        <v>2536.9552566342099</v>
      </c>
      <c r="AA1548">
        <v>4.71035</v>
      </c>
      <c r="AB1548">
        <v>-74.030416666666696</v>
      </c>
      <c r="AC1548">
        <v>2570</v>
      </c>
      <c r="AD1548">
        <v>10</v>
      </c>
      <c r="AE1548" t="s">
        <v>80</v>
      </c>
      <c r="AF1548" t="s">
        <v>107</v>
      </c>
      <c r="AG1548" t="s">
        <v>82</v>
      </c>
      <c r="AH1548" t="s">
        <v>83</v>
      </c>
      <c r="AI1548" t="s">
        <v>108</v>
      </c>
      <c r="AJ1548">
        <v>0.39779447515973798</v>
      </c>
      <c r="AK1548">
        <v>3.1177885215125798</v>
      </c>
      <c r="AL1548">
        <v>1.67503238009696</v>
      </c>
      <c r="AM1548">
        <v>0.14255365927090199</v>
      </c>
      <c r="AN1548">
        <v>4.7183953584193503</v>
      </c>
      <c r="AO1548">
        <v>0.29610314784504099</v>
      </c>
      <c r="AP1548">
        <v>0.29610314784504099</v>
      </c>
      <c r="AQ1548">
        <v>1</v>
      </c>
      <c r="AR1548">
        <v>2</v>
      </c>
      <c r="AS1548">
        <v>0</v>
      </c>
      <c r="AT1548">
        <v>0</v>
      </c>
      <c r="AU1548">
        <v>0</v>
      </c>
      <c r="AV1548">
        <v>114</v>
      </c>
      <c r="AW1548">
        <v>0</v>
      </c>
      <c r="AX1548">
        <v>0</v>
      </c>
      <c r="AY1548">
        <v>15.5</v>
      </c>
      <c r="AZ1548">
        <v>2.4</v>
      </c>
      <c r="BA1548">
        <v>10.9</v>
      </c>
      <c r="BB1548">
        <v>564</v>
      </c>
      <c r="BC1548">
        <v>68</v>
      </c>
      <c r="BD1548">
        <v>1.5</v>
      </c>
      <c r="BE1548">
        <v>135</v>
      </c>
      <c r="BF1548">
        <v>0</v>
      </c>
      <c r="BG1548">
        <v>162</v>
      </c>
      <c r="BH1548">
        <v>9.1</v>
      </c>
      <c r="BI1548">
        <v>9.1999999999999993</v>
      </c>
      <c r="BJ1548">
        <v>18.3</v>
      </c>
      <c r="BK1548">
        <v>0.34</v>
      </c>
      <c r="BL1548">
        <v>7.3</v>
      </c>
      <c r="BM1548">
        <v>0.9</v>
      </c>
      <c r="BN1548">
        <v>7.5</v>
      </c>
      <c r="BO1548">
        <v>2.9</v>
      </c>
      <c r="BP1548">
        <f t="shared" si="48"/>
        <v>2.1167659997487291</v>
      </c>
      <c r="BQ1548">
        <f t="shared" si="49"/>
        <v>10.256132948339099</v>
      </c>
    </row>
    <row r="1549" spans="1:69" hidden="1" x14ac:dyDescent="0.2">
      <c r="A1549" t="s">
        <v>839</v>
      </c>
      <c r="B1549" t="s">
        <v>68</v>
      </c>
      <c r="C1549" t="s">
        <v>69</v>
      </c>
      <c r="D1549" t="s">
        <v>70</v>
      </c>
      <c r="E1549" t="s">
        <v>337</v>
      </c>
      <c r="F1549">
        <v>6</v>
      </c>
      <c r="G1549">
        <v>186.6</v>
      </c>
      <c r="H1549">
        <v>3</v>
      </c>
      <c r="I1549">
        <v>5</v>
      </c>
      <c r="J1549">
        <v>2</v>
      </c>
      <c r="K1549" t="s">
        <v>110</v>
      </c>
      <c r="L1549" t="s">
        <v>162</v>
      </c>
      <c r="M1549" s="4">
        <v>1100000000</v>
      </c>
      <c r="N1549">
        <v>0</v>
      </c>
      <c r="O1549">
        <v>4.7001276020000002</v>
      </c>
      <c r="P1549">
        <v>-74.047126770000006</v>
      </c>
      <c r="Q1549" t="s">
        <v>840</v>
      </c>
      <c r="R1549">
        <v>5894962.4869999997</v>
      </c>
      <c r="S1549">
        <v>0</v>
      </c>
      <c r="T1549" t="s">
        <v>104</v>
      </c>
      <c r="U1549" t="s">
        <v>105</v>
      </c>
      <c r="V1549" t="s">
        <v>77</v>
      </c>
      <c r="W1549" t="s">
        <v>104</v>
      </c>
      <c r="X1549" t="s">
        <v>106</v>
      </c>
      <c r="Y1549">
        <v>2.1752810930606099</v>
      </c>
      <c r="Z1549">
        <v>2175.2810930606101</v>
      </c>
      <c r="AA1549">
        <v>4.71035</v>
      </c>
      <c r="AB1549">
        <v>-74.030416666666696</v>
      </c>
      <c r="AC1549">
        <v>2570</v>
      </c>
      <c r="AD1549">
        <v>10</v>
      </c>
      <c r="AE1549" t="s">
        <v>80</v>
      </c>
      <c r="AF1549" t="s">
        <v>107</v>
      </c>
      <c r="AG1549" t="s">
        <v>82</v>
      </c>
      <c r="AH1549" t="s">
        <v>83</v>
      </c>
      <c r="AI1549" t="s">
        <v>108</v>
      </c>
      <c r="AJ1549">
        <v>0.931709478660386</v>
      </c>
      <c r="AK1549">
        <v>2.3598058264847799</v>
      </c>
      <c r="AL1549">
        <v>0.81340873638619604</v>
      </c>
      <c r="AM1549">
        <v>9.6643863836440899E-2</v>
      </c>
      <c r="AN1549">
        <v>4.82608146433871</v>
      </c>
      <c r="AO1549">
        <v>0.14279708313490699</v>
      </c>
      <c r="AP1549">
        <v>0.14279708313490699</v>
      </c>
      <c r="AQ1549">
        <v>0</v>
      </c>
      <c r="AR1549">
        <v>2</v>
      </c>
      <c r="AS1549">
        <v>0</v>
      </c>
      <c r="AT1549">
        <v>0</v>
      </c>
      <c r="AU1549">
        <v>1</v>
      </c>
      <c r="AV1549">
        <v>196</v>
      </c>
      <c r="AW1549">
        <v>0</v>
      </c>
      <c r="AX1549">
        <v>0</v>
      </c>
      <c r="AY1549">
        <v>15.5</v>
      </c>
      <c r="AZ1549">
        <v>2.4</v>
      </c>
      <c r="BA1549">
        <v>10.9</v>
      </c>
      <c r="BB1549">
        <v>564</v>
      </c>
      <c r="BC1549">
        <v>68</v>
      </c>
      <c r="BD1549">
        <v>1.5</v>
      </c>
      <c r="BE1549">
        <v>135</v>
      </c>
      <c r="BF1549">
        <v>0</v>
      </c>
      <c r="BG1549">
        <v>162</v>
      </c>
      <c r="BH1549">
        <v>9.1</v>
      </c>
      <c r="BI1549">
        <v>9.1999999999999993</v>
      </c>
      <c r="BJ1549">
        <v>18.3</v>
      </c>
      <c r="BK1549">
        <v>0.34</v>
      </c>
      <c r="BL1549">
        <v>7.3</v>
      </c>
      <c r="BM1549">
        <v>0.9</v>
      </c>
      <c r="BN1549">
        <v>7.5</v>
      </c>
      <c r="BO1549">
        <v>2.9</v>
      </c>
      <c r="BP1549">
        <f t="shared" si="48"/>
        <v>2.1550034473383461</v>
      </c>
      <c r="BQ1549">
        <f t="shared" si="49"/>
        <v>10.345545524896927</v>
      </c>
    </row>
    <row r="1550" spans="1:69" hidden="1" x14ac:dyDescent="0.2">
      <c r="A1550" t="s">
        <v>1878</v>
      </c>
      <c r="B1550" t="s">
        <v>68</v>
      </c>
      <c r="C1550" t="s">
        <v>69</v>
      </c>
      <c r="D1550" t="s">
        <v>70</v>
      </c>
      <c r="E1550" t="s">
        <v>1879</v>
      </c>
      <c r="F1550">
        <v>5</v>
      </c>
      <c r="G1550">
        <v>185</v>
      </c>
      <c r="H1550">
        <v>3</v>
      </c>
      <c r="I1550">
        <v>4</v>
      </c>
      <c r="J1550">
        <v>2</v>
      </c>
      <c r="K1550" t="s">
        <v>110</v>
      </c>
      <c r="L1550" t="s">
        <v>124</v>
      </c>
      <c r="M1550" s="4">
        <v>2500000000</v>
      </c>
      <c r="N1550">
        <v>0</v>
      </c>
      <c r="O1550">
        <v>4.6874914170000004</v>
      </c>
      <c r="P1550">
        <v>-74.038162229999998</v>
      </c>
      <c r="Q1550" t="s">
        <v>1880</v>
      </c>
      <c r="R1550">
        <v>13513513.51</v>
      </c>
      <c r="S1550">
        <v>0</v>
      </c>
      <c r="T1550" t="s">
        <v>104</v>
      </c>
      <c r="U1550" t="s">
        <v>105</v>
      </c>
      <c r="V1550" t="s">
        <v>77</v>
      </c>
      <c r="W1550" t="s">
        <v>104</v>
      </c>
      <c r="X1550" t="s">
        <v>106</v>
      </c>
      <c r="Y1550">
        <v>2.6857911196949802</v>
      </c>
      <c r="Z1550">
        <v>2685.7911196949799</v>
      </c>
      <c r="AA1550">
        <v>4.71035</v>
      </c>
      <c r="AB1550">
        <v>-74.030416666666696</v>
      </c>
      <c r="AC1550">
        <v>2570</v>
      </c>
      <c r="AD1550">
        <v>10</v>
      </c>
      <c r="AE1550" t="s">
        <v>80</v>
      </c>
      <c r="AF1550" t="s">
        <v>107</v>
      </c>
      <c r="AG1550" t="s">
        <v>82</v>
      </c>
      <c r="AH1550" t="s">
        <v>83</v>
      </c>
      <c r="AI1550" t="s">
        <v>108</v>
      </c>
      <c r="AJ1550">
        <v>2.08818199744699</v>
      </c>
      <c r="AK1550">
        <v>0.99094004698294103</v>
      </c>
      <c r="AL1550">
        <v>0.574388038822778</v>
      </c>
      <c r="AM1550">
        <v>0.12583445848917099</v>
      </c>
      <c r="AN1550">
        <v>5.0757974138667796</v>
      </c>
      <c r="AO1550">
        <v>0.102242064166517</v>
      </c>
      <c r="AP1550">
        <v>0.102242064166517</v>
      </c>
      <c r="AQ1550">
        <v>0</v>
      </c>
      <c r="AR1550">
        <v>0</v>
      </c>
      <c r="AS1550">
        <v>0</v>
      </c>
      <c r="AT1550">
        <v>1</v>
      </c>
      <c r="AU1550">
        <v>3</v>
      </c>
      <c r="AV1550">
        <v>72</v>
      </c>
      <c r="AW1550">
        <v>0</v>
      </c>
      <c r="AX1550">
        <v>0</v>
      </c>
      <c r="AY1550">
        <v>15.5</v>
      </c>
      <c r="AZ1550">
        <v>2.4</v>
      </c>
      <c r="BA1550">
        <v>10.9</v>
      </c>
      <c r="BB1550">
        <v>564</v>
      </c>
      <c r="BC1550">
        <v>68</v>
      </c>
      <c r="BD1550">
        <v>1.5</v>
      </c>
      <c r="BE1550">
        <v>135</v>
      </c>
      <c r="BF1550">
        <v>0</v>
      </c>
      <c r="BG1550">
        <v>162</v>
      </c>
      <c r="BH1550">
        <v>9.1</v>
      </c>
      <c r="BI1550">
        <v>9.1999999999999993</v>
      </c>
      <c r="BJ1550">
        <v>18.3</v>
      </c>
      <c r="BK1550">
        <v>0.34</v>
      </c>
      <c r="BL1550">
        <v>7.3</v>
      </c>
      <c r="BM1550">
        <v>0.9</v>
      </c>
      <c r="BN1550">
        <v>7.5</v>
      </c>
      <c r="BO1550">
        <v>2.9</v>
      </c>
      <c r="BP1550">
        <f t="shared" si="48"/>
        <v>2.1012282966965214</v>
      </c>
      <c r="BQ1550">
        <f t="shared" si="49"/>
        <v>10.219562773090589</v>
      </c>
    </row>
    <row r="1551" spans="1:69" hidden="1" x14ac:dyDescent="0.2">
      <c r="A1551" t="s">
        <v>1924</v>
      </c>
      <c r="B1551" t="s">
        <v>68</v>
      </c>
      <c r="C1551" t="s">
        <v>69</v>
      </c>
      <c r="D1551" t="s">
        <v>70</v>
      </c>
      <c r="E1551" t="s">
        <v>229</v>
      </c>
      <c r="F1551">
        <v>6</v>
      </c>
      <c r="G1551">
        <v>184</v>
      </c>
      <c r="H1551">
        <v>3</v>
      </c>
      <c r="I1551">
        <v>5</v>
      </c>
      <c r="J1551">
        <v>2</v>
      </c>
      <c r="K1551" t="s">
        <v>110</v>
      </c>
      <c r="L1551" t="s">
        <v>162</v>
      </c>
      <c r="M1551" s="4">
        <v>1200000000</v>
      </c>
      <c r="N1551">
        <v>0</v>
      </c>
      <c r="O1551">
        <v>4.6793932910000002</v>
      </c>
      <c r="P1551">
        <v>-74.050529479999994</v>
      </c>
      <c r="Q1551" t="s">
        <v>1925</v>
      </c>
      <c r="R1551">
        <v>6521739.1299999999</v>
      </c>
      <c r="S1551">
        <v>0</v>
      </c>
      <c r="T1551" t="s">
        <v>104</v>
      </c>
      <c r="U1551" t="s">
        <v>105</v>
      </c>
      <c r="V1551" t="s">
        <v>77</v>
      </c>
      <c r="W1551" t="s">
        <v>104</v>
      </c>
      <c r="X1551" t="s">
        <v>106</v>
      </c>
      <c r="Y1551">
        <v>4.1054607722179801</v>
      </c>
      <c r="Z1551">
        <v>4105.4607722179799</v>
      </c>
      <c r="AA1551">
        <v>4.71035</v>
      </c>
      <c r="AB1551">
        <v>-74.030416666666696</v>
      </c>
      <c r="AC1551">
        <v>2570</v>
      </c>
      <c r="AD1551">
        <v>10</v>
      </c>
      <c r="AE1551" t="s">
        <v>80</v>
      </c>
      <c r="AF1551" t="s">
        <v>107</v>
      </c>
      <c r="AG1551" t="s">
        <v>82</v>
      </c>
      <c r="AH1551" t="s">
        <v>83</v>
      </c>
      <c r="AI1551" t="s">
        <v>130</v>
      </c>
      <c r="AJ1551">
        <v>0.94224689271969997</v>
      </c>
      <c r="AK1551">
        <v>1.3595855958448699</v>
      </c>
      <c r="AL1551">
        <v>0.73504490979140102</v>
      </c>
      <c r="AM1551">
        <v>6.6988360438581501E-2</v>
      </c>
      <c r="AN1551">
        <v>3.5285100002699199</v>
      </c>
      <c r="AO1551">
        <v>0.92221754752401197</v>
      </c>
      <c r="AP1551">
        <v>0.92221754752401197</v>
      </c>
      <c r="AQ1551">
        <v>0</v>
      </c>
      <c r="AR1551">
        <v>1</v>
      </c>
      <c r="AS1551">
        <v>0</v>
      </c>
      <c r="AT1551">
        <v>0</v>
      </c>
      <c r="AU1551">
        <v>4</v>
      </c>
      <c r="AV1551">
        <v>185</v>
      </c>
      <c r="AW1551">
        <v>0</v>
      </c>
      <c r="AX1551">
        <v>0</v>
      </c>
      <c r="AY1551">
        <v>15.5</v>
      </c>
      <c r="AZ1551">
        <v>2.4</v>
      </c>
      <c r="BA1551">
        <v>10.9</v>
      </c>
      <c r="BB1551">
        <v>564</v>
      </c>
      <c r="BC1551">
        <v>68</v>
      </c>
      <c r="BD1551">
        <v>1.5</v>
      </c>
      <c r="BE1551">
        <v>135</v>
      </c>
      <c r="BF1551">
        <v>0</v>
      </c>
      <c r="BG1551">
        <v>162</v>
      </c>
      <c r="BH1551">
        <v>9.1</v>
      </c>
      <c r="BI1551">
        <v>9.1999999999999993</v>
      </c>
      <c r="BJ1551">
        <v>18.3</v>
      </c>
      <c r="BK1551">
        <v>0.34</v>
      </c>
      <c r="BL1551">
        <v>7.3</v>
      </c>
      <c r="BM1551">
        <v>0.9</v>
      </c>
      <c r="BN1551">
        <v>7.5</v>
      </c>
      <c r="BO1551">
        <v>2.9</v>
      </c>
      <c r="BP1551">
        <f t="shared" si="48"/>
        <v>1.9586362282156216</v>
      </c>
      <c r="BQ1551">
        <f t="shared" si="49"/>
        <v>9.8772262725711339</v>
      </c>
    </row>
    <row r="1552" spans="1:69" hidden="1" x14ac:dyDescent="0.2">
      <c r="A1552" t="s">
        <v>1671</v>
      </c>
      <c r="B1552" t="s">
        <v>68</v>
      </c>
      <c r="C1552" t="s">
        <v>69</v>
      </c>
      <c r="D1552" t="s">
        <v>70</v>
      </c>
      <c r="E1552" t="s">
        <v>982</v>
      </c>
      <c r="F1552">
        <v>5</v>
      </c>
      <c r="G1552">
        <v>184</v>
      </c>
      <c r="H1552">
        <v>3</v>
      </c>
      <c r="I1552">
        <v>4</v>
      </c>
      <c r="J1552">
        <v>2</v>
      </c>
      <c r="K1552" t="s">
        <v>110</v>
      </c>
      <c r="L1552" t="s">
        <v>124</v>
      </c>
      <c r="M1552" s="4">
        <v>1300000000</v>
      </c>
      <c r="N1552">
        <v>0</v>
      </c>
      <c r="O1552">
        <v>4.7161442999999998</v>
      </c>
      <c r="P1552">
        <v>-74.047890199999998</v>
      </c>
      <c r="Q1552" t="s">
        <v>1672</v>
      </c>
      <c r="R1552">
        <v>7065217.3909999998</v>
      </c>
      <c r="S1552">
        <v>0</v>
      </c>
      <c r="T1552" t="s">
        <v>104</v>
      </c>
      <c r="U1552" t="s">
        <v>105</v>
      </c>
      <c r="V1552" t="s">
        <v>77</v>
      </c>
      <c r="W1552" t="s">
        <v>104</v>
      </c>
      <c r="X1552" t="s">
        <v>106</v>
      </c>
      <c r="Y1552">
        <v>2.04305935642296</v>
      </c>
      <c r="Z1552">
        <v>2043.05935642296</v>
      </c>
      <c r="AA1552">
        <v>4.71035</v>
      </c>
      <c r="AB1552">
        <v>-74.030416666666696</v>
      </c>
      <c r="AC1552">
        <v>2570</v>
      </c>
      <c r="AD1552">
        <v>10</v>
      </c>
      <c r="AE1552" t="s">
        <v>80</v>
      </c>
      <c r="AF1552" t="s">
        <v>107</v>
      </c>
      <c r="AG1552" t="s">
        <v>82</v>
      </c>
      <c r="AH1552" t="s">
        <v>83</v>
      </c>
      <c r="AI1552" t="s">
        <v>108</v>
      </c>
      <c r="AJ1552">
        <v>0.54644249007884105</v>
      </c>
      <c r="AK1552">
        <v>2.6025089855452999</v>
      </c>
      <c r="AL1552">
        <v>1.7787145442589201</v>
      </c>
      <c r="AM1552">
        <v>0.25943684103380199</v>
      </c>
      <c r="AN1552">
        <v>3.65758825325124</v>
      </c>
      <c r="AO1552">
        <v>0.55220896236614903</v>
      </c>
      <c r="AP1552">
        <v>0.55220896236614903</v>
      </c>
      <c r="AQ1552">
        <v>0</v>
      </c>
      <c r="AR1552">
        <v>2</v>
      </c>
      <c r="AS1552">
        <v>0</v>
      </c>
      <c r="AT1552">
        <v>0</v>
      </c>
      <c r="AU1552">
        <v>0</v>
      </c>
      <c r="AV1552">
        <v>40</v>
      </c>
      <c r="AW1552">
        <v>0</v>
      </c>
      <c r="AX1552">
        <v>0</v>
      </c>
      <c r="AY1552">
        <v>15.5</v>
      </c>
      <c r="AZ1552">
        <v>2.4</v>
      </c>
      <c r="BA1552">
        <v>10.9</v>
      </c>
      <c r="BB1552">
        <v>564</v>
      </c>
      <c r="BC1552">
        <v>68</v>
      </c>
      <c r="BD1552">
        <v>1.5</v>
      </c>
      <c r="BE1552">
        <v>135</v>
      </c>
      <c r="BF1552">
        <v>0</v>
      </c>
      <c r="BG1552">
        <v>162</v>
      </c>
      <c r="BH1552">
        <v>9.1</v>
      </c>
      <c r="BI1552">
        <v>9.1999999999999993</v>
      </c>
      <c r="BJ1552">
        <v>18.3</v>
      </c>
      <c r="BK1552">
        <v>0.34</v>
      </c>
      <c r="BL1552">
        <v>7.3</v>
      </c>
      <c r="BM1552">
        <v>0.9</v>
      </c>
      <c r="BN1552">
        <v>7.5</v>
      </c>
      <c r="BO1552">
        <v>2.9</v>
      </c>
      <c r="BP1552">
        <f t="shared" si="48"/>
        <v>2.1691541505948178</v>
      </c>
      <c r="BQ1552">
        <f t="shared" si="49"/>
        <v>10.378427413607156</v>
      </c>
    </row>
    <row r="1553" spans="1:69" hidden="1" x14ac:dyDescent="0.2">
      <c r="A1553" t="s">
        <v>845</v>
      </c>
      <c r="B1553" t="s">
        <v>68</v>
      </c>
      <c r="C1553" t="s">
        <v>69</v>
      </c>
      <c r="D1553" t="s">
        <v>70</v>
      </c>
      <c r="E1553" t="s">
        <v>748</v>
      </c>
      <c r="F1553">
        <v>6</v>
      </c>
      <c r="G1553">
        <v>183.03</v>
      </c>
      <c r="H1553">
        <v>3</v>
      </c>
      <c r="I1553">
        <v>5</v>
      </c>
      <c r="J1553">
        <v>2</v>
      </c>
      <c r="K1553" t="s">
        <v>110</v>
      </c>
      <c r="L1553" t="s">
        <v>124</v>
      </c>
      <c r="M1553" s="4">
        <v>1750000000</v>
      </c>
      <c r="N1553">
        <v>0</v>
      </c>
      <c r="O1553">
        <v>4.6951099999999997</v>
      </c>
      <c r="P1553">
        <v>-74.04186</v>
      </c>
      <c r="Q1553" t="s">
        <v>846</v>
      </c>
      <c r="R1553">
        <v>9561274.1079999991</v>
      </c>
      <c r="S1553">
        <v>0</v>
      </c>
      <c r="T1553" t="s">
        <v>104</v>
      </c>
      <c r="U1553" t="s">
        <v>105</v>
      </c>
      <c r="V1553" t="s">
        <v>77</v>
      </c>
      <c r="W1553" t="s">
        <v>104</v>
      </c>
      <c r="X1553" t="s">
        <v>106</v>
      </c>
      <c r="Y1553">
        <v>2.1189549446688898</v>
      </c>
      <c r="Z1553">
        <v>2118.9549446688902</v>
      </c>
      <c r="AA1553">
        <v>4.71035</v>
      </c>
      <c r="AB1553">
        <v>-74.030416666666696</v>
      </c>
      <c r="AC1553">
        <v>2570</v>
      </c>
      <c r="AD1553">
        <v>10</v>
      </c>
      <c r="AE1553" t="s">
        <v>80</v>
      </c>
      <c r="AF1553" t="s">
        <v>107</v>
      </c>
      <c r="AG1553" t="s">
        <v>82</v>
      </c>
      <c r="AH1553" t="s">
        <v>83</v>
      </c>
      <c r="AI1553" t="s">
        <v>108</v>
      </c>
      <c r="AJ1553">
        <v>1.5279930675803901</v>
      </c>
      <c r="AK1553">
        <v>1.7281023629732899</v>
      </c>
      <c r="AL1553">
        <v>0.90844540772508497</v>
      </c>
      <c r="AM1553">
        <v>5.0734887948505898E-2</v>
      </c>
      <c r="AN1553">
        <v>5.0212293875845404</v>
      </c>
      <c r="AO1553">
        <v>0.21422080790115799</v>
      </c>
      <c r="AP1553">
        <v>0.21422080790115799</v>
      </c>
      <c r="AQ1553">
        <v>0</v>
      </c>
      <c r="AR1553">
        <v>0</v>
      </c>
      <c r="AS1553">
        <v>0</v>
      </c>
      <c r="AT1553">
        <v>0</v>
      </c>
      <c r="AU1553">
        <v>1</v>
      </c>
      <c r="AV1553">
        <v>122</v>
      </c>
      <c r="AW1553">
        <v>0</v>
      </c>
      <c r="AX1553">
        <v>0</v>
      </c>
      <c r="AY1553">
        <v>15.5</v>
      </c>
      <c r="AZ1553">
        <v>2.4</v>
      </c>
      <c r="BA1553">
        <v>10.9</v>
      </c>
      <c r="BB1553">
        <v>564</v>
      </c>
      <c r="BC1553">
        <v>68</v>
      </c>
      <c r="BD1553">
        <v>1.5</v>
      </c>
      <c r="BE1553">
        <v>135</v>
      </c>
      <c r="BF1553">
        <v>0</v>
      </c>
      <c r="BG1553">
        <v>162</v>
      </c>
      <c r="BH1553">
        <v>9.1</v>
      </c>
      <c r="BI1553">
        <v>9.1999999999999993</v>
      </c>
      <c r="BJ1553">
        <v>18.3</v>
      </c>
      <c r="BK1553">
        <v>0.34</v>
      </c>
      <c r="BL1553">
        <v>7.3</v>
      </c>
      <c r="BM1553">
        <v>0.9</v>
      </c>
      <c r="BN1553">
        <v>7.5</v>
      </c>
      <c r="BO1553">
        <v>2.9</v>
      </c>
      <c r="BP1553">
        <f t="shared" si="48"/>
        <v>2.1610202920323083</v>
      </c>
      <c r="BQ1553">
        <f t="shared" si="49"/>
        <v>10.359540375656476</v>
      </c>
    </row>
    <row r="1554" spans="1:69" hidden="1" x14ac:dyDescent="0.2">
      <c r="A1554" t="s">
        <v>2679</v>
      </c>
      <c r="B1554" t="s">
        <v>68</v>
      </c>
      <c r="C1554" t="s">
        <v>1956</v>
      </c>
      <c r="D1554" t="s">
        <v>70</v>
      </c>
      <c r="E1554" t="s">
        <v>235</v>
      </c>
      <c r="F1554">
        <v>5</v>
      </c>
      <c r="G1554">
        <v>183</v>
      </c>
      <c r="H1554">
        <v>4</v>
      </c>
      <c r="I1554">
        <v>4</v>
      </c>
      <c r="J1554">
        <v>2</v>
      </c>
      <c r="K1554" t="s">
        <v>110</v>
      </c>
      <c r="L1554" t="s">
        <v>111</v>
      </c>
      <c r="M1554" s="4">
        <v>1900000000</v>
      </c>
      <c r="N1554">
        <v>0</v>
      </c>
      <c r="O1554">
        <v>4.7054279360000004</v>
      </c>
      <c r="P1554">
        <v>-74.036227949999997</v>
      </c>
      <c r="Q1554" t="s">
        <v>2680</v>
      </c>
      <c r="R1554">
        <v>10382513.66</v>
      </c>
      <c r="S1554">
        <v>0</v>
      </c>
      <c r="T1554" t="s">
        <v>104</v>
      </c>
      <c r="U1554" t="s">
        <v>105</v>
      </c>
      <c r="V1554" t="s">
        <v>77</v>
      </c>
      <c r="W1554" t="s">
        <v>104</v>
      </c>
      <c r="X1554" t="s">
        <v>106</v>
      </c>
      <c r="Y1554">
        <v>0.84610306261512502</v>
      </c>
      <c r="Z1554">
        <v>846.10306261512505</v>
      </c>
      <c r="AA1554">
        <v>4.71035</v>
      </c>
      <c r="AB1554">
        <v>-74.030416666666696</v>
      </c>
      <c r="AC1554">
        <v>2570</v>
      </c>
      <c r="AD1554">
        <v>10</v>
      </c>
      <c r="AE1554" t="s">
        <v>80</v>
      </c>
      <c r="AF1554" t="s">
        <v>107</v>
      </c>
      <c r="AG1554" t="s">
        <v>82</v>
      </c>
      <c r="AH1554" t="s">
        <v>83</v>
      </c>
      <c r="AI1554" t="s">
        <v>108</v>
      </c>
      <c r="AJ1554">
        <v>1.99736978059574</v>
      </c>
      <c r="AK1554">
        <v>1.2324120057124699</v>
      </c>
      <c r="AL1554">
        <v>0.61552966610716697</v>
      </c>
      <c r="AM1554">
        <v>0.201455595340505</v>
      </c>
      <c r="AN1554">
        <v>4.1270510444397202</v>
      </c>
      <c r="AO1554">
        <v>0.23341279049630001</v>
      </c>
      <c r="AP1554">
        <v>0.23341279049630001</v>
      </c>
      <c r="AQ1554">
        <v>0</v>
      </c>
      <c r="AR1554">
        <v>0</v>
      </c>
      <c r="AS1554">
        <v>0</v>
      </c>
      <c r="AT1554">
        <v>0</v>
      </c>
      <c r="AU1554">
        <v>2</v>
      </c>
      <c r="AV1554">
        <v>129</v>
      </c>
      <c r="AW1554">
        <v>0</v>
      </c>
      <c r="AX1554">
        <v>0</v>
      </c>
      <c r="AY1554">
        <v>15.5</v>
      </c>
      <c r="AZ1554">
        <v>2.4</v>
      </c>
      <c r="BA1554">
        <v>10.9</v>
      </c>
      <c r="BB1554">
        <v>564</v>
      </c>
      <c r="BC1554">
        <v>68</v>
      </c>
      <c r="BD1554">
        <v>1.5</v>
      </c>
      <c r="BE1554">
        <v>135</v>
      </c>
      <c r="BF1554">
        <v>0</v>
      </c>
      <c r="BG1554">
        <v>162</v>
      </c>
      <c r="BH1554">
        <v>9.1</v>
      </c>
      <c r="BI1554">
        <v>9.1999999999999993</v>
      </c>
      <c r="BJ1554">
        <v>18.3</v>
      </c>
      <c r="BK1554">
        <v>0.34</v>
      </c>
      <c r="BL1554">
        <v>7.3</v>
      </c>
      <c r="BM1554">
        <v>0.9</v>
      </c>
      <c r="BN1554">
        <v>7.5</v>
      </c>
      <c r="BO1554">
        <v>2.9</v>
      </c>
      <c r="BP1554">
        <f t="shared" si="48"/>
        <v>2.3015588074808968</v>
      </c>
      <c r="BQ1554">
        <f t="shared" si="49"/>
        <v>10.680891627116036</v>
      </c>
    </row>
    <row r="1555" spans="1:69" hidden="1" x14ac:dyDescent="0.2">
      <c r="A1555" t="s">
        <v>1773</v>
      </c>
      <c r="B1555" t="s">
        <v>68</v>
      </c>
      <c r="C1555" t="s">
        <v>69</v>
      </c>
      <c r="D1555" t="s">
        <v>70</v>
      </c>
      <c r="E1555" t="s">
        <v>1774</v>
      </c>
      <c r="F1555">
        <v>5</v>
      </c>
      <c r="G1555">
        <v>182</v>
      </c>
      <c r="H1555">
        <v>3</v>
      </c>
      <c r="I1555">
        <v>4</v>
      </c>
      <c r="J1555">
        <v>3</v>
      </c>
      <c r="K1555" t="s">
        <v>110</v>
      </c>
      <c r="L1555" t="s">
        <v>133</v>
      </c>
      <c r="M1555" s="4">
        <v>1650000000</v>
      </c>
      <c r="N1555">
        <v>0</v>
      </c>
      <c r="O1555">
        <v>4.6894863000000004</v>
      </c>
      <c r="P1555">
        <v>-74.037540000000007</v>
      </c>
      <c r="Q1555" t="s">
        <v>1775</v>
      </c>
      <c r="R1555">
        <v>9065934.0659999996</v>
      </c>
      <c r="S1555">
        <v>0</v>
      </c>
      <c r="T1555" t="s">
        <v>104</v>
      </c>
      <c r="U1555" t="s">
        <v>105</v>
      </c>
      <c r="V1555" t="s">
        <v>77</v>
      </c>
      <c r="W1555" t="s">
        <v>104</v>
      </c>
      <c r="X1555" t="s">
        <v>106</v>
      </c>
      <c r="Y1555">
        <v>2.4533138594237598</v>
      </c>
      <c r="Z1555">
        <v>2453.3138594237598</v>
      </c>
      <c r="AA1555">
        <v>4.71035</v>
      </c>
      <c r="AB1555">
        <v>-74.030416666666696</v>
      </c>
      <c r="AC1555">
        <v>2570</v>
      </c>
      <c r="AD1555">
        <v>10</v>
      </c>
      <c r="AE1555" t="s">
        <v>80</v>
      </c>
      <c r="AF1555" t="s">
        <v>107</v>
      </c>
      <c r="AG1555" t="s">
        <v>82</v>
      </c>
      <c r="AH1555" t="s">
        <v>83</v>
      </c>
      <c r="AI1555" t="s">
        <v>108</v>
      </c>
      <c r="AJ1555">
        <v>2.1028525174078898</v>
      </c>
      <c r="AK1555">
        <v>1.19489831728427</v>
      </c>
      <c r="AL1555">
        <v>0.80467309583881497</v>
      </c>
      <c r="AM1555">
        <v>0.20515515514558999</v>
      </c>
      <c r="AN1555">
        <v>5.2107743494246801</v>
      </c>
      <c r="AO1555">
        <v>0.32969161856235402</v>
      </c>
      <c r="AP1555">
        <v>0.32969161856235402</v>
      </c>
      <c r="AQ1555">
        <v>0</v>
      </c>
      <c r="AR1555">
        <v>0</v>
      </c>
      <c r="AS1555">
        <v>0</v>
      </c>
      <c r="AT1555">
        <v>0</v>
      </c>
      <c r="AU1555">
        <v>3</v>
      </c>
      <c r="AV1555">
        <v>87</v>
      </c>
      <c r="AW1555">
        <v>0</v>
      </c>
      <c r="AX1555">
        <v>0</v>
      </c>
      <c r="AY1555">
        <v>15.5</v>
      </c>
      <c r="AZ1555">
        <v>2.4</v>
      </c>
      <c r="BA1555">
        <v>10.9</v>
      </c>
      <c r="BB1555">
        <v>564</v>
      </c>
      <c r="BC1555">
        <v>68</v>
      </c>
      <c r="BD1555">
        <v>1.5</v>
      </c>
      <c r="BE1555">
        <v>135</v>
      </c>
      <c r="BF1555">
        <v>0</v>
      </c>
      <c r="BG1555">
        <v>162</v>
      </c>
      <c r="BH1555">
        <v>9.1</v>
      </c>
      <c r="BI1555">
        <v>9.1999999999999993</v>
      </c>
      <c r="BJ1555">
        <v>18.3</v>
      </c>
      <c r="BK1555">
        <v>0.34</v>
      </c>
      <c r="BL1555">
        <v>7.3</v>
      </c>
      <c r="BM1555">
        <v>0.9</v>
      </c>
      <c r="BN1555">
        <v>7.5</v>
      </c>
      <c r="BO1555">
        <v>2.9</v>
      </c>
      <c r="BP1555">
        <f t="shared" si="48"/>
        <v>2.1255481059140209</v>
      </c>
      <c r="BQ1555">
        <f t="shared" si="49"/>
        <v>10.276741721332046</v>
      </c>
    </row>
    <row r="1556" spans="1:69" hidden="1" x14ac:dyDescent="0.2">
      <c r="A1556" t="s">
        <v>2599</v>
      </c>
      <c r="B1556" t="s">
        <v>68</v>
      </c>
      <c r="C1556" t="s">
        <v>1956</v>
      </c>
      <c r="D1556" t="s">
        <v>70</v>
      </c>
      <c r="E1556" t="s">
        <v>1001</v>
      </c>
      <c r="F1556">
        <v>5</v>
      </c>
      <c r="G1556">
        <v>180</v>
      </c>
      <c r="H1556">
        <v>3</v>
      </c>
      <c r="I1556">
        <v>2</v>
      </c>
      <c r="J1556">
        <v>2</v>
      </c>
      <c r="K1556" t="s">
        <v>110</v>
      </c>
      <c r="L1556" t="s">
        <v>124</v>
      </c>
      <c r="M1556" s="4">
        <v>950000000</v>
      </c>
      <c r="N1556">
        <v>0</v>
      </c>
      <c r="O1556">
        <v>4.6934315</v>
      </c>
      <c r="P1556">
        <v>-74.064894800000005</v>
      </c>
      <c r="Q1556" t="s">
        <v>2600</v>
      </c>
      <c r="R1556">
        <v>5277777.7779999999</v>
      </c>
      <c r="S1556">
        <v>0</v>
      </c>
      <c r="T1556" t="s">
        <v>104</v>
      </c>
      <c r="U1556" t="s">
        <v>105</v>
      </c>
      <c r="V1556" t="s">
        <v>77</v>
      </c>
      <c r="W1556" t="s">
        <v>104</v>
      </c>
      <c r="X1556" t="s">
        <v>106</v>
      </c>
      <c r="Y1556">
        <v>4.2636815119018499</v>
      </c>
      <c r="Z1556">
        <v>4263.6815119018502</v>
      </c>
      <c r="AA1556">
        <v>4.71035</v>
      </c>
      <c r="AB1556">
        <v>-74.030416666666696</v>
      </c>
      <c r="AC1556">
        <v>2570</v>
      </c>
      <c r="AD1556">
        <v>10</v>
      </c>
      <c r="AE1556" t="s">
        <v>80</v>
      </c>
      <c r="AF1556" t="s">
        <v>107</v>
      </c>
      <c r="AG1556" t="s">
        <v>82</v>
      </c>
      <c r="AH1556" t="s">
        <v>83</v>
      </c>
      <c r="AI1556" t="s">
        <v>121</v>
      </c>
      <c r="AJ1556">
        <v>0.25659012800557701</v>
      </c>
      <c r="AK1556">
        <v>3.5397348376648901</v>
      </c>
      <c r="AL1556">
        <v>0.71352866630844802</v>
      </c>
      <c r="AM1556">
        <v>6.7767515152708999E-2</v>
      </c>
      <c r="AN1556">
        <v>2.8706179813394002</v>
      </c>
      <c r="AO1556">
        <v>0.23863103303887401</v>
      </c>
      <c r="AP1556">
        <v>0.23863103303887401</v>
      </c>
      <c r="AQ1556">
        <v>1</v>
      </c>
      <c r="AR1556">
        <v>5</v>
      </c>
      <c r="AS1556">
        <v>0</v>
      </c>
      <c r="AT1556">
        <v>0</v>
      </c>
      <c r="AU1556">
        <v>1</v>
      </c>
      <c r="AV1556">
        <v>104</v>
      </c>
      <c r="AW1556">
        <v>0</v>
      </c>
      <c r="AX1556">
        <v>0</v>
      </c>
      <c r="AY1556">
        <v>15.5</v>
      </c>
      <c r="AZ1556">
        <v>2.4</v>
      </c>
      <c r="BA1556">
        <v>10.9</v>
      </c>
      <c r="BB1556">
        <v>564</v>
      </c>
      <c r="BC1556">
        <v>68</v>
      </c>
      <c r="BD1556">
        <v>1.5</v>
      </c>
      <c r="BE1556">
        <v>135</v>
      </c>
      <c r="BF1556">
        <v>0</v>
      </c>
      <c r="BG1556">
        <v>162</v>
      </c>
      <c r="BH1556">
        <v>9.1</v>
      </c>
      <c r="BI1556">
        <v>9.1999999999999993</v>
      </c>
      <c r="BJ1556">
        <v>18.3</v>
      </c>
      <c r="BK1556">
        <v>0.34</v>
      </c>
      <c r="BL1556">
        <v>7.3</v>
      </c>
      <c r="BM1556">
        <v>0.9</v>
      </c>
      <c r="BN1556">
        <v>7.5</v>
      </c>
      <c r="BO1556">
        <v>2.9</v>
      </c>
      <c r="BP1556">
        <f t="shared" si="48"/>
        <v>1.9433562469628594</v>
      </c>
      <c r="BQ1556">
        <f t="shared" si="49"/>
        <v>9.839790625578825</v>
      </c>
    </row>
    <row r="1557" spans="1:69" hidden="1" x14ac:dyDescent="0.2">
      <c r="A1557" t="s">
        <v>920</v>
      </c>
      <c r="B1557" t="s">
        <v>68</v>
      </c>
      <c r="C1557" t="s">
        <v>69</v>
      </c>
      <c r="D1557" t="s">
        <v>70</v>
      </c>
      <c r="E1557" t="s">
        <v>468</v>
      </c>
      <c r="F1557">
        <v>6</v>
      </c>
      <c r="G1557">
        <v>180</v>
      </c>
      <c r="H1557">
        <v>3</v>
      </c>
      <c r="I1557">
        <v>4</v>
      </c>
      <c r="J1557">
        <v>2</v>
      </c>
      <c r="K1557" t="s">
        <v>110</v>
      </c>
      <c r="L1557" t="s">
        <v>162</v>
      </c>
      <c r="M1557" s="4">
        <v>1520000000</v>
      </c>
      <c r="N1557">
        <v>0</v>
      </c>
      <c r="O1557">
        <v>4.6901211739999997</v>
      </c>
      <c r="P1557">
        <v>-74.05497742</v>
      </c>
      <c r="Q1557" t="s">
        <v>921</v>
      </c>
      <c r="R1557">
        <v>8444444.4440000001</v>
      </c>
      <c r="S1557">
        <v>0</v>
      </c>
      <c r="T1557" t="s">
        <v>104</v>
      </c>
      <c r="U1557" t="s">
        <v>105</v>
      </c>
      <c r="V1557" t="s">
        <v>77</v>
      </c>
      <c r="W1557" t="s">
        <v>104</v>
      </c>
      <c r="X1557" t="s">
        <v>106</v>
      </c>
      <c r="Y1557">
        <v>3.5349601187936801</v>
      </c>
      <c r="Z1557">
        <v>3534.9601187936801</v>
      </c>
      <c r="AA1557">
        <v>4.71035</v>
      </c>
      <c r="AB1557">
        <v>-74.030416666666696</v>
      </c>
      <c r="AC1557">
        <v>2570</v>
      </c>
      <c r="AD1557">
        <v>10</v>
      </c>
      <c r="AE1557" t="s">
        <v>80</v>
      </c>
      <c r="AF1557" t="s">
        <v>107</v>
      </c>
      <c r="AG1557" t="s">
        <v>82</v>
      </c>
      <c r="AH1557" t="s">
        <v>83</v>
      </c>
      <c r="AI1557" t="s">
        <v>108</v>
      </c>
      <c r="AJ1557">
        <v>0.34329016083779501</v>
      </c>
      <c r="AK1557">
        <v>2.4284900448852</v>
      </c>
      <c r="AL1557">
        <v>0.51568988721089104</v>
      </c>
      <c r="AM1557">
        <v>0.118469795589019</v>
      </c>
      <c r="AN1557">
        <v>3.4834869590956101</v>
      </c>
      <c r="AO1557">
        <v>0.36713314649545697</v>
      </c>
      <c r="AP1557">
        <v>0.36713314649545697</v>
      </c>
      <c r="AQ1557">
        <v>1</v>
      </c>
      <c r="AR1557">
        <v>3</v>
      </c>
      <c r="AS1557">
        <v>0</v>
      </c>
      <c r="AT1557">
        <v>0</v>
      </c>
      <c r="AU1557">
        <v>5</v>
      </c>
      <c r="AV1557">
        <v>198</v>
      </c>
      <c r="AW1557">
        <v>0</v>
      </c>
      <c r="AX1557">
        <v>0</v>
      </c>
      <c r="AY1557">
        <v>15.5</v>
      </c>
      <c r="AZ1557">
        <v>2.4</v>
      </c>
      <c r="BA1557">
        <v>10.9</v>
      </c>
      <c r="BB1557">
        <v>564</v>
      </c>
      <c r="BC1557">
        <v>68</v>
      </c>
      <c r="BD1557">
        <v>1.5</v>
      </c>
      <c r="BE1557">
        <v>135</v>
      </c>
      <c r="BF1557">
        <v>0</v>
      </c>
      <c r="BG1557">
        <v>162</v>
      </c>
      <c r="BH1557">
        <v>9.1</v>
      </c>
      <c r="BI1557">
        <v>9.1999999999999993</v>
      </c>
      <c r="BJ1557">
        <v>18.3</v>
      </c>
      <c r="BK1557">
        <v>0.34</v>
      </c>
      <c r="BL1557">
        <v>7.3</v>
      </c>
      <c r="BM1557">
        <v>0.9</v>
      </c>
      <c r="BN1557">
        <v>7.5</v>
      </c>
      <c r="BO1557">
        <v>2.9</v>
      </c>
      <c r="BP1557">
        <f t="shared" si="48"/>
        <v>2.0147360846757674</v>
      </c>
      <c r="BQ1557">
        <f t="shared" si="49"/>
        <v>10.013395497863968</v>
      </c>
    </row>
    <row r="1558" spans="1:69" hidden="1" x14ac:dyDescent="0.2">
      <c r="A1558" t="s">
        <v>1764</v>
      </c>
      <c r="B1558" t="s">
        <v>68</v>
      </c>
      <c r="C1558" t="s">
        <v>69</v>
      </c>
      <c r="D1558" t="s">
        <v>70</v>
      </c>
      <c r="E1558" t="s">
        <v>1707</v>
      </c>
      <c r="F1558">
        <v>6</v>
      </c>
      <c r="G1558">
        <v>178</v>
      </c>
      <c r="H1558">
        <v>3</v>
      </c>
      <c r="I1558">
        <v>3</v>
      </c>
      <c r="J1558">
        <v>2</v>
      </c>
      <c r="K1558" t="s">
        <v>110</v>
      </c>
      <c r="L1558" t="s">
        <v>162</v>
      </c>
      <c r="M1558" s="4">
        <v>1670000000</v>
      </c>
      <c r="N1558">
        <v>0</v>
      </c>
      <c r="O1558">
        <v>4.71937418</v>
      </c>
      <c r="P1558">
        <v>-74.023902890000002</v>
      </c>
      <c r="Q1558" t="s">
        <v>1765</v>
      </c>
      <c r="R1558">
        <v>9382022.4719999991</v>
      </c>
      <c r="S1558">
        <v>0</v>
      </c>
      <c r="T1558" t="s">
        <v>104</v>
      </c>
      <c r="U1558" t="s">
        <v>105</v>
      </c>
      <c r="V1558" t="s">
        <v>77</v>
      </c>
      <c r="W1558" t="s">
        <v>104</v>
      </c>
      <c r="X1558" t="s">
        <v>106</v>
      </c>
      <c r="Y1558">
        <v>1.2374924905759199</v>
      </c>
      <c r="Z1558">
        <v>1237.4924905759201</v>
      </c>
      <c r="AA1558">
        <v>4.71035</v>
      </c>
      <c r="AB1558">
        <v>-74.030416666666696</v>
      </c>
      <c r="AC1558">
        <v>2570</v>
      </c>
      <c r="AD1558">
        <v>10</v>
      </c>
      <c r="AE1558" t="s">
        <v>80</v>
      </c>
      <c r="AF1558" t="s">
        <v>107</v>
      </c>
      <c r="AG1558" t="s">
        <v>82</v>
      </c>
      <c r="AH1558" t="s">
        <v>83</v>
      </c>
      <c r="AI1558" t="s">
        <v>108</v>
      </c>
      <c r="AJ1558">
        <v>3.0616252579716701</v>
      </c>
      <c r="AK1558">
        <v>4.4300473066884401E-2</v>
      </c>
      <c r="AL1558">
        <v>1.3705815384387401</v>
      </c>
      <c r="AM1558">
        <v>0.55176218090893003</v>
      </c>
      <c r="AN1558">
        <v>2.4692806820586402</v>
      </c>
      <c r="AO1558">
        <v>0.39703372475293702</v>
      </c>
      <c r="AP1558">
        <v>0.39703372475293702</v>
      </c>
      <c r="AQ1558">
        <v>0</v>
      </c>
      <c r="AR1558">
        <v>0</v>
      </c>
      <c r="AS1558">
        <v>16</v>
      </c>
      <c r="AT1558">
        <v>43</v>
      </c>
      <c r="AU1558">
        <v>0</v>
      </c>
      <c r="AV1558">
        <v>24</v>
      </c>
      <c r="AW1558">
        <v>0</v>
      </c>
      <c r="AX1558">
        <v>0</v>
      </c>
      <c r="AY1558">
        <v>15.5</v>
      </c>
      <c r="AZ1558">
        <v>2.4</v>
      </c>
      <c r="BA1558">
        <v>10.9</v>
      </c>
      <c r="BB1558">
        <v>564</v>
      </c>
      <c r="BC1558">
        <v>68</v>
      </c>
      <c r="BD1558">
        <v>1.5</v>
      </c>
      <c r="BE1558">
        <v>135</v>
      </c>
      <c r="BF1558">
        <v>0</v>
      </c>
      <c r="BG1558">
        <v>162</v>
      </c>
      <c r="BH1558">
        <v>9.1</v>
      </c>
      <c r="BI1558">
        <v>9.1999999999999993</v>
      </c>
      <c r="BJ1558">
        <v>18.3</v>
      </c>
      <c r="BK1558">
        <v>0.34</v>
      </c>
      <c r="BL1558">
        <v>7.3</v>
      </c>
      <c r="BM1558">
        <v>0.9</v>
      </c>
      <c r="BN1558">
        <v>7.5</v>
      </c>
      <c r="BO1558">
        <v>2.9</v>
      </c>
      <c r="BP1558">
        <f t="shared" si="48"/>
        <v>2.2573980824095008</v>
      </c>
      <c r="BQ1558">
        <f t="shared" si="49"/>
        <v>10.581032055603375</v>
      </c>
    </row>
    <row r="1559" spans="1:69" hidden="1" x14ac:dyDescent="0.2">
      <c r="A1559" t="s">
        <v>2407</v>
      </c>
      <c r="B1559" t="s">
        <v>68</v>
      </c>
      <c r="C1559" t="s">
        <v>1956</v>
      </c>
      <c r="D1559" t="s">
        <v>70</v>
      </c>
      <c r="E1559" t="s">
        <v>2083</v>
      </c>
      <c r="F1559">
        <v>5</v>
      </c>
      <c r="G1559">
        <v>178</v>
      </c>
      <c r="H1559">
        <v>4</v>
      </c>
      <c r="I1559">
        <v>4</v>
      </c>
      <c r="J1559">
        <v>2</v>
      </c>
      <c r="K1559" t="s">
        <v>110</v>
      </c>
      <c r="L1559" t="s">
        <v>162</v>
      </c>
      <c r="M1559" s="4">
        <v>1400000000</v>
      </c>
      <c r="N1559">
        <v>0</v>
      </c>
      <c r="O1559">
        <v>4.7199557929999996</v>
      </c>
      <c r="P1559">
        <v>-74.031075329999993</v>
      </c>
      <c r="Q1559" t="s">
        <v>2408</v>
      </c>
      <c r="R1559">
        <v>7865168.5389999999</v>
      </c>
      <c r="S1559">
        <v>0</v>
      </c>
      <c r="T1559" t="s">
        <v>104</v>
      </c>
      <c r="U1559" t="s">
        <v>105</v>
      </c>
      <c r="V1559" t="s">
        <v>77</v>
      </c>
      <c r="W1559" t="s">
        <v>104</v>
      </c>
      <c r="X1559" t="s">
        <v>106</v>
      </c>
      <c r="Y1559">
        <v>1.0718059153549799</v>
      </c>
      <c r="Z1559">
        <v>1071.80591535498</v>
      </c>
      <c r="AA1559">
        <v>4.71035</v>
      </c>
      <c r="AB1559">
        <v>-74.030416666666696</v>
      </c>
      <c r="AC1559">
        <v>2570</v>
      </c>
      <c r="AD1559">
        <v>10</v>
      </c>
      <c r="AE1559" t="s">
        <v>80</v>
      </c>
      <c r="AF1559" t="s">
        <v>107</v>
      </c>
      <c r="AG1559" t="s">
        <v>82</v>
      </c>
      <c r="AH1559" t="s">
        <v>83</v>
      </c>
      <c r="AI1559" t="s">
        <v>108</v>
      </c>
      <c r="AJ1559">
        <v>2.2639391392252799</v>
      </c>
      <c r="AK1559">
        <v>0.83432353169656603</v>
      </c>
      <c r="AL1559">
        <v>1.0356259231906499</v>
      </c>
      <c r="AM1559">
        <v>0.29019842046636402</v>
      </c>
      <c r="AN1559">
        <v>2.4331334469361798</v>
      </c>
      <c r="AO1559">
        <v>0.17093615323688499</v>
      </c>
      <c r="AP1559">
        <v>0.17093615323688499</v>
      </c>
      <c r="AQ1559">
        <v>0</v>
      </c>
      <c r="AR1559">
        <v>0</v>
      </c>
      <c r="AS1559">
        <v>0</v>
      </c>
      <c r="AT1559">
        <v>6</v>
      </c>
      <c r="AU1559">
        <v>0</v>
      </c>
      <c r="AV1559">
        <v>75</v>
      </c>
      <c r="AW1559">
        <v>0</v>
      </c>
      <c r="AX1559">
        <v>0</v>
      </c>
      <c r="AY1559">
        <v>15.5</v>
      </c>
      <c r="AZ1559">
        <v>2.4</v>
      </c>
      <c r="BA1559">
        <v>10.9</v>
      </c>
      <c r="BB1559">
        <v>564</v>
      </c>
      <c r="BC1559">
        <v>68</v>
      </c>
      <c r="BD1559">
        <v>1.5</v>
      </c>
      <c r="BE1559">
        <v>135</v>
      </c>
      <c r="BF1559">
        <v>0</v>
      </c>
      <c r="BG1559">
        <v>162</v>
      </c>
      <c r="BH1559">
        <v>9.1</v>
      </c>
      <c r="BI1559">
        <v>9.1999999999999993</v>
      </c>
      <c r="BJ1559">
        <v>18.3</v>
      </c>
      <c r="BK1559">
        <v>0.34</v>
      </c>
      <c r="BL1559">
        <v>7.3</v>
      </c>
      <c r="BM1559">
        <v>0.9</v>
      </c>
      <c r="BN1559">
        <v>7.5</v>
      </c>
      <c r="BO1559">
        <v>2.9</v>
      </c>
      <c r="BP1559">
        <f t="shared" si="48"/>
        <v>2.2759882291951348</v>
      </c>
      <c r="BQ1559">
        <f t="shared" si="49"/>
        <v>10.623191061352182</v>
      </c>
    </row>
    <row r="1560" spans="1:69" hidden="1" x14ac:dyDescent="0.2">
      <c r="A1560" t="s">
        <v>1352</v>
      </c>
      <c r="B1560" t="s">
        <v>68</v>
      </c>
      <c r="C1560" t="s">
        <v>69</v>
      </c>
      <c r="D1560" t="s">
        <v>70</v>
      </c>
      <c r="E1560" t="s">
        <v>1149</v>
      </c>
      <c r="F1560">
        <v>5</v>
      </c>
      <c r="G1560">
        <v>176</v>
      </c>
      <c r="H1560">
        <v>3</v>
      </c>
      <c r="I1560">
        <v>5</v>
      </c>
      <c r="J1560">
        <v>3</v>
      </c>
      <c r="K1560" t="s">
        <v>110</v>
      </c>
      <c r="L1560" t="s">
        <v>124</v>
      </c>
      <c r="M1560" s="4">
        <v>1650000000</v>
      </c>
      <c r="N1560">
        <v>0</v>
      </c>
      <c r="O1560">
        <v>4.7030682559999999</v>
      </c>
      <c r="P1560">
        <v>-74.027465820000003</v>
      </c>
      <c r="Q1560" t="s">
        <v>1353</v>
      </c>
      <c r="R1560">
        <v>9375000</v>
      </c>
      <c r="S1560">
        <v>0</v>
      </c>
      <c r="T1560" t="s">
        <v>104</v>
      </c>
      <c r="U1560" t="s">
        <v>105</v>
      </c>
      <c r="V1560" t="s">
        <v>77</v>
      </c>
      <c r="W1560" t="s">
        <v>104</v>
      </c>
      <c r="X1560" t="s">
        <v>106</v>
      </c>
      <c r="Y1560">
        <v>0.87421361137011</v>
      </c>
      <c r="Z1560">
        <v>874.21361137011002</v>
      </c>
      <c r="AA1560">
        <v>4.71035</v>
      </c>
      <c r="AB1560">
        <v>-74.030416666666696</v>
      </c>
      <c r="AC1560">
        <v>2570</v>
      </c>
      <c r="AD1560">
        <v>10</v>
      </c>
      <c r="AE1560" t="s">
        <v>80</v>
      </c>
      <c r="AF1560" t="s">
        <v>107</v>
      </c>
      <c r="AG1560" t="s">
        <v>82</v>
      </c>
      <c r="AH1560" t="s">
        <v>83</v>
      </c>
      <c r="AI1560" t="s">
        <v>108</v>
      </c>
      <c r="AJ1560">
        <v>2.9720623531675199</v>
      </c>
      <c r="AK1560">
        <v>0.22824599128300699</v>
      </c>
      <c r="AL1560">
        <v>0.58642443954355605</v>
      </c>
      <c r="AM1560">
        <v>0.16972509078113401</v>
      </c>
      <c r="AN1560">
        <v>4.2520414638834501</v>
      </c>
      <c r="AO1560">
        <v>2.1793330463850499E-2</v>
      </c>
      <c r="AP1560">
        <v>2.1793330463850499E-2</v>
      </c>
      <c r="AQ1560">
        <v>0</v>
      </c>
      <c r="AR1560">
        <v>0</v>
      </c>
      <c r="AS1560">
        <v>11</v>
      </c>
      <c r="AT1560">
        <v>34</v>
      </c>
      <c r="AU1560">
        <v>2</v>
      </c>
      <c r="AV1560">
        <v>97</v>
      </c>
      <c r="AW1560">
        <v>0</v>
      </c>
      <c r="AX1560">
        <v>0</v>
      </c>
      <c r="AY1560">
        <v>15.5</v>
      </c>
      <c r="AZ1560">
        <v>2.4</v>
      </c>
      <c r="BA1560">
        <v>10.9</v>
      </c>
      <c r="BB1560">
        <v>564</v>
      </c>
      <c r="BC1560">
        <v>68</v>
      </c>
      <c r="BD1560">
        <v>1.5</v>
      </c>
      <c r="BE1560">
        <v>135</v>
      </c>
      <c r="BF1560">
        <v>0</v>
      </c>
      <c r="BG1560">
        <v>162</v>
      </c>
      <c r="BH1560">
        <v>9.1</v>
      </c>
      <c r="BI1560">
        <v>9.1999999999999993</v>
      </c>
      <c r="BJ1560">
        <v>18.3</v>
      </c>
      <c r="BK1560">
        <v>0.34</v>
      </c>
      <c r="BL1560">
        <v>7.3</v>
      </c>
      <c r="BM1560">
        <v>0.9</v>
      </c>
      <c r="BN1560">
        <v>7.5</v>
      </c>
      <c r="BO1560">
        <v>2.9</v>
      </c>
      <c r="BP1560">
        <f t="shared" si="48"/>
        <v>2.2983584795678977</v>
      </c>
      <c r="BQ1560">
        <f t="shared" si="49"/>
        <v>10.673688159914315</v>
      </c>
    </row>
    <row r="1561" spans="1:69" hidden="1" x14ac:dyDescent="0.2">
      <c r="A1561" t="s">
        <v>176</v>
      </c>
      <c r="B1561" t="s">
        <v>68</v>
      </c>
      <c r="C1561" t="s">
        <v>69</v>
      </c>
      <c r="D1561" t="s">
        <v>70</v>
      </c>
      <c r="E1561" t="s">
        <v>177</v>
      </c>
      <c r="F1561">
        <v>5</v>
      </c>
      <c r="G1561">
        <v>175.99</v>
      </c>
      <c r="H1561">
        <v>4</v>
      </c>
      <c r="I1561">
        <v>5</v>
      </c>
      <c r="J1561">
        <v>2</v>
      </c>
      <c r="K1561" t="s">
        <v>110</v>
      </c>
      <c r="L1561" t="s">
        <v>162</v>
      </c>
      <c r="M1561" s="4">
        <v>1550000000</v>
      </c>
      <c r="N1561">
        <v>0</v>
      </c>
      <c r="O1561">
        <v>4.714545727</v>
      </c>
      <c r="P1561">
        <v>-74.047088619999997</v>
      </c>
      <c r="Q1561" t="s">
        <v>178</v>
      </c>
      <c r="R1561">
        <v>8807318.5979999993</v>
      </c>
      <c r="S1561">
        <v>0</v>
      </c>
      <c r="T1561" t="s">
        <v>104</v>
      </c>
      <c r="U1561" t="s">
        <v>105</v>
      </c>
      <c r="V1561" t="s">
        <v>77</v>
      </c>
      <c r="W1561" t="s">
        <v>104</v>
      </c>
      <c r="X1561" t="s">
        <v>106</v>
      </c>
      <c r="Y1561">
        <v>1.9076994810893999</v>
      </c>
      <c r="Z1561">
        <v>1907.6994810894</v>
      </c>
      <c r="AA1561">
        <v>4.71035</v>
      </c>
      <c r="AB1561">
        <v>-74.030416666666696</v>
      </c>
      <c r="AC1561">
        <v>2570</v>
      </c>
      <c r="AD1561">
        <v>10</v>
      </c>
      <c r="AE1561" t="s">
        <v>80</v>
      </c>
      <c r="AF1561" t="s">
        <v>107</v>
      </c>
      <c r="AG1561" t="s">
        <v>82</v>
      </c>
      <c r="AH1561" t="s">
        <v>83</v>
      </c>
      <c r="AI1561" t="s">
        <v>108</v>
      </c>
      <c r="AJ1561">
        <v>0.60645266927407104</v>
      </c>
      <c r="AK1561">
        <v>2.49335557172193</v>
      </c>
      <c r="AL1561">
        <v>1.6413905186854401</v>
      </c>
      <c r="AM1561">
        <v>0.396887341986287</v>
      </c>
      <c r="AN1561">
        <v>3.74053445697735</v>
      </c>
      <c r="AO1561">
        <v>0.541113379845651</v>
      </c>
      <c r="AP1561">
        <v>0.541113379845651</v>
      </c>
      <c r="AQ1561">
        <v>0</v>
      </c>
      <c r="AR1561">
        <v>2</v>
      </c>
      <c r="AS1561">
        <v>0</v>
      </c>
      <c r="AT1561">
        <v>0</v>
      </c>
      <c r="AU1561">
        <v>0</v>
      </c>
      <c r="AV1561">
        <v>51</v>
      </c>
      <c r="AW1561">
        <v>0</v>
      </c>
      <c r="AX1561">
        <v>0</v>
      </c>
      <c r="AY1561">
        <v>15.5</v>
      </c>
      <c r="AZ1561">
        <v>2.4</v>
      </c>
      <c r="BA1561">
        <v>10.9</v>
      </c>
      <c r="BB1561">
        <v>564</v>
      </c>
      <c r="BC1561">
        <v>68</v>
      </c>
      <c r="BD1561">
        <v>1.5</v>
      </c>
      <c r="BE1561">
        <v>135</v>
      </c>
      <c r="BF1561">
        <v>0</v>
      </c>
      <c r="BG1561">
        <v>162</v>
      </c>
      <c r="BH1561">
        <v>9.1</v>
      </c>
      <c r="BI1561">
        <v>9.1999999999999993</v>
      </c>
      <c r="BJ1561">
        <v>18.3</v>
      </c>
      <c r="BK1561">
        <v>0.34</v>
      </c>
      <c r="BL1561">
        <v>7.3</v>
      </c>
      <c r="BM1561">
        <v>0.9</v>
      </c>
      <c r="BN1561">
        <v>7.5</v>
      </c>
      <c r="BO1561">
        <v>2.9</v>
      </c>
      <c r="BP1561">
        <f t="shared" si="48"/>
        <v>2.1837369643045426</v>
      </c>
      <c r="BQ1561">
        <f t="shared" si="49"/>
        <v>10.412197981445926</v>
      </c>
    </row>
    <row r="1562" spans="1:69" hidden="1" x14ac:dyDescent="0.2">
      <c r="A1562" t="s">
        <v>2872</v>
      </c>
      <c r="B1562" t="s">
        <v>68</v>
      </c>
      <c r="C1562" t="s">
        <v>1956</v>
      </c>
      <c r="D1562" t="s">
        <v>70</v>
      </c>
      <c r="E1562" t="s">
        <v>1142</v>
      </c>
      <c r="F1562">
        <v>5</v>
      </c>
      <c r="G1562">
        <v>175</v>
      </c>
      <c r="H1562">
        <v>3</v>
      </c>
      <c r="I1562">
        <v>3</v>
      </c>
      <c r="J1562">
        <v>1</v>
      </c>
      <c r="K1562" t="s">
        <v>110</v>
      </c>
      <c r="L1562" t="s">
        <v>162</v>
      </c>
      <c r="M1562" s="4">
        <v>950000000</v>
      </c>
      <c r="N1562">
        <v>0</v>
      </c>
      <c r="O1562">
        <v>4.7058777999999997</v>
      </c>
      <c r="P1562">
        <v>-74.058712799999995</v>
      </c>
      <c r="Q1562" t="s">
        <v>2873</v>
      </c>
      <c r="R1562">
        <v>5428571.4289999995</v>
      </c>
      <c r="S1562">
        <v>0</v>
      </c>
      <c r="T1562" t="s">
        <v>104</v>
      </c>
      <c r="U1562" t="s">
        <v>105</v>
      </c>
      <c r="V1562" t="s">
        <v>77</v>
      </c>
      <c r="W1562" t="s">
        <v>104</v>
      </c>
      <c r="X1562" t="s">
        <v>106</v>
      </c>
      <c r="Y1562">
        <v>3.1785127280559902</v>
      </c>
      <c r="Z1562">
        <v>3178.51272805599</v>
      </c>
      <c r="AA1562">
        <v>4.71035</v>
      </c>
      <c r="AB1562">
        <v>-74.030416666666696</v>
      </c>
      <c r="AC1562">
        <v>2570</v>
      </c>
      <c r="AD1562">
        <v>10</v>
      </c>
      <c r="AE1562" t="s">
        <v>80</v>
      </c>
      <c r="AF1562" t="s">
        <v>107</v>
      </c>
      <c r="AG1562" t="s">
        <v>82</v>
      </c>
      <c r="AH1562" t="s">
        <v>83</v>
      </c>
      <c r="AI1562" t="s">
        <v>121</v>
      </c>
      <c r="AJ1562">
        <v>0.51604662815669</v>
      </c>
      <c r="AK1562">
        <v>3.6964996181565399</v>
      </c>
      <c r="AL1562">
        <v>1.5007217555324901</v>
      </c>
      <c r="AM1562">
        <v>0.13740181863725101</v>
      </c>
      <c r="AN1562">
        <v>4.3755970144509702</v>
      </c>
      <c r="AO1562">
        <v>2.6446611202917698E-2</v>
      </c>
      <c r="AP1562">
        <v>2.6446611202917698E-2</v>
      </c>
      <c r="AQ1562">
        <v>0</v>
      </c>
      <c r="AR1562">
        <v>2</v>
      </c>
      <c r="AS1562">
        <v>0</v>
      </c>
      <c r="AT1562">
        <v>0</v>
      </c>
      <c r="AU1562">
        <v>0</v>
      </c>
      <c r="AV1562">
        <v>99</v>
      </c>
      <c r="AW1562">
        <v>0</v>
      </c>
      <c r="AX1562">
        <v>0</v>
      </c>
      <c r="AY1562">
        <v>15.5</v>
      </c>
      <c r="AZ1562">
        <v>2.4</v>
      </c>
      <c r="BA1562">
        <v>10.9</v>
      </c>
      <c r="BB1562">
        <v>564</v>
      </c>
      <c r="BC1562">
        <v>68</v>
      </c>
      <c r="BD1562">
        <v>1.5</v>
      </c>
      <c r="BE1562">
        <v>135</v>
      </c>
      <c r="BF1562">
        <v>0</v>
      </c>
      <c r="BG1562">
        <v>162</v>
      </c>
      <c r="BH1562">
        <v>9.1</v>
      </c>
      <c r="BI1562">
        <v>9.1999999999999993</v>
      </c>
      <c r="BJ1562">
        <v>18.3</v>
      </c>
      <c r="BK1562">
        <v>0.34</v>
      </c>
      <c r="BL1562">
        <v>7.3</v>
      </c>
      <c r="BM1562">
        <v>0.9</v>
      </c>
      <c r="BN1562">
        <v>7.5</v>
      </c>
      <c r="BO1562">
        <v>2.9</v>
      </c>
      <c r="BP1562">
        <f t="shared" si="48"/>
        <v>2.0505998442800557</v>
      </c>
      <c r="BQ1562">
        <f t="shared" si="49"/>
        <v>10.099424921509524</v>
      </c>
    </row>
    <row r="1563" spans="1:69" hidden="1" x14ac:dyDescent="0.2">
      <c r="A1563" t="s">
        <v>585</v>
      </c>
      <c r="B1563" t="s">
        <v>68</v>
      </c>
      <c r="C1563" t="s">
        <v>69</v>
      </c>
      <c r="D1563" t="s">
        <v>70</v>
      </c>
      <c r="E1563" t="s">
        <v>586</v>
      </c>
      <c r="F1563">
        <v>5</v>
      </c>
      <c r="G1563">
        <v>174</v>
      </c>
      <c r="H1563">
        <v>3</v>
      </c>
      <c r="I1563">
        <v>5</v>
      </c>
      <c r="J1563">
        <v>3</v>
      </c>
      <c r="K1563" t="s">
        <v>110</v>
      </c>
      <c r="L1563" t="s">
        <v>124</v>
      </c>
      <c r="M1563" s="4">
        <v>1450000000</v>
      </c>
      <c r="N1563">
        <v>0</v>
      </c>
      <c r="O1563">
        <v>4.7111382480000001</v>
      </c>
      <c r="P1563">
        <v>-74.048988339999994</v>
      </c>
      <c r="Q1563" t="s">
        <v>587</v>
      </c>
      <c r="R1563">
        <v>8333333.3329999996</v>
      </c>
      <c r="S1563">
        <v>0</v>
      </c>
      <c r="T1563" t="s">
        <v>104</v>
      </c>
      <c r="U1563" t="s">
        <v>105</v>
      </c>
      <c r="V1563" t="s">
        <v>77</v>
      </c>
      <c r="W1563" t="s">
        <v>104</v>
      </c>
      <c r="X1563" t="s">
        <v>106</v>
      </c>
      <c r="Y1563">
        <v>2.062273207079</v>
      </c>
      <c r="Z1563">
        <v>2062.2732070789998</v>
      </c>
      <c r="AA1563">
        <v>4.71035</v>
      </c>
      <c r="AB1563">
        <v>-74.030416666666696</v>
      </c>
      <c r="AC1563">
        <v>2570</v>
      </c>
      <c r="AD1563">
        <v>10</v>
      </c>
      <c r="AE1563" t="s">
        <v>80</v>
      </c>
      <c r="AF1563" t="s">
        <v>107</v>
      </c>
      <c r="AG1563" t="s">
        <v>82</v>
      </c>
      <c r="AH1563" t="s">
        <v>83</v>
      </c>
      <c r="AI1563" t="s">
        <v>108</v>
      </c>
      <c r="AJ1563">
        <v>0.54729814534271704</v>
      </c>
      <c r="AK1563">
        <v>2.66001095262884</v>
      </c>
      <c r="AL1563">
        <v>1.79781295256944</v>
      </c>
      <c r="AM1563">
        <v>0.310107736050931</v>
      </c>
      <c r="AN1563">
        <v>4.1683414005096999</v>
      </c>
      <c r="AO1563">
        <v>0.17664103806607001</v>
      </c>
      <c r="AP1563">
        <v>0.17664103806607001</v>
      </c>
      <c r="AQ1563">
        <v>0</v>
      </c>
      <c r="AR1563">
        <v>2</v>
      </c>
      <c r="AS1563">
        <v>0</v>
      </c>
      <c r="AT1563">
        <v>0</v>
      </c>
      <c r="AU1563">
        <v>0</v>
      </c>
      <c r="AV1563">
        <v>101</v>
      </c>
      <c r="AW1563">
        <v>0</v>
      </c>
      <c r="AX1563">
        <v>0</v>
      </c>
      <c r="AY1563">
        <v>15.5</v>
      </c>
      <c r="AZ1563">
        <v>2.4</v>
      </c>
      <c r="BA1563">
        <v>10.9</v>
      </c>
      <c r="BB1563">
        <v>564</v>
      </c>
      <c r="BC1563">
        <v>68</v>
      </c>
      <c r="BD1563">
        <v>1.5</v>
      </c>
      <c r="BE1563">
        <v>135</v>
      </c>
      <c r="BF1563">
        <v>0</v>
      </c>
      <c r="BG1563">
        <v>162</v>
      </c>
      <c r="BH1563">
        <v>9.1</v>
      </c>
      <c r="BI1563">
        <v>9.1999999999999993</v>
      </c>
      <c r="BJ1563">
        <v>18.3</v>
      </c>
      <c r="BK1563">
        <v>0.34</v>
      </c>
      <c r="BL1563">
        <v>7.3</v>
      </c>
      <c r="BM1563">
        <v>0.9</v>
      </c>
      <c r="BN1563">
        <v>7.5</v>
      </c>
      <c r="BO1563">
        <v>2.9</v>
      </c>
      <c r="BP1563">
        <f t="shared" si="48"/>
        <v>2.167092080060038</v>
      </c>
      <c r="BQ1563">
        <f t="shared" si="49"/>
        <v>10.373642687583208</v>
      </c>
    </row>
    <row r="1564" spans="1:69" hidden="1" x14ac:dyDescent="0.2">
      <c r="A1564" t="s">
        <v>1226</v>
      </c>
      <c r="B1564" t="s">
        <v>68</v>
      </c>
      <c r="C1564" t="s">
        <v>69</v>
      </c>
      <c r="D1564" t="s">
        <v>70</v>
      </c>
      <c r="E1564" t="s">
        <v>226</v>
      </c>
      <c r="F1564">
        <v>6</v>
      </c>
      <c r="G1564">
        <v>173</v>
      </c>
      <c r="H1564">
        <v>3</v>
      </c>
      <c r="I1564">
        <v>4</v>
      </c>
      <c r="J1564">
        <v>2</v>
      </c>
      <c r="K1564" t="s">
        <v>110</v>
      </c>
      <c r="L1564" t="s">
        <v>124</v>
      </c>
      <c r="M1564" s="4">
        <v>1380000000</v>
      </c>
      <c r="N1564">
        <v>0</v>
      </c>
      <c r="O1564">
        <v>4.6901688579999998</v>
      </c>
      <c r="P1564">
        <v>-74.040039059999998</v>
      </c>
      <c r="Q1564" t="s">
        <v>1227</v>
      </c>
      <c r="R1564">
        <v>7976878.6129999999</v>
      </c>
      <c r="S1564">
        <v>0</v>
      </c>
      <c r="T1564" t="s">
        <v>104</v>
      </c>
      <c r="U1564" t="s">
        <v>105</v>
      </c>
      <c r="V1564" t="s">
        <v>77</v>
      </c>
      <c r="W1564" t="s">
        <v>104</v>
      </c>
      <c r="X1564" t="s">
        <v>106</v>
      </c>
      <c r="Y1564">
        <v>2.4873050049348402</v>
      </c>
      <c r="Z1564">
        <v>2487.3050049348399</v>
      </c>
      <c r="AA1564">
        <v>4.71035</v>
      </c>
      <c r="AB1564">
        <v>-74.030416666666696</v>
      </c>
      <c r="AC1564">
        <v>2570</v>
      </c>
      <c r="AD1564">
        <v>10</v>
      </c>
      <c r="AE1564" t="s">
        <v>80</v>
      </c>
      <c r="AF1564" t="s">
        <v>107</v>
      </c>
      <c r="AG1564" t="s">
        <v>82</v>
      </c>
      <c r="AH1564" t="s">
        <v>83</v>
      </c>
      <c r="AI1564" t="s">
        <v>108</v>
      </c>
      <c r="AJ1564">
        <v>1.8167660553437199</v>
      </c>
      <c r="AK1564">
        <v>1.33410455358225</v>
      </c>
      <c r="AL1564">
        <v>0.86218412597440897</v>
      </c>
      <c r="AM1564">
        <v>0.152776441107938</v>
      </c>
      <c r="AN1564">
        <v>4.9771888009219296</v>
      </c>
      <c r="AO1564">
        <v>0.289301248376716</v>
      </c>
      <c r="AP1564">
        <v>0.289301248376716</v>
      </c>
      <c r="AQ1564">
        <v>0</v>
      </c>
      <c r="AR1564">
        <v>0</v>
      </c>
      <c r="AS1564">
        <v>0</v>
      </c>
      <c r="AT1564">
        <v>0</v>
      </c>
      <c r="AU1564">
        <v>3</v>
      </c>
      <c r="AV1564">
        <v>99</v>
      </c>
      <c r="AW1564">
        <v>0</v>
      </c>
      <c r="AX1564">
        <v>0</v>
      </c>
      <c r="AY1564">
        <v>15.5</v>
      </c>
      <c r="AZ1564">
        <v>2.4</v>
      </c>
      <c r="BA1564">
        <v>10.9</v>
      </c>
      <c r="BB1564">
        <v>564</v>
      </c>
      <c r="BC1564">
        <v>68</v>
      </c>
      <c r="BD1564">
        <v>1.5</v>
      </c>
      <c r="BE1564">
        <v>135</v>
      </c>
      <c r="BF1564">
        <v>0</v>
      </c>
      <c r="BG1564">
        <v>162</v>
      </c>
      <c r="BH1564">
        <v>9.1</v>
      </c>
      <c r="BI1564">
        <v>9.1999999999999993</v>
      </c>
      <c r="BJ1564">
        <v>18.3</v>
      </c>
      <c r="BK1564">
        <v>0.34</v>
      </c>
      <c r="BL1564">
        <v>7.3</v>
      </c>
      <c r="BM1564">
        <v>0.9</v>
      </c>
      <c r="BN1564">
        <v>7.5</v>
      </c>
      <c r="BO1564">
        <v>2.9</v>
      </c>
      <c r="BP1564">
        <f t="shared" si="48"/>
        <v>2.1219747471149057</v>
      </c>
      <c r="BQ1564">
        <f t="shared" si="49"/>
        <v>10.268361502678076</v>
      </c>
    </row>
    <row r="1565" spans="1:69" hidden="1" x14ac:dyDescent="0.2">
      <c r="A1565" t="s">
        <v>1477</v>
      </c>
      <c r="B1565" t="s">
        <v>68</v>
      </c>
      <c r="C1565" t="s">
        <v>69</v>
      </c>
      <c r="D1565" t="s">
        <v>70</v>
      </c>
      <c r="E1565" t="s">
        <v>1478</v>
      </c>
      <c r="F1565">
        <v>5</v>
      </c>
      <c r="G1565">
        <v>172.75</v>
      </c>
      <c r="H1565">
        <v>3</v>
      </c>
      <c r="I1565">
        <v>3</v>
      </c>
      <c r="J1565">
        <v>3</v>
      </c>
      <c r="K1565" t="s">
        <v>110</v>
      </c>
      <c r="L1565" t="s">
        <v>124</v>
      </c>
      <c r="M1565" s="4">
        <v>1345000000</v>
      </c>
      <c r="N1565">
        <v>0</v>
      </c>
      <c r="O1565">
        <v>4.7075233460000003</v>
      </c>
      <c r="P1565">
        <v>-74.031303410000007</v>
      </c>
      <c r="Q1565" t="s">
        <v>1479</v>
      </c>
      <c r="R1565">
        <v>7785817.6560000004</v>
      </c>
      <c r="S1565">
        <v>0</v>
      </c>
      <c r="T1565" t="s">
        <v>104</v>
      </c>
      <c r="U1565" t="s">
        <v>105</v>
      </c>
      <c r="V1565" t="s">
        <v>77</v>
      </c>
      <c r="W1565" t="s">
        <v>104</v>
      </c>
      <c r="X1565" t="s">
        <v>106</v>
      </c>
      <c r="Y1565">
        <v>0.32968216356650798</v>
      </c>
      <c r="Z1565">
        <v>329.682163566508</v>
      </c>
      <c r="AA1565">
        <v>4.71035</v>
      </c>
      <c r="AB1565">
        <v>-74.030416666666696</v>
      </c>
      <c r="AC1565">
        <v>2570</v>
      </c>
      <c r="AD1565">
        <v>10</v>
      </c>
      <c r="AE1565" t="s">
        <v>80</v>
      </c>
      <c r="AF1565" t="s">
        <v>107</v>
      </c>
      <c r="AG1565" t="s">
        <v>82</v>
      </c>
      <c r="AH1565" t="s">
        <v>83</v>
      </c>
      <c r="AI1565" t="s">
        <v>108</v>
      </c>
      <c r="AJ1565">
        <v>2.4815757305847699</v>
      </c>
      <c r="AK1565">
        <v>0.71583310218612906</v>
      </c>
      <c r="AL1565">
        <v>0.39146078845420001</v>
      </c>
      <c r="AM1565">
        <v>0.26066235298446799</v>
      </c>
      <c r="AN1565">
        <v>3.7929452663080401</v>
      </c>
      <c r="AO1565">
        <v>0.18934711133479501</v>
      </c>
      <c r="AP1565">
        <v>0.18934711133479501</v>
      </c>
      <c r="AQ1565">
        <v>0</v>
      </c>
      <c r="AR1565">
        <v>0</v>
      </c>
      <c r="AS1565">
        <v>0</v>
      </c>
      <c r="AT1565">
        <v>23</v>
      </c>
      <c r="AU1565">
        <v>2</v>
      </c>
      <c r="AV1565">
        <v>107</v>
      </c>
      <c r="AW1565">
        <v>0</v>
      </c>
      <c r="AX1565">
        <v>0</v>
      </c>
      <c r="AY1565">
        <v>15.5</v>
      </c>
      <c r="AZ1565">
        <v>2.4</v>
      </c>
      <c r="BA1565">
        <v>10.9</v>
      </c>
      <c r="BB1565">
        <v>564</v>
      </c>
      <c r="BC1565">
        <v>68</v>
      </c>
      <c r="BD1565">
        <v>1.5</v>
      </c>
      <c r="BE1565">
        <v>135</v>
      </c>
      <c r="BF1565">
        <v>0</v>
      </c>
      <c r="BG1565">
        <v>162</v>
      </c>
      <c r="BH1565">
        <v>9.1</v>
      </c>
      <c r="BI1565">
        <v>9.1999999999999993</v>
      </c>
      <c r="BJ1565">
        <v>18.3</v>
      </c>
      <c r="BK1565">
        <v>0.34</v>
      </c>
      <c r="BL1565">
        <v>7.3</v>
      </c>
      <c r="BM1565">
        <v>0.9</v>
      </c>
      <c r="BN1565">
        <v>7.5</v>
      </c>
      <c r="BO1565">
        <v>2.9</v>
      </c>
      <c r="BP1565">
        <f t="shared" si="48"/>
        <v>2.3611516097630938</v>
      </c>
      <c r="BQ1565">
        <f t="shared" si="49"/>
        <v>10.814095448566766</v>
      </c>
    </row>
    <row r="1566" spans="1:69" hidden="1" x14ac:dyDescent="0.2">
      <c r="A1566" t="s">
        <v>1162</v>
      </c>
      <c r="B1566" t="s">
        <v>68</v>
      </c>
      <c r="C1566" t="s">
        <v>69</v>
      </c>
      <c r="D1566" t="s">
        <v>70</v>
      </c>
      <c r="E1566" t="s">
        <v>213</v>
      </c>
      <c r="F1566">
        <v>6</v>
      </c>
      <c r="G1566">
        <v>172.03</v>
      </c>
      <c r="H1566">
        <v>3</v>
      </c>
      <c r="I1566">
        <v>2</v>
      </c>
      <c r="J1566">
        <v>2</v>
      </c>
      <c r="K1566" t="s">
        <v>110</v>
      </c>
      <c r="L1566" t="s">
        <v>162</v>
      </c>
      <c r="M1566" s="4">
        <v>1295000000</v>
      </c>
      <c r="N1566">
        <v>0</v>
      </c>
      <c r="O1566">
        <v>4.6973779999999996</v>
      </c>
      <c r="P1566">
        <v>-74.047814000000002</v>
      </c>
      <c r="Q1566" t="s">
        <v>1163</v>
      </c>
      <c r="R1566">
        <v>7527756.7869999995</v>
      </c>
      <c r="S1566">
        <v>0</v>
      </c>
      <c r="T1566" t="s">
        <v>104</v>
      </c>
      <c r="U1566" t="s">
        <v>105</v>
      </c>
      <c r="V1566" t="s">
        <v>77</v>
      </c>
      <c r="W1566" t="s">
        <v>104</v>
      </c>
      <c r="X1566" t="s">
        <v>106</v>
      </c>
      <c r="Y1566">
        <v>2.4105350158050101</v>
      </c>
      <c r="Z1566">
        <v>2410.5350158050101</v>
      </c>
      <c r="AA1566">
        <v>4.71035</v>
      </c>
      <c r="AB1566">
        <v>-74.030416666666696</v>
      </c>
      <c r="AC1566">
        <v>2570</v>
      </c>
      <c r="AD1566">
        <v>10</v>
      </c>
      <c r="AE1566" t="s">
        <v>80</v>
      </c>
      <c r="AF1566" t="s">
        <v>107</v>
      </c>
      <c r="AG1566" t="s">
        <v>82</v>
      </c>
      <c r="AH1566" t="s">
        <v>83</v>
      </c>
      <c r="AI1566" t="s">
        <v>108</v>
      </c>
      <c r="AJ1566">
        <v>0.83511886415605296</v>
      </c>
      <c r="AK1566">
        <v>2.4303709749791</v>
      </c>
      <c r="AL1566">
        <v>0.50473149063835598</v>
      </c>
      <c r="AM1566">
        <v>0.121187271065527</v>
      </c>
      <c r="AN1566">
        <v>4.5863827459955804</v>
      </c>
      <c r="AO1566">
        <v>0.34675636735381599</v>
      </c>
      <c r="AP1566">
        <v>0.34675636735381599</v>
      </c>
      <c r="AQ1566">
        <v>0</v>
      </c>
      <c r="AR1566">
        <v>1</v>
      </c>
      <c r="AS1566">
        <v>0</v>
      </c>
      <c r="AT1566">
        <v>0</v>
      </c>
      <c r="AU1566">
        <v>1</v>
      </c>
      <c r="AV1566">
        <v>142</v>
      </c>
      <c r="AW1566">
        <v>0</v>
      </c>
      <c r="AX1566">
        <v>0</v>
      </c>
      <c r="AY1566">
        <v>15.5</v>
      </c>
      <c r="AZ1566">
        <v>2.4</v>
      </c>
      <c r="BA1566">
        <v>10.9</v>
      </c>
      <c r="BB1566">
        <v>564</v>
      </c>
      <c r="BC1566">
        <v>68</v>
      </c>
      <c r="BD1566">
        <v>1.5</v>
      </c>
      <c r="BE1566">
        <v>135</v>
      </c>
      <c r="BF1566">
        <v>0</v>
      </c>
      <c r="BG1566">
        <v>162</v>
      </c>
      <c r="BH1566">
        <v>9.1</v>
      </c>
      <c r="BI1566">
        <v>9.1999999999999993</v>
      </c>
      <c r="BJ1566">
        <v>18.3</v>
      </c>
      <c r="BK1566">
        <v>0.34</v>
      </c>
      <c r="BL1566">
        <v>7.3</v>
      </c>
      <c r="BM1566">
        <v>0.9</v>
      </c>
      <c r="BN1566">
        <v>7.5</v>
      </c>
      <c r="BO1566">
        <v>2.9</v>
      </c>
      <c r="BP1566">
        <f t="shared" si="48"/>
        <v>2.1300538350462848</v>
      </c>
      <c r="BQ1566">
        <f t="shared" si="49"/>
        <v>10.287298190575484</v>
      </c>
    </row>
    <row r="1567" spans="1:69" hidden="1" x14ac:dyDescent="0.2">
      <c r="A1567" t="s">
        <v>2003</v>
      </c>
      <c r="B1567" t="s">
        <v>68</v>
      </c>
      <c r="C1567" t="s">
        <v>1956</v>
      </c>
      <c r="D1567" t="s">
        <v>70</v>
      </c>
      <c r="E1567" t="s">
        <v>1142</v>
      </c>
      <c r="F1567">
        <v>5</v>
      </c>
      <c r="G1567">
        <v>172</v>
      </c>
      <c r="H1567">
        <v>3</v>
      </c>
      <c r="I1567">
        <v>3</v>
      </c>
      <c r="J1567">
        <v>2</v>
      </c>
      <c r="K1567" t="s">
        <v>110</v>
      </c>
      <c r="L1567" t="s">
        <v>162</v>
      </c>
      <c r="M1567" s="4">
        <v>920000000</v>
      </c>
      <c r="N1567">
        <v>0</v>
      </c>
      <c r="O1567">
        <v>4.7059493059999999</v>
      </c>
      <c r="P1567">
        <v>-74.06032562</v>
      </c>
      <c r="Q1567" t="s">
        <v>2004</v>
      </c>
      <c r="R1567">
        <v>5348837.2089999998</v>
      </c>
      <c r="S1567">
        <v>0</v>
      </c>
      <c r="T1567" t="s">
        <v>104</v>
      </c>
      <c r="U1567" t="s">
        <v>105</v>
      </c>
      <c r="V1567" t="s">
        <v>77</v>
      </c>
      <c r="W1567" t="s">
        <v>104</v>
      </c>
      <c r="X1567" t="s">
        <v>106</v>
      </c>
      <c r="Y1567">
        <v>3.3541818568095598</v>
      </c>
      <c r="Z1567">
        <v>3354.18185680956</v>
      </c>
      <c r="AA1567">
        <v>4.71035</v>
      </c>
      <c r="AB1567">
        <v>-74.030416666666696</v>
      </c>
      <c r="AC1567">
        <v>2570</v>
      </c>
      <c r="AD1567">
        <v>10</v>
      </c>
      <c r="AE1567" t="s">
        <v>80</v>
      </c>
      <c r="AF1567" t="s">
        <v>107</v>
      </c>
      <c r="AG1567" t="s">
        <v>82</v>
      </c>
      <c r="AH1567" t="s">
        <v>83</v>
      </c>
      <c r="AI1567" t="s">
        <v>121</v>
      </c>
      <c r="AJ1567">
        <v>0.69171153032202404</v>
      </c>
      <c r="AK1567">
        <v>3.8751490958515298</v>
      </c>
      <c r="AL1567">
        <v>1.3660555038773201</v>
      </c>
      <c r="AM1567">
        <v>0.23819826744692499</v>
      </c>
      <c r="AN1567">
        <v>4.2797061947291599</v>
      </c>
      <c r="AO1567">
        <v>0.20412251479287399</v>
      </c>
      <c r="AP1567">
        <v>0.20412251479287399</v>
      </c>
      <c r="AQ1567">
        <v>0</v>
      </c>
      <c r="AR1567">
        <v>1</v>
      </c>
      <c r="AS1567">
        <v>0</v>
      </c>
      <c r="AT1567">
        <v>0</v>
      </c>
      <c r="AU1567">
        <v>0</v>
      </c>
      <c r="AV1567">
        <v>58</v>
      </c>
      <c r="AW1567">
        <v>0</v>
      </c>
      <c r="AX1567">
        <v>0</v>
      </c>
      <c r="AY1567">
        <v>15.5</v>
      </c>
      <c r="AZ1567">
        <v>2.4</v>
      </c>
      <c r="BA1567">
        <v>10.9</v>
      </c>
      <c r="BB1567">
        <v>564</v>
      </c>
      <c r="BC1567">
        <v>68</v>
      </c>
      <c r="BD1567">
        <v>1.5</v>
      </c>
      <c r="BE1567">
        <v>135</v>
      </c>
      <c r="BF1567">
        <v>0</v>
      </c>
      <c r="BG1567">
        <v>162</v>
      </c>
      <c r="BH1567">
        <v>9.1</v>
      </c>
      <c r="BI1567">
        <v>9.1999999999999993</v>
      </c>
      <c r="BJ1567">
        <v>18.3</v>
      </c>
      <c r="BK1567">
        <v>0.34</v>
      </c>
      <c r="BL1567">
        <v>7.3</v>
      </c>
      <c r="BM1567">
        <v>0.9</v>
      </c>
      <c r="BN1567">
        <v>7.5</v>
      </c>
      <c r="BO1567">
        <v>2.9</v>
      </c>
      <c r="BP1567">
        <f t="shared" si="48"/>
        <v>2.0328459060576627</v>
      </c>
      <c r="BQ1567">
        <f t="shared" si="49"/>
        <v>10.056934782671645</v>
      </c>
    </row>
    <row r="1568" spans="1:69" hidden="1" x14ac:dyDescent="0.2">
      <c r="A1568" t="s">
        <v>1976</v>
      </c>
      <c r="B1568" t="s">
        <v>68</v>
      </c>
      <c r="C1568" t="s">
        <v>1956</v>
      </c>
      <c r="D1568" t="s">
        <v>70</v>
      </c>
      <c r="E1568" t="s">
        <v>982</v>
      </c>
      <c r="F1568">
        <v>5</v>
      </c>
      <c r="G1568">
        <v>172</v>
      </c>
      <c r="H1568">
        <v>4</v>
      </c>
      <c r="I1568">
        <v>3</v>
      </c>
      <c r="J1568">
        <v>2</v>
      </c>
      <c r="K1568" t="s">
        <v>110</v>
      </c>
      <c r="L1568" t="s">
        <v>162</v>
      </c>
      <c r="M1568" s="4">
        <v>605000000</v>
      </c>
      <c r="N1568">
        <v>0</v>
      </c>
      <c r="O1568">
        <v>4.7079019549999996</v>
      </c>
      <c r="P1568">
        <v>-74.048919679999997</v>
      </c>
      <c r="Q1568" t="s">
        <v>1977</v>
      </c>
      <c r="R1568">
        <v>3517441.86</v>
      </c>
      <c r="S1568">
        <v>0</v>
      </c>
      <c r="T1568" t="s">
        <v>104</v>
      </c>
      <c r="U1568" t="s">
        <v>105</v>
      </c>
      <c r="V1568" t="s">
        <v>77</v>
      </c>
      <c r="W1568" t="s">
        <v>104</v>
      </c>
      <c r="X1568" t="s">
        <v>106</v>
      </c>
      <c r="Y1568">
        <v>2.0708026299757698</v>
      </c>
      <c r="Z1568">
        <v>2070.8026299757698</v>
      </c>
      <c r="AA1568">
        <v>4.71035</v>
      </c>
      <c r="AB1568">
        <v>-74.030416666666696</v>
      </c>
      <c r="AC1568">
        <v>2570</v>
      </c>
      <c r="AD1568">
        <v>10</v>
      </c>
      <c r="AE1568" t="s">
        <v>80</v>
      </c>
      <c r="AF1568" t="s">
        <v>107</v>
      </c>
      <c r="AG1568" t="s">
        <v>82</v>
      </c>
      <c r="AH1568" t="s">
        <v>83</v>
      </c>
      <c r="AI1568" t="s">
        <v>108</v>
      </c>
      <c r="AJ1568">
        <v>0.68994272973572601</v>
      </c>
      <c r="AK1568">
        <v>2.64799718364694</v>
      </c>
      <c r="AL1568">
        <v>1.6177169466732499</v>
      </c>
      <c r="AM1568">
        <v>0.13068951829507999</v>
      </c>
      <c r="AN1568">
        <v>4.4574090191066196</v>
      </c>
      <c r="AO1568">
        <v>0.220777827249721</v>
      </c>
      <c r="AP1568">
        <v>0.220777827249721</v>
      </c>
      <c r="AQ1568">
        <v>0</v>
      </c>
      <c r="AR1568">
        <v>2</v>
      </c>
      <c r="AS1568">
        <v>0</v>
      </c>
      <c r="AT1568">
        <v>0</v>
      </c>
      <c r="AU1568">
        <v>0</v>
      </c>
      <c r="AV1568">
        <v>138</v>
      </c>
      <c r="AW1568">
        <v>0</v>
      </c>
      <c r="AX1568">
        <v>0</v>
      </c>
      <c r="AY1568">
        <v>15.5</v>
      </c>
      <c r="AZ1568">
        <v>2.4</v>
      </c>
      <c r="BA1568">
        <v>10.9</v>
      </c>
      <c r="BB1568">
        <v>564</v>
      </c>
      <c r="BC1568">
        <v>68</v>
      </c>
      <c r="BD1568">
        <v>1.5</v>
      </c>
      <c r="BE1568">
        <v>135</v>
      </c>
      <c r="BF1568">
        <v>0</v>
      </c>
      <c r="BG1568">
        <v>162</v>
      </c>
      <c r="BH1568">
        <v>9.1</v>
      </c>
      <c r="BI1568">
        <v>9.1999999999999993</v>
      </c>
      <c r="BJ1568">
        <v>18.3</v>
      </c>
      <c r="BK1568">
        <v>0.34</v>
      </c>
      <c r="BL1568">
        <v>7.3</v>
      </c>
      <c r="BM1568">
        <v>0.9</v>
      </c>
      <c r="BN1568">
        <v>7.5</v>
      </c>
      <c r="BO1568">
        <v>2.9</v>
      </c>
      <c r="BP1568">
        <f t="shared" si="48"/>
        <v>2.1661773129659525</v>
      </c>
      <c r="BQ1568">
        <f t="shared" si="49"/>
        <v>10.371519356468994</v>
      </c>
    </row>
    <row r="1569" spans="1:69" hidden="1" x14ac:dyDescent="0.2">
      <c r="A1569" t="s">
        <v>737</v>
      </c>
      <c r="B1569" t="s">
        <v>68</v>
      </c>
      <c r="C1569" t="s">
        <v>69</v>
      </c>
      <c r="D1569" t="s">
        <v>70</v>
      </c>
      <c r="E1569" t="s">
        <v>132</v>
      </c>
      <c r="F1569">
        <v>6</v>
      </c>
      <c r="G1569">
        <v>170.69</v>
      </c>
      <c r="H1569">
        <v>3</v>
      </c>
      <c r="I1569">
        <v>4</v>
      </c>
      <c r="J1569">
        <v>3</v>
      </c>
      <c r="K1569" t="s">
        <v>110</v>
      </c>
      <c r="L1569" t="s">
        <v>124</v>
      </c>
      <c r="M1569" s="4">
        <v>2400000000</v>
      </c>
      <c r="N1569">
        <v>0</v>
      </c>
      <c r="O1569">
        <v>4.6802520850000002</v>
      </c>
      <c r="P1569">
        <v>-74.052632340000002</v>
      </c>
      <c r="Q1569" t="s">
        <v>738</v>
      </c>
      <c r="R1569">
        <v>14060577.66</v>
      </c>
      <c r="S1569">
        <v>0</v>
      </c>
      <c r="T1569" t="s">
        <v>104</v>
      </c>
      <c r="U1569" t="s">
        <v>105</v>
      </c>
      <c r="V1569" t="s">
        <v>77</v>
      </c>
      <c r="W1569" t="s">
        <v>104</v>
      </c>
      <c r="X1569" t="s">
        <v>106</v>
      </c>
      <c r="Y1569">
        <v>4.1594087373240001</v>
      </c>
      <c r="Z1569">
        <v>4159.408737324</v>
      </c>
      <c r="AA1569">
        <v>4.71035</v>
      </c>
      <c r="AB1569">
        <v>-74.030416666666696</v>
      </c>
      <c r="AC1569">
        <v>2570</v>
      </c>
      <c r="AD1569">
        <v>10</v>
      </c>
      <c r="AE1569" t="s">
        <v>80</v>
      </c>
      <c r="AF1569" t="s">
        <v>107</v>
      </c>
      <c r="AG1569" t="s">
        <v>82</v>
      </c>
      <c r="AH1569" t="s">
        <v>83</v>
      </c>
      <c r="AI1569" t="s">
        <v>130</v>
      </c>
      <c r="AJ1569">
        <v>0.69586390547397303</v>
      </c>
      <c r="AK1569">
        <v>1.6105491491861501</v>
      </c>
      <c r="AL1569">
        <v>0.60891720467093902</v>
      </c>
      <c r="AM1569">
        <v>5.3429907226483497E-2</v>
      </c>
      <c r="AN1569">
        <v>3.3182357617411</v>
      </c>
      <c r="AO1569">
        <v>0.683230469633332</v>
      </c>
      <c r="AP1569">
        <v>0.683230469633332</v>
      </c>
      <c r="AQ1569">
        <v>0</v>
      </c>
      <c r="AR1569">
        <v>2</v>
      </c>
      <c r="AS1569">
        <v>0</v>
      </c>
      <c r="AT1569">
        <v>0</v>
      </c>
      <c r="AU1569">
        <v>4</v>
      </c>
      <c r="AV1569">
        <v>220</v>
      </c>
      <c r="AW1569">
        <v>0</v>
      </c>
      <c r="AX1569">
        <v>0</v>
      </c>
      <c r="AY1569">
        <v>15.5</v>
      </c>
      <c r="AZ1569">
        <v>2.4</v>
      </c>
      <c r="BA1569">
        <v>10.9</v>
      </c>
      <c r="BB1569">
        <v>564</v>
      </c>
      <c r="BC1569">
        <v>68</v>
      </c>
      <c r="BD1569">
        <v>1.5</v>
      </c>
      <c r="BE1569">
        <v>135</v>
      </c>
      <c r="BF1569">
        <v>0</v>
      </c>
      <c r="BG1569">
        <v>162</v>
      </c>
      <c r="BH1569">
        <v>9.1</v>
      </c>
      <c r="BI1569">
        <v>9.1999999999999993</v>
      </c>
      <c r="BJ1569">
        <v>18.3</v>
      </c>
      <c r="BK1569">
        <v>0.34</v>
      </c>
      <c r="BL1569">
        <v>7.3</v>
      </c>
      <c r="BM1569">
        <v>0.9</v>
      </c>
      <c r="BN1569">
        <v>7.5</v>
      </c>
      <c r="BO1569">
        <v>2.9</v>
      </c>
      <c r="BP1569">
        <f t="shared" si="48"/>
        <v>1.9534128159578357</v>
      </c>
      <c r="BQ1569">
        <f t="shared" si="49"/>
        <v>9.8644459977952028</v>
      </c>
    </row>
    <row r="1570" spans="1:69" hidden="1" x14ac:dyDescent="0.2">
      <c r="A1570" t="s">
        <v>1066</v>
      </c>
      <c r="B1570" t="s">
        <v>68</v>
      </c>
      <c r="C1570" t="s">
        <v>69</v>
      </c>
      <c r="D1570" t="s">
        <v>70</v>
      </c>
      <c r="E1570" t="s">
        <v>1067</v>
      </c>
      <c r="F1570">
        <v>6</v>
      </c>
      <c r="G1570">
        <v>170</v>
      </c>
      <c r="H1570">
        <v>4</v>
      </c>
      <c r="I1570">
        <v>4</v>
      </c>
      <c r="J1570">
        <v>3</v>
      </c>
      <c r="K1570" t="s">
        <v>110</v>
      </c>
      <c r="L1570" t="s">
        <v>124</v>
      </c>
      <c r="M1570" s="4">
        <v>1000000000</v>
      </c>
      <c r="N1570">
        <v>0</v>
      </c>
      <c r="O1570">
        <v>4.6825165750000002</v>
      </c>
      <c r="P1570">
        <v>-74.054481510000002</v>
      </c>
      <c r="Q1570" t="s">
        <v>1068</v>
      </c>
      <c r="R1570">
        <v>5882352.9409999996</v>
      </c>
      <c r="S1570">
        <v>0</v>
      </c>
      <c r="T1570" t="s">
        <v>104</v>
      </c>
      <c r="U1570" t="s">
        <v>105</v>
      </c>
      <c r="V1570" t="s">
        <v>77</v>
      </c>
      <c r="W1570" t="s">
        <v>104</v>
      </c>
      <c r="X1570" t="s">
        <v>106</v>
      </c>
      <c r="Y1570">
        <v>4.0900392252552003</v>
      </c>
      <c r="Z1570">
        <v>4090.0392252552001</v>
      </c>
      <c r="AA1570">
        <v>4.71035</v>
      </c>
      <c r="AB1570">
        <v>-74.030416666666696</v>
      </c>
      <c r="AC1570">
        <v>2570</v>
      </c>
      <c r="AD1570">
        <v>10</v>
      </c>
      <c r="AE1570" t="s">
        <v>80</v>
      </c>
      <c r="AF1570" t="s">
        <v>107</v>
      </c>
      <c r="AG1570" t="s">
        <v>82</v>
      </c>
      <c r="AH1570" t="s">
        <v>83</v>
      </c>
      <c r="AI1570" t="s">
        <v>130</v>
      </c>
      <c r="AJ1570">
        <v>0.39166781107722998</v>
      </c>
      <c r="AK1570">
        <v>1.90989007277797</v>
      </c>
      <c r="AL1570">
        <v>0.403534228546096</v>
      </c>
      <c r="AM1570">
        <v>0.151105037929465</v>
      </c>
      <c r="AN1570">
        <v>3.1847261429845002</v>
      </c>
      <c r="AO1570">
        <v>0.43101363266512599</v>
      </c>
      <c r="AP1570">
        <v>0.43101363266512599</v>
      </c>
      <c r="AQ1570">
        <v>1</v>
      </c>
      <c r="AR1570">
        <v>3</v>
      </c>
      <c r="AS1570">
        <v>0</v>
      </c>
      <c r="AT1570">
        <v>0</v>
      </c>
      <c r="AU1570">
        <v>5</v>
      </c>
      <c r="AV1570">
        <v>256</v>
      </c>
      <c r="AW1570">
        <v>0</v>
      </c>
      <c r="AX1570">
        <v>0</v>
      </c>
      <c r="AY1570">
        <v>15.5</v>
      </c>
      <c r="AZ1570">
        <v>2.4</v>
      </c>
      <c r="BA1570">
        <v>10.9</v>
      </c>
      <c r="BB1570">
        <v>564</v>
      </c>
      <c r="BC1570">
        <v>68</v>
      </c>
      <c r="BD1570">
        <v>1.5</v>
      </c>
      <c r="BE1570">
        <v>135</v>
      </c>
      <c r="BF1570">
        <v>0</v>
      </c>
      <c r="BG1570">
        <v>162</v>
      </c>
      <c r="BH1570">
        <v>9.1</v>
      </c>
      <c r="BI1570">
        <v>9.1999999999999993</v>
      </c>
      <c r="BJ1570">
        <v>18.3</v>
      </c>
      <c r="BK1570">
        <v>0.34</v>
      </c>
      <c r="BL1570">
        <v>7.3</v>
      </c>
      <c r="BM1570">
        <v>0.9</v>
      </c>
      <c r="BN1570">
        <v>7.5</v>
      </c>
      <c r="BO1570">
        <v>2.9</v>
      </c>
      <c r="BP1570">
        <f t="shared" si="48"/>
        <v>1.9601319564659969</v>
      </c>
      <c r="BQ1570">
        <f t="shared" si="49"/>
        <v>9.8808826797906484</v>
      </c>
    </row>
    <row r="1571" spans="1:69" hidden="1" x14ac:dyDescent="0.2">
      <c r="A1571" t="s">
        <v>841</v>
      </c>
      <c r="B1571" t="s">
        <v>68</v>
      </c>
      <c r="C1571" t="s">
        <v>69</v>
      </c>
      <c r="D1571" t="s">
        <v>70</v>
      </c>
      <c r="E1571" t="s">
        <v>468</v>
      </c>
      <c r="F1571">
        <v>6</v>
      </c>
      <c r="G1571">
        <v>170</v>
      </c>
      <c r="H1571">
        <v>3</v>
      </c>
      <c r="I1571">
        <v>3</v>
      </c>
      <c r="J1571">
        <v>2</v>
      </c>
      <c r="K1571" t="s">
        <v>110</v>
      </c>
      <c r="L1571" t="s">
        <v>124</v>
      </c>
      <c r="M1571" s="4">
        <v>1250000000</v>
      </c>
      <c r="N1571">
        <v>0</v>
      </c>
      <c r="O1571">
        <v>4.6908621789999998</v>
      </c>
      <c r="P1571">
        <v>-74.052093510000006</v>
      </c>
      <c r="Q1571" t="s">
        <v>842</v>
      </c>
      <c r="R1571">
        <v>7352941.176</v>
      </c>
      <c r="S1571">
        <v>0</v>
      </c>
      <c r="T1571" t="s">
        <v>104</v>
      </c>
      <c r="U1571" t="s">
        <v>105</v>
      </c>
      <c r="V1571" t="s">
        <v>77</v>
      </c>
      <c r="W1571" t="s">
        <v>104</v>
      </c>
      <c r="X1571" t="s">
        <v>106</v>
      </c>
      <c r="Y1571">
        <v>3.2388139726705498</v>
      </c>
      <c r="Z1571">
        <v>3238.8139726705499</v>
      </c>
      <c r="AA1571">
        <v>4.71035</v>
      </c>
      <c r="AB1571">
        <v>-74.030416666666696</v>
      </c>
      <c r="AC1571">
        <v>2570</v>
      </c>
      <c r="AD1571">
        <v>10</v>
      </c>
      <c r="AE1571" t="s">
        <v>80</v>
      </c>
      <c r="AF1571" t="s">
        <v>107</v>
      </c>
      <c r="AG1571" t="s">
        <v>82</v>
      </c>
      <c r="AH1571" t="s">
        <v>83</v>
      </c>
      <c r="AI1571" t="s">
        <v>108</v>
      </c>
      <c r="AJ1571">
        <v>0.51035354941356503</v>
      </c>
      <c r="AK1571">
        <v>2.2173199411842801</v>
      </c>
      <c r="AL1571">
        <v>0.33632727024973502</v>
      </c>
      <c r="AM1571">
        <v>0.16718384613351001</v>
      </c>
      <c r="AN1571">
        <v>3.80069211278968</v>
      </c>
      <c r="AO1571">
        <v>0.23192520077991299</v>
      </c>
      <c r="AP1571">
        <v>0.23192520077991299</v>
      </c>
      <c r="AQ1571">
        <v>0</v>
      </c>
      <c r="AR1571">
        <v>3</v>
      </c>
      <c r="AS1571">
        <v>0</v>
      </c>
      <c r="AT1571">
        <v>0</v>
      </c>
      <c r="AU1571">
        <v>5</v>
      </c>
      <c r="AV1571">
        <v>183</v>
      </c>
      <c r="AW1571">
        <v>0</v>
      </c>
      <c r="AX1571">
        <v>0</v>
      </c>
      <c r="AY1571">
        <v>15.5</v>
      </c>
      <c r="AZ1571">
        <v>2.4</v>
      </c>
      <c r="BA1571">
        <v>10.9</v>
      </c>
      <c r="BB1571">
        <v>564</v>
      </c>
      <c r="BC1571">
        <v>68</v>
      </c>
      <c r="BD1571">
        <v>1.5</v>
      </c>
      <c r="BE1571">
        <v>135</v>
      </c>
      <c r="BF1571">
        <v>0</v>
      </c>
      <c r="BG1571">
        <v>162</v>
      </c>
      <c r="BH1571">
        <v>9.1</v>
      </c>
      <c r="BI1571">
        <v>9.1999999999999993</v>
      </c>
      <c r="BJ1571">
        <v>18.3</v>
      </c>
      <c r="BK1571">
        <v>0.34</v>
      </c>
      <c r="BL1571">
        <v>7.3</v>
      </c>
      <c r="BM1571">
        <v>0.9</v>
      </c>
      <c r="BN1571">
        <v>7.5</v>
      </c>
      <c r="BO1571">
        <v>2.9</v>
      </c>
      <c r="BP1571">
        <f t="shared" si="48"/>
        <v>2.044488111030208</v>
      </c>
      <c r="BQ1571">
        <f t="shared" si="49"/>
        <v>10.084819303478328</v>
      </c>
    </row>
    <row r="1572" spans="1:69" hidden="1" x14ac:dyDescent="0.2">
      <c r="A1572" t="s">
        <v>2315</v>
      </c>
      <c r="B1572" t="s">
        <v>68</v>
      </c>
      <c r="C1572" t="s">
        <v>1956</v>
      </c>
      <c r="D1572" t="s">
        <v>70</v>
      </c>
      <c r="E1572" t="s">
        <v>213</v>
      </c>
      <c r="F1572">
        <v>6</v>
      </c>
      <c r="G1572">
        <v>170</v>
      </c>
      <c r="H1572">
        <v>3</v>
      </c>
      <c r="I1572">
        <v>4</v>
      </c>
      <c r="J1572">
        <v>3</v>
      </c>
      <c r="K1572" t="s">
        <v>110</v>
      </c>
      <c r="L1572" t="s">
        <v>162</v>
      </c>
      <c r="M1572" s="4">
        <v>1400000000</v>
      </c>
      <c r="N1572">
        <v>0</v>
      </c>
      <c r="O1572">
        <v>4.6978926660000004</v>
      </c>
      <c r="P1572">
        <v>-74.036758419999998</v>
      </c>
      <c r="Q1572" t="s">
        <v>2316</v>
      </c>
      <c r="R1572">
        <v>8235294.1179999998</v>
      </c>
      <c r="S1572">
        <v>0</v>
      </c>
      <c r="T1572" t="s">
        <v>104</v>
      </c>
      <c r="U1572" t="s">
        <v>105</v>
      </c>
      <c r="V1572" t="s">
        <v>77</v>
      </c>
      <c r="W1572" t="s">
        <v>104</v>
      </c>
      <c r="X1572" t="s">
        <v>106</v>
      </c>
      <c r="Y1572">
        <v>1.5550201841344</v>
      </c>
      <c r="Z1572">
        <v>1555.0201841344001</v>
      </c>
      <c r="AA1572">
        <v>4.71035</v>
      </c>
      <c r="AB1572">
        <v>-74.030416666666696</v>
      </c>
      <c r="AC1572">
        <v>2570</v>
      </c>
      <c r="AD1572">
        <v>10</v>
      </c>
      <c r="AE1572" t="s">
        <v>80</v>
      </c>
      <c r="AF1572" t="s">
        <v>107</v>
      </c>
      <c r="AG1572" t="s">
        <v>82</v>
      </c>
      <c r="AH1572" t="s">
        <v>83</v>
      </c>
      <c r="AI1572" t="s">
        <v>108</v>
      </c>
      <c r="AJ1572">
        <v>2.0569861864782202</v>
      </c>
      <c r="AK1572">
        <v>1.20725410757068</v>
      </c>
      <c r="AL1572">
        <v>0.60933952486295895</v>
      </c>
      <c r="AM1572">
        <v>0.154203483775531</v>
      </c>
      <c r="AN1572">
        <v>4.9496809385762699</v>
      </c>
      <c r="AO1572">
        <v>4.0494302008605702E-2</v>
      </c>
      <c r="AP1572">
        <v>4.0494302008605702E-2</v>
      </c>
      <c r="AQ1572">
        <v>0</v>
      </c>
      <c r="AR1572">
        <v>0</v>
      </c>
      <c r="AS1572">
        <v>0</v>
      </c>
      <c r="AT1572">
        <v>0</v>
      </c>
      <c r="AU1572">
        <v>2</v>
      </c>
      <c r="AV1572">
        <v>168</v>
      </c>
      <c r="AW1572">
        <v>0</v>
      </c>
      <c r="AX1572">
        <v>0</v>
      </c>
      <c r="AY1572">
        <v>15.5</v>
      </c>
      <c r="AZ1572">
        <v>2.4</v>
      </c>
      <c r="BA1572">
        <v>10.9</v>
      </c>
      <c r="BB1572">
        <v>564</v>
      </c>
      <c r="BC1572">
        <v>68</v>
      </c>
      <c r="BD1572">
        <v>1.5</v>
      </c>
      <c r="BE1572">
        <v>135</v>
      </c>
      <c r="BF1572">
        <v>0</v>
      </c>
      <c r="BG1572">
        <v>162</v>
      </c>
      <c r="BH1572">
        <v>9.1</v>
      </c>
      <c r="BI1572">
        <v>9.1999999999999993</v>
      </c>
      <c r="BJ1572">
        <v>18.3</v>
      </c>
      <c r="BK1572">
        <v>0.34</v>
      </c>
      <c r="BL1572">
        <v>7.3</v>
      </c>
      <c r="BM1572">
        <v>0.9</v>
      </c>
      <c r="BN1572">
        <v>7.5</v>
      </c>
      <c r="BO1572">
        <v>2.9</v>
      </c>
      <c r="BP1572">
        <f t="shared" si="48"/>
        <v>2.2221945379979462</v>
      </c>
      <c r="BQ1572">
        <f t="shared" si="49"/>
        <v>10.500704023951458</v>
      </c>
    </row>
    <row r="1573" spans="1:69" hidden="1" x14ac:dyDescent="0.2">
      <c r="A1573" t="s">
        <v>2733</v>
      </c>
      <c r="B1573" t="s">
        <v>68</v>
      </c>
      <c r="C1573" t="s">
        <v>1956</v>
      </c>
      <c r="D1573" t="s">
        <v>70</v>
      </c>
      <c r="E1573" t="s">
        <v>205</v>
      </c>
      <c r="F1573">
        <v>5</v>
      </c>
      <c r="G1573">
        <v>170</v>
      </c>
      <c r="H1573">
        <v>3</v>
      </c>
      <c r="I1573">
        <v>3</v>
      </c>
      <c r="J1573">
        <v>1</v>
      </c>
      <c r="K1573" t="s">
        <v>110</v>
      </c>
      <c r="L1573" t="s">
        <v>162</v>
      </c>
      <c r="M1573" s="4">
        <v>799000000</v>
      </c>
      <c r="N1573">
        <v>0</v>
      </c>
      <c r="O1573">
        <v>4.7179099999999998</v>
      </c>
      <c r="P1573">
        <v>-74.035049999999998</v>
      </c>
      <c r="Q1573" t="s">
        <v>2734</v>
      </c>
      <c r="R1573">
        <v>4700000</v>
      </c>
      <c r="S1573">
        <v>0</v>
      </c>
      <c r="T1573" t="s">
        <v>104</v>
      </c>
      <c r="U1573" t="s">
        <v>105</v>
      </c>
      <c r="V1573" t="s">
        <v>77</v>
      </c>
      <c r="W1573" t="s">
        <v>104</v>
      </c>
      <c r="X1573" t="s">
        <v>106</v>
      </c>
      <c r="Y1573">
        <v>0.986144799098854</v>
      </c>
      <c r="Z1573">
        <v>986.14479909885404</v>
      </c>
      <c r="AA1573">
        <v>4.71035</v>
      </c>
      <c r="AB1573">
        <v>-74.030416666666696</v>
      </c>
      <c r="AC1573">
        <v>2570</v>
      </c>
      <c r="AD1573">
        <v>10</v>
      </c>
      <c r="AE1573" t="s">
        <v>80</v>
      </c>
      <c r="AF1573" t="s">
        <v>107</v>
      </c>
      <c r="AG1573" t="s">
        <v>82</v>
      </c>
      <c r="AH1573" t="s">
        <v>83</v>
      </c>
      <c r="AI1573" t="s">
        <v>108</v>
      </c>
      <c r="AJ1573">
        <v>1.8544268010560501</v>
      </c>
      <c r="AK1573">
        <v>1.2858758062631901</v>
      </c>
      <c r="AL1573">
        <v>0.83125476314911695</v>
      </c>
      <c r="AM1573">
        <v>0.13091518624489101</v>
      </c>
      <c r="AN1573">
        <v>2.7691691553436302</v>
      </c>
      <c r="AO1573">
        <v>8.7358906596944702E-2</v>
      </c>
      <c r="AP1573">
        <v>8.7358906596944702E-2</v>
      </c>
      <c r="AQ1573">
        <v>0</v>
      </c>
      <c r="AR1573">
        <v>0</v>
      </c>
      <c r="AS1573">
        <v>0</v>
      </c>
      <c r="AT1573">
        <v>0</v>
      </c>
      <c r="AU1573">
        <v>1</v>
      </c>
      <c r="AV1573">
        <v>75</v>
      </c>
      <c r="AW1573">
        <v>0</v>
      </c>
      <c r="AX1573">
        <v>0</v>
      </c>
      <c r="AY1573">
        <v>15.5</v>
      </c>
      <c r="AZ1573">
        <v>2.4</v>
      </c>
      <c r="BA1573">
        <v>10.9</v>
      </c>
      <c r="BB1573">
        <v>564</v>
      </c>
      <c r="BC1573">
        <v>68</v>
      </c>
      <c r="BD1573">
        <v>1.5</v>
      </c>
      <c r="BE1573">
        <v>135</v>
      </c>
      <c r="BF1573">
        <v>0</v>
      </c>
      <c r="BG1573">
        <v>162</v>
      </c>
      <c r="BH1573">
        <v>9.1</v>
      </c>
      <c r="BI1573">
        <v>9.1999999999999993</v>
      </c>
      <c r="BJ1573">
        <v>18.3</v>
      </c>
      <c r="BK1573">
        <v>0.34</v>
      </c>
      <c r="BL1573">
        <v>7.3</v>
      </c>
      <c r="BM1573">
        <v>0.9</v>
      </c>
      <c r="BN1573">
        <v>7.5</v>
      </c>
      <c r="BO1573">
        <v>2.9</v>
      </c>
      <c r="BP1573">
        <f t="shared" si="48"/>
        <v>2.2856594214905548</v>
      </c>
      <c r="BQ1573">
        <f t="shared" si="49"/>
        <v>10.645053392380506</v>
      </c>
    </row>
    <row r="1574" spans="1:69" hidden="1" x14ac:dyDescent="0.2">
      <c r="A1574" t="s">
        <v>2385</v>
      </c>
      <c r="B1574" t="s">
        <v>68</v>
      </c>
      <c r="C1574" t="s">
        <v>1956</v>
      </c>
      <c r="D1574" t="s">
        <v>70</v>
      </c>
      <c r="E1574" t="s">
        <v>205</v>
      </c>
      <c r="F1574">
        <v>4</v>
      </c>
      <c r="G1574">
        <v>169.3</v>
      </c>
      <c r="H1574">
        <v>3</v>
      </c>
      <c r="I1574">
        <v>3</v>
      </c>
      <c r="J1574">
        <v>1</v>
      </c>
      <c r="K1574" t="s">
        <v>110</v>
      </c>
      <c r="L1574" t="s">
        <v>162</v>
      </c>
      <c r="M1574" s="4">
        <v>730000000</v>
      </c>
      <c r="N1574">
        <v>0</v>
      </c>
      <c r="O1574">
        <v>4.7282158079999999</v>
      </c>
      <c r="P1574">
        <v>-74.033108499999997</v>
      </c>
      <c r="Q1574" t="s">
        <v>2386</v>
      </c>
      <c r="R1574">
        <v>4311872.4160000002</v>
      </c>
      <c r="S1574">
        <v>0</v>
      </c>
      <c r="T1574" t="s">
        <v>104</v>
      </c>
      <c r="U1574" t="s">
        <v>105</v>
      </c>
      <c r="V1574" t="s">
        <v>77</v>
      </c>
      <c r="W1574" t="s">
        <v>104</v>
      </c>
      <c r="X1574" t="s">
        <v>106</v>
      </c>
      <c r="Y1574">
        <v>2.0111091912033898</v>
      </c>
      <c r="Z1574">
        <v>2011.1091912033901</v>
      </c>
      <c r="AA1574">
        <v>4.71035</v>
      </c>
      <c r="AB1574">
        <v>-74.030416666666696</v>
      </c>
      <c r="AC1574">
        <v>2570</v>
      </c>
      <c r="AD1574">
        <v>10</v>
      </c>
      <c r="AE1574" t="s">
        <v>80</v>
      </c>
      <c r="AF1574" t="s">
        <v>107</v>
      </c>
      <c r="AG1574" t="s">
        <v>82</v>
      </c>
      <c r="AH1574" t="s">
        <v>83</v>
      </c>
      <c r="AI1574" t="s">
        <v>108</v>
      </c>
      <c r="AJ1574">
        <v>1.8753249216236001</v>
      </c>
      <c r="AK1574">
        <v>1.2962749542168599</v>
      </c>
      <c r="AL1574">
        <v>0.91939806495941201</v>
      </c>
      <c r="AM1574">
        <v>0.19400475681059401</v>
      </c>
      <c r="AN1574">
        <v>1.6331322945962301</v>
      </c>
      <c r="AO1574">
        <v>4.6996446224937503E-2</v>
      </c>
      <c r="AP1574">
        <v>4.6996446224937503E-2</v>
      </c>
      <c r="AQ1574">
        <v>0</v>
      </c>
      <c r="AR1574">
        <v>0</v>
      </c>
      <c r="AS1574">
        <v>0</v>
      </c>
      <c r="AT1574">
        <v>0</v>
      </c>
      <c r="AU1574">
        <v>1</v>
      </c>
      <c r="AV1574">
        <v>7</v>
      </c>
      <c r="AW1574">
        <v>0</v>
      </c>
      <c r="AX1574">
        <v>0</v>
      </c>
      <c r="AY1574">
        <v>15.5</v>
      </c>
      <c r="AZ1574">
        <v>2.4</v>
      </c>
      <c r="BA1574">
        <v>10.9</v>
      </c>
      <c r="BB1574">
        <v>564</v>
      </c>
      <c r="BC1574">
        <v>68</v>
      </c>
      <c r="BD1574">
        <v>1.5</v>
      </c>
      <c r="BE1574">
        <v>135</v>
      </c>
      <c r="BF1574">
        <v>0</v>
      </c>
      <c r="BG1574">
        <v>162</v>
      </c>
      <c r="BH1574">
        <v>9.1</v>
      </c>
      <c r="BI1574">
        <v>9.1999999999999993</v>
      </c>
      <c r="BJ1574">
        <v>18.3</v>
      </c>
      <c r="BK1574">
        <v>0.34</v>
      </c>
      <c r="BL1574">
        <v>7.3</v>
      </c>
      <c r="BM1574">
        <v>0.9</v>
      </c>
      <c r="BN1574">
        <v>7.5</v>
      </c>
      <c r="BO1574">
        <v>2.9</v>
      </c>
      <c r="BP1574">
        <f t="shared" si="48"/>
        <v>2.1725874540790371</v>
      </c>
      <c r="BQ1574">
        <f t="shared" si="49"/>
        <v>10.386388684878268</v>
      </c>
    </row>
    <row r="1575" spans="1:69" hidden="1" x14ac:dyDescent="0.2">
      <c r="A1575" t="s">
        <v>1769</v>
      </c>
      <c r="B1575" t="s">
        <v>68</v>
      </c>
      <c r="C1575" t="s">
        <v>69</v>
      </c>
      <c r="D1575" t="s">
        <v>70</v>
      </c>
      <c r="E1575" t="s">
        <v>468</v>
      </c>
      <c r="F1575">
        <v>6</v>
      </c>
      <c r="G1575">
        <v>169</v>
      </c>
      <c r="H1575">
        <v>3</v>
      </c>
      <c r="I1575">
        <v>3</v>
      </c>
      <c r="J1575">
        <v>3</v>
      </c>
      <c r="K1575" t="s">
        <v>110</v>
      </c>
      <c r="L1575" t="s">
        <v>162</v>
      </c>
      <c r="M1575" s="4">
        <v>950000000</v>
      </c>
      <c r="N1575">
        <v>0</v>
      </c>
      <c r="O1575">
        <v>4.6879628149999997</v>
      </c>
      <c r="P1575">
        <v>-74.054977539999996</v>
      </c>
      <c r="Q1575" t="s">
        <v>1770</v>
      </c>
      <c r="R1575">
        <v>5621301.7750000004</v>
      </c>
      <c r="S1575">
        <v>0</v>
      </c>
      <c r="T1575" t="s">
        <v>104</v>
      </c>
      <c r="U1575" t="s">
        <v>105</v>
      </c>
      <c r="V1575" t="s">
        <v>77</v>
      </c>
      <c r="W1575" t="s">
        <v>104</v>
      </c>
      <c r="X1575" t="s">
        <v>106</v>
      </c>
      <c r="Y1575">
        <v>3.6926772767266001</v>
      </c>
      <c r="Z1575">
        <v>3692.6772767266002</v>
      </c>
      <c r="AA1575">
        <v>4.71035</v>
      </c>
      <c r="AB1575">
        <v>-74.030416666666696</v>
      </c>
      <c r="AC1575">
        <v>2570</v>
      </c>
      <c r="AD1575">
        <v>10</v>
      </c>
      <c r="AE1575" t="s">
        <v>80</v>
      </c>
      <c r="AF1575" t="s">
        <v>107</v>
      </c>
      <c r="AG1575" t="s">
        <v>82</v>
      </c>
      <c r="AH1575" t="s">
        <v>83</v>
      </c>
      <c r="AI1575" t="s">
        <v>108</v>
      </c>
      <c r="AJ1575">
        <v>0.53727458193688804</v>
      </c>
      <c r="AK1575">
        <v>2.3040406064585399</v>
      </c>
      <c r="AL1575">
        <v>0.34228696439304901</v>
      </c>
      <c r="AM1575">
        <v>0.114017699059835</v>
      </c>
      <c r="AN1575">
        <v>3.36625947015354</v>
      </c>
      <c r="AO1575">
        <v>0.59866600222340804</v>
      </c>
      <c r="AP1575">
        <v>0.59866600222340804</v>
      </c>
      <c r="AQ1575">
        <v>0</v>
      </c>
      <c r="AR1575">
        <v>3</v>
      </c>
      <c r="AS1575">
        <v>0</v>
      </c>
      <c r="AT1575">
        <v>0</v>
      </c>
      <c r="AU1575">
        <v>5</v>
      </c>
      <c r="AV1575">
        <v>226</v>
      </c>
      <c r="AW1575">
        <v>0</v>
      </c>
      <c r="AX1575">
        <v>0</v>
      </c>
      <c r="AY1575">
        <v>15.5</v>
      </c>
      <c r="AZ1575">
        <v>2.4</v>
      </c>
      <c r="BA1575">
        <v>10.9</v>
      </c>
      <c r="BB1575">
        <v>564</v>
      </c>
      <c r="BC1575">
        <v>68</v>
      </c>
      <c r="BD1575">
        <v>1.5</v>
      </c>
      <c r="BE1575">
        <v>135</v>
      </c>
      <c r="BF1575">
        <v>0</v>
      </c>
      <c r="BG1575">
        <v>162</v>
      </c>
      <c r="BH1575">
        <v>9.1</v>
      </c>
      <c r="BI1575">
        <v>9.1999999999999993</v>
      </c>
      <c r="BJ1575">
        <v>18.3</v>
      </c>
      <c r="BK1575">
        <v>0.34</v>
      </c>
      <c r="BL1575">
        <v>7.3</v>
      </c>
      <c r="BM1575">
        <v>0.9</v>
      </c>
      <c r="BN1575">
        <v>7.5</v>
      </c>
      <c r="BO1575">
        <v>2.9</v>
      </c>
      <c r="BP1575">
        <f t="shared" si="48"/>
        <v>1.9990682802848085</v>
      </c>
      <c r="BQ1575">
        <f t="shared" si="49"/>
        <v>9.9755643198440307</v>
      </c>
    </row>
    <row r="1576" spans="1:69" hidden="1" x14ac:dyDescent="0.2">
      <c r="A1576" t="s">
        <v>2433</v>
      </c>
      <c r="B1576" t="s">
        <v>68</v>
      </c>
      <c r="C1576" t="s">
        <v>1956</v>
      </c>
      <c r="D1576" t="s">
        <v>70</v>
      </c>
      <c r="E1576" t="s">
        <v>205</v>
      </c>
      <c r="F1576">
        <v>4</v>
      </c>
      <c r="G1576">
        <v>169</v>
      </c>
      <c r="H1576">
        <v>4</v>
      </c>
      <c r="I1576">
        <v>3</v>
      </c>
      <c r="J1576">
        <v>2</v>
      </c>
      <c r="K1576" t="s">
        <v>110</v>
      </c>
      <c r="L1576" t="s">
        <v>162</v>
      </c>
      <c r="M1576" s="4">
        <v>675000000</v>
      </c>
      <c r="N1576">
        <v>0</v>
      </c>
      <c r="O1576">
        <v>4.7239694999999999</v>
      </c>
      <c r="P1576">
        <v>-74.030885400000003</v>
      </c>
      <c r="Q1576" t="s">
        <v>2434</v>
      </c>
      <c r="R1576">
        <v>3994082.84</v>
      </c>
      <c r="S1576">
        <v>0</v>
      </c>
      <c r="T1576" t="s">
        <v>104</v>
      </c>
      <c r="U1576" t="s">
        <v>105</v>
      </c>
      <c r="V1576" t="s">
        <v>77</v>
      </c>
      <c r="W1576" t="s">
        <v>104</v>
      </c>
      <c r="X1576" t="s">
        <v>106</v>
      </c>
      <c r="Y1576">
        <v>1.5170073779915401</v>
      </c>
      <c r="Z1576">
        <v>1517.0073779915399</v>
      </c>
      <c r="AA1576">
        <v>4.71035</v>
      </c>
      <c r="AB1576">
        <v>-74.030416666666696</v>
      </c>
      <c r="AC1576">
        <v>2570</v>
      </c>
      <c r="AD1576">
        <v>10</v>
      </c>
      <c r="AE1576" t="s">
        <v>80</v>
      </c>
      <c r="AF1576" t="s">
        <v>107</v>
      </c>
      <c r="AG1576" t="s">
        <v>82</v>
      </c>
      <c r="AH1576" t="s">
        <v>83</v>
      </c>
      <c r="AI1576" t="s">
        <v>108</v>
      </c>
      <c r="AJ1576">
        <v>2.1982740411178598</v>
      </c>
      <c r="AK1576">
        <v>0.93578655914594899</v>
      </c>
      <c r="AL1576">
        <v>1.4091109518984299</v>
      </c>
      <c r="AM1576">
        <v>0.15506161226226001</v>
      </c>
      <c r="AN1576">
        <v>1.9953099662331</v>
      </c>
      <c r="AO1576">
        <v>0.21353444803955901</v>
      </c>
      <c r="AP1576">
        <v>0.21353444803955901</v>
      </c>
      <c r="AQ1576">
        <v>0</v>
      </c>
      <c r="AR1576">
        <v>0</v>
      </c>
      <c r="AS1576">
        <v>0</v>
      </c>
      <c r="AT1576">
        <v>5</v>
      </c>
      <c r="AU1576">
        <v>0</v>
      </c>
      <c r="AV1576">
        <v>17</v>
      </c>
      <c r="AW1576">
        <v>0</v>
      </c>
      <c r="AX1576">
        <v>0</v>
      </c>
      <c r="AY1576">
        <v>15.5</v>
      </c>
      <c r="AZ1576">
        <v>2.4</v>
      </c>
      <c r="BA1576">
        <v>10.9</v>
      </c>
      <c r="BB1576">
        <v>564</v>
      </c>
      <c r="BC1576">
        <v>68</v>
      </c>
      <c r="BD1576">
        <v>1.5</v>
      </c>
      <c r="BE1576">
        <v>135</v>
      </c>
      <c r="BF1576">
        <v>0</v>
      </c>
      <c r="BG1576">
        <v>162</v>
      </c>
      <c r="BH1576">
        <v>9.1</v>
      </c>
      <c r="BI1576">
        <v>9.1999999999999993</v>
      </c>
      <c r="BJ1576">
        <v>18.3</v>
      </c>
      <c r="BK1576">
        <v>0.34</v>
      </c>
      <c r="BL1576">
        <v>7.3</v>
      </c>
      <c r="BM1576">
        <v>0.9</v>
      </c>
      <c r="BN1576">
        <v>7.5</v>
      </c>
      <c r="BO1576">
        <v>2.9</v>
      </c>
      <c r="BP1576">
        <f t="shared" si="48"/>
        <v>2.2263798309417848</v>
      </c>
      <c r="BQ1576">
        <f t="shared" si="49"/>
        <v>10.510288264607517</v>
      </c>
    </row>
    <row r="1577" spans="1:69" hidden="1" x14ac:dyDescent="0.2">
      <c r="A1577" t="s">
        <v>1212</v>
      </c>
      <c r="B1577" t="s">
        <v>68</v>
      </c>
      <c r="C1577" t="s">
        <v>69</v>
      </c>
      <c r="D1577" t="s">
        <v>70</v>
      </c>
      <c r="E1577" t="s">
        <v>1167</v>
      </c>
      <c r="F1577">
        <v>4</v>
      </c>
      <c r="G1577">
        <v>168.71</v>
      </c>
      <c r="H1577">
        <v>3</v>
      </c>
      <c r="I1577">
        <v>5</v>
      </c>
      <c r="J1577">
        <v>2</v>
      </c>
      <c r="K1577" t="s">
        <v>110</v>
      </c>
      <c r="L1577" t="s">
        <v>133</v>
      </c>
      <c r="M1577" s="4">
        <v>1430000000</v>
      </c>
      <c r="N1577">
        <v>0</v>
      </c>
      <c r="O1577">
        <v>4.7049746509999997</v>
      </c>
      <c r="P1577">
        <v>-74.027709959999996</v>
      </c>
      <c r="Q1577" t="s">
        <v>1213</v>
      </c>
      <c r="R1577">
        <v>8476083.2200000007</v>
      </c>
      <c r="S1577">
        <v>0</v>
      </c>
      <c r="T1577" t="s">
        <v>104</v>
      </c>
      <c r="U1577" t="s">
        <v>105</v>
      </c>
      <c r="V1577" t="s">
        <v>77</v>
      </c>
      <c r="W1577" t="s">
        <v>104</v>
      </c>
      <c r="X1577" t="s">
        <v>106</v>
      </c>
      <c r="Y1577">
        <v>0.66950404996637902</v>
      </c>
      <c r="Z1577">
        <v>669.50404996637894</v>
      </c>
      <c r="AA1577">
        <v>4.71035</v>
      </c>
      <c r="AB1577">
        <v>-74.030416666666696</v>
      </c>
      <c r="AC1577">
        <v>2570</v>
      </c>
      <c r="AD1577">
        <v>10</v>
      </c>
      <c r="AE1577" t="s">
        <v>80</v>
      </c>
      <c r="AF1577" t="s">
        <v>107</v>
      </c>
      <c r="AG1577" t="s">
        <v>82</v>
      </c>
      <c r="AH1577" t="s">
        <v>83</v>
      </c>
      <c r="AI1577" t="s">
        <v>108</v>
      </c>
      <c r="AJ1577">
        <v>2.9401445382530502</v>
      </c>
      <c r="AK1577">
        <v>0.33840107815814102</v>
      </c>
      <c r="AL1577">
        <v>0.66315981351752595</v>
      </c>
      <c r="AM1577">
        <v>0.24245311227857699</v>
      </c>
      <c r="AN1577">
        <v>4.0420400300959001</v>
      </c>
      <c r="AO1577">
        <v>5.4263039758925102E-2</v>
      </c>
      <c r="AP1577">
        <v>5.4263039758925102E-2</v>
      </c>
      <c r="AQ1577">
        <v>0</v>
      </c>
      <c r="AR1577">
        <v>0</v>
      </c>
      <c r="AS1577">
        <v>9</v>
      </c>
      <c r="AT1577">
        <v>35</v>
      </c>
      <c r="AU1577">
        <v>2</v>
      </c>
      <c r="AV1577">
        <v>85</v>
      </c>
      <c r="AW1577">
        <v>0</v>
      </c>
      <c r="AX1577">
        <v>0</v>
      </c>
      <c r="AY1577">
        <v>15.5</v>
      </c>
      <c r="AZ1577">
        <v>2.4</v>
      </c>
      <c r="BA1577">
        <v>10.9</v>
      </c>
      <c r="BB1577">
        <v>564</v>
      </c>
      <c r="BC1577">
        <v>68</v>
      </c>
      <c r="BD1577">
        <v>1.5</v>
      </c>
      <c r="BE1577">
        <v>135</v>
      </c>
      <c r="BF1577">
        <v>0</v>
      </c>
      <c r="BG1577">
        <v>162</v>
      </c>
      <c r="BH1577">
        <v>9.1</v>
      </c>
      <c r="BI1577">
        <v>9.1999999999999993</v>
      </c>
      <c r="BJ1577">
        <v>18.3</v>
      </c>
      <c r="BK1577">
        <v>0.34</v>
      </c>
      <c r="BL1577">
        <v>7.3</v>
      </c>
      <c r="BM1577">
        <v>0.9</v>
      </c>
      <c r="BN1577">
        <v>7.5</v>
      </c>
      <c r="BO1577">
        <v>2.9</v>
      </c>
      <c r="BP1577">
        <f t="shared" si="48"/>
        <v>2.3217664269189968</v>
      </c>
      <c r="BQ1577">
        <f t="shared" si="49"/>
        <v>10.726257335649608</v>
      </c>
    </row>
    <row r="1578" spans="1:69" hidden="1" x14ac:dyDescent="0.2">
      <c r="A1578" t="s">
        <v>1428</v>
      </c>
      <c r="B1578" t="s">
        <v>68</v>
      </c>
      <c r="C1578" t="s">
        <v>69</v>
      </c>
      <c r="D1578" t="s">
        <v>70</v>
      </c>
      <c r="E1578" t="s">
        <v>1429</v>
      </c>
      <c r="F1578">
        <v>6</v>
      </c>
      <c r="G1578">
        <v>168</v>
      </c>
      <c r="H1578">
        <v>3</v>
      </c>
      <c r="I1578">
        <v>3</v>
      </c>
      <c r="J1578">
        <v>2</v>
      </c>
      <c r="K1578" t="s">
        <v>110</v>
      </c>
      <c r="L1578" t="s">
        <v>124</v>
      </c>
      <c r="M1578" s="4">
        <v>1300000000</v>
      </c>
      <c r="N1578">
        <v>0</v>
      </c>
      <c r="O1578">
        <v>4.6981644630000003</v>
      </c>
      <c r="P1578">
        <v>-74.05092621</v>
      </c>
      <c r="Q1578" t="s">
        <v>1430</v>
      </c>
      <c r="R1578">
        <v>7738095.2379999999</v>
      </c>
      <c r="S1578">
        <v>0</v>
      </c>
      <c r="T1578" t="s">
        <v>104</v>
      </c>
      <c r="U1578" t="s">
        <v>105</v>
      </c>
      <c r="V1578" t="s">
        <v>77</v>
      </c>
      <c r="W1578" t="s">
        <v>104</v>
      </c>
      <c r="X1578" t="s">
        <v>106</v>
      </c>
      <c r="Y1578">
        <v>2.6490750912704599</v>
      </c>
      <c r="Z1578">
        <v>2649.0750912704598</v>
      </c>
      <c r="AA1578">
        <v>4.71035</v>
      </c>
      <c r="AB1578">
        <v>-74.030416666666696</v>
      </c>
      <c r="AC1578">
        <v>2570</v>
      </c>
      <c r="AD1578">
        <v>10</v>
      </c>
      <c r="AE1578" t="s">
        <v>80</v>
      </c>
      <c r="AF1578" t="s">
        <v>107</v>
      </c>
      <c r="AG1578" t="s">
        <v>82</v>
      </c>
      <c r="AH1578" t="s">
        <v>83</v>
      </c>
      <c r="AI1578" t="s">
        <v>108</v>
      </c>
      <c r="AJ1578">
        <v>0.485950192016955</v>
      </c>
      <c r="AK1578">
        <v>2.70338374317098</v>
      </c>
      <c r="AL1578">
        <v>0.55136558605222397</v>
      </c>
      <c r="AM1578">
        <v>7.4202768215661699E-2</v>
      </c>
      <c r="AN1578">
        <v>4.3598991485024001</v>
      </c>
      <c r="AO1578">
        <v>0.344431958592337</v>
      </c>
      <c r="AP1578">
        <v>0.344431958592337</v>
      </c>
      <c r="AQ1578">
        <v>1</v>
      </c>
      <c r="AR1578">
        <v>3</v>
      </c>
      <c r="AS1578">
        <v>0</v>
      </c>
      <c r="AT1578">
        <v>0</v>
      </c>
      <c r="AU1578">
        <v>1</v>
      </c>
      <c r="AV1578">
        <v>194</v>
      </c>
      <c r="AW1578">
        <v>0</v>
      </c>
      <c r="AX1578">
        <v>0</v>
      </c>
      <c r="AY1578">
        <v>15.5</v>
      </c>
      <c r="AZ1578">
        <v>2.4</v>
      </c>
      <c r="BA1578">
        <v>10.9</v>
      </c>
      <c r="BB1578">
        <v>564</v>
      </c>
      <c r="BC1578">
        <v>68</v>
      </c>
      <c r="BD1578">
        <v>1.5</v>
      </c>
      <c r="BE1578">
        <v>135</v>
      </c>
      <c r="BF1578">
        <v>0</v>
      </c>
      <c r="BG1578">
        <v>162</v>
      </c>
      <c r="BH1578">
        <v>9.1</v>
      </c>
      <c r="BI1578">
        <v>9.1999999999999993</v>
      </c>
      <c r="BJ1578">
        <v>18.3</v>
      </c>
      <c r="BK1578">
        <v>0.34</v>
      </c>
      <c r="BL1578">
        <v>7.3</v>
      </c>
      <c r="BM1578">
        <v>0.9</v>
      </c>
      <c r="BN1578">
        <v>7.5</v>
      </c>
      <c r="BO1578">
        <v>2.9</v>
      </c>
      <c r="BP1578">
        <f t="shared" si="48"/>
        <v>2.1050506325984455</v>
      </c>
      <c r="BQ1578">
        <f t="shared" si="49"/>
        <v>10.228572064106555</v>
      </c>
    </row>
    <row r="1579" spans="1:69" hidden="1" x14ac:dyDescent="0.2">
      <c r="A1579" t="s">
        <v>1372</v>
      </c>
      <c r="B1579" t="s">
        <v>68</v>
      </c>
      <c r="C1579" t="s">
        <v>69</v>
      </c>
      <c r="D1579" t="s">
        <v>70</v>
      </c>
      <c r="E1579" t="s">
        <v>586</v>
      </c>
      <c r="F1579">
        <v>5</v>
      </c>
      <c r="G1579">
        <v>168</v>
      </c>
      <c r="H1579">
        <v>4</v>
      </c>
      <c r="I1579">
        <v>4</v>
      </c>
      <c r="J1579">
        <v>3</v>
      </c>
      <c r="K1579" t="s">
        <v>110</v>
      </c>
      <c r="L1579" t="s">
        <v>124</v>
      </c>
      <c r="M1579" s="4">
        <v>1760000000</v>
      </c>
      <c r="N1579">
        <v>0</v>
      </c>
      <c r="O1579">
        <v>4.7111377719999998</v>
      </c>
      <c r="P1579">
        <v>-74.048988339999994</v>
      </c>
      <c r="Q1579" t="s">
        <v>1373</v>
      </c>
      <c r="R1579">
        <v>10476190.48</v>
      </c>
      <c r="S1579">
        <v>0</v>
      </c>
      <c r="T1579" t="s">
        <v>104</v>
      </c>
      <c r="U1579" t="s">
        <v>105</v>
      </c>
      <c r="V1579" t="s">
        <v>77</v>
      </c>
      <c r="W1579" t="s">
        <v>104</v>
      </c>
      <c r="X1579" t="s">
        <v>106</v>
      </c>
      <c r="Y1579">
        <v>2.0622709538810602</v>
      </c>
      <c r="Z1579">
        <v>2062.27095388106</v>
      </c>
      <c r="AA1579">
        <v>4.71035</v>
      </c>
      <c r="AB1579">
        <v>-74.030416666666696</v>
      </c>
      <c r="AC1579">
        <v>2570</v>
      </c>
      <c r="AD1579">
        <v>10</v>
      </c>
      <c r="AE1579" t="s">
        <v>80</v>
      </c>
      <c r="AF1579" t="s">
        <v>107</v>
      </c>
      <c r="AG1579" t="s">
        <v>82</v>
      </c>
      <c r="AH1579" t="s">
        <v>83</v>
      </c>
      <c r="AI1579" t="s">
        <v>108</v>
      </c>
      <c r="AJ1579">
        <v>0.54733447544535596</v>
      </c>
      <c r="AK1579">
        <v>2.6600067683248101</v>
      </c>
      <c r="AL1579">
        <v>1.79781167158122</v>
      </c>
      <c r="AM1579">
        <v>0.31006017607719299</v>
      </c>
      <c r="AN1579">
        <v>4.16838379656987</v>
      </c>
      <c r="AO1579">
        <v>0.17659563010361901</v>
      </c>
      <c r="AP1579">
        <v>0.17659563010361901</v>
      </c>
      <c r="AQ1579">
        <v>0</v>
      </c>
      <c r="AR1579">
        <v>2</v>
      </c>
      <c r="AS1579">
        <v>0</v>
      </c>
      <c r="AT1579">
        <v>0</v>
      </c>
      <c r="AU1579">
        <v>0</v>
      </c>
      <c r="AV1579">
        <v>101</v>
      </c>
      <c r="AW1579">
        <v>0</v>
      </c>
      <c r="AX1579">
        <v>0</v>
      </c>
      <c r="AY1579">
        <v>15.5</v>
      </c>
      <c r="AZ1579">
        <v>2.4</v>
      </c>
      <c r="BA1579">
        <v>10.9</v>
      </c>
      <c r="BB1579">
        <v>564</v>
      </c>
      <c r="BC1579">
        <v>68</v>
      </c>
      <c r="BD1579">
        <v>1.5</v>
      </c>
      <c r="BE1579">
        <v>135</v>
      </c>
      <c r="BF1579">
        <v>0</v>
      </c>
      <c r="BG1579">
        <v>162</v>
      </c>
      <c r="BH1579">
        <v>9.1</v>
      </c>
      <c r="BI1579">
        <v>9.1999999999999993</v>
      </c>
      <c r="BJ1579">
        <v>18.3</v>
      </c>
      <c r="BK1579">
        <v>0.34</v>
      </c>
      <c r="BL1579">
        <v>7.3</v>
      </c>
      <c r="BM1579">
        <v>0.9</v>
      </c>
      <c r="BN1579">
        <v>7.5</v>
      </c>
      <c r="BO1579">
        <v>2.9</v>
      </c>
      <c r="BP1579">
        <f t="shared" si="48"/>
        <v>2.1670923217629783</v>
      </c>
      <c r="BQ1579">
        <f t="shared" si="49"/>
        <v>10.37364324855611</v>
      </c>
    </row>
    <row r="1580" spans="1:69" hidden="1" x14ac:dyDescent="0.2">
      <c r="A1580" t="s">
        <v>487</v>
      </c>
      <c r="B1580" t="s">
        <v>68</v>
      </c>
      <c r="C1580" t="s">
        <v>69</v>
      </c>
      <c r="D1580" t="s">
        <v>70</v>
      </c>
      <c r="E1580" t="s">
        <v>468</v>
      </c>
      <c r="F1580">
        <v>6</v>
      </c>
      <c r="G1580">
        <v>167</v>
      </c>
      <c r="H1580">
        <v>3</v>
      </c>
      <c r="I1580">
        <v>3</v>
      </c>
      <c r="J1580">
        <v>1</v>
      </c>
      <c r="K1580" t="s">
        <v>110</v>
      </c>
      <c r="L1580" t="s">
        <v>162</v>
      </c>
      <c r="M1580" s="4">
        <v>880000000</v>
      </c>
      <c r="N1580">
        <v>0</v>
      </c>
      <c r="O1580">
        <v>4.6874880790000004</v>
      </c>
      <c r="P1580">
        <v>-74.054534910000001</v>
      </c>
      <c r="Q1580" t="s">
        <v>488</v>
      </c>
      <c r="R1580">
        <v>5269461.0779999997</v>
      </c>
      <c r="S1580">
        <v>0</v>
      </c>
      <c r="T1580" t="s">
        <v>104</v>
      </c>
      <c r="U1580" t="s">
        <v>105</v>
      </c>
      <c r="V1580" t="s">
        <v>77</v>
      </c>
      <c r="W1580" t="s">
        <v>104</v>
      </c>
      <c r="X1580" t="s">
        <v>106</v>
      </c>
      <c r="Y1580">
        <v>3.69281074870857</v>
      </c>
      <c r="Z1580">
        <v>3692.8107487085699</v>
      </c>
      <c r="AA1580">
        <v>4.71035</v>
      </c>
      <c r="AB1580">
        <v>-74.030416666666696</v>
      </c>
      <c r="AC1580">
        <v>2570</v>
      </c>
      <c r="AD1580">
        <v>10</v>
      </c>
      <c r="AE1580" t="s">
        <v>80</v>
      </c>
      <c r="AF1580" t="s">
        <v>107</v>
      </c>
      <c r="AG1580" t="s">
        <v>82</v>
      </c>
      <c r="AH1580" t="s">
        <v>83</v>
      </c>
      <c r="AI1580" t="s">
        <v>108</v>
      </c>
      <c r="AJ1580">
        <v>0.52635650746811502</v>
      </c>
      <c r="AK1580">
        <v>2.2325653579127702</v>
      </c>
      <c r="AL1580">
        <v>0.27047910090509297</v>
      </c>
      <c r="AM1580">
        <v>7.8194798553494593E-2</v>
      </c>
      <c r="AN1580">
        <v>3.38605729377075</v>
      </c>
      <c r="AO1580">
        <v>0.59026169343788404</v>
      </c>
      <c r="AP1580">
        <v>0.59026169343788404</v>
      </c>
      <c r="AQ1580">
        <v>0</v>
      </c>
      <c r="AR1580">
        <v>2</v>
      </c>
      <c r="AS1580">
        <v>0</v>
      </c>
      <c r="AT1580">
        <v>0</v>
      </c>
      <c r="AU1580">
        <v>5</v>
      </c>
      <c r="AV1580">
        <v>232</v>
      </c>
      <c r="AW1580">
        <v>0</v>
      </c>
      <c r="AX1580">
        <v>0</v>
      </c>
      <c r="AY1580">
        <v>15.5</v>
      </c>
      <c r="AZ1580">
        <v>2.4</v>
      </c>
      <c r="BA1580">
        <v>10.9</v>
      </c>
      <c r="BB1580">
        <v>564</v>
      </c>
      <c r="BC1580">
        <v>68</v>
      </c>
      <c r="BD1580">
        <v>1.5</v>
      </c>
      <c r="BE1580">
        <v>135</v>
      </c>
      <c r="BF1580">
        <v>0</v>
      </c>
      <c r="BG1580">
        <v>162</v>
      </c>
      <c r="BH1580">
        <v>9.1</v>
      </c>
      <c r="BI1580">
        <v>9.1999999999999993</v>
      </c>
      <c r="BJ1580">
        <v>18.3</v>
      </c>
      <c r="BK1580">
        <v>0.34</v>
      </c>
      <c r="BL1580">
        <v>7.3</v>
      </c>
      <c r="BM1580">
        <v>0.9</v>
      </c>
      <c r="BN1580">
        <v>7.5</v>
      </c>
      <c r="BO1580">
        <v>2.9</v>
      </c>
      <c r="BP1580">
        <f t="shared" si="48"/>
        <v>1.9990550727579683</v>
      </c>
      <c r="BQ1580">
        <f t="shared" si="49"/>
        <v>9.9755323648950274</v>
      </c>
    </row>
    <row r="1581" spans="1:69" hidden="1" x14ac:dyDescent="0.2">
      <c r="A1581" t="s">
        <v>1692</v>
      </c>
      <c r="B1581" t="s">
        <v>68</v>
      </c>
      <c r="C1581" t="s">
        <v>69</v>
      </c>
      <c r="D1581" t="s">
        <v>70</v>
      </c>
      <c r="E1581" t="s">
        <v>235</v>
      </c>
      <c r="F1581">
        <v>6</v>
      </c>
      <c r="G1581">
        <v>167</v>
      </c>
      <c r="H1581">
        <v>3</v>
      </c>
      <c r="I1581">
        <v>3</v>
      </c>
      <c r="J1581">
        <v>2</v>
      </c>
      <c r="K1581" t="s">
        <v>110</v>
      </c>
      <c r="L1581" t="s">
        <v>124</v>
      </c>
      <c r="M1581" s="4">
        <v>1350000000</v>
      </c>
      <c r="N1581">
        <v>0</v>
      </c>
      <c r="O1581">
        <v>4.7052300000000002</v>
      </c>
      <c r="P1581">
        <v>-74.044569999999993</v>
      </c>
      <c r="Q1581" t="s">
        <v>1693</v>
      </c>
      <c r="R1581">
        <v>8083832.335</v>
      </c>
      <c r="S1581">
        <v>0</v>
      </c>
      <c r="T1581" t="s">
        <v>104</v>
      </c>
      <c r="U1581" t="s">
        <v>105</v>
      </c>
      <c r="V1581" t="s">
        <v>77</v>
      </c>
      <c r="W1581" t="s">
        <v>104</v>
      </c>
      <c r="X1581" t="s">
        <v>106</v>
      </c>
      <c r="Y1581">
        <v>1.6704671233866</v>
      </c>
      <c r="Z1581">
        <v>1670.4671233866</v>
      </c>
      <c r="AA1581">
        <v>4.71035</v>
      </c>
      <c r="AB1581">
        <v>-74.030416666666696</v>
      </c>
      <c r="AC1581">
        <v>2570</v>
      </c>
      <c r="AD1581">
        <v>10</v>
      </c>
      <c r="AE1581" t="s">
        <v>80</v>
      </c>
      <c r="AF1581" t="s">
        <v>107</v>
      </c>
      <c r="AG1581" t="s">
        <v>82</v>
      </c>
      <c r="AH1581" t="s">
        <v>83</v>
      </c>
      <c r="AI1581" t="s">
        <v>108</v>
      </c>
      <c r="AJ1581">
        <v>1.0725190863846299</v>
      </c>
      <c r="AK1581">
        <v>2.1320884538753999</v>
      </c>
      <c r="AL1581">
        <v>1.40962425513856</v>
      </c>
      <c r="AM1581">
        <v>0.151773865502349</v>
      </c>
      <c r="AN1581">
        <v>4.4733303838415699</v>
      </c>
      <c r="AO1581">
        <v>0.42843138808178399</v>
      </c>
      <c r="AP1581">
        <v>0.42843138808178399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147</v>
      </c>
      <c r="AW1581">
        <v>0</v>
      </c>
      <c r="AX1581">
        <v>0</v>
      </c>
      <c r="AY1581">
        <v>15.5</v>
      </c>
      <c r="AZ1581">
        <v>2.4</v>
      </c>
      <c r="BA1581">
        <v>10.9</v>
      </c>
      <c r="BB1581">
        <v>564</v>
      </c>
      <c r="BC1581">
        <v>68</v>
      </c>
      <c r="BD1581">
        <v>1.5</v>
      </c>
      <c r="BE1581">
        <v>135</v>
      </c>
      <c r="BF1581">
        <v>0</v>
      </c>
      <c r="BG1581">
        <v>162</v>
      </c>
      <c r="BH1581">
        <v>9.1</v>
      </c>
      <c r="BI1581">
        <v>9.1999999999999993</v>
      </c>
      <c r="BJ1581">
        <v>18.3</v>
      </c>
      <c r="BK1581">
        <v>0.34</v>
      </c>
      <c r="BL1581">
        <v>7.3</v>
      </c>
      <c r="BM1581">
        <v>0.9</v>
      </c>
      <c r="BN1581">
        <v>7.5</v>
      </c>
      <c r="BO1581">
        <v>2.9</v>
      </c>
      <c r="BP1581">
        <f t="shared" si="48"/>
        <v>2.2095317488818313</v>
      </c>
      <c r="BQ1581">
        <f t="shared" si="49"/>
        <v>10.47164971396329</v>
      </c>
    </row>
    <row r="1582" spans="1:69" hidden="1" x14ac:dyDescent="0.2">
      <c r="A1582" t="s">
        <v>1598</v>
      </c>
      <c r="B1582" t="s">
        <v>68</v>
      </c>
      <c r="C1582" t="s">
        <v>69</v>
      </c>
      <c r="D1582" t="s">
        <v>70</v>
      </c>
      <c r="E1582" t="s">
        <v>337</v>
      </c>
      <c r="F1582">
        <v>6</v>
      </c>
      <c r="G1582">
        <v>165.4</v>
      </c>
      <c r="H1582">
        <v>3</v>
      </c>
      <c r="I1582">
        <v>3</v>
      </c>
      <c r="J1582">
        <v>2</v>
      </c>
      <c r="K1582" t="s">
        <v>110</v>
      </c>
      <c r="L1582" t="s">
        <v>124</v>
      </c>
      <c r="M1582" s="4">
        <v>1580000000</v>
      </c>
      <c r="N1582">
        <v>0</v>
      </c>
      <c r="O1582">
        <v>4.7022342679999998</v>
      </c>
      <c r="P1582">
        <v>-74.046035770000003</v>
      </c>
      <c r="Q1582" t="s">
        <v>1599</v>
      </c>
      <c r="R1582">
        <v>9552599.7579999994</v>
      </c>
      <c r="S1582">
        <v>0</v>
      </c>
      <c r="T1582" t="s">
        <v>104</v>
      </c>
      <c r="U1582" t="s">
        <v>105</v>
      </c>
      <c r="V1582" t="s">
        <v>77</v>
      </c>
      <c r="W1582" t="s">
        <v>104</v>
      </c>
      <c r="X1582" t="s">
        <v>106</v>
      </c>
      <c r="Y1582">
        <v>1.95421742554672</v>
      </c>
      <c r="Z1582">
        <v>1954.2174255467201</v>
      </c>
      <c r="AA1582">
        <v>4.71035</v>
      </c>
      <c r="AB1582">
        <v>-74.030416666666696</v>
      </c>
      <c r="AC1582">
        <v>2570</v>
      </c>
      <c r="AD1582">
        <v>10</v>
      </c>
      <c r="AE1582" t="s">
        <v>80</v>
      </c>
      <c r="AF1582" t="s">
        <v>107</v>
      </c>
      <c r="AG1582" t="s">
        <v>82</v>
      </c>
      <c r="AH1582" t="s">
        <v>83</v>
      </c>
      <c r="AI1582" t="s">
        <v>108</v>
      </c>
      <c r="AJ1582">
        <v>0.94612520408614498</v>
      </c>
      <c r="AK1582">
        <v>2.2606120531348899</v>
      </c>
      <c r="AL1582">
        <v>1.0748034964586</v>
      </c>
      <c r="AM1582">
        <v>8.42126418341477E-2</v>
      </c>
      <c r="AN1582">
        <v>4.8421329089681304</v>
      </c>
      <c r="AO1582">
        <v>0.106998331846606</v>
      </c>
      <c r="AP1582">
        <v>0.106998331846606</v>
      </c>
      <c r="AQ1582">
        <v>0</v>
      </c>
      <c r="AR1582">
        <v>1</v>
      </c>
      <c r="AS1582">
        <v>0</v>
      </c>
      <c r="AT1582">
        <v>0</v>
      </c>
      <c r="AU1582">
        <v>0</v>
      </c>
      <c r="AV1582">
        <v>176</v>
      </c>
      <c r="AW1582">
        <v>0</v>
      </c>
      <c r="AX1582">
        <v>0</v>
      </c>
      <c r="AY1582">
        <v>15.5</v>
      </c>
      <c r="AZ1582">
        <v>2.4</v>
      </c>
      <c r="BA1582">
        <v>10.9</v>
      </c>
      <c r="BB1582">
        <v>564</v>
      </c>
      <c r="BC1582">
        <v>68</v>
      </c>
      <c r="BD1582">
        <v>1.5</v>
      </c>
      <c r="BE1582">
        <v>135</v>
      </c>
      <c r="BF1582">
        <v>0</v>
      </c>
      <c r="BG1582">
        <v>162</v>
      </c>
      <c r="BH1582">
        <v>9.1</v>
      </c>
      <c r="BI1582">
        <v>9.1999999999999993</v>
      </c>
      <c r="BJ1582">
        <v>18.3</v>
      </c>
      <c r="BK1582">
        <v>0.34</v>
      </c>
      <c r="BL1582">
        <v>7.3</v>
      </c>
      <c r="BM1582">
        <v>0.9</v>
      </c>
      <c r="BN1582">
        <v>7.5</v>
      </c>
      <c r="BO1582">
        <v>2.9</v>
      </c>
      <c r="BP1582">
        <f t="shared" si="48"/>
        <v>2.1787143928429855</v>
      </c>
      <c r="BQ1582">
        <f t="shared" si="49"/>
        <v>10.400579970867209</v>
      </c>
    </row>
    <row r="1583" spans="1:69" hidden="1" x14ac:dyDescent="0.2">
      <c r="A1583" t="s">
        <v>374</v>
      </c>
      <c r="B1583" t="s">
        <v>68</v>
      </c>
      <c r="C1583" t="s">
        <v>69</v>
      </c>
      <c r="D1583" t="s">
        <v>70</v>
      </c>
      <c r="E1583" t="s">
        <v>375</v>
      </c>
      <c r="F1583">
        <v>6</v>
      </c>
      <c r="G1583">
        <v>164.05</v>
      </c>
      <c r="H1583">
        <v>3</v>
      </c>
      <c r="I1583">
        <v>2</v>
      </c>
      <c r="J1583">
        <v>4</v>
      </c>
      <c r="K1583" t="s">
        <v>110</v>
      </c>
      <c r="L1583" t="s">
        <v>162</v>
      </c>
      <c r="M1583" s="4">
        <v>1155000000</v>
      </c>
      <c r="N1583">
        <v>0</v>
      </c>
      <c r="O1583">
        <v>4.6891369999999997</v>
      </c>
      <c r="P1583">
        <v>-74.043005899999997</v>
      </c>
      <c r="Q1583" t="s">
        <v>376</v>
      </c>
      <c r="R1583">
        <v>7040536.4220000003</v>
      </c>
      <c r="S1583">
        <v>0</v>
      </c>
      <c r="T1583" t="s">
        <v>104</v>
      </c>
      <c r="U1583" t="s">
        <v>105</v>
      </c>
      <c r="V1583" t="s">
        <v>77</v>
      </c>
      <c r="W1583" t="s">
        <v>104</v>
      </c>
      <c r="X1583" t="s">
        <v>106</v>
      </c>
      <c r="Y1583">
        <v>2.7435595781936</v>
      </c>
      <c r="Z1583">
        <v>2743.5595781935999</v>
      </c>
      <c r="AA1583">
        <v>4.71035</v>
      </c>
      <c r="AB1583">
        <v>-74.030416666666696</v>
      </c>
      <c r="AC1583">
        <v>2570</v>
      </c>
      <c r="AD1583">
        <v>10</v>
      </c>
      <c r="AE1583" t="s">
        <v>80</v>
      </c>
      <c r="AF1583" t="s">
        <v>107</v>
      </c>
      <c r="AG1583" t="s">
        <v>82</v>
      </c>
      <c r="AH1583" t="s">
        <v>83</v>
      </c>
      <c r="AI1583" t="s">
        <v>108</v>
      </c>
      <c r="AJ1583">
        <v>1.5215556755117099</v>
      </c>
      <c r="AK1583">
        <v>1.37996449921632</v>
      </c>
      <c r="AL1583">
        <v>0.85269684518358102</v>
      </c>
      <c r="AM1583">
        <v>0.15482689729106999</v>
      </c>
      <c r="AN1583">
        <v>4.6292950736595904</v>
      </c>
      <c r="AO1583">
        <v>6.3984885124611004E-3</v>
      </c>
      <c r="AP1583">
        <v>6.3984885124611004E-3</v>
      </c>
      <c r="AQ1583">
        <v>0</v>
      </c>
      <c r="AR1583">
        <v>0</v>
      </c>
      <c r="AS1583">
        <v>0</v>
      </c>
      <c r="AT1583">
        <v>0</v>
      </c>
      <c r="AU1583">
        <v>5</v>
      </c>
      <c r="AV1583">
        <v>102</v>
      </c>
      <c r="AW1583">
        <v>0</v>
      </c>
      <c r="AX1583">
        <v>0</v>
      </c>
      <c r="AY1583">
        <v>15.5</v>
      </c>
      <c r="AZ1583">
        <v>2.4</v>
      </c>
      <c r="BA1583">
        <v>10.9</v>
      </c>
      <c r="BB1583">
        <v>564</v>
      </c>
      <c r="BC1583">
        <v>68</v>
      </c>
      <c r="BD1583">
        <v>1.5</v>
      </c>
      <c r="BE1583">
        <v>135</v>
      </c>
      <c r="BF1583">
        <v>0</v>
      </c>
      <c r="BG1583">
        <v>162</v>
      </c>
      <c r="BH1583">
        <v>9.1</v>
      </c>
      <c r="BI1583">
        <v>9.1999999999999993</v>
      </c>
      <c r="BJ1583">
        <v>18.3</v>
      </c>
      <c r="BK1583">
        <v>0.34</v>
      </c>
      <c r="BL1583">
        <v>7.3</v>
      </c>
      <c r="BM1583">
        <v>0.9</v>
      </c>
      <c r="BN1583">
        <v>7.5</v>
      </c>
      <c r="BO1583">
        <v>2.9</v>
      </c>
      <c r="BP1583">
        <f t="shared" si="48"/>
        <v>2.0952283357223989</v>
      </c>
      <c r="BQ1583">
        <f t="shared" si="49"/>
        <v>10.205403749387983</v>
      </c>
    </row>
    <row r="1584" spans="1:69" hidden="1" x14ac:dyDescent="0.2">
      <c r="A1584" t="s">
        <v>248</v>
      </c>
      <c r="B1584" t="s">
        <v>68</v>
      </c>
      <c r="C1584" t="s">
        <v>69</v>
      </c>
      <c r="D1584" t="s">
        <v>70</v>
      </c>
      <c r="E1584" t="s">
        <v>196</v>
      </c>
      <c r="F1584">
        <v>6</v>
      </c>
      <c r="G1584">
        <v>164</v>
      </c>
      <c r="H1584">
        <v>3</v>
      </c>
      <c r="I1584">
        <v>4</v>
      </c>
      <c r="J1584">
        <v>2</v>
      </c>
      <c r="K1584" t="s">
        <v>110</v>
      </c>
      <c r="L1584" t="s">
        <v>133</v>
      </c>
      <c r="M1584" s="4">
        <v>2100000000</v>
      </c>
      <c r="N1584">
        <v>0</v>
      </c>
      <c r="O1584">
        <v>4.6790895460000002</v>
      </c>
      <c r="P1584">
        <v>-74.042472840000002</v>
      </c>
      <c r="Q1584" t="s">
        <v>249</v>
      </c>
      <c r="R1584">
        <v>12804878.050000001</v>
      </c>
      <c r="S1584">
        <v>0</v>
      </c>
      <c r="T1584" t="s">
        <v>104</v>
      </c>
      <c r="U1584" t="s">
        <v>105</v>
      </c>
      <c r="V1584" t="s">
        <v>77</v>
      </c>
      <c r="W1584" t="s">
        <v>104</v>
      </c>
      <c r="X1584" t="s">
        <v>106</v>
      </c>
      <c r="Y1584">
        <v>3.7281121927329499</v>
      </c>
      <c r="Z1584">
        <v>3728.11219273295</v>
      </c>
      <c r="AA1584">
        <v>4.71035</v>
      </c>
      <c r="AB1584">
        <v>-74.030416666666696</v>
      </c>
      <c r="AC1584">
        <v>2570</v>
      </c>
      <c r="AD1584">
        <v>10</v>
      </c>
      <c r="AE1584" t="s">
        <v>80</v>
      </c>
      <c r="AF1584" t="s">
        <v>107</v>
      </c>
      <c r="AG1584" t="s">
        <v>82</v>
      </c>
      <c r="AH1584" t="s">
        <v>83</v>
      </c>
      <c r="AI1584" t="s">
        <v>130</v>
      </c>
      <c r="AJ1584">
        <v>1.77305697017486</v>
      </c>
      <c r="AK1584">
        <v>0.625637225004127</v>
      </c>
      <c r="AL1584">
        <v>0.51263436416497599</v>
      </c>
      <c r="AM1584">
        <v>0.157404651282081</v>
      </c>
      <c r="AN1584">
        <v>4.4062817542903696</v>
      </c>
      <c r="AO1584">
        <v>0.93393194809634394</v>
      </c>
      <c r="AP1584">
        <v>0.93393194809634394</v>
      </c>
      <c r="AQ1584">
        <v>0</v>
      </c>
      <c r="AR1584">
        <v>0</v>
      </c>
      <c r="AS1584">
        <v>0</v>
      </c>
      <c r="AT1584">
        <v>6</v>
      </c>
      <c r="AU1584">
        <v>3</v>
      </c>
      <c r="AV1584">
        <v>78</v>
      </c>
      <c r="AW1584">
        <v>0</v>
      </c>
      <c r="AX1584">
        <v>0</v>
      </c>
      <c r="AY1584">
        <v>15.5</v>
      </c>
      <c r="AZ1584">
        <v>2.4</v>
      </c>
      <c r="BA1584">
        <v>10.9</v>
      </c>
      <c r="BB1584">
        <v>564</v>
      </c>
      <c r="BC1584">
        <v>68</v>
      </c>
      <c r="BD1584">
        <v>1.5</v>
      </c>
      <c r="BE1584">
        <v>135</v>
      </c>
      <c r="BF1584">
        <v>0</v>
      </c>
      <c r="BG1584">
        <v>162</v>
      </c>
      <c r="BH1584">
        <v>9.1</v>
      </c>
      <c r="BI1584">
        <v>9.1999999999999993</v>
      </c>
      <c r="BJ1584">
        <v>18.3</v>
      </c>
      <c r="BK1584">
        <v>0.34</v>
      </c>
      <c r="BL1584">
        <v>7.3</v>
      </c>
      <c r="BM1584">
        <v>0.9</v>
      </c>
      <c r="BN1584">
        <v>7.5</v>
      </c>
      <c r="BO1584">
        <v>2.9</v>
      </c>
      <c r="BP1584">
        <f t="shared" si="48"/>
        <v>1.995564931247924</v>
      </c>
      <c r="BQ1584">
        <f t="shared" si="49"/>
        <v>9.9670843273980143</v>
      </c>
    </row>
    <row r="1585" spans="1:69" hidden="1" x14ac:dyDescent="0.2">
      <c r="A1585" t="s">
        <v>1377</v>
      </c>
      <c r="B1585" t="s">
        <v>68</v>
      </c>
      <c r="C1585" t="s">
        <v>69</v>
      </c>
      <c r="D1585" t="s">
        <v>70</v>
      </c>
      <c r="E1585" t="s">
        <v>468</v>
      </c>
      <c r="F1585">
        <v>6</v>
      </c>
      <c r="G1585">
        <v>164</v>
      </c>
      <c r="H1585">
        <v>3</v>
      </c>
      <c r="I1585">
        <v>5</v>
      </c>
      <c r="J1585">
        <v>3</v>
      </c>
      <c r="K1585" t="s">
        <v>110</v>
      </c>
      <c r="L1585" t="s">
        <v>162</v>
      </c>
      <c r="M1585" s="4">
        <v>995000000</v>
      </c>
      <c r="N1585">
        <v>0</v>
      </c>
      <c r="O1585">
        <v>4.6909670830000003</v>
      </c>
      <c r="P1585">
        <v>-74.054092409999996</v>
      </c>
      <c r="Q1585" t="s">
        <v>1378</v>
      </c>
      <c r="R1585">
        <v>6067073.1710000001</v>
      </c>
      <c r="S1585">
        <v>0</v>
      </c>
      <c r="T1585" t="s">
        <v>104</v>
      </c>
      <c r="U1585" t="s">
        <v>105</v>
      </c>
      <c r="V1585" t="s">
        <v>77</v>
      </c>
      <c r="W1585" t="s">
        <v>104</v>
      </c>
      <c r="X1585" t="s">
        <v>106</v>
      </c>
      <c r="Y1585">
        <v>3.3993002995377202</v>
      </c>
      <c r="Z1585">
        <v>3399.3002995377201</v>
      </c>
      <c r="AA1585">
        <v>4.71035</v>
      </c>
      <c r="AB1585">
        <v>-74.030416666666696</v>
      </c>
      <c r="AC1585">
        <v>2570</v>
      </c>
      <c r="AD1585">
        <v>10</v>
      </c>
      <c r="AE1585" t="s">
        <v>80</v>
      </c>
      <c r="AF1585" t="s">
        <v>107</v>
      </c>
      <c r="AG1585" t="s">
        <v>82</v>
      </c>
      <c r="AH1585" t="s">
        <v>83</v>
      </c>
      <c r="AI1585" t="s">
        <v>108</v>
      </c>
      <c r="AJ1585">
        <v>0.32142779162507201</v>
      </c>
      <c r="AK1585">
        <v>2.40026520413261</v>
      </c>
      <c r="AL1585">
        <v>0.48392689249353799</v>
      </c>
      <c r="AM1585">
        <v>6.2769506525338206E-2</v>
      </c>
      <c r="AN1585">
        <v>3.61594624219078</v>
      </c>
      <c r="AO1585">
        <v>0.25873299376519798</v>
      </c>
      <c r="AP1585">
        <v>0.25873299376519798</v>
      </c>
      <c r="AQ1585">
        <v>1</v>
      </c>
      <c r="AR1585">
        <v>3</v>
      </c>
      <c r="AS1585">
        <v>0</v>
      </c>
      <c r="AT1585">
        <v>0</v>
      </c>
      <c r="AU1585">
        <v>5</v>
      </c>
      <c r="AV1585">
        <v>189</v>
      </c>
      <c r="AW1585">
        <v>0</v>
      </c>
      <c r="AX1585">
        <v>0</v>
      </c>
      <c r="AY1585">
        <v>15.5</v>
      </c>
      <c r="AZ1585">
        <v>2.4</v>
      </c>
      <c r="BA1585">
        <v>10.9</v>
      </c>
      <c r="BB1585">
        <v>564</v>
      </c>
      <c r="BC1585">
        <v>68</v>
      </c>
      <c r="BD1585">
        <v>1.5</v>
      </c>
      <c r="BE1585">
        <v>135</v>
      </c>
      <c r="BF1585">
        <v>0</v>
      </c>
      <c r="BG1585">
        <v>162</v>
      </c>
      <c r="BH1585">
        <v>9.1</v>
      </c>
      <c r="BI1585">
        <v>9.1999999999999993</v>
      </c>
      <c r="BJ1585">
        <v>18.3</v>
      </c>
      <c r="BK1585">
        <v>0.34</v>
      </c>
      <c r="BL1585">
        <v>7.3</v>
      </c>
      <c r="BM1585">
        <v>0.9</v>
      </c>
      <c r="BN1585">
        <v>7.5</v>
      </c>
      <c r="BO1585">
        <v>2.9</v>
      </c>
      <c r="BP1585">
        <f t="shared" si="48"/>
        <v>2.0283108894530471</v>
      </c>
      <c r="BQ1585">
        <f t="shared" si="49"/>
        <v>10.046050598999868</v>
      </c>
    </row>
    <row r="1586" spans="1:69" hidden="1" x14ac:dyDescent="0.2">
      <c r="A1586" t="s">
        <v>1490</v>
      </c>
      <c r="B1586" t="s">
        <v>68</v>
      </c>
      <c r="C1586" t="s">
        <v>69</v>
      </c>
      <c r="D1586" t="s">
        <v>70</v>
      </c>
      <c r="E1586" t="s">
        <v>190</v>
      </c>
      <c r="F1586">
        <v>6</v>
      </c>
      <c r="G1586">
        <v>164</v>
      </c>
      <c r="H1586">
        <v>2</v>
      </c>
      <c r="I1586">
        <v>3</v>
      </c>
      <c r="J1586">
        <v>2</v>
      </c>
      <c r="K1586" t="s">
        <v>110</v>
      </c>
      <c r="L1586" t="s">
        <v>162</v>
      </c>
      <c r="M1586" s="4">
        <v>970000000</v>
      </c>
      <c r="N1586">
        <v>0</v>
      </c>
      <c r="O1586">
        <v>4.6860599519999999</v>
      </c>
      <c r="P1586">
        <v>-74.043495179999994</v>
      </c>
      <c r="Q1586" t="s">
        <v>1491</v>
      </c>
      <c r="R1586">
        <v>5914634.1459999997</v>
      </c>
      <c r="S1586">
        <v>0</v>
      </c>
      <c r="T1586" t="s">
        <v>104</v>
      </c>
      <c r="U1586" t="s">
        <v>105</v>
      </c>
      <c r="V1586" t="s">
        <v>77</v>
      </c>
      <c r="W1586" t="s">
        <v>104</v>
      </c>
      <c r="X1586" t="s">
        <v>106</v>
      </c>
      <c r="Y1586">
        <v>3.06867762550629</v>
      </c>
      <c r="Z1586">
        <v>3068.67762550629</v>
      </c>
      <c r="AA1586">
        <v>4.71035</v>
      </c>
      <c r="AB1586">
        <v>-74.030416666666696</v>
      </c>
      <c r="AC1586">
        <v>2570</v>
      </c>
      <c r="AD1586">
        <v>10</v>
      </c>
      <c r="AE1586" t="s">
        <v>80</v>
      </c>
      <c r="AF1586" t="s">
        <v>107</v>
      </c>
      <c r="AG1586" t="s">
        <v>82</v>
      </c>
      <c r="AH1586" t="s">
        <v>83</v>
      </c>
      <c r="AI1586" t="s">
        <v>108</v>
      </c>
      <c r="AJ1586">
        <v>1.5935536689513199</v>
      </c>
      <c r="AK1586">
        <v>1.15229402362426</v>
      </c>
      <c r="AL1586">
        <v>0.62065574316313399</v>
      </c>
      <c r="AM1586">
        <v>0.111593395607677</v>
      </c>
      <c r="AN1586">
        <v>4.4642734081536801</v>
      </c>
      <c r="AO1586">
        <v>0.30025589754862397</v>
      </c>
      <c r="AP1586">
        <v>0.30025589754862397</v>
      </c>
      <c r="AQ1586">
        <v>0</v>
      </c>
      <c r="AR1586">
        <v>0</v>
      </c>
      <c r="AS1586">
        <v>0</v>
      </c>
      <c r="AT1586">
        <v>0</v>
      </c>
      <c r="AU1586">
        <v>6</v>
      </c>
      <c r="AV1586">
        <v>108</v>
      </c>
      <c r="AW1586">
        <v>0</v>
      </c>
      <c r="AX1586">
        <v>0</v>
      </c>
      <c r="AY1586">
        <v>15.5</v>
      </c>
      <c r="AZ1586">
        <v>2.4</v>
      </c>
      <c r="BA1586">
        <v>10.9</v>
      </c>
      <c r="BB1586">
        <v>564</v>
      </c>
      <c r="BC1586">
        <v>68</v>
      </c>
      <c r="BD1586">
        <v>1.5</v>
      </c>
      <c r="BE1586">
        <v>135</v>
      </c>
      <c r="BF1586">
        <v>0</v>
      </c>
      <c r="BG1586">
        <v>162</v>
      </c>
      <c r="BH1586">
        <v>9.1</v>
      </c>
      <c r="BI1586">
        <v>9.1999999999999993</v>
      </c>
      <c r="BJ1586">
        <v>18.3</v>
      </c>
      <c r="BK1586">
        <v>0.34</v>
      </c>
      <c r="BL1586">
        <v>7.3</v>
      </c>
      <c r="BM1586">
        <v>0.9</v>
      </c>
      <c r="BN1586">
        <v>7.5</v>
      </c>
      <c r="BO1586">
        <v>2.9</v>
      </c>
      <c r="BP1586">
        <f t="shared" si="48"/>
        <v>2.0617789846151369</v>
      </c>
      <c r="BQ1586">
        <f t="shared" si="49"/>
        <v>10.126082554325894</v>
      </c>
    </row>
    <row r="1587" spans="1:69" hidden="1" x14ac:dyDescent="0.2">
      <c r="A1587" t="s">
        <v>902</v>
      </c>
      <c r="B1587" t="s">
        <v>68</v>
      </c>
      <c r="C1587" t="s">
        <v>69</v>
      </c>
      <c r="D1587" t="s">
        <v>70</v>
      </c>
      <c r="E1587" t="s">
        <v>196</v>
      </c>
      <c r="F1587">
        <v>6</v>
      </c>
      <c r="G1587">
        <v>163.69999999999999</v>
      </c>
      <c r="H1587">
        <v>2</v>
      </c>
      <c r="I1587">
        <v>2</v>
      </c>
      <c r="J1587">
        <v>2</v>
      </c>
      <c r="K1587" t="s">
        <v>110</v>
      </c>
      <c r="L1587" t="s">
        <v>162</v>
      </c>
      <c r="M1587" s="4">
        <v>949000000</v>
      </c>
      <c r="N1587">
        <v>0</v>
      </c>
      <c r="O1587">
        <v>4.6787996290000002</v>
      </c>
      <c r="P1587">
        <v>-74.045089719999993</v>
      </c>
      <c r="Q1587" t="s">
        <v>903</v>
      </c>
      <c r="R1587">
        <v>5797189.9819999998</v>
      </c>
      <c r="S1587">
        <v>0</v>
      </c>
      <c r="T1587" t="s">
        <v>104</v>
      </c>
      <c r="U1587" t="s">
        <v>105</v>
      </c>
      <c r="V1587" t="s">
        <v>77</v>
      </c>
      <c r="W1587" t="s">
        <v>104</v>
      </c>
      <c r="X1587" t="s">
        <v>106</v>
      </c>
      <c r="Y1587">
        <v>3.87110584947902</v>
      </c>
      <c r="Z1587">
        <v>3871.10584947902</v>
      </c>
      <c r="AA1587">
        <v>4.71035</v>
      </c>
      <c r="AB1587">
        <v>-74.030416666666696</v>
      </c>
      <c r="AC1587">
        <v>2570</v>
      </c>
      <c r="AD1587">
        <v>10</v>
      </c>
      <c r="AE1587" t="s">
        <v>80</v>
      </c>
      <c r="AF1587" t="s">
        <v>107</v>
      </c>
      <c r="AG1587" t="s">
        <v>82</v>
      </c>
      <c r="AH1587" t="s">
        <v>83</v>
      </c>
      <c r="AI1587" t="s">
        <v>130</v>
      </c>
      <c r="AJ1587">
        <v>1.5108823832071001</v>
      </c>
      <c r="AK1587">
        <v>0.81305170012705996</v>
      </c>
      <c r="AL1587">
        <v>0.761166553135323</v>
      </c>
      <c r="AM1587">
        <v>4.1034676523858699E-2</v>
      </c>
      <c r="AN1587">
        <v>4.1144379160216697</v>
      </c>
      <c r="AO1587">
        <v>1.09464715677672</v>
      </c>
      <c r="AP1587">
        <v>1.09464715677672</v>
      </c>
      <c r="AQ1587">
        <v>0</v>
      </c>
      <c r="AR1587">
        <v>0</v>
      </c>
      <c r="AS1587">
        <v>0</v>
      </c>
      <c r="AT1587">
        <v>3</v>
      </c>
      <c r="AU1587">
        <v>3</v>
      </c>
      <c r="AV1587">
        <v>97</v>
      </c>
      <c r="AW1587">
        <v>0</v>
      </c>
      <c r="AX1587">
        <v>0</v>
      </c>
      <c r="AY1587">
        <v>15.5</v>
      </c>
      <c r="AZ1587">
        <v>2.4</v>
      </c>
      <c r="BA1587">
        <v>10.9</v>
      </c>
      <c r="BB1587">
        <v>564</v>
      </c>
      <c r="BC1587">
        <v>68</v>
      </c>
      <c r="BD1587">
        <v>1.5</v>
      </c>
      <c r="BE1587">
        <v>135</v>
      </c>
      <c r="BF1587">
        <v>0</v>
      </c>
      <c r="BG1587">
        <v>162</v>
      </c>
      <c r="BH1587">
        <v>9.1</v>
      </c>
      <c r="BI1587">
        <v>9.1999999999999993</v>
      </c>
      <c r="BJ1587">
        <v>18.3</v>
      </c>
      <c r="BK1587">
        <v>0.34</v>
      </c>
      <c r="BL1587">
        <v>7.3</v>
      </c>
      <c r="BM1587">
        <v>0.9</v>
      </c>
      <c r="BN1587">
        <v>7.5</v>
      </c>
      <c r="BO1587">
        <v>2.9</v>
      </c>
      <c r="BP1587">
        <f t="shared" si="48"/>
        <v>1.981489823351912</v>
      </c>
      <c r="BQ1587">
        <f t="shared" si="49"/>
        <v>9.9329374383326812</v>
      </c>
    </row>
    <row r="1588" spans="1:69" hidden="1" x14ac:dyDescent="0.2">
      <c r="A1588" t="s">
        <v>1899</v>
      </c>
      <c r="B1588" t="s">
        <v>68</v>
      </c>
      <c r="C1588" t="s">
        <v>69</v>
      </c>
      <c r="D1588" t="s">
        <v>70</v>
      </c>
      <c r="E1588" t="s">
        <v>891</v>
      </c>
      <c r="F1588">
        <v>5</v>
      </c>
      <c r="G1588">
        <v>162.77000000000001</v>
      </c>
      <c r="H1588">
        <v>4</v>
      </c>
      <c r="I1588">
        <v>4</v>
      </c>
      <c r="J1588">
        <v>2</v>
      </c>
      <c r="K1588" t="s">
        <v>110</v>
      </c>
      <c r="L1588" t="s">
        <v>115</v>
      </c>
      <c r="M1588" s="4">
        <v>1320000000</v>
      </c>
      <c r="N1588">
        <v>0</v>
      </c>
      <c r="O1588">
        <v>4.6822600000000003</v>
      </c>
      <c r="P1588">
        <v>-74.049909999999997</v>
      </c>
      <c r="Q1588" t="s">
        <v>1900</v>
      </c>
      <c r="R1588">
        <v>8109602.5070000002</v>
      </c>
      <c r="S1588">
        <v>0</v>
      </c>
      <c r="T1588" t="s">
        <v>104</v>
      </c>
      <c r="U1588" t="s">
        <v>105</v>
      </c>
      <c r="V1588" t="s">
        <v>77</v>
      </c>
      <c r="W1588" t="s">
        <v>104</v>
      </c>
      <c r="X1588" t="s">
        <v>106</v>
      </c>
      <c r="Y1588">
        <v>3.8019980646344398</v>
      </c>
      <c r="Z1588">
        <v>3801.9980646344402</v>
      </c>
      <c r="AA1588">
        <v>4.71035</v>
      </c>
      <c r="AB1588">
        <v>-74.030416666666696</v>
      </c>
      <c r="AC1588">
        <v>2570</v>
      </c>
      <c r="AD1588">
        <v>10</v>
      </c>
      <c r="AE1588" t="s">
        <v>80</v>
      </c>
      <c r="AF1588" t="s">
        <v>107</v>
      </c>
      <c r="AG1588" t="s">
        <v>82</v>
      </c>
      <c r="AH1588" t="s">
        <v>83</v>
      </c>
      <c r="AI1588" t="s">
        <v>130</v>
      </c>
      <c r="AJ1588">
        <v>0.88503830826218099</v>
      </c>
      <c r="AK1588">
        <v>1.46979389046702</v>
      </c>
      <c r="AL1588">
        <v>0.43589740319661002</v>
      </c>
      <c r="AM1588">
        <v>2.5984067135450799E-2</v>
      </c>
      <c r="AN1588">
        <v>3.6638100563566698</v>
      </c>
      <c r="AO1588">
        <v>0.93244340520944702</v>
      </c>
      <c r="AP1588">
        <v>0.93244340520944702</v>
      </c>
      <c r="AQ1588">
        <v>0</v>
      </c>
      <c r="AR1588">
        <v>1</v>
      </c>
      <c r="AS1588">
        <v>0</v>
      </c>
      <c r="AT1588">
        <v>0</v>
      </c>
      <c r="AU1588">
        <v>4</v>
      </c>
      <c r="AV1588">
        <v>176</v>
      </c>
      <c r="AW1588">
        <v>0</v>
      </c>
      <c r="AX1588">
        <v>0</v>
      </c>
      <c r="AY1588">
        <v>15.5</v>
      </c>
      <c r="AZ1588">
        <v>2.4</v>
      </c>
      <c r="BA1588">
        <v>10.9</v>
      </c>
      <c r="BB1588">
        <v>564</v>
      </c>
      <c r="BC1588">
        <v>68</v>
      </c>
      <c r="BD1588">
        <v>1.5</v>
      </c>
      <c r="BE1588">
        <v>135</v>
      </c>
      <c r="BF1588">
        <v>0</v>
      </c>
      <c r="BG1588">
        <v>162</v>
      </c>
      <c r="BH1588">
        <v>9.1</v>
      </c>
      <c r="BI1588">
        <v>9.1999999999999993</v>
      </c>
      <c r="BJ1588">
        <v>18.3</v>
      </c>
      <c r="BK1588">
        <v>0.34</v>
      </c>
      <c r="BL1588">
        <v>7.3</v>
      </c>
      <c r="BM1588">
        <v>0.9</v>
      </c>
      <c r="BN1588">
        <v>7.5</v>
      </c>
      <c r="BO1588">
        <v>2.9</v>
      </c>
      <c r="BP1588">
        <f t="shared" si="48"/>
        <v>1.9882797808267898</v>
      </c>
      <c r="BQ1588">
        <f t="shared" si="49"/>
        <v>9.9494257474798236</v>
      </c>
    </row>
    <row r="1589" spans="1:69" hidden="1" x14ac:dyDescent="0.2">
      <c r="A1589" t="s">
        <v>696</v>
      </c>
      <c r="B1589" t="s">
        <v>68</v>
      </c>
      <c r="C1589" t="s">
        <v>69</v>
      </c>
      <c r="D1589" t="s">
        <v>70</v>
      </c>
      <c r="E1589" t="s">
        <v>337</v>
      </c>
      <c r="F1589">
        <v>5</v>
      </c>
      <c r="G1589">
        <v>162</v>
      </c>
      <c r="H1589">
        <v>3</v>
      </c>
      <c r="I1589">
        <v>4</v>
      </c>
      <c r="J1589">
        <v>2</v>
      </c>
      <c r="K1589" t="s">
        <v>110</v>
      </c>
      <c r="L1589" t="s">
        <v>124</v>
      </c>
      <c r="M1589" s="4">
        <v>1490000000</v>
      </c>
      <c r="N1589">
        <v>0</v>
      </c>
      <c r="O1589">
        <v>4.7026691439999997</v>
      </c>
      <c r="P1589">
        <v>-74.048385620000005</v>
      </c>
      <c r="Q1589" t="s">
        <v>697</v>
      </c>
      <c r="R1589">
        <v>9197530.8640000001</v>
      </c>
      <c r="S1589">
        <v>0</v>
      </c>
      <c r="T1589" t="s">
        <v>104</v>
      </c>
      <c r="U1589" t="s">
        <v>105</v>
      </c>
      <c r="V1589" t="s">
        <v>77</v>
      </c>
      <c r="W1589" t="s">
        <v>104</v>
      </c>
      <c r="X1589" t="s">
        <v>106</v>
      </c>
      <c r="Y1589">
        <v>2.1691739640049499</v>
      </c>
      <c r="Z1589">
        <v>2169.17396400495</v>
      </c>
      <c r="AA1589">
        <v>4.71035</v>
      </c>
      <c r="AB1589">
        <v>-74.030416666666696</v>
      </c>
      <c r="AC1589">
        <v>2570</v>
      </c>
      <c r="AD1589">
        <v>10</v>
      </c>
      <c r="AE1589" t="s">
        <v>80</v>
      </c>
      <c r="AF1589" t="s">
        <v>107</v>
      </c>
      <c r="AG1589" t="s">
        <v>82</v>
      </c>
      <c r="AH1589" t="s">
        <v>83</v>
      </c>
      <c r="AI1589" t="s">
        <v>108</v>
      </c>
      <c r="AJ1589">
        <v>0.68311009301529801</v>
      </c>
      <c r="AK1589">
        <v>2.52524529288105</v>
      </c>
      <c r="AL1589">
        <v>1.04878825287018</v>
      </c>
      <c r="AM1589">
        <v>0.126878314026171</v>
      </c>
      <c r="AN1589">
        <v>4.8936573080201997</v>
      </c>
      <c r="AO1589">
        <v>0.111069097199565</v>
      </c>
      <c r="AP1589">
        <v>0.111069097199565</v>
      </c>
      <c r="AQ1589">
        <v>0</v>
      </c>
      <c r="AR1589">
        <v>2</v>
      </c>
      <c r="AS1589">
        <v>0</v>
      </c>
      <c r="AT1589">
        <v>0</v>
      </c>
      <c r="AU1589">
        <v>0</v>
      </c>
      <c r="AV1589">
        <v>172</v>
      </c>
      <c r="AW1589">
        <v>0</v>
      </c>
      <c r="AX1589">
        <v>0</v>
      </c>
      <c r="AY1589">
        <v>15.5</v>
      </c>
      <c r="AZ1589">
        <v>2.4</v>
      </c>
      <c r="BA1589">
        <v>10.9</v>
      </c>
      <c r="BB1589">
        <v>564</v>
      </c>
      <c r="BC1589">
        <v>68</v>
      </c>
      <c r="BD1589">
        <v>1.5</v>
      </c>
      <c r="BE1589">
        <v>135</v>
      </c>
      <c r="BF1589">
        <v>0</v>
      </c>
      <c r="BG1589">
        <v>162</v>
      </c>
      <c r="BH1589">
        <v>9.1</v>
      </c>
      <c r="BI1589">
        <v>9.1999999999999993</v>
      </c>
      <c r="BJ1589">
        <v>18.3</v>
      </c>
      <c r="BK1589">
        <v>0.34</v>
      </c>
      <c r="BL1589">
        <v>7.3</v>
      </c>
      <c r="BM1589">
        <v>0.9</v>
      </c>
      <c r="BN1589">
        <v>7.5</v>
      </c>
      <c r="BO1589">
        <v>2.9</v>
      </c>
      <c r="BP1589">
        <f t="shared" si="48"/>
        <v>2.1556550095842888</v>
      </c>
      <c r="BQ1589">
        <f t="shared" si="49"/>
        <v>10.347061993989604</v>
      </c>
    </row>
    <row r="1590" spans="1:69" hidden="1" x14ac:dyDescent="0.2">
      <c r="A1590" t="s">
        <v>820</v>
      </c>
      <c r="B1590" t="s">
        <v>68</v>
      </c>
      <c r="C1590" t="s">
        <v>69</v>
      </c>
      <c r="D1590" t="s">
        <v>70</v>
      </c>
      <c r="E1590" t="s">
        <v>229</v>
      </c>
      <c r="F1590">
        <v>6</v>
      </c>
      <c r="G1590">
        <v>160</v>
      </c>
      <c r="H1590">
        <v>2</v>
      </c>
      <c r="I1590">
        <v>4</v>
      </c>
      <c r="J1590">
        <v>3</v>
      </c>
      <c r="K1590" t="s">
        <v>110</v>
      </c>
      <c r="L1590" t="s">
        <v>162</v>
      </c>
      <c r="M1590" s="4">
        <v>1399000000</v>
      </c>
      <c r="N1590">
        <v>0</v>
      </c>
      <c r="O1590">
        <v>4.6763535000000003</v>
      </c>
      <c r="P1590">
        <v>-74.04289</v>
      </c>
      <c r="Q1590" t="s">
        <v>821</v>
      </c>
      <c r="R1590">
        <v>8743750</v>
      </c>
      <c r="S1590">
        <v>0</v>
      </c>
      <c r="T1590" t="s">
        <v>104</v>
      </c>
      <c r="U1590" t="s">
        <v>105</v>
      </c>
      <c r="V1590" t="s">
        <v>77</v>
      </c>
      <c r="W1590" t="s">
        <v>104</v>
      </c>
      <c r="X1590" t="s">
        <v>106</v>
      </c>
      <c r="Y1590">
        <v>4.0295570983899802</v>
      </c>
      <c r="Z1590">
        <v>4029.5570983899802</v>
      </c>
      <c r="AA1590">
        <v>4.71035</v>
      </c>
      <c r="AB1590">
        <v>-74.030416666666696</v>
      </c>
      <c r="AC1590">
        <v>2570</v>
      </c>
      <c r="AD1590">
        <v>10</v>
      </c>
      <c r="AE1590" t="s">
        <v>80</v>
      </c>
      <c r="AF1590" t="s">
        <v>107</v>
      </c>
      <c r="AG1590" t="s">
        <v>82</v>
      </c>
      <c r="AH1590" t="s">
        <v>83</v>
      </c>
      <c r="AI1590" t="s">
        <v>130</v>
      </c>
      <c r="AJ1590">
        <v>1.78889496371135</v>
      </c>
      <c r="AK1590">
        <v>0.45791764425746401</v>
      </c>
      <c r="AL1590">
        <v>0.78183964663374705</v>
      </c>
      <c r="AM1590">
        <v>0.19191404622767799</v>
      </c>
      <c r="AN1590">
        <v>4.2064256918543004</v>
      </c>
      <c r="AO1590">
        <v>1.2252318511139499</v>
      </c>
      <c r="AP1590">
        <v>1.2252318511139499</v>
      </c>
      <c r="AQ1590">
        <v>0</v>
      </c>
      <c r="AR1590">
        <v>0</v>
      </c>
      <c r="AS1590">
        <v>1</v>
      </c>
      <c r="AT1590">
        <v>19</v>
      </c>
      <c r="AU1590">
        <v>3</v>
      </c>
      <c r="AV1590">
        <v>61</v>
      </c>
      <c r="AW1590">
        <v>0</v>
      </c>
      <c r="AX1590">
        <v>0</v>
      </c>
      <c r="AY1590">
        <v>15.5</v>
      </c>
      <c r="AZ1590">
        <v>2.4</v>
      </c>
      <c r="BA1590">
        <v>10.9</v>
      </c>
      <c r="BB1590">
        <v>564</v>
      </c>
      <c r="BC1590">
        <v>68</v>
      </c>
      <c r="BD1590">
        <v>1.5</v>
      </c>
      <c r="BE1590">
        <v>135</v>
      </c>
      <c r="BF1590">
        <v>0</v>
      </c>
      <c r="BG1590">
        <v>162</v>
      </c>
      <c r="BH1590">
        <v>9.1</v>
      </c>
      <c r="BI1590">
        <v>9.1999999999999993</v>
      </c>
      <c r="BJ1590">
        <v>18.3</v>
      </c>
      <c r="BK1590">
        <v>0.34</v>
      </c>
      <c r="BL1590">
        <v>7.3</v>
      </c>
      <c r="BM1590">
        <v>0.9</v>
      </c>
      <c r="BN1590">
        <v>7.5</v>
      </c>
      <c r="BO1590">
        <v>2.9</v>
      </c>
      <c r="BP1590">
        <f t="shared" si="48"/>
        <v>1.9660091208036059</v>
      </c>
      <c r="BQ1590">
        <f t="shared" si="49"/>
        <v>9.8952358978229462</v>
      </c>
    </row>
    <row r="1591" spans="1:69" hidden="1" x14ac:dyDescent="0.2">
      <c r="A1591" t="s">
        <v>2462</v>
      </c>
      <c r="B1591" t="s">
        <v>68</v>
      </c>
      <c r="C1591" t="s">
        <v>1956</v>
      </c>
      <c r="D1591" t="s">
        <v>70</v>
      </c>
      <c r="E1591" t="s">
        <v>205</v>
      </c>
      <c r="F1591">
        <v>4</v>
      </c>
      <c r="G1591">
        <v>160</v>
      </c>
      <c r="H1591">
        <v>4</v>
      </c>
      <c r="I1591">
        <v>3</v>
      </c>
      <c r="J1591">
        <v>2</v>
      </c>
      <c r="K1591" t="s">
        <v>110</v>
      </c>
      <c r="L1591" t="s">
        <v>162</v>
      </c>
      <c r="M1591" s="4">
        <v>880000000</v>
      </c>
      <c r="N1591">
        <v>0</v>
      </c>
      <c r="O1591">
        <v>4.73238</v>
      </c>
      <c r="P1591">
        <v>-74.037360000000007</v>
      </c>
      <c r="Q1591" t="s">
        <v>2463</v>
      </c>
      <c r="R1591">
        <v>5500000</v>
      </c>
      <c r="S1591">
        <v>0</v>
      </c>
      <c r="T1591" t="s">
        <v>104</v>
      </c>
      <c r="U1591" t="s">
        <v>105</v>
      </c>
      <c r="V1591" t="s">
        <v>77</v>
      </c>
      <c r="W1591" t="s">
        <v>104</v>
      </c>
      <c r="X1591" t="s">
        <v>106</v>
      </c>
      <c r="Y1591">
        <v>2.5705021679841602</v>
      </c>
      <c r="Z1591">
        <v>2570.5021679841602</v>
      </c>
      <c r="AA1591">
        <v>4.71035</v>
      </c>
      <c r="AB1591">
        <v>-74.030416666666696</v>
      </c>
      <c r="AC1591">
        <v>2570</v>
      </c>
      <c r="AD1591">
        <v>10</v>
      </c>
      <c r="AE1591" t="s">
        <v>80</v>
      </c>
      <c r="AF1591" t="s">
        <v>107</v>
      </c>
      <c r="AG1591" t="s">
        <v>82</v>
      </c>
      <c r="AH1591" t="s">
        <v>83</v>
      </c>
      <c r="AI1591" t="s">
        <v>108</v>
      </c>
      <c r="AJ1591">
        <v>1.3380810345385501</v>
      </c>
      <c r="AK1591">
        <v>1.70374396279438</v>
      </c>
      <c r="AL1591">
        <v>0.294950222195272</v>
      </c>
      <c r="AM1591">
        <v>0.498191786947973</v>
      </c>
      <c r="AN1591">
        <v>1.5532542751862899</v>
      </c>
      <c r="AO1591">
        <v>0.16696746298732801</v>
      </c>
      <c r="AP1591">
        <v>0.16696746298732801</v>
      </c>
      <c r="AQ1591">
        <v>0</v>
      </c>
      <c r="AR1591">
        <v>0</v>
      </c>
      <c r="AS1591">
        <v>0</v>
      </c>
      <c r="AT1591">
        <v>0</v>
      </c>
      <c r="AU1591">
        <v>1</v>
      </c>
      <c r="AV1591">
        <v>14</v>
      </c>
      <c r="AW1591">
        <v>0</v>
      </c>
      <c r="AX1591">
        <v>0</v>
      </c>
      <c r="AY1591">
        <v>15.5</v>
      </c>
      <c r="AZ1591">
        <v>2.4</v>
      </c>
      <c r="BA1591">
        <v>10.9</v>
      </c>
      <c r="BB1591">
        <v>564</v>
      </c>
      <c r="BC1591">
        <v>68</v>
      </c>
      <c r="BD1591">
        <v>1.5</v>
      </c>
      <c r="BE1591">
        <v>135</v>
      </c>
      <c r="BF1591">
        <v>0</v>
      </c>
      <c r="BG1591">
        <v>162</v>
      </c>
      <c r="BH1591">
        <v>9.1</v>
      </c>
      <c r="BI1591">
        <v>9.1999999999999993</v>
      </c>
      <c r="BJ1591">
        <v>18.3</v>
      </c>
      <c r="BK1591">
        <v>0.34</v>
      </c>
      <c r="BL1591">
        <v>7.3</v>
      </c>
      <c r="BM1591">
        <v>0.9</v>
      </c>
      <c r="BN1591">
        <v>7.5</v>
      </c>
      <c r="BO1591">
        <v>2.9</v>
      </c>
      <c r="BP1591">
        <f t="shared" si="48"/>
        <v>2.1132538740383535</v>
      </c>
      <c r="BQ1591">
        <f t="shared" si="49"/>
        <v>10.247878793614273</v>
      </c>
    </row>
    <row r="1592" spans="1:69" hidden="1" x14ac:dyDescent="0.2">
      <c r="A1592" t="s">
        <v>2704</v>
      </c>
      <c r="B1592" t="s">
        <v>68</v>
      </c>
      <c r="C1592" t="s">
        <v>1956</v>
      </c>
      <c r="D1592" t="s">
        <v>70</v>
      </c>
      <c r="E1592" t="s">
        <v>586</v>
      </c>
      <c r="F1592">
        <v>5</v>
      </c>
      <c r="G1592">
        <v>160</v>
      </c>
      <c r="H1592">
        <v>4</v>
      </c>
      <c r="I1592">
        <v>3</v>
      </c>
      <c r="J1592">
        <v>2</v>
      </c>
      <c r="K1592" t="s">
        <v>110</v>
      </c>
      <c r="L1592" t="s">
        <v>162</v>
      </c>
      <c r="M1592" s="4">
        <v>1500000000</v>
      </c>
      <c r="N1592">
        <v>0</v>
      </c>
      <c r="O1592">
        <v>4.7124280000000001</v>
      </c>
      <c r="P1592">
        <v>-74.050094999999999</v>
      </c>
      <c r="Q1592" t="s">
        <v>2705</v>
      </c>
      <c r="R1592">
        <v>9375000</v>
      </c>
      <c r="S1592">
        <v>0</v>
      </c>
      <c r="T1592" t="s">
        <v>104</v>
      </c>
      <c r="U1592" t="s">
        <v>105</v>
      </c>
      <c r="V1592" t="s">
        <v>77</v>
      </c>
      <c r="W1592" t="s">
        <v>104</v>
      </c>
      <c r="X1592" t="s">
        <v>106</v>
      </c>
      <c r="Y1592">
        <v>2.1954010568834099</v>
      </c>
      <c r="Z1592">
        <v>2195.4010568834101</v>
      </c>
      <c r="AA1592">
        <v>4.71035</v>
      </c>
      <c r="AB1592">
        <v>-74.030416666666696</v>
      </c>
      <c r="AC1592">
        <v>2570</v>
      </c>
      <c r="AD1592">
        <v>10</v>
      </c>
      <c r="AE1592" t="s">
        <v>80</v>
      </c>
      <c r="AF1592" t="s">
        <v>107</v>
      </c>
      <c r="AG1592" t="s">
        <v>82</v>
      </c>
      <c r="AH1592" t="s">
        <v>83</v>
      </c>
      <c r="AI1592" t="s">
        <v>108</v>
      </c>
      <c r="AJ1592">
        <v>0.360589168870944</v>
      </c>
      <c r="AK1592">
        <v>2.7967944607119999</v>
      </c>
      <c r="AL1592">
        <v>1.92900181968534</v>
      </c>
      <c r="AM1592">
        <v>0.42302562230102497</v>
      </c>
      <c r="AN1592">
        <v>4.1301719992709804</v>
      </c>
      <c r="AO1592">
        <v>0.34750866669997998</v>
      </c>
      <c r="AP1592">
        <v>0.34750866669997998</v>
      </c>
      <c r="AQ1592">
        <v>1</v>
      </c>
      <c r="AR1592">
        <v>3</v>
      </c>
      <c r="AS1592">
        <v>0</v>
      </c>
      <c r="AT1592">
        <v>0</v>
      </c>
      <c r="AU1592">
        <v>0</v>
      </c>
      <c r="AV1592">
        <v>98</v>
      </c>
      <c r="AW1592">
        <v>0</v>
      </c>
      <c r="AX1592">
        <v>0</v>
      </c>
      <c r="AY1592">
        <v>15.5</v>
      </c>
      <c r="AZ1592">
        <v>2.4</v>
      </c>
      <c r="BA1592">
        <v>10.9</v>
      </c>
      <c r="BB1592">
        <v>564</v>
      </c>
      <c r="BC1592">
        <v>68</v>
      </c>
      <c r="BD1592">
        <v>1.5</v>
      </c>
      <c r="BE1592">
        <v>135</v>
      </c>
      <c r="BF1592">
        <v>0</v>
      </c>
      <c r="BG1592">
        <v>162</v>
      </c>
      <c r="BH1592">
        <v>9.1</v>
      </c>
      <c r="BI1592">
        <v>9.1999999999999993</v>
      </c>
      <c r="BJ1592">
        <v>18.3</v>
      </c>
      <c r="BK1592">
        <v>0.34</v>
      </c>
      <c r="BL1592">
        <v>7.3</v>
      </c>
      <c r="BM1592">
        <v>0.9</v>
      </c>
      <c r="BN1592">
        <v>7.5</v>
      </c>
      <c r="BO1592">
        <v>2.9</v>
      </c>
      <c r="BP1592">
        <f t="shared" si="48"/>
        <v>2.15285826547573</v>
      </c>
      <c r="BQ1592">
        <f t="shared" si="49"/>
        <v>10.340551082809391</v>
      </c>
    </row>
    <row r="1593" spans="1:69" hidden="1" x14ac:dyDescent="0.2">
      <c r="A1593" t="s">
        <v>1166</v>
      </c>
      <c r="B1593" t="s">
        <v>68</v>
      </c>
      <c r="C1593" t="s">
        <v>69</v>
      </c>
      <c r="D1593" t="s">
        <v>70</v>
      </c>
      <c r="E1593" t="s">
        <v>1167</v>
      </c>
      <c r="F1593">
        <v>6</v>
      </c>
      <c r="G1593">
        <v>160</v>
      </c>
      <c r="H1593">
        <v>3</v>
      </c>
      <c r="I1593">
        <v>3</v>
      </c>
      <c r="J1593">
        <v>2</v>
      </c>
      <c r="K1593" t="s">
        <v>110</v>
      </c>
      <c r="L1593" t="s">
        <v>124</v>
      </c>
      <c r="M1593" s="4">
        <v>1400000000</v>
      </c>
      <c r="N1593">
        <v>0</v>
      </c>
      <c r="O1593">
        <v>4.702375108</v>
      </c>
      <c r="P1593">
        <v>-74.026930329999999</v>
      </c>
      <c r="Q1593" t="s">
        <v>1168</v>
      </c>
      <c r="R1593">
        <v>8750000</v>
      </c>
      <c r="S1593">
        <v>0</v>
      </c>
      <c r="T1593" t="s">
        <v>104</v>
      </c>
      <c r="U1593" t="s">
        <v>105</v>
      </c>
      <c r="V1593" t="s">
        <v>77</v>
      </c>
      <c r="W1593" t="s">
        <v>104</v>
      </c>
      <c r="X1593" t="s">
        <v>106</v>
      </c>
      <c r="Y1593">
        <v>0.96836197693777004</v>
      </c>
      <c r="Z1593">
        <v>968.36197693777001</v>
      </c>
      <c r="AA1593">
        <v>4.71035</v>
      </c>
      <c r="AB1593">
        <v>-74.030416666666696</v>
      </c>
      <c r="AC1593">
        <v>2570</v>
      </c>
      <c r="AD1593">
        <v>10</v>
      </c>
      <c r="AE1593" t="s">
        <v>80</v>
      </c>
      <c r="AF1593" t="s">
        <v>107</v>
      </c>
      <c r="AG1593" t="s">
        <v>82</v>
      </c>
      <c r="AH1593" t="s">
        <v>83</v>
      </c>
      <c r="AI1593" t="s">
        <v>108</v>
      </c>
      <c r="AJ1593">
        <v>3.036688773466</v>
      </c>
      <c r="AK1593">
        <v>0.151435285889676</v>
      </c>
      <c r="AL1593">
        <v>0.624282018383152</v>
      </c>
      <c r="AM1593">
        <v>0.24588387018528299</v>
      </c>
      <c r="AN1593">
        <v>4.3279190367874802</v>
      </c>
      <c r="AO1593">
        <v>8.4348937929146703E-2</v>
      </c>
      <c r="AP1593">
        <v>8.4348937929146703E-2</v>
      </c>
      <c r="AQ1593">
        <v>0</v>
      </c>
      <c r="AR1593">
        <v>0</v>
      </c>
      <c r="AS1593">
        <v>12</v>
      </c>
      <c r="AT1593">
        <v>33</v>
      </c>
      <c r="AU1593">
        <v>2</v>
      </c>
      <c r="AV1593">
        <v>78</v>
      </c>
      <c r="AW1593">
        <v>0</v>
      </c>
      <c r="AX1593">
        <v>0</v>
      </c>
      <c r="AY1593">
        <v>15.5</v>
      </c>
      <c r="AZ1593">
        <v>2.4</v>
      </c>
      <c r="BA1593">
        <v>10.9</v>
      </c>
      <c r="BB1593">
        <v>564</v>
      </c>
      <c r="BC1593">
        <v>68</v>
      </c>
      <c r="BD1593">
        <v>1.5</v>
      </c>
      <c r="BE1593">
        <v>135</v>
      </c>
      <c r="BF1593">
        <v>0</v>
      </c>
      <c r="BG1593">
        <v>162</v>
      </c>
      <c r="BH1593">
        <v>9.1</v>
      </c>
      <c r="BI1593">
        <v>9.1999999999999993</v>
      </c>
      <c r="BJ1593">
        <v>18.3</v>
      </c>
      <c r="BK1593">
        <v>0.34</v>
      </c>
      <c r="BL1593">
        <v>7.3</v>
      </c>
      <c r="BM1593">
        <v>0.9</v>
      </c>
      <c r="BN1593">
        <v>7.5</v>
      </c>
      <c r="BO1593">
        <v>2.9</v>
      </c>
      <c r="BP1593">
        <f t="shared" si="48"/>
        <v>2.2876722582732221</v>
      </c>
      <c r="BQ1593">
        <f t="shared" si="49"/>
        <v>10.649597540197727</v>
      </c>
    </row>
    <row r="1594" spans="1:69" hidden="1" x14ac:dyDescent="0.2">
      <c r="A1594" t="s">
        <v>385</v>
      </c>
      <c r="B1594" t="s">
        <v>68</v>
      </c>
      <c r="C1594" t="s">
        <v>69</v>
      </c>
      <c r="D1594" t="s">
        <v>70</v>
      </c>
      <c r="E1594" t="s">
        <v>193</v>
      </c>
      <c r="F1594">
        <v>5</v>
      </c>
      <c r="G1594">
        <v>160</v>
      </c>
      <c r="H1594">
        <v>3</v>
      </c>
      <c r="I1594">
        <v>4</v>
      </c>
      <c r="J1594">
        <v>2</v>
      </c>
      <c r="K1594" t="s">
        <v>110</v>
      </c>
      <c r="L1594" t="s">
        <v>133</v>
      </c>
      <c r="M1594" s="4">
        <v>2200000000</v>
      </c>
      <c r="N1594">
        <v>0</v>
      </c>
      <c r="O1594">
        <v>4.7020969389999996</v>
      </c>
      <c r="P1594">
        <v>-74.031555179999998</v>
      </c>
      <c r="Q1594" t="s">
        <v>386</v>
      </c>
      <c r="R1594">
        <v>13750000</v>
      </c>
      <c r="S1594">
        <v>0</v>
      </c>
      <c r="T1594" t="s">
        <v>104</v>
      </c>
      <c r="U1594" t="s">
        <v>105</v>
      </c>
      <c r="V1594" t="s">
        <v>77</v>
      </c>
      <c r="W1594" t="s">
        <v>104</v>
      </c>
      <c r="X1594" t="s">
        <v>106</v>
      </c>
      <c r="Y1594">
        <v>0.92736888314837695</v>
      </c>
      <c r="Z1594">
        <v>927.36888314837699</v>
      </c>
      <c r="AA1594">
        <v>4.71035</v>
      </c>
      <c r="AB1594">
        <v>-74.030416666666696</v>
      </c>
      <c r="AC1594">
        <v>2570</v>
      </c>
      <c r="AD1594">
        <v>10</v>
      </c>
      <c r="AE1594" t="s">
        <v>80</v>
      </c>
      <c r="AF1594" t="s">
        <v>107</v>
      </c>
      <c r="AG1594" t="s">
        <v>82</v>
      </c>
      <c r="AH1594" t="s">
        <v>83</v>
      </c>
      <c r="AI1594" t="s">
        <v>108</v>
      </c>
      <c r="AJ1594">
        <v>2.5292316846776401</v>
      </c>
      <c r="AK1594">
        <v>0.66400563320664996</v>
      </c>
      <c r="AL1594">
        <v>0.13143679995624699</v>
      </c>
      <c r="AM1594">
        <v>0.10401013084091</v>
      </c>
      <c r="AN1594">
        <v>4.3912893873007999</v>
      </c>
      <c r="AO1594">
        <v>0.394966241450109</v>
      </c>
      <c r="AP1594">
        <v>0.394966241450109</v>
      </c>
      <c r="AQ1594">
        <v>0</v>
      </c>
      <c r="AR1594">
        <v>0</v>
      </c>
      <c r="AS1594">
        <v>0</v>
      </c>
      <c r="AT1594">
        <v>18</v>
      </c>
      <c r="AU1594">
        <v>3</v>
      </c>
      <c r="AV1594">
        <v>117</v>
      </c>
      <c r="AW1594">
        <v>0</v>
      </c>
      <c r="AX1594">
        <v>0</v>
      </c>
      <c r="AY1594">
        <v>15.5</v>
      </c>
      <c r="AZ1594">
        <v>2.4</v>
      </c>
      <c r="BA1594">
        <v>10.9</v>
      </c>
      <c r="BB1594">
        <v>564</v>
      </c>
      <c r="BC1594">
        <v>68</v>
      </c>
      <c r="BD1594">
        <v>1.5</v>
      </c>
      <c r="BE1594">
        <v>135</v>
      </c>
      <c r="BF1594">
        <v>0</v>
      </c>
      <c r="BG1594">
        <v>162</v>
      </c>
      <c r="BH1594">
        <v>9.1</v>
      </c>
      <c r="BI1594">
        <v>9.1999999999999993</v>
      </c>
      <c r="BJ1594">
        <v>18.3</v>
      </c>
      <c r="BK1594">
        <v>0.34</v>
      </c>
      <c r="BL1594">
        <v>7.3</v>
      </c>
      <c r="BM1594">
        <v>0.9</v>
      </c>
      <c r="BN1594">
        <v>7.5</v>
      </c>
      <c r="BO1594">
        <v>2.9</v>
      </c>
      <c r="BP1594">
        <f t="shared" si="48"/>
        <v>2.2923190199764001</v>
      </c>
      <c r="BQ1594">
        <f t="shared" si="49"/>
        <v>10.660080134738797</v>
      </c>
    </row>
    <row r="1595" spans="1:69" hidden="1" x14ac:dyDescent="0.2">
      <c r="A1595" t="s">
        <v>438</v>
      </c>
      <c r="B1595" t="s">
        <v>68</v>
      </c>
      <c r="C1595" t="s">
        <v>69</v>
      </c>
      <c r="D1595" t="s">
        <v>70</v>
      </c>
      <c r="E1595" t="s">
        <v>439</v>
      </c>
      <c r="F1595">
        <v>6</v>
      </c>
      <c r="G1595">
        <v>160</v>
      </c>
      <c r="H1595">
        <v>3</v>
      </c>
      <c r="I1595">
        <v>4</v>
      </c>
      <c r="J1595">
        <v>2</v>
      </c>
      <c r="K1595" t="s">
        <v>110</v>
      </c>
      <c r="L1595" t="s">
        <v>124</v>
      </c>
      <c r="M1595" s="4">
        <v>1400000000</v>
      </c>
      <c r="N1595">
        <v>0</v>
      </c>
      <c r="O1595">
        <v>4.703465939</v>
      </c>
      <c r="P1595">
        <v>-74.026229860000001</v>
      </c>
      <c r="Q1595" t="s">
        <v>440</v>
      </c>
      <c r="R1595">
        <v>8750000</v>
      </c>
      <c r="S1595">
        <v>0</v>
      </c>
      <c r="T1595" t="s">
        <v>104</v>
      </c>
      <c r="U1595" t="s">
        <v>105</v>
      </c>
      <c r="V1595" t="s">
        <v>77</v>
      </c>
      <c r="W1595" t="s">
        <v>104</v>
      </c>
      <c r="X1595" t="s">
        <v>106</v>
      </c>
      <c r="Y1595">
        <v>0.89611574593760301</v>
      </c>
      <c r="Z1595">
        <v>896.11574593760304</v>
      </c>
      <c r="AA1595">
        <v>4.71035</v>
      </c>
      <c r="AB1595">
        <v>-74.030416666666696</v>
      </c>
      <c r="AC1595">
        <v>2570</v>
      </c>
      <c r="AD1595">
        <v>10</v>
      </c>
      <c r="AE1595" t="s">
        <v>80</v>
      </c>
      <c r="AF1595" t="s">
        <v>107</v>
      </c>
      <c r="AG1595" t="s">
        <v>82</v>
      </c>
      <c r="AH1595" t="s">
        <v>83</v>
      </c>
      <c r="AI1595" t="s">
        <v>108</v>
      </c>
      <c r="AJ1595">
        <v>3.1067311013610701</v>
      </c>
      <c r="AK1595">
        <v>0.116235779528559</v>
      </c>
      <c r="AL1595">
        <v>0.73030796159544598</v>
      </c>
      <c r="AM1595">
        <v>0.30760982028975198</v>
      </c>
      <c r="AN1595">
        <v>4.2076822687916504</v>
      </c>
      <c r="AO1595">
        <v>3.8542121629751E-2</v>
      </c>
      <c r="AP1595">
        <v>3.8542121629751E-2</v>
      </c>
      <c r="AQ1595">
        <v>0</v>
      </c>
      <c r="AR1595">
        <v>0</v>
      </c>
      <c r="AS1595">
        <v>15</v>
      </c>
      <c r="AT1595">
        <v>34</v>
      </c>
      <c r="AU1595">
        <v>1</v>
      </c>
      <c r="AV1595">
        <v>71</v>
      </c>
      <c r="AW1595">
        <v>0</v>
      </c>
      <c r="AX1595">
        <v>0</v>
      </c>
      <c r="AY1595">
        <v>15.5</v>
      </c>
      <c r="AZ1595">
        <v>2.4</v>
      </c>
      <c r="BA1595">
        <v>10.9</v>
      </c>
      <c r="BB1595">
        <v>564</v>
      </c>
      <c r="BC1595">
        <v>68</v>
      </c>
      <c r="BD1595">
        <v>1.5</v>
      </c>
      <c r="BE1595">
        <v>135</v>
      </c>
      <c r="BF1595">
        <v>0</v>
      </c>
      <c r="BG1595">
        <v>162</v>
      </c>
      <c r="BH1595">
        <v>9.1</v>
      </c>
      <c r="BI1595">
        <v>9.1999999999999993</v>
      </c>
      <c r="BJ1595">
        <v>18.3</v>
      </c>
      <c r="BK1595">
        <v>0.34</v>
      </c>
      <c r="BL1595">
        <v>7.3</v>
      </c>
      <c r="BM1595">
        <v>0.9</v>
      </c>
      <c r="BN1595">
        <v>7.5</v>
      </c>
      <c r="BO1595">
        <v>2.9</v>
      </c>
      <c r="BP1595">
        <f t="shared" si="48"/>
        <v>2.2958680514608596</v>
      </c>
      <c r="BQ1595">
        <f t="shared" si="49"/>
        <v>10.668078996969333</v>
      </c>
    </row>
    <row r="1596" spans="1:69" hidden="1" x14ac:dyDescent="0.2">
      <c r="A1596" t="s">
        <v>1856</v>
      </c>
      <c r="B1596" t="s">
        <v>68</v>
      </c>
      <c r="C1596" t="s">
        <v>69</v>
      </c>
      <c r="D1596" t="s">
        <v>70</v>
      </c>
      <c r="E1596" t="s">
        <v>1167</v>
      </c>
      <c r="F1596">
        <v>4</v>
      </c>
      <c r="G1596">
        <v>159</v>
      </c>
      <c r="H1596">
        <v>3</v>
      </c>
      <c r="I1596">
        <v>4</v>
      </c>
      <c r="J1596">
        <v>2</v>
      </c>
      <c r="K1596" t="s">
        <v>110</v>
      </c>
      <c r="L1596" t="s">
        <v>162</v>
      </c>
      <c r="M1596" s="4">
        <v>1238000000</v>
      </c>
      <c r="N1596">
        <v>0</v>
      </c>
      <c r="O1596">
        <v>4.7050029999999996</v>
      </c>
      <c r="P1596">
        <v>-74.026886000000005</v>
      </c>
      <c r="Q1596" t="s">
        <v>1857</v>
      </c>
      <c r="R1596">
        <v>7786163.5219999999</v>
      </c>
      <c r="S1596">
        <v>0</v>
      </c>
      <c r="T1596" t="s">
        <v>104</v>
      </c>
      <c r="U1596" t="s">
        <v>105</v>
      </c>
      <c r="V1596" t="s">
        <v>77</v>
      </c>
      <c r="W1596" t="s">
        <v>104</v>
      </c>
      <c r="X1596" t="s">
        <v>106</v>
      </c>
      <c r="Y1596">
        <v>0.71254953044635705</v>
      </c>
      <c r="Z1596">
        <v>712.54953044635704</v>
      </c>
      <c r="AA1596">
        <v>4.71035</v>
      </c>
      <c r="AB1596">
        <v>-74.030416666666696</v>
      </c>
      <c r="AC1596">
        <v>2570</v>
      </c>
      <c r="AD1596">
        <v>10</v>
      </c>
      <c r="AE1596" t="s">
        <v>80</v>
      </c>
      <c r="AF1596" t="s">
        <v>107</v>
      </c>
      <c r="AG1596" t="s">
        <v>82</v>
      </c>
      <c r="AH1596" t="s">
        <v>83</v>
      </c>
      <c r="AI1596" t="s">
        <v>108</v>
      </c>
      <c r="AJ1596">
        <v>3.0315346890872301</v>
      </c>
      <c r="AK1596">
        <v>0.27106418578089198</v>
      </c>
      <c r="AL1596">
        <v>0.739576811036457</v>
      </c>
      <c r="AM1596">
        <v>0.30712715733678703</v>
      </c>
      <c r="AN1596">
        <v>4.0374882204933904</v>
      </c>
      <c r="AO1596">
        <v>4.2832279568462701E-2</v>
      </c>
      <c r="AP1596">
        <v>4.2832279568462701E-2</v>
      </c>
      <c r="AQ1596">
        <v>0</v>
      </c>
      <c r="AR1596">
        <v>0</v>
      </c>
      <c r="AS1596">
        <v>12</v>
      </c>
      <c r="AT1596">
        <v>37</v>
      </c>
      <c r="AU1596">
        <v>2</v>
      </c>
      <c r="AV1596">
        <v>82</v>
      </c>
      <c r="AW1596">
        <v>0</v>
      </c>
      <c r="AX1596">
        <v>0</v>
      </c>
      <c r="AY1596">
        <v>15.5</v>
      </c>
      <c r="AZ1596">
        <v>2.4</v>
      </c>
      <c r="BA1596">
        <v>10.9</v>
      </c>
      <c r="BB1596">
        <v>564</v>
      </c>
      <c r="BC1596">
        <v>68</v>
      </c>
      <c r="BD1596">
        <v>1.5</v>
      </c>
      <c r="BE1596">
        <v>135</v>
      </c>
      <c r="BF1596">
        <v>0</v>
      </c>
      <c r="BG1596">
        <v>162</v>
      </c>
      <c r="BH1596">
        <v>9.1</v>
      </c>
      <c r="BI1596">
        <v>9.1999999999999993</v>
      </c>
      <c r="BJ1596">
        <v>18.3</v>
      </c>
      <c r="BK1596">
        <v>0.34</v>
      </c>
      <c r="BL1596">
        <v>7.3</v>
      </c>
      <c r="BM1596">
        <v>0.9</v>
      </c>
      <c r="BN1596">
        <v>7.5</v>
      </c>
      <c r="BO1596">
        <v>2.9</v>
      </c>
      <c r="BP1596">
        <f t="shared" si="48"/>
        <v>2.3168245869099269</v>
      </c>
      <c r="BQ1596">
        <f t="shared" si="49"/>
        <v>10.715181852010479</v>
      </c>
    </row>
    <row r="1597" spans="1:69" hidden="1" x14ac:dyDescent="0.2">
      <c r="A1597" t="s">
        <v>1733</v>
      </c>
      <c r="B1597" t="s">
        <v>68</v>
      </c>
      <c r="C1597" t="s">
        <v>69</v>
      </c>
      <c r="D1597" t="s">
        <v>70</v>
      </c>
      <c r="E1597" t="s">
        <v>210</v>
      </c>
      <c r="F1597">
        <v>6</v>
      </c>
      <c r="G1597">
        <v>158</v>
      </c>
      <c r="H1597">
        <v>3</v>
      </c>
      <c r="I1597">
        <v>4</v>
      </c>
      <c r="J1597">
        <v>3</v>
      </c>
      <c r="K1597" t="s">
        <v>110</v>
      </c>
      <c r="L1597" t="s">
        <v>162</v>
      </c>
      <c r="M1597" s="4">
        <v>1250000000</v>
      </c>
      <c r="N1597">
        <v>0</v>
      </c>
      <c r="O1597">
        <v>4.6973174320000002</v>
      </c>
      <c r="P1597">
        <v>-74.053280349999994</v>
      </c>
      <c r="Q1597" t="s">
        <v>1734</v>
      </c>
      <c r="R1597">
        <v>7911392.4050000003</v>
      </c>
      <c r="S1597">
        <v>0</v>
      </c>
      <c r="T1597" t="s">
        <v>104</v>
      </c>
      <c r="U1597" t="s">
        <v>105</v>
      </c>
      <c r="V1597" t="s">
        <v>77</v>
      </c>
      <c r="W1597" t="s">
        <v>104</v>
      </c>
      <c r="X1597" t="s">
        <v>106</v>
      </c>
      <c r="Y1597">
        <v>2.9221746702442402</v>
      </c>
      <c r="Z1597">
        <v>2922.1746702442401</v>
      </c>
      <c r="AA1597">
        <v>4.71035</v>
      </c>
      <c r="AB1597">
        <v>-74.030416666666696</v>
      </c>
      <c r="AC1597">
        <v>2570</v>
      </c>
      <c r="AD1597">
        <v>10</v>
      </c>
      <c r="AE1597" t="s">
        <v>80</v>
      </c>
      <c r="AF1597" t="s">
        <v>107</v>
      </c>
      <c r="AG1597" t="s">
        <v>82</v>
      </c>
      <c r="AH1597" t="s">
        <v>83</v>
      </c>
      <c r="AI1597" t="s">
        <v>108</v>
      </c>
      <c r="AJ1597">
        <v>0.242047304808338</v>
      </c>
      <c r="AK1597">
        <v>2.80083376338527</v>
      </c>
      <c r="AL1597">
        <v>0.58513212073048204</v>
      </c>
      <c r="AM1597">
        <v>0.16812153951713299</v>
      </c>
      <c r="AN1597">
        <v>4.0976913931981898</v>
      </c>
      <c r="AO1597">
        <v>0.385324619867215</v>
      </c>
      <c r="AP1597">
        <v>0.385324619867215</v>
      </c>
      <c r="AQ1597">
        <v>1</v>
      </c>
      <c r="AR1597">
        <v>3</v>
      </c>
      <c r="AS1597">
        <v>0</v>
      </c>
      <c r="AT1597">
        <v>0</v>
      </c>
      <c r="AU1597">
        <v>1</v>
      </c>
      <c r="AV1597">
        <v>151</v>
      </c>
      <c r="AW1597">
        <v>0</v>
      </c>
      <c r="AX1597">
        <v>0</v>
      </c>
      <c r="AY1597">
        <v>15.5</v>
      </c>
      <c r="AZ1597">
        <v>2.4</v>
      </c>
      <c r="BA1597">
        <v>10.9</v>
      </c>
      <c r="BB1597">
        <v>564</v>
      </c>
      <c r="BC1597">
        <v>68</v>
      </c>
      <c r="BD1597">
        <v>1.5</v>
      </c>
      <c r="BE1597">
        <v>135</v>
      </c>
      <c r="BF1597">
        <v>0</v>
      </c>
      <c r="BG1597">
        <v>162</v>
      </c>
      <c r="BH1597">
        <v>9.1</v>
      </c>
      <c r="BI1597">
        <v>9.1999999999999993</v>
      </c>
      <c r="BJ1597">
        <v>18.3</v>
      </c>
      <c r="BK1597">
        <v>0.34</v>
      </c>
      <c r="BL1597">
        <v>7.3</v>
      </c>
      <c r="BM1597">
        <v>0.9</v>
      </c>
      <c r="BN1597">
        <v>7.5</v>
      </c>
      <c r="BO1597">
        <v>2.9</v>
      </c>
      <c r="BP1597">
        <f t="shared" si="48"/>
        <v>2.0767851377437889</v>
      </c>
      <c r="BQ1597">
        <f t="shared" si="49"/>
        <v>10.161749245355175</v>
      </c>
    </row>
    <row r="1598" spans="1:69" hidden="1" x14ac:dyDescent="0.2">
      <c r="A1598" t="s">
        <v>2274</v>
      </c>
      <c r="B1598" t="s">
        <v>68</v>
      </c>
      <c r="C1598" t="s">
        <v>1956</v>
      </c>
      <c r="D1598" t="s">
        <v>70</v>
      </c>
      <c r="E1598" t="s">
        <v>205</v>
      </c>
      <c r="F1598">
        <v>4</v>
      </c>
      <c r="G1598">
        <v>157</v>
      </c>
      <c r="H1598">
        <v>4</v>
      </c>
      <c r="I1598">
        <v>3</v>
      </c>
      <c r="J1598">
        <v>3</v>
      </c>
      <c r="K1598" t="s">
        <v>110</v>
      </c>
      <c r="L1598" t="s">
        <v>162</v>
      </c>
      <c r="M1598" s="4">
        <v>980000000</v>
      </c>
      <c r="N1598">
        <v>0</v>
      </c>
      <c r="O1598">
        <v>4.7378444000000002</v>
      </c>
      <c r="P1598">
        <v>-74.039456299999998</v>
      </c>
      <c r="Q1598" t="s">
        <v>2275</v>
      </c>
      <c r="R1598">
        <v>6242038.2170000002</v>
      </c>
      <c r="S1598">
        <v>0</v>
      </c>
      <c r="T1598" t="s">
        <v>104</v>
      </c>
      <c r="U1598" t="s">
        <v>105</v>
      </c>
      <c r="V1598" t="s">
        <v>77</v>
      </c>
      <c r="W1598" t="s">
        <v>104</v>
      </c>
      <c r="X1598" t="s">
        <v>106</v>
      </c>
      <c r="Y1598">
        <v>3.2207765405321398</v>
      </c>
      <c r="Z1598">
        <v>3220.7765405321402</v>
      </c>
      <c r="AA1598">
        <v>4.71035</v>
      </c>
      <c r="AB1598">
        <v>-74.030416666666696</v>
      </c>
      <c r="AC1598">
        <v>2570</v>
      </c>
      <c r="AD1598">
        <v>10</v>
      </c>
      <c r="AE1598" t="s">
        <v>80</v>
      </c>
      <c r="AF1598" t="s">
        <v>107</v>
      </c>
      <c r="AG1598" t="s">
        <v>82</v>
      </c>
      <c r="AH1598" t="s">
        <v>83</v>
      </c>
      <c r="AI1598" t="s">
        <v>108</v>
      </c>
      <c r="AJ1598">
        <v>1.0486880315653699</v>
      </c>
      <c r="AK1598">
        <v>2.0182892275339599</v>
      </c>
      <c r="AL1598">
        <v>0.55115425503709004</v>
      </c>
      <c r="AM1598">
        <v>0.19710900650440499</v>
      </c>
      <c r="AN1598">
        <v>1.4685932951381999</v>
      </c>
      <c r="AO1598">
        <v>0.265172058573453</v>
      </c>
      <c r="AP1598">
        <v>0.265172058573453</v>
      </c>
      <c r="AQ1598">
        <v>0</v>
      </c>
      <c r="AR1598">
        <v>0</v>
      </c>
      <c r="AS1598">
        <v>0</v>
      </c>
      <c r="AT1598">
        <v>0</v>
      </c>
      <c r="AU1598">
        <v>1</v>
      </c>
      <c r="AV1598">
        <v>29</v>
      </c>
      <c r="AW1598">
        <v>0</v>
      </c>
      <c r="AX1598">
        <v>0</v>
      </c>
      <c r="AY1598">
        <v>15.5</v>
      </c>
      <c r="AZ1598">
        <v>2.4</v>
      </c>
      <c r="BA1598">
        <v>10.9</v>
      </c>
      <c r="BB1598">
        <v>564</v>
      </c>
      <c r="BC1598">
        <v>68</v>
      </c>
      <c r="BD1598">
        <v>1.5</v>
      </c>
      <c r="BE1598">
        <v>135</v>
      </c>
      <c r="BF1598">
        <v>0</v>
      </c>
      <c r="BG1598">
        <v>162</v>
      </c>
      <c r="BH1598">
        <v>9.1</v>
      </c>
      <c r="BI1598">
        <v>9.1999999999999993</v>
      </c>
      <c r="BJ1598">
        <v>18.3</v>
      </c>
      <c r="BK1598">
        <v>0.34</v>
      </c>
      <c r="BL1598">
        <v>7.3</v>
      </c>
      <c r="BM1598">
        <v>0.9</v>
      </c>
      <c r="BN1598">
        <v>7.5</v>
      </c>
      <c r="BO1598">
        <v>2.9</v>
      </c>
      <c r="BP1598">
        <f t="shared" si="48"/>
        <v>2.0463143533119816</v>
      </c>
      <c r="BQ1598">
        <f t="shared" si="49"/>
        <v>10.089185950418862</v>
      </c>
    </row>
    <row r="1599" spans="1:69" hidden="1" x14ac:dyDescent="0.2">
      <c r="A1599" t="s">
        <v>2387</v>
      </c>
      <c r="B1599" t="s">
        <v>68</v>
      </c>
      <c r="C1599" t="s">
        <v>1956</v>
      </c>
      <c r="D1599" t="s">
        <v>70</v>
      </c>
      <c r="E1599" t="s">
        <v>205</v>
      </c>
      <c r="F1599">
        <v>4</v>
      </c>
      <c r="G1599">
        <v>157</v>
      </c>
      <c r="H1599">
        <v>5</v>
      </c>
      <c r="I1599">
        <v>4</v>
      </c>
      <c r="J1599">
        <v>2</v>
      </c>
      <c r="K1599" t="s">
        <v>110</v>
      </c>
      <c r="L1599" t="s">
        <v>162</v>
      </c>
      <c r="M1599" s="4">
        <v>850000000</v>
      </c>
      <c r="N1599">
        <v>0</v>
      </c>
      <c r="O1599">
        <v>4.7310162289999997</v>
      </c>
      <c r="P1599">
        <v>-74.043151120000005</v>
      </c>
      <c r="Q1599" t="s">
        <v>2388</v>
      </c>
      <c r="R1599">
        <v>5414012.7390000001</v>
      </c>
      <c r="S1599">
        <v>0</v>
      </c>
      <c r="T1599" t="s">
        <v>104</v>
      </c>
      <c r="U1599" t="s">
        <v>105</v>
      </c>
      <c r="V1599" t="s">
        <v>77</v>
      </c>
      <c r="W1599" t="s">
        <v>104</v>
      </c>
      <c r="X1599" t="s">
        <v>106</v>
      </c>
      <c r="Y1599">
        <v>2.6997236496964598</v>
      </c>
      <c r="Z1599">
        <v>2699.7236496964601</v>
      </c>
      <c r="AA1599">
        <v>4.71035</v>
      </c>
      <c r="AB1599">
        <v>-74.030416666666696</v>
      </c>
      <c r="AC1599">
        <v>2570</v>
      </c>
      <c r="AD1599">
        <v>10</v>
      </c>
      <c r="AE1599" t="s">
        <v>80</v>
      </c>
      <c r="AF1599" t="s">
        <v>107</v>
      </c>
      <c r="AG1599" t="s">
        <v>82</v>
      </c>
      <c r="AH1599" t="s">
        <v>83</v>
      </c>
      <c r="AI1599" t="s">
        <v>108</v>
      </c>
      <c r="AJ1599">
        <v>0.73855232203062804</v>
      </c>
      <c r="AK1599">
        <v>2.35267750533469</v>
      </c>
      <c r="AL1599">
        <v>0.40843017848827501</v>
      </c>
      <c r="AM1599">
        <v>0.113161168606706</v>
      </c>
      <c r="AN1599">
        <v>2.1600363097440001</v>
      </c>
      <c r="AO1599">
        <v>0.16985050022866399</v>
      </c>
      <c r="AP1599">
        <v>0.16985050022866399</v>
      </c>
      <c r="AQ1599">
        <v>0</v>
      </c>
      <c r="AR1599">
        <v>3</v>
      </c>
      <c r="AS1599">
        <v>0</v>
      </c>
      <c r="AT1599">
        <v>0</v>
      </c>
      <c r="AU1599">
        <v>1</v>
      </c>
      <c r="AV1599">
        <v>23</v>
      </c>
      <c r="AW1599">
        <v>0</v>
      </c>
      <c r="AX1599">
        <v>0</v>
      </c>
      <c r="AY1599">
        <v>15.5</v>
      </c>
      <c r="AZ1599">
        <v>2.4</v>
      </c>
      <c r="BA1599">
        <v>10.9</v>
      </c>
      <c r="BB1599">
        <v>564</v>
      </c>
      <c r="BC1599">
        <v>68</v>
      </c>
      <c r="BD1599">
        <v>1.5</v>
      </c>
      <c r="BE1599">
        <v>135</v>
      </c>
      <c r="BF1599">
        <v>0</v>
      </c>
      <c r="BG1599">
        <v>162</v>
      </c>
      <c r="BH1599">
        <v>9.1</v>
      </c>
      <c r="BI1599">
        <v>9.1999999999999993</v>
      </c>
      <c r="BJ1599">
        <v>18.3</v>
      </c>
      <c r="BK1599">
        <v>0.34</v>
      </c>
      <c r="BL1599">
        <v>7.3</v>
      </c>
      <c r="BM1599">
        <v>0.9</v>
      </c>
      <c r="BN1599">
        <v>7.5</v>
      </c>
      <c r="BO1599">
        <v>2.9</v>
      </c>
      <c r="BP1599">
        <f t="shared" si="48"/>
        <v>2.0997796626855334</v>
      </c>
      <c r="BQ1599">
        <f t="shared" si="49"/>
        <v>10.216146119595436</v>
      </c>
    </row>
    <row r="1600" spans="1:69" hidden="1" x14ac:dyDescent="0.2">
      <c r="A1600" t="s">
        <v>1350</v>
      </c>
      <c r="B1600" t="s">
        <v>68</v>
      </c>
      <c r="C1600" t="s">
        <v>69</v>
      </c>
      <c r="D1600" t="s">
        <v>70</v>
      </c>
      <c r="E1600" t="s">
        <v>102</v>
      </c>
      <c r="F1600">
        <v>6</v>
      </c>
      <c r="G1600">
        <v>156</v>
      </c>
      <c r="H1600">
        <v>3</v>
      </c>
      <c r="I1600">
        <v>4</v>
      </c>
      <c r="J1600">
        <v>4</v>
      </c>
      <c r="K1600" t="s">
        <v>110</v>
      </c>
      <c r="L1600" t="s">
        <v>162</v>
      </c>
      <c r="M1600" s="4">
        <v>950000000</v>
      </c>
      <c r="N1600">
        <v>0</v>
      </c>
      <c r="O1600">
        <v>4.696643785</v>
      </c>
      <c r="P1600">
        <v>-74.035363200000006</v>
      </c>
      <c r="Q1600" t="s">
        <v>1351</v>
      </c>
      <c r="R1600">
        <v>6089743.5899999999</v>
      </c>
      <c r="S1600">
        <v>0</v>
      </c>
      <c r="T1600" t="s">
        <v>104</v>
      </c>
      <c r="U1600" t="s">
        <v>105</v>
      </c>
      <c r="V1600" t="s">
        <v>77</v>
      </c>
      <c r="W1600" t="s">
        <v>104</v>
      </c>
      <c r="X1600" t="s">
        <v>106</v>
      </c>
      <c r="Y1600">
        <v>1.6214630578817</v>
      </c>
      <c r="Z1600">
        <v>1621.4630578817</v>
      </c>
      <c r="AA1600">
        <v>4.71035</v>
      </c>
      <c r="AB1600">
        <v>-74.030416666666696</v>
      </c>
      <c r="AC1600">
        <v>2570</v>
      </c>
      <c r="AD1600">
        <v>10</v>
      </c>
      <c r="AE1600" t="s">
        <v>80</v>
      </c>
      <c r="AF1600" t="s">
        <v>107</v>
      </c>
      <c r="AG1600" t="s">
        <v>82</v>
      </c>
      <c r="AH1600" t="s">
        <v>83</v>
      </c>
      <c r="AI1600" t="s">
        <v>108</v>
      </c>
      <c r="AJ1600">
        <v>2.21758874366102</v>
      </c>
      <c r="AK1600">
        <v>1.0574252430166899</v>
      </c>
      <c r="AL1600">
        <v>0.60985758685188796</v>
      </c>
      <c r="AM1600">
        <v>5.7622933187699198E-2</v>
      </c>
      <c r="AN1600">
        <v>5.0526958576011003</v>
      </c>
      <c r="AO1600">
        <v>0.10067219364496501</v>
      </c>
      <c r="AP1600">
        <v>0.10067219364496501</v>
      </c>
      <c r="AQ1600">
        <v>0</v>
      </c>
      <c r="AR1600">
        <v>0</v>
      </c>
      <c r="AS1600">
        <v>0</v>
      </c>
      <c r="AT1600">
        <v>0</v>
      </c>
      <c r="AU1600">
        <v>2</v>
      </c>
      <c r="AV1600">
        <v>136</v>
      </c>
      <c r="AW1600">
        <v>0</v>
      </c>
      <c r="AX1600">
        <v>0</v>
      </c>
      <c r="AY1600">
        <v>15.5</v>
      </c>
      <c r="AZ1600">
        <v>2.4</v>
      </c>
      <c r="BA1600">
        <v>10.9</v>
      </c>
      <c r="BB1600">
        <v>564</v>
      </c>
      <c r="BC1600">
        <v>68</v>
      </c>
      <c r="BD1600">
        <v>1.5</v>
      </c>
      <c r="BE1600">
        <v>135</v>
      </c>
      <c r="BF1600">
        <v>0</v>
      </c>
      <c r="BG1600">
        <v>162</v>
      </c>
      <c r="BH1600">
        <v>9.1</v>
      </c>
      <c r="BI1600">
        <v>9.1999999999999993</v>
      </c>
      <c r="BJ1600">
        <v>18.3</v>
      </c>
      <c r="BK1600">
        <v>0.34</v>
      </c>
      <c r="BL1600">
        <v>7.3</v>
      </c>
      <c r="BM1600">
        <v>0.9</v>
      </c>
      <c r="BN1600">
        <v>7.5</v>
      </c>
      <c r="BO1600">
        <v>2.9</v>
      </c>
      <c r="BP1600">
        <f t="shared" si="48"/>
        <v>2.2148979185213786</v>
      </c>
      <c r="BQ1600">
        <f t="shared" si="49"/>
        <v>10.483972640829704</v>
      </c>
    </row>
    <row r="1601" spans="1:69" hidden="1" x14ac:dyDescent="0.2">
      <c r="A1601" t="s">
        <v>1700</v>
      </c>
      <c r="B1601" t="s">
        <v>68</v>
      </c>
      <c r="C1601" t="s">
        <v>69</v>
      </c>
      <c r="D1601" t="s">
        <v>70</v>
      </c>
      <c r="E1601" t="s">
        <v>982</v>
      </c>
      <c r="F1601">
        <v>5</v>
      </c>
      <c r="G1601">
        <v>155</v>
      </c>
      <c r="H1601">
        <v>3</v>
      </c>
      <c r="I1601">
        <v>4</v>
      </c>
      <c r="J1601">
        <v>3</v>
      </c>
      <c r="K1601" t="s">
        <v>110</v>
      </c>
      <c r="L1601" t="s">
        <v>111</v>
      </c>
      <c r="M1601" s="4">
        <v>1580000000</v>
      </c>
      <c r="N1601">
        <v>0</v>
      </c>
      <c r="O1601">
        <v>4.7111162999999996</v>
      </c>
      <c r="P1601">
        <v>-74.050378600000002</v>
      </c>
      <c r="Q1601" t="s">
        <v>1701</v>
      </c>
      <c r="R1601">
        <v>10193548.390000001</v>
      </c>
      <c r="S1601">
        <v>0</v>
      </c>
      <c r="T1601" t="s">
        <v>104</v>
      </c>
      <c r="U1601" t="s">
        <v>105</v>
      </c>
      <c r="V1601" t="s">
        <v>77</v>
      </c>
      <c r="W1601" t="s">
        <v>104</v>
      </c>
      <c r="X1601" t="s">
        <v>106</v>
      </c>
      <c r="Y1601">
        <v>2.21628813858166</v>
      </c>
      <c r="Z1601">
        <v>2216.28813858166</v>
      </c>
      <c r="AA1601">
        <v>4.71035</v>
      </c>
      <c r="AB1601">
        <v>-74.030416666666696</v>
      </c>
      <c r="AC1601">
        <v>2570</v>
      </c>
      <c r="AD1601">
        <v>10</v>
      </c>
      <c r="AE1601" t="s">
        <v>80</v>
      </c>
      <c r="AF1601" t="s">
        <v>107</v>
      </c>
      <c r="AG1601" t="s">
        <v>82</v>
      </c>
      <c r="AH1601" t="s">
        <v>83</v>
      </c>
      <c r="AI1601" t="s">
        <v>108</v>
      </c>
      <c r="AJ1601">
        <v>0.45067465650984501</v>
      </c>
      <c r="AK1601">
        <v>2.8135138685577799</v>
      </c>
      <c r="AL1601">
        <v>1.95186399151884</v>
      </c>
      <c r="AM1601">
        <v>0.27879612378712898</v>
      </c>
      <c r="AN1601">
        <v>4.2633167724011303</v>
      </c>
      <c r="AO1601">
        <v>0.28586389698833697</v>
      </c>
      <c r="AP1601">
        <v>0.28586389698833697</v>
      </c>
      <c r="AQ1601">
        <v>1</v>
      </c>
      <c r="AR1601">
        <v>2</v>
      </c>
      <c r="AS1601">
        <v>0</v>
      </c>
      <c r="AT1601">
        <v>0</v>
      </c>
      <c r="AU1601">
        <v>0</v>
      </c>
      <c r="AV1601">
        <v>98</v>
      </c>
      <c r="AW1601">
        <v>0</v>
      </c>
      <c r="AX1601">
        <v>0</v>
      </c>
      <c r="AY1601">
        <v>15.5</v>
      </c>
      <c r="AZ1601">
        <v>2.4</v>
      </c>
      <c r="BA1601">
        <v>10.9</v>
      </c>
      <c r="BB1601">
        <v>564</v>
      </c>
      <c r="BC1601">
        <v>68</v>
      </c>
      <c r="BD1601">
        <v>1.5</v>
      </c>
      <c r="BE1601">
        <v>135</v>
      </c>
      <c r="BF1601">
        <v>0</v>
      </c>
      <c r="BG1601">
        <v>162</v>
      </c>
      <c r="BH1601">
        <v>9.1</v>
      </c>
      <c r="BI1601">
        <v>9.1999999999999993</v>
      </c>
      <c r="BJ1601">
        <v>18.3</v>
      </c>
      <c r="BK1601">
        <v>0.34</v>
      </c>
      <c r="BL1601">
        <v>7.3</v>
      </c>
      <c r="BM1601">
        <v>0.9</v>
      </c>
      <c r="BN1601">
        <v>7.5</v>
      </c>
      <c r="BO1601">
        <v>2.9</v>
      </c>
      <c r="BP1601">
        <f t="shared" si="48"/>
        <v>2.1506335528902598</v>
      </c>
      <c r="BQ1601">
        <f t="shared" si="49"/>
        <v>10.335368767392742</v>
      </c>
    </row>
    <row r="1602" spans="1:69" hidden="1" x14ac:dyDescent="0.2">
      <c r="A1602" t="s">
        <v>2689</v>
      </c>
      <c r="B1602" t="s">
        <v>68</v>
      </c>
      <c r="C1602" t="s">
        <v>1956</v>
      </c>
      <c r="D1602" t="s">
        <v>70</v>
      </c>
      <c r="E1602" t="s">
        <v>332</v>
      </c>
      <c r="F1602">
        <v>4</v>
      </c>
      <c r="G1602">
        <v>155</v>
      </c>
      <c r="H1602">
        <v>3</v>
      </c>
      <c r="I1602">
        <v>3</v>
      </c>
      <c r="J1602">
        <v>1</v>
      </c>
      <c r="K1602" t="s">
        <v>110</v>
      </c>
      <c r="L1602" t="s">
        <v>162</v>
      </c>
      <c r="M1602" s="4">
        <v>730000000</v>
      </c>
      <c r="N1602">
        <v>0</v>
      </c>
      <c r="O1602">
        <v>4.7271100290000003</v>
      </c>
      <c r="P1602">
        <v>-74.027006990000004</v>
      </c>
      <c r="Q1602" t="s">
        <v>2690</v>
      </c>
      <c r="R1602">
        <v>4709677.4189999998</v>
      </c>
      <c r="S1602">
        <v>0</v>
      </c>
      <c r="T1602" t="s">
        <v>104</v>
      </c>
      <c r="U1602" t="s">
        <v>105</v>
      </c>
      <c r="V1602" t="s">
        <v>77</v>
      </c>
      <c r="W1602" t="s">
        <v>104</v>
      </c>
      <c r="X1602" t="s">
        <v>106</v>
      </c>
      <c r="Y1602">
        <v>1.9036797828979199</v>
      </c>
      <c r="Z1602">
        <v>1903.6797828979199</v>
      </c>
      <c r="AA1602">
        <v>4.71035</v>
      </c>
      <c r="AB1602">
        <v>-74.030416666666696</v>
      </c>
      <c r="AC1602">
        <v>2570</v>
      </c>
      <c r="AD1602">
        <v>10</v>
      </c>
      <c r="AE1602" t="s">
        <v>80</v>
      </c>
      <c r="AF1602" t="s">
        <v>107</v>
      </c>
      <c r="AG1602" t="s">
        <v>82</v>
      </c>
      <c r="AH1602" t="s">
        <v>83</v>
      </c>
      <c r="AI1602" t="s">
        <v>108</v>
      </c>
      <c r="AJ1602">
        <v>2.5626582534989302</v>
      </c>
      <c r="AK1602">
        <v>0.637470584855369</v>
      </c>
      <c r="AL1602">
        <v>1.57276272666803</v>
      </c>
      <c r="AM1602">
        <v>0.28092653628713599</v>
      </c>
      <c r="AN1602">
        <v>1.59467235934336</v>
      </c>
      <c r="AO1602">
        <v>0.34033695184888402</v>
      </c>
      <c r="AP1602">
        <v>0.34033695184888402</v>
      </c>
      <c r="AQ1602">
        <v>0</v>
      </c>
      <c r="AR1602">
        <v>0</v>
      </c>
      <c r="AS1602">
        <v>0</v>
      </c>
      <c r="AT1602">
        <v>27</v>
      </c>
      <c r="AU1602">
        <v>0</v>
      </c>
      <c r="AV1602">
        <v>8</v>
      </c>
      <c r="AW1602">
        <v>0</v>
      </c>
      <c r="AX1602">
        <v>0</v>
      </c>
      <c r="AY1602">
        <v>15.5</v>
      </c>
      <c r="AZ1602">
        <v>2.4</v>
      </c>
      <c r="BA1602">
        <v>10.9</v>
      </c>
      <c r="BB1602">
        <v>564</v>
      </c>
      <c r="BC1602">
        <v>68</v>
      </c>
      <c r="BD1602">
        <v>1.5</v>
      </c>
      <c r="BE1602">
        <v>135</v>
      </c>
      <c r="BF1602">
        <v>0</v>
      </c>
      <c r="BG1602">
        <v>162</v>
      </c>
      <c r="BH1602">
        <v>9.1</v>
      </c>
      <c r="BI1602">
        <v>9.1999999999999993</v>
      </c>
      <c r="BJ1602">
        <v>18.3</v>
      </c>
      <c r="BK1602">
        <v>0.34</v>
      </c>
      <c r="BL1602">
        <v>7.3</v>
      </c>
      <c r="BM1602">
        <v>0.9</v>
      </c>
      <c r="BN1602">
        <v>7.5</v>
      </c>
      <c r="BO1602">
        <v>2.9</v>
      </c>
      <c r="BP1602">
        <f t="shared" ref="BP1602:BP1665" si="50">+AZ1602*EXP(-0.0495*Y1602)</f>
        <v>2.1841715167301974</v>
      </c>
      <c r="BQ1602">
        <f t="shared" ref="BQ1602:BQ1665" si="51">+BA1602*EXP(-0.024*Y1602)</f>
        <v>10.413202523342099</v>
      </c>
    </row>
    <row r="1603" spans="1:69" hidden="1" x14ac:dyDescent="0.2">
      <c r="A1603" t="s">
        <v>1667</v>
      </c>
      <c r="B1603" t="s">
        <v>68</v>
      </c>
      <c r="C1603" t="s">
        <v>69</v>
      </c>
      <c r="D1603" t="s">
        <v>70</v>
      </c>
      <c r="E1603" t="s">
        <v>102</v>
      </c>
      <c r="F1603">
        <v>6</v>
      </c>
      <c r="G1603">
        <v>152</v>
      </c>
      <c r="H1603">
        <v>3</v>
      </c>
      <c r="I1603">
        <v>4</v>
      </c>
      <c r="J1603">
        <v>2</v>
      </c>
      <c r="K1603" t="s">
        <v>110</v>
      </c>
      <c r="L1603" t="s">
        <v>162</v>
      </c>
      <c r="M1603" s="4">
        <v>900000000</v>
      </c>
      <c r="N1603">
        <v>0</v>
      </c>
      <c r="O1603">
        <v>4.6970831999999998</v>
      </c>
      <c r="P1603">
        <v>-74.041510200000005</v>
      </c>
      <c r="Q1603" t="s">
        <v>1668</v>
      </c>
      <c r="R1603">
        <v>5921052.6320000002</v>
      </c>
      <c r="S1603">
        <v>0</v>
      </c>
      <c r="T1603" t="s">
        <v>104</v>
      </c>
      <c r="U1603" t="s">
        <v>105</v>
      </c>
      <c r="V1603" t="s">
        <v>77</v>
      </c>
      <c r="W1603" t="s">
        <v>104</v>
      </c>
      <c r="X1603" t="s">
        <v>106</v>
      </c>
      <c r="Y1603">
        <v>1.9224682708315299</v>
      </c>
      <c r="Z1603">
        <v>1922.4682708315299</v>
      </c>
      <c r="AA1603">
        <v>4.71035</v>
      </c>
      <c r="AB1603">
        <v>-74.030416666666696</v>
      </c>
      <c r="AC1603">
        <v>2570</v>
      </c>
      <c r="AD1603">
        <v>10</v>
      </c>
      <c r="AE1603" t="s">
        <v>80</v>
      </c>
      <c r="AF1603" t="s">
        <v>107</v>
      </c>
      <c r="AG1603" t="s">
        <v>82</v>
      </c>
      <c r="AH1603" t="s">
        <v>83</v>
      </c>
      <c r="AI1603" t="s">
        <v>108</v>
      </c>
      <c r="AJ1603">
        <v>1.53430039856926</v>
      </c>
      <c r="AK1603">
        <v>1.73498713412734</v>
      </c>
      <c r="AL1603">
        <v>1.01518832768144</v>
      </c>
      <c r="AM1603">
        <v>0.155561067805359</v>
      </c>
      <c r="AN1603">
        <v>5.1606500001509703</v>
      </c>
      <c r="AO1603">
        <v>0.174996950329707</v>
      </c>
      <c r="AP1603">
        <v>0.174996950329707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127</v>
      </c>
      <c r="AW1603">
        <v>0</v>
      </c>
      <c r="AX1603">
        <v>0</v>
      </c>
      <c r="AY1603">
        <v>15.5</v>
      </c>
      <c r="AZ1603">
        <v>2.4</v>
      </c>
      <c r="BA1603">
        <v>10.9</v>
      </c>
      <c r="BB1603">
        <v>564</v>
      </c>
      <c r="BC1603">
        <v>68</v>
      </c>
      <c r="BD1603">
        <v>1.5</v>
      </c>
      <c r="BE1603">
        <v>135</v>
      </c>
      <c r="BF1603">
        <v>0</v>
      </c>
      <c r="BG1603">
        <v>162</v>
      </c>
      <c r="BH1603">
        <v>9.1</v>
      </c>
      <c r="BI1603">
        <v>9.1999999999999993</v>
      </c>
      <c r="BJ1603">
        <v>18.3</v>
      </c>
      <c r="BK1603">
        <v>0.34</v>
      </c>
      <c r="BL1603">
        <v>7.3</v>
      </c>
      <c r="BM1603">
        <v>0.9</v>
      </c>
      <c r="BN1603">
        <v>7.5</v>
      </c>
      <c r="BO1603">
        <v>2.9</v>
      </c>
      <c r="BP1603">
        <f t="shared" si="50"/>
        <v>2.1821411156743928</v>
      </c>
      <c r="BQ1603">
        <f t="shared" si="51"/>
        <v>10.408508021933601</v>
      </c>
    </row>
    <row r="1604" spans="1:69" hidden="1" x14ac:dyDescent="0.2">
      <c r="A1604" t="s">
        <v>998</v>
      </c>
      <c r="B1604" t="s">
        <v>68</v>
      </c>
      <c r="C1604" t="s">
        <v>69</v>
      </c>
      <c r="D1604" t="s">
        <v>70</v>
      </c>
      <c r="E1604" t="s">
        <v>193</v>
      </c>
      <c r="F1604">
        <v>6</v>
      </c>
      <c r="G1604">
        <v>150</v>
      </c>
      <c r="H1604">
        <v>3</v>
      </c>
      <c r="I1604">
        <v>2</v>
      </c>
      <c r="J1604">
        <v>2</v>
      </c>
      <c r="K1604" t="s">
        <v>110</v>
      </c>
      <c r="L1604" t="s">
        <v>162</v>
      </c>
      <c r="M1604" s="4">
        <v>1025000000</v>
      </c>
      <c r="N1604">
        <v>0</v>
      </c>
      <c r="O1604">
        <v>4.6928456870000002</v>
      </c>
      <c r="P1604">
        <v>-74.037470479999996</v>
      </c>
      <c r="Q1604" t="s">
        <v>999</v>
      </c>
      <c r="R1604">
        <v>6833333.3329999996</v>
      </c>
      <c r="S1604">
        <v>0</v>
      </c>
      <c r="T1604" t="s">
        <v>104</v>
      </c>
      <c r="U1604" t="s">
        <v>105</v>
      </c>
      <c r="V1604" t="s">
        <v>77</v>
      </c>
      <c r="W1604" t="s">
        <v>104</v>
      </c>
      <c r="X1604" t="s">
        <v>106</v>
      </c>
      <c r="Y1604">
        <v>2.0998496533811402</v>
      </c>
      <c r="Z1604">
        <v>2099.8496533811399</v>
      </c>
      <c r="AA1604">
        <v>4.71035</v>
      </c>
      <c r="AB1604">
        <v>-74.030416666666696</v>
      </c>
      <c r="AC1604">
        <v>2570</v>
      </c>
      <c r="AD1604">
        <v>10</v>
      </c>
      <c r="AE1604" t="s">
        <v>80</v>
      </c>
      <c r="AF1604" t="s">
        <v>107</v>
      </c>
      <c r="AG1604" t="s">
        <v>82</v>
      </c>
      <c r="AH1604" t="s">
        <v>83</v>
      </c>
      <c r="AI1604" t="s">
        <v>108</v>
      </c>
      <c r="AJ1604">
        <v>2.0621917962034901</v>
      </c>
      <c r="AK1604">
        <v>1.20291564132104</v>
      </c>
      <c r="AL1604">
        <v>0.878820671833351</v>
      </c>
      <c r="AM1604">
        <v>0.14103318514624599</v>
      </c>
      <c r="AN1604">
        <v>5.3527446859148098</v>
      </c>
      <c r="AO1604">
        <v>0.429116959210532</v>
      </c>
      <c r="AP1604">
        <v>0.429116959210532</v>
      </c>
      <c r="AQ1604">
        <v>0</v>
      </c>
      <c r="AR1604">
        <v>0</v>
      </c>
      <c r="AS1604">
        <v>0</v>
      </c>
      <c r="AT1604">
        <v>0</v>
      </c>
      <c r="AU1604">
        <v>1</v>
      </c>
      <c r="AV1604">
        <v>117</v>
      </c>
      <c r="AW1604">
        <v>0</v>
      </c>
      <c r="AX1604">
        <v>0</v>
      </c>
      <c r="AY1604">
        <v>15.5</v>
      </c>
      <c r="AZ1604">
        <v>2.4</v>
      </c>
      <c r="BA1604">
        <v>10.9</v>
      </c>
      <c r="BB1604">
        <v>564</v>
      </c>
      <c r="BC1604">
        <v>68</v>
      </c>
      <c r="BD1604">
        <v>1.5</v>
      </c>
      <c r="BE1604">
        <v>135</v>
      </c>
      <c r="BF1604">
        <v>0</v>
      </c>
      <c r="BG1604">
        <v>162</v>
      </c>
      <c r="BH1604">
        <v>9.1</v>
      </c>
      <c r="BI1604">
        <v>9.1999999999999993</v>
      </c>
      <c r="BJ1604">
        <v>18.3</v>
      </c>
      <c r="BK1604">
        <v>0.34</v>
      </c>
      <c r="BL1604">
        <v>7.3</v>
      </c>
      <c r="BM1604">
        <v>0.9</v>
      </c>
      <c r="BN1604">
        <v>7.5</v>
      </c>
      <c r="BO1604">
        <v>2.9</v>
      </c>
      <c r="BP1604">
        <f t="shared" si="50"/>
        <v>2.1630649613608157</v>
      </c>
      <c r="BQ1604">
        <f t="shared" si="51"/>
        <v>10.364291593729714</v>
      </c>
    </row>
    <row r="1605" spans="1:69" hidden="1" x14ac:dyDescent="0.2">
      <c r="A1605" t="s">
        <v>2627</v>
      </c>
      <c r="B1605" t="s">
        <v>68</v>
      </c>
      <c r="C1605" t="s">
        <v>1956</v>
      </c>
      <c r="D1605" t="s">
        <v>70</v>
      </c>
      <c r="E1605" t="s">
        <v>772</v>
      </c>
      <c r="F1605">
        <v>4</v>
      </c>
      <c r="G1605">
        <v>150</v>
      </c>
      <c r="H1605">
        <v>3</v>
      </c>
      <c r="I1605">
        <v>4</v>
      </c>
      <c r="J1605">
        <v>2</v>
      </c>
      <c r="K1605" t="s">
        <v>110</v>
      </c>
      <c r="L1605" t="s">
        <v>162</v>
      </c>
      <c r="M1605" s="4">
        <v>895000000</v>
      </c>
      <c r="N1605">
        <v>0</v>
      </c>
      <c r="O1605">
        <v>4.7249206580000003</v>
      </c>
      <c r="P1605">
        <v>-74.04053854</v>
      </c>
      <c r="Q1605" t="s">
        <v>2628</v>
      </c>
      <c r="R1605">
        <v>5966666.6670000004</v>
      </c>
      <c r="S1605">
        <v>0</v>
      </c>
      <c r="T1605" t="s">
        <v>104</v>
      </c>
      <c r="U1605" t="s">
        <v>105</v>
      </c>
      <c r="V1605" t="s">
        <v>77</v>
      </c>
      <c r="W1605" t="s">
        <v>104</v>
      </c>
      <c r="X1605" t="s">
        <v>106</v>
      </c>
      <c r="Y1605">
        <v>1.97278546427581</v>
      </c>
      <c r="Z1605">
        <v>1972.78546427581</v>
      </c>
      <c r="AA1605">
        <v>4.71035</v>
      </c>
      <c r="AB1605">
        <v>-74.030416666666696</v>
      </c>
      <c r="AC1605">
        <v>2570</v>
      </c>
      <c r="AD1605">
        <v>10</v>
      </c>
      <c r="AE1605" t="s">
        <v>80</v>
      </c>
      <c r="AF1605" t="s">
        <v>107</v>
      </c>
      <c r="AG1605" t="s">
        <v>82</v>
      </c>
      <c r="AH1605" t="s">
        <v>83</v>
      </c>
      <c r="AI1605" t="s">
        <v>108</v>
      </c>
      <c r="AJ1605">
        <v>1.12521633438381</v>
      </c>
      <c r="AK1605">
        <v>1.96852379686618</v>
      </c>
      <c r="AL1605">
        <v>0.882282821931897</v>
      </c>
      <c r="AM1605">
        <v>0.338954254976711</v>
      </c>
      <c r="AN1605">
        <v>2.39067409753202</v>
      </c>
      <c r="AO1605">
        <v>0.12048948171481901</v>
      </c>
      <c r="AP1605">
        <v>0.12048948171481901</v>
      </c>
      <c r="AQ1605">
        <v>0</v>
      </c>
      <c r="AR1605">
        <v>0</v>
      </c>
      <c r="AS1605">
        <v>0</v>
      </c>
      <c r="AT1605">
        <v>0</v>
      </c>
      <c r="AU1605">
        <v>1</v>
      </c>
      <c r="AV1605">
        <v>38</v>
      </c>
      <c r="AW1605">
        <v>0</v>
      </c>
      <c r="AX1605">
        <v>0</v>
      </c>
      <c r="AY1605">
        <v>15.5</v>
      </c>
      <c r="AZ1605">
        <v>2.4</v>
      </c>
      <c r="BA1605">
        <v>10.9</v>
      </c>
      <c r="BB1605">
        <v>564</v>
      </c>
      <c r="BC1605">
        <v>68</v>
      </c>
      <c r="BD1605">
        <v>1.5</v>
      </c>
      <c r="BE1605">
        <v>135</v>
      </c>
      <c r="BF1605">
        <v>0</v>
      </c>
      <c r="BG1605">
        <v>162</v>
      </c>
      <c r="BH1605">
        <v>9.1</v>
      </c>
      <c r="BI1605">
        <v>9.1999999999999993</v>
      </c>
      <c r="BJ1605">
        <v>18.3</v>
      </c>
      <c r="BK1605">
        <v>0.34</v>
      </c>
      <c r="BL1605">
        <v>7.3</v>
      </c>
      <c r="BM1605">
        <v>0.9</v>
      </c>
      <c r="BN1605">
        <v>7.5</v>
      </c>
      <c r="BO1605">
        <v>2.9</v>
      </c>
      <c r="BP1605">
        <f t="shared" si="50"/>
        <v>2.176712817391139</v>
      </c>
      <c r="BQ1605">
        <f t="shared" si="51"/>
        <v>10.395946162511793</v>
      </c>
    </row>
    <row r="1606" spans="1:69" hidden="1" x14ac:dyDescent="0.2">
      <c r="A1606" t="s">
        <v>1704</v>
      </c>
      <c r="B1606" t="s">
        <v>68</v>
      </c>
      <c r="C1606" t="s">
        <v>69</v>
      </c>
      <c r="D1606" t="s">
        <v>70</v>
      </c>
      <c r="E1606" t="s">
        <v>213</v>
      </c>
      <c r="F1606">
        <v>6</v>
      </c>
      <c r="G1606">
        <v>150</v>
      </c>
      <c r="H1606">
        <v>3</v>
      </c>
      <c r="I1606">
        <v>4</v>
      </c>
      <c r="J1606">
        <v>2</v>
      </c>
      <c r="K1606" t="s">
        <v>110</v>
      </c>
      <c r="L1606" t="s">
        <v>162</v>
      </c>
      <c r="M1606" s="4">
        <v>1125000000</v>
      </c>
      <c r="N1606">
        <v>0</v>
      </c>
      <c r="O1606">
        <v>4.7012033459999998</v>
      </c>
      <c r="P1606">
        <v>-74.035324099999997</v>
      </c>
      <c r="Q1606" t="s">
        <v>1705</v>
      </c>
      <c r="R1606">
        <v>7500000</v>
      </c>
      <c r="S1606">
        <v>0</v>
      </c>
      <c r="T1606" t="s">
        <v>104</v>
      </c>
      <c r="U1606" t="s">
        <v>105</v>
      </c>
      <c r="V1606" t="s">
        <v>77</v>
      </c>
      <c r="W1606" t="s">
        <v>104</v>
      </c>
      <c r="X1606" t="s">
        <v>106</v>
      </c>
      <c r="Y1606">
        <v>1.1546256663888801</v>
      </c>
      <c r="Z1606">
        <v>1154.6256663888801</v>
      </c>
      <c r="AA1606">
        <v>4.71035</v>
      </c>
      <c r="AB1606">
        <v>-74.030416666666696</v>
      </c>
      <c r="AC1606">
        <v>2570</v>
      </c>
      <c r="AD1606">
        <v>10</v>
      </c>
      <c r="AE1606" t="s">
        <v>80</v>
      </c>
      <c r="AF1606" t="s">
        <v>107</v>
      </c>
      <c r="AG1606" t="s">
        <v>82</v>
      </c>
      <c r="AH1606" t="s">
        <v>83</v>
      </c>
      <c r="AI1606" t="s">
        <v>108</v>
      </c>
      <c r="AJ1606">
        <v>2.1298193140451498</v>
      </c>
      <c r="AK1606">
        <v>1.0691137148094201</v>
      </c>
      <c r="AL1606">
        <v>0.31741942049969601</v>
      </c>
      <c r="AM1606">
        <v>0.29559357246463203</v>
      </c>
      <c r="AN1606">
        <v>4.5580238729108604</v>
      </c>
      <c r="AO1606">
        <v>0.357471424218059</v>
      </c>
      <c r="AP1606">
        <v>0.357471424218059</v>
      </c>
      <c r="AQ1606">
        <v>0</v>
      </c>
      <c r="AR1606">
        <v>0</v>
      </c>
      <c r="AS1606">
        <v>0</v>
      </c>
      <c r="AT1606">
        <v>0</v>
      </c>
      <c r="AU1606">
        <v>2</v>
      </c>
      <c r="AV1606">
        <v>162</v>
      </c>
      <c r="AW1606">
        <v>0</v>
      </c>
      <c r="AX1606">
        <v>0</v>
      </c>
      <c r="AY1606">
        <v>15.5</v>
      </c>
      <c r="AZ1606">
        <v>2.4</v>
      </c>
      <c r="BA1606">
        <v>10.9</v>
      </c>
      <c r="BB1606">
        <v>564</v>
      </c>
      <c r="BC1606">
        <v>68</v>
      </c>
      <c r="BD1606">
        <v>1.5</v>
      </c>
      <c r="BE1606">
        <v>135</v>
      </c>
      <c r="BF1606">
        <v>0</v>
      </c>
      <c r="BG1606">
        <v>162</v>
      </c>
      <c r="BH1606">
        <v>9.1</v>
      </c>
      <c r="BI1606">
        <v>9.1999999999999993</v>
      </c>
      <c r="BJ1606">
        <v>18.3</v>
      </c>
      <c r="BK1606">
        <v>0.34</v>
      </c>
      <c r="BL1606">
        <v>7.3</v>
      </c>
      <c r="BM1606">
        <v>0.9</v>
      </c>
      <c r="BN1606">
        <v>7.5</v>
      </c>
      <c r="BO1606">
        <v>2.9</v>
      </c>
      <c r="BP1606">
        <f t="shared" si="50"/>
        <v>2.26667673829076</v>
      </c>
      <c r="BQ1606">
        <f t="shared" si="51"/>
        <v>10.602096591828557</v>
      </c>
    </row>
    <row r="1607" spans="1:69" hidden="1" x14ac:dyDescent="0.2">
      <c r="A1607" t="s">
        <v>711</v>
      </c>
      <c r="B1607" t="s">
        <v>68</v>
      </c>
      <c r="C1607" t="s">
        <v>69</v>
      </c>
      <c r="D1607" t="s">
        <v>70</v>
      </c>
      <c r="E1607" t="s">
        <v>235</v>
      </c>
      <c r="F1607">
        <v>6</v>
      </c>
      <c r="G1607">
        <v>150</v>
      </c>
      <c r="H1607">
        <v>3</v>
      </c>
      <c r="I1607">
        <v>4</v>
      </c>
      <c r="J1607">
        <v>2</v>
      </c>
      <c r="K1607" t="s">
        <v>110</v>
      </c>
      <c r="L1607" t="s">
        <v>162</v>
      </c>
      <c r="M1607" s="4">
        <v>1125000000</v>
      </c>
      <c r="N1607">
        <v>0</v>
      </c>
      <c r="O1607">
        <v>4.7012033000000004</v>
      </c>
      <c r="P1607">
        <v>-74.0353207</v>
      </c>
      <c r="Q1607" t="s">
        <v>712</v>
      </c>
      <c r="R1607">
        <v>7500000</v>
      </c>
      <c r="S1607">
        <v>0</v>
      </c>
      <c r="T1607" t="s">
        <v>104</v>
      </c>
      <c r="U1607" t="s">
        <v>105</v>
      </c>
      <c r="V1607" t="s">
        <v>77</v>
      </c>
      <c r="W1607" t="s">
        <v>104</v>
      </c>
      <c r="X1607" t="s">
        <v>106</v>
      </c>
      <c r="Y1607">
        <v>1.1544523610977899</v>
      </c>
      <c r="Z1607">
        <v>1154.4523610977899</v>
      </c>
      <c r="AA1607">
        <v>4.71035</v>
      </c>
      <c r="AB1607">
        <v>-74.030416666666696</v>
      </c>
      <c r="AC1607">
        <v>2570</v>
      </c>
      <c r="AD1607">
        <v>10</v>
      </c>
      <c r="AE1607" t="s">
        <v>80</v>
      </c>
      <c r="AF1607" t="s">
        <v>107</v>
      </c>
      <c r="AG1607" t="s">
        <v>82</v>
      </c>
      <c r="AH1607" t="s">
        <v>83</v>
      </c>
      <c r="AI1607" t="s">
        <v>108</v>
      </c>
      <c r="AJ1607">
        <v>2.1301911608478701</v>
      </c>
      <c r="AK1607">
        <v>1.0687414095376699</v>
      </c>
      <c r="AL1607">
        <v>0.31704305839472202</v>
      </c>
      <c r="AM1607">
        <v>0.29575974536560301</v>
      </c>
      <c r="AN1607">
        <v>4.5579500695860604</v>
      </c>
      <c r="AO1607">
        <v>0.35759417626896101</v>
      </c>
      <c r="AP1607">
        <v>0.35759417626896101</v>
      </c>
      <c r="AQ1607">
        <v>0</v>
      </c>
      <c r="AR1607">
        <v>0</v>
      </c>
      <c r="AS1607">
        <v>0</v>
      </c>
      <c r="AT1607">
        <v>0</v>
      </c>
      <c r="AU1607">
        <v>2</v>
      </c>
      <c r="AV1607">
        <v>162</v>
      </c>
      <c r="AW1607">
        <v>0</v>
      </c>
      <c r="AX1607">
        <v>0</v>
      </c>
      <c r="AY1607">
        <v>15.5</v>
      </c>
      <c r="AZ1607">
        <v>2.4</v>
      </c>
      <c r="BA1607">
        <v>10.9</v>
      </c>
      <c r="BB1607">
        <v>564</v>
      </c>
      <c r="BC1607">
        <v>68</v>
      </c>
      <c r="BD1607">
        <v>1.5</v>
      </c>
      <c r="BE1607">
        <v>135</v>
      </c>
      <c r="BF1607">
        <v>0</v>
      </c>
      <c r="BG1607">
        <v>162</v>
      </c>
      <c r="BH1607">
        <v>9.1</v>
      </c>
      <c r="BI1607">
        <v>9.1999999999999993</v>
      </c>
      <c r="BJ1607">
        <v>18.3</v>
      </c>
      <c r="BK1607">
        <v>0.34</v>
      </c>
      <c r="BL1607">
        <v>7.3</v>
      </c>
      <c r="BM1607">
        <v>0.9</v>
      </c>
      <c r="BN1607">
        <v>7.5</v>
      </c>
      <c r="BO1607">
        <v>2.9</v>
      </c>
      <c r="BP1607">
        <f t="shared" si="50"/>
        <v>2.266696183314227</v>
      </c>
      <c r="BQ1607">
        <f t="shared" si="51"/>
        <v>10.602140689506729</v>
      </c>
    </row>
    <row r="1608" spans="1:69" hidden="1" x14ac:dyDescent="0.2">
      <c r="A1608" t="s">
        <v>789</v>
      </c>
      <c r="B1608" t="s">
        <v>68</v>
      </c>
      <c r="C1608" t="s">
        <v>69</v>
      </c>
      <c r="D1608" t="s">
        <v>70</v>
      </c>
      <c r="E1608" t="s">
        <v>210</v>
      </c>
      <c r="F1608">
        <v>6</v>
      </c>
      <c r="G1608">
        <v>149.84</v>
      </c>
      <c r="H1608">
        <v>3</v>
      </c>
      <c r="I1608">
        <v>4</v>
      </c>
      <c r="J1608">
        <v>2</v>
      </c>
      <c r="K1608" t="s">
        <v>72</v>
      </c>
      <c r="L1608" t="s">
        <v>73</v>
      </c>
      <c r="M1608" s="4">
        <v>2464118800</v>
      </c>
      <c r="N1608">
        <v>0</v>
      </c>
      <c r="O1608">
        <v>4.6971930000000004</v>
      </c>
      <c r="P1608">
        <v>-74.052099999999996</v>
      </c>
      <c r="Q1608" t="s">
        <v>790</v>
      </c>
      <c r="R1608">
        <v>16445000</v>
      </c>
      <c r="S1608">
        <v>0</v>
      </c>
      <c r="T1608" t="s">
        <v>104</v>
      </c>
      <c r="U1608" t="s">
        <v>105</v>
      </c>
      <c r="V1608" t="s">
        <v>77</v>
      </c>
      <c r="W1608" t="s">
        <v>104</v>
      </c>
      <c r="X1608" t="s">
        <v>106</v>
      </c>
      <c r="Y1608">
        <v>2.8164312341552802</v>
      </c>
      <c r="Z1608">
        <v>2816.43123415528</v>
      </c>
      <c r="AA1608">
        <v>4.71035</v>
      </c>
      <c r="AB1608">
        <v>-74.030416666666696</v>
      </c>
      <c r="AC1608">
        <v>2570</v>
      </c>
      <c r="AD1608">
        <v>10</v>
      </c>
      <c r="AE1608" t="s">
        <v>80</v>
      </c>
      <c r="AF1608" t="s">
        <v>107</v>
      </c>
      <c r="AG1608" t="s">
        <v>82</v>
      </c>
      <c r="AH1608" t="s">
        <v>83</v>
      </c>
      <c r="AI1608" t="s">
        <v>108</v>
      </c>
      <c r="AJ1608">
        <v>0.3704520231708</v>
      </c>
      <c r="AK1608">
        <v>2.7029258595346799</v>
      </c>
      <c r="AL1608">
        <v>0.497922585731226</v>
      </c>
      <c r="AM1608">
        <v>0.183439943781117</v>
      </c>
      <c r="AN1608">
        <v>4.1912385891044197</v>
      </c>
      <c r="AO1608">
        <v>0.29890318697298801</v>
      </c>
      <c r="AP1608">
        <v>0.29890318697298801</v>
      </c>
      <c r="AQ1608">
        <v>1</v>
      </c>
      <c r="AR1608">
        <v>3</v>
      </c>
      <c r="AS1608">
        <v>0</v>
      </c>
      <c r="AT1608">
        <v>0</v>
      </c>
      <c r="AU1608">
        <v>1</v>
      </c>
      <c r="AV1608">
        <v>157</v>
      </c>
      <c r="AW1608">
        <v>0</v>
      </c>
      <c r="AX1608">
        <v>0</v>
      </c>
      <c r="AY1608">
        <v>15.5</v>
      </c>
      <c r="AZ1608">
        <v>2.4</v>
      </c>
      <c r="BA1608">
        <v>10.9</v>
      </c>
      <c r="BB1608">
        <v>564</v>
      </c>
      <c r="BC1608">
        <v>68</v>
      </c>
      <c r="BD1608">
        <v>1.5</v>
      </c>
      <c r="BE1608">
        <v>135</v>
      </c>
      <c r="BF1608">
        <v>0</v>
      </c>
      <c r="BG1608">
        <v>162</v>
      </c>
      <c r="BH1608">
        <v>9.1</v>
      </c>
      <c r="BI1608">
        <v>9.1999999999999993</v>
      </c>
      <c r="BJ1608">
        <v>18.3</v>
      </c>
      <c r="BK1608">
        <v>0.34</v>
      </c>
      <c r="BL1608">
        <v>7.3</v>
      </c>
      <c r="BM1608">
        <v>0.9</v>
      </c>
      <c r="BN1608">
        <v>7.5</v>
      </c>
      <c r="BO1608">
        <v>2.9</v>
      </c>
      <c r="BP1608">
        <f t="shared" si="50"/>
        <v>2.0876841538460198</v>
      </c>
      <c r="BQ1608">
        <f t="shared" si="51"/>
        <v>10.187570915927299</v>
      </c>
    </row>
    <row r="1609" spans="1:69" hidden="1" x14ac:dyDescent="0.2">
      <c r="A1609" t="s">
        <v>981</v>
      </c>
      <c r="B1609" t="s">
        <v>68</v>
      </c>
      <c r="C1609" t="s">
        <v>69</v>
      </c>
      <c r="D1609" t="s">
        <v>70</v>
      </c>
      <c r="E1609" t="s">
        <v>982</v>
      </c>
      <c r="F1609">
        <v>5</v>
      </c>
      <c r="G1609">
        <v>148.83000000000001</v>
      </c>
      <c r="H1609">
        <v>3</v>
      </c>
      <c r="I1609">
        <v>3</v>
      </c>
      <c r="J1609">
        <v>2</v>
      </c>
      <c r="K1609" t="s">
        <v>110</v>
      </c>
      <c r="L1609" t="s">
        <v>162</v>
      </c>
      <c r="M1609" s="4">
        <v>1090000000</v>
      </c>
      <c r="N1609">
        <v>0</v>
      </c>
      <c r="O1609">
        <v>4.7100999999999997</v>
      </c>
      <c r="P1609">
        <v>-74.052530000000004</v>
      </c>
      <c r="Q1609" t="s">
        <v>983</v>
      </c>
      <c r="R1609">
        <v>7323792.2460000003</v>
      </c>
      <c r="S1609">
        <v>0</v>
      </c>
      <c r="T1609" t="s">
        <v>104</v>
      </c>
      <c r="U1609" t="s">
        <v>105</v>
      </c>
      <c r="V1609" t="s">
        <v>77</v>
      </c>
      <c r="W1609" t="s">
        <v>104</v>
      </c>
      <c r="X1609" t="s">
        <v>106</v>
      </c>
      <c r="Y1609">
        <v>2.4534892531788701</v>
      </c>
      <c r="Z1609">
        <v>2453.4892531788701</v>
      </c>
      <c r="AA1609">
        <v>4.71035</v>
      </c>
      <c r="AB1609">
        <v>-74.030416666666696</v>
      </c>
      <c r="AC1609">
        <v>2570</v>
      </c>
      <c r="AD1609">
        <v>10</v>
      </c>
      <c r="AE1609" t="s">
        <v>80</v>
      </c>
      <c r="AF1609" t="s">
        <v>107</v>
      </c>
      <c r="AG1609" t="s">
        <v>82</v>
      </c>
      <c r="AH1609" t="s">
        <v>83</v>
      </c>
      <c r="AI1609" t="s">
        <v>108</v>
      </c>
      <c r="AJ1609">
        <v>0.49271932939232799</v>
      </c>
      <c r="AK1609">
        <v>3.0458061565085601</v>
      </c>
      <c r="AL1609">
        <v>1.88094119544386</v>
      </c>
      <c r="AM1609">
        <v>0.20291019389276899</v>
      </c>
      <c r="AN1609">
        <v>4.5001467510701003</v>
      </c>
      <c r="AO1609">
        <v>0.13278104955210901</v>
      </c>
      <c r="AP1609">
        <v>0.13278104955210901</v>
      </c>
      <c r="AQ1609">
        <v>1</v>
      </c>
      <c r="AR1609">
        <v>2</v>
      </c>
      <c r="AS1609">
        <v>0</v>
      </c>
      <c r="AT1609">
        <v>0</v>
      </c>
      <c r="AU1609">
        <v>0</v>
      </c>
      <c r="AV1609">
        <v>102</v>
      </c>
      <c r="AW1609">
        <v>0</v>
      </c>
      <c r="AX1609">
        <v>0</v>
      </c>
      <c r="AY1609">
        <v>15.5</v>
      </c>
      <c r="AZ1609">
        <v>2.4</v>
      </c>
      <c r="BA1609">
        <v>10.9</v>
      </c>
      <c r="BB1609">
        <v>564</v>
      </c>
      <c r="BC1609">
        <v>68</v>
      </c>
      <c r="BD1609">
        <v>1.5</v>
      </c>
      <c r="BE1609">
        <v>135</v>
      </c>
      <c r="BF1609">
        <v>0</v>
      </c>
      <c r="BG1609">
        <v>162</v>
      </c>
      <c r="BH1609">
        <v>9.1</v>
      </c>
      <c r="BI1609">
        <v>9.1999999999999993</v>
      </c>
      <c r="BJ1609">
        <v>18.3</v>
      </c>
      <c r="BK1609">
        <v>0.34</v>
      </c>
      <c r="BL1609">
        <v>7.3</v>
      </c>
      <c r="BM1609">
        <v>0.9</v>
      </c>
      <c r="BN1609">
        <v>7.5</v>
      </c>
      <c r="BO1609">
        <v>2.9</v>
      </c>
      <c r="BP1609">
        <f t="shared" si="50"/>
        <v>2.1255296520048632</v>
      </c>
      <c r="BQ1609">
        <f t="shared" si="51"/>
        <v>10.276698461991394</v>
      </c>
    </row>
    <row r="1610" spans="1:69" hidden="1" x14ac:dyDescent="0.2">
      <c r="A1610" t="s">
        <v>1319</v>
      </c>
      <c r="B1610" t="s">
        <v>68</v>
      </c>
      <c r="C1610" t="s">
        <v>69</v>
      </c>
      <c r="D1610" t="s">
        <v>70</v>
      </c>
      <c r="E1610" t="s">
        <v>213</v>
      </c>
      <c r="F1610">
        <v>6</v>
      </c>
      <c r="G1610">
        <v>148</v>
      </c>
      <c r="H1610">
        <v>3</v>
      </c>
      <c r="I1610">
        <v>3</v>
      </c>
      <c r="J1610">
        <v>1</v>
      </c>
      <c r="K1610" t="s">
        <v>110</v>
      </c>
      <c r="L1610" t="s">
        <v>162</v>
      </c>
      <c r="M1610" s="4">
        <v>890000000</v>
      </c>
      <c r="N1610">
        <v>0</v>
      </c>
      <c r="O1610">
        <v>4.6957165730000003</v>
      </c>
      <c r="P1610">
        <v>-74.039141670000006</v>
      </c>
      <c r="Q1610" t="s">
        <v>1320</v>
      </c>
      <c r="R1610">
        <v>6013513.5140000004</v>
      </c>
      <c r="S1610">
        <v>0</v>
      </c>
      <c r="T1610" t="s">
        <v>104</v>
      </c>
      <c r="U1610" t="s">
        <v>105</v>
      </c>
      <c r="V1610" t="s">
        <v>77</v>
      </c>
      <c r="W1610" t="s">
        <v>104</v>
      </c>
      <c r="X1610" t="s">
        <v>106</v>
      </c>
      <c r="Y1610">
        <v>1.89488895366578</v>
      </c>
      <c r="Z1610">
        <v>1894.88895366578</v>
      </c>
      <c r="AA1610">
        <v>4.71035</v>
      </c>
      <c r="AB1610">
        <v>-74.030416666666696</v>
      </c>
      <c r="AC1610">
        <v>2570</v>
      </c>
      <c r="AD1610">
        <v>10</v>
      </c>
      <c r="AE1610" t="s">
        <v>80</v>
      </c>
      <c r="AF1610" t="s">
        <v>107</v>
      </c>
      <c r="AG1610" t="s">
        <v>82</v>
      </c>
      <c r="AH1610" t="s">
        <v>83</v>
      </c>
      <c r="AI1610" t="s">
        <v>108</v>
      </c>
      <c r="AJ1610">
        <v>1.81225996657118</v>
      </c>
      <c r="AK1610">
        <v>1.45745251723044</v>
      </c>
      <c r="AL1610">
        <v>0.96616709000748302</v>
      </c>
      <c r="AM1610">
        <v>0.142666274262298</v>
      </c>
      <c r="AN1610">
        <v>5.2473154721131898</v>
      </c>
      <c r="AO1610">
        <v>9.5406069375160704E-2</v>
      </c>
      <c r="AP1610">
        <v>9.5406069375160704E-2</v>
      </c>
      <c r="AQ1610">
        <v>0</v>
      </c>
      <c r="AR1610">
        <v>0</v>
      </c>
      <c r="AS1610">
        <v>0</v>
      </c>
      <c r="AT1610">
        <v>0</v>
      </c>
      <c r="AU1610">
        <v>1</v>
      </c>
      <c r="AV1610">
        <v>158</v>
      </c>
      <c r="AW1610">
        <v>0</v>
      </c>
      <c r="AX1610">
        <v>0</v>
      </c>
      <c r="AY1610">
        <v>15.5</v>
      </c>
      <c r="AZ1610">
        <v>2.4</v>
      </c>
      <c r="BA1610">
        <v>10.9</v>
      </c>
      <c r="BB1610">
        <v>564</v>
      </c>
      <c r="BC1610">
        <v>68</v>
      </c>
      <c r="BD1610">
        <v>1.5</v>
      </c>
      <c r="BE1610">
        <v>135</v>
      </c>
      <c r="BF1610">
        <v>0</v>
      </c>
      <c r="BG1610">
        <v>162</v>
      </c>
      <c r="BH1610">
        <v>9.1</v>
      </c>
      <c r="BI1610">
        <v>9.1999999999999993</v>
      </c>
      <c r="BJ1610">
        <v>18.3</v>
      </c>
      <c r="BK1610">
        <v>0.34</v>
      </c>
      <c r="BL1610">
        <v>7.3</v>
      </c>
      <c r="BM1610">
        <v>0.9</v>
      </c>
      <c r="BN1610">
        <v>7.5</v>
      </c>
      <c r="BO1610">
        <v>2.9</v>
      </c>
      <c r="BP1610">
        <f t="shared" si="50"/>
        <v>2.1851221571503632</v>
      </c>
      <c r="BQ1610">
        <f t="shared" si="51"/>
        <v>10.415399731560752</v>
      </c>
    </row>
    <row r="1611" spans="1:69" hidden="1" x14ac:dyDescent="0.2">
      <c r="A1611" t="s">
        <v>209</v>
      </c>
      <c r="B1611" t="s">
        <v>68</v>
      </c>
      <c r="C1611" t="s">
        <v>69</v>
      </c>
      <c r="D1611" t="s">
        <v>70</v>
      </c>
      <c r="E1611" t="s">
        <v>210</v>
      </c>
      <c r="F1611">
        <v>6</v>
      </c>
      <c r="G1611">
        <v>147</v>
      </c>
      <c r="H1611">
        <v>3</v>
      </c>
      <c r="I1611">
        <v>5</v>
      </c>
      <c r="J1611">
        <v>3</v>
      </c>
      <c r="K1611" t="s">
        <v>110</v>
      </c>
      <c r="L1611" t="s">
        <v>124</v>
      </c>
      <c r="M1611" s="4">
        <v>1360000000</v>
      </c>
      <c r="N1611">
        <v>0</v>
      </c>
      <c r="O1611">
        <v>4.6964073180000003</v>
      </c>
      <c r="P1611">
        <v>-74.053649899999996</v>
      </c>
      <c r="Q1611" t="s">
        <v>211</v>
      </c>
      <c r="R1611">
        <v>9251700.6799999997</v>
      </c>
      <c r="S1611">
        <v>0</v>
      </c>
      <c r="T1611" t="s">
        <v>104</v>
      </c>
      <c r="U1611" t="s">
        <v>105</v>
      </c>
      <c r="V1611" t="s">
        <v>77</v>
      </c>
      <c r="W1611" t="s">
        <v>104</v>
      </c>
      <c r="X1611" t="s">
        <v>106</v>
      </c>
      <c r="Y1611">
        <v>3.0088244674237998</v>
      </c>
      <c r="Z1611">
        <v>3008.8244674237999</v>
      </c>
      <c r="AA1611">
        <v>4.71035</v>
      </c>
      <c r="AB1611">
        <v>-74.030416666666696</v>
      </c>
      <c r="AC1611">
        <v>2570</v>
      </c>
      <c r="AD1611">
        <v>10</v>
      </c>
      <c r="AE1611" t="s">
        <v>80</v>
      </c>
      <c r="AF1611" t="s">
        <v>107</v>
      </c>
      <c r="AG1611" t="s">
        <v>82</v>
      </c>
      <c r="AH1611" t="s">
        <v>83</v>
      </c>
      <c r="AI1611" t="s">
        <v>108</v>
      </c>
      <c r="AJ1611">
        <v>0.26447112127469402</v>
      </c>
      <c r="AK1611">
        <v>2.75695324445666</v>
      </c>
      <c r="AL1611">
        <v>0.54395175384252603</v>
      </c>
      <c r="AM1611">
        <v>0.162208344406054</v>
      </c>
      <c r="AN1611">
        <v>4.0025783513648401</v>
      </c>
      <c r="AO1611">
        <v>0.30386091331731802</v>
      </c>
      <c r="AP1611">
        <v>0.30386091331731802</v>
      </c>
      <c r="AQ1611">
        <v>2</v>
      </c>
      <c r="AR1611">
        <v>3</v>
      </c>
      <c r="AS1611">
        <v>0</v>
      </c>
      <c r="AT1611">
        <v>0</v>
      </c>
      <c r="AU1611">
        <v>3</v>
      </c>
      <c r="AV1611">
        <v>159</v>
      </c>
      <c r="AW1611">
        <v>0</v>
      </c>
      <c r="AX1611">
        <v>0</v>
      </c>
      <c r="AY1611">
        <v>15.5</v>
      </c>
      <c r="AZ1611">
        <v>2.4</v>
      </c>
      <c r="BA1611">
        <v>10.9</v>
      </c>
      <c r="BB1611">
        <v>564</v>
      </c>
      <c r="BC1611">
        <v>68</v>
      </c>
      <c r="BD1611">
        <v>1.5</v>
      </c>
      <c r="BE1611">
        <v>135</v>
      </c>
      <c r="BF1611">
        <v>0</v>
      </c>
      <c r="BG1611">
        <v>162</v>
      </c>
      <c r="BH1611">
        <v>9.1</v>
      </c>
      <c r="BI1611">
        <v>9.1999999999999993</v>
      </c>
      <c r="BJ1611">
        <v>18.3</v>
      </c>
      <c r="BK1611">
        <v>0.34</v>
      </c>
      <c r="BL1611">
        <v>7.3</v>
      </c>
      <c r="BM1611">
        <v>0.9</v>
      </c>
      <c r="BN1611">
        <v>7.5</v>
      </c>
      <c r="BO1611">
        <v>2.9</v>
      </c>
      <c r="BP1611">
        <f t="shared" si="50"/>
        <v>2.0678965396593587</v>
      </c>
      <c r="BQ1611">
        <f t="shared" si="51"/>
        <v>10.140638879204156</v>
      </c>
    </row>
    <row r="1612" spans="1:69" hidden="1" x14ac:dyDescent="0.2">
      <c r="A1612" t="s">
        <v>2864</v>
      </c>
      <c r="B1612" t="s">
        <v>68</v>
      </c>
      <c r="C1612" t="s">
        <v>1956</v>
      </c>
      <c r="D1612" t="s">
        <v>70</v>
      </c>
      <c r="E1612" t="s">
        <v>394</v>
      </c>
      <c r="F1612">
        <v>4</v>
      </c>
      <c r="G1612">
        <v>147</v>
      </c>
      <c r="H1612">
        <v>3</v>
      </c>
      <c r="I1612">
        <v>2</v>
      </c>
      <c r="J1612">
        <v>2</v>
      </c>
      <c r="K1612" t="s">
        <v>110</v>
      </c>
      <c r="L1612" t="s">
        <v>162</v>
      </c>
      <c r="M1612" s="4">
        <v>780000000</v>
      </c>
      <c r="N1612">
        <v>0</v>
      </c>
      <c r="O1612">
        <v>4.7248083540000003</v>
      </c>
      <c r="P1612">
        <v>-74.034437850000003</v>
      </c>
      <c r="Q1612" t="s">
        <v>2865</v>
      </c>
      <c r="R1612">
        <v>5306122.449</v>
      </c>
      <c r="S1612">
        <v>0</v>
      </c>
      <c r="T1612" t="s">
        <v>104</v>
      </c>
      <c r="U1612" t="s">
        <v>105</v>
      </c>
      <c r="V1612" t="s">
        <v>77</v>
      </c>
      <c r="W1612" t="s">
        <v>104</v>
      </c>
      <c r="X1612" t="s">
        <v>106</v>
      </c>
      <c r="Y1612">
        <v>1.67018022968599</v>
      </c>
      <c r="Z1612">
        <v>1670.1802296859901</v>
      </c>
      <c r="AA1612">
        <v>4.71035</v>
      </c>
      <c r="AB1612">
        <v>-74.030416666666696</v>
      </c>
      <c r="AC1612">
        <v>2570</v>
      </c>
      <c r="AD1612">
        <v>10</v>
      </c>
      <c r="AE1612" t="s">
        <v>80</v>
      </c>
      <c r="AF1612" t="s">
        <v>107</v>
      </c>
      <c r="AG1612" t="s">
        <v>82</v>
      </c>
      <c r="AH1612" t="s">
        <v>83</v>
      </c>
      <c r="AI1612" t="s">
        <v>108</v>
      </c>
      <c r="AJ1612">
        <v>1.79546491404762</v>
      </c>
      <c r="AK1612">
        <v>1.3294446099058399</v>
      </c>
      <c r="AL1612">
        <v>1.08306120948206</v>
      </c>
      <c r="AM1612">
        <v>0.292802654705967</v>
      </c>
      <c r="AN1612">
        <v>2.0366094329052</v>
      </c>
      <c r="AO1612">
        <v>0.11002026272146601</v>
      </c>
      <c r="AP1612">
        <v>0.11002026272146601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12</v>
      </c>
      <c r="AW1612">
        <v>0</v>
      </c>
      <c r="AX1612">
        <v>0</v>
      </c>
      <c r="AY1612">
        <v>15.5</v>
      </c>
      <c r="AZ1612">
        <v>2.4</v>
      </c>
      <c r="BA1612">
        <v>10.9</v>
      </c>
      <c r="BB1612">
        <v>564</v>
      </c>
      <c r="BC1612">
        <v>68</v>
      </c>
      <c r="BD1612">
        <v>1.5</v>
      </c>
      <c r="BE1612">
        <v>135</v>
      </c>
      <c r="BF1612">
        <v>0</v>
      </c>
      <c r="BG1612">
        <v>162</v>
      </c>
      <c r="BH1612">
        <v>9.1</v>
      </c>
      <c r="BI1612">
        <v>9.1999999999999993</v>
      </c>
      <c r="BJ1612">
        <v>18.3</v>
      </c>
      <c r="BK1612">
        <v>0.34</v>
      </c>
      <c r="BL1612">
        <v>7.3</v>
      </c>
      <c r="BM1612">
        <v>0.9</v>
      </c>
      <c r="BN1612">
        <v>7.5</v>
      </c>
      <c r="BO1612">
        <v>2.9</v>
      </c>
      <c r="BP1612">
        <f t="shared" si="50"/>
        <v>2.2095631271912688</v>
      </c>
      <c r="BQ1612">
        <f t="shared" si="51"/>
        <v>10.471721816219627</v>
      </c>
    </row>
    <row r="1613" spans="1:69" hidden="1" x14ac:dyDescent="0.2">
      <c r="A1613" t="s">
        <v>1368</v>
      </c>
      <c r="B1613" t="s">
        <v>68</v>
      </c>
      <c r="C1613" t="s">
        <v>69</v>
      </c>
      <c r="D1613" t="s">
        <v>70</v>
      </c>
      <c r="E1613" t="s">
        <v>468</v>
      </c>
      <c r="F1613">
        <v>6</v>
      </c>
      <c r="G1613">
        <v>146</v>
      </c>
      <c r="H1613">
        <v>3</v>
      </c>
      <c r="I1613">
        <v>3</v>
      </c>
      <c r="J1613">
        <v>4</v>
      </c>
      <c r="K1613" t="s">
        <v>110</v>
      </c>
      <c r="L1613" t="s">
        <v>162</v>
      </c>
      <c r="M1613" s="4">
        <v>1250000000</v>
      </c>
      <c r="N1613">
        <v>0</v>
      </c>
      <c r="O1613">
        <v>4.690810827</v>
      </c>
      <c r="P1613">
        <v>-74.054312530000004</v>
      </c>
      <c r="Q1613" t="s">
        <v>1369</v>
      </c>
      <c r="R1613">
        <v>8561643.8359999992</v>
      </c>
      <c r="S1613">
        <v>0</v>
      </c>
      <c r="T1613" t="s">
        <v>104</v>
      </c>
      <c r="U1613" t="s">
        <v>105</v>
      </c>
      <c r="V1613" t="s">
        <v>77</v>
      </c>
      <c r="W1613" t="s">
        <v>104</v>
      </c>
      <c r="X1613" t="s">
        <v>106</v>
      </c>
      <c r="Y1613">
        <v>3.42921292275734</v>
      </c>
      <c r="Z1613">
        <v>3429.21292275734</v>
      </c>
      <c r="AA1613">
        <v>4.71035</v>
      </c>
      <c r="AB1613">
        <v>-74.030416666666696</v>
      </c>
      <c r="AC1613">
        <v>2570</v>
      </c>
      <c r="AD1613">
        <v>10</v>
      </c>
      <c r="AE1613" t="s">
        <v>80</v>
      </c>
      <c r="AF1613" t="s">
        <v>107</v>
      </c>
      <c r="AG1613" t="s">
        <v>82</v>
      </c>
      <c r="AH1613" t="s">
        <v>83</v>
      </c>
      <c r="AI1613" t="s">
        <v>108</v>
      </c>
      <c r="AJ1613">
        <v>0.31715975139848701</v>
      </c>
      <c r="AK1613">
        <v>2.4100533058167102</v>
      </c>
      <c r="AL1613">
        <v>0.49210859530388001</v>
      </c>
      <c r="AM1613">
        <v>9.0771814761444899E-2</v>
      </c>
      <c r="AN1613">
        <v>3.5861099500499898</v>
      </c>
      <c r="AO1613">
        <v>0.279799838335204</v>
      </c>
      <c r="AP1613">
        <v>0.279799838335204</v>
      </c>
      <c r="AQ1613">
        <v>1</v>
      </c>
      <c r="AR1613">
        <v>3</v>
      </c>
      <c r="AS1613">
        <v>0</v>
      </c>
      <c r="AT1613">
        <v>0</v>
      </c>
      <c r="AU1613">
        <v>5</v>
      </c>
      <c r="AV1613">
        <v>193</v>
      </c>
      <c r="AW1613">
        <v>0</v>
      </c>
      <c r="AX1613">
        <v>0</v>
      </c>
      <c r="AY1613">
        <v>15.5</v>
      </c>
      <c r="AZ1613">
        <v>2.4</v>
      </c>
      <c r="BA1613">
        <v>10.9</v>
      </c>
      <c r="BB1613">
        <v>564</v>
      </c>
      <c r="BC1613">
        <v>68</v>
      </c>
      <c r="BD1613">
        <v>1.5</v>
      </c>
      <c r="BE1613">
        <v>135</v>
      </c>
      <c r="BF1613">
        <v>0</v>
      </c>
      <c r="BG1613">
        <v>162</v>
      </c>
      <c r="BH1613">
        <v>9.1</v>
      </c>
      <c r="BI1613">
        <v>9.1999999999999993</v>
      </c>
      <c r="BJ1613">
        <v>18.3</v>
      </c>
      <c r="BK1613">
        <v>0.34</v>
      </c>
      <c r="BL1613">
        <v>7.3</v>
      </c>
      <c r="BM1613">
        <v>0.9</v>
      </c>
      <c r="BN1613">
        <v>7.5</v>
      </c>
      <c r="BO1613">
        <v>2.9</v>
      </c>
      <c r="BP1613">
        <f t="shared" si="50"/>
        <v>2.0253098428677196</v>
      </c>
      <c r="BQ1613">
        <f t="shared" si="51"/>
        <v>10.03884109773673</v>
      </c>
    </row>
    <row r="1614" spans="1:69" hidden="1" x14ac:dyDescent="0.2">
      <c r="A1614" t="s">
        <v>1694</v>
      </c>
      <c r="B1614" t="s">
        <v>68</v>
      </c>
      <c r="C1614" t="s">
        <v>69</v>
      </c>
      <c r="D1614" t="s">
        <v>70</v>
      </c>
      <c r="E1614" t="s">
        <v>1695</v>
      </c>
      <c r="F1614">
        <v>5</v>
      </c>
      <c r="G1614">
        <v>146</v>
      </c>
      <c r="H1614">
        <v>3</v>
      </c>
      <c r="I1614">
        <v>5</v>
      </c>
      <c r="J1614">
        <v>3</v>
      </c>
      <c r="K1614" t="s">
        <v>110</v>
      </c>
      <c r="L1614" t="s">
        <v>124</v>
      </c>
      <c r="M1614" s="4">
        <v>1000000000</v>
      </c>
      <c r="N1614">
        <v>0</v>
      </c>
      <c r="O1614">
        <v>4.7157158849999998</v>
      </c>
      <c r="P1614">
        <v>-74.049995420000002</v>
      </c>
      <c r="Q1614" t="s">
        <v>1696</v>
      </c>
      <c r="R1614">
        <v>6849315.068</v>
      </c>
      <c r="S1614">
        <v>0</v>
      </c>
      <c r="T1614" t="s">
        <v>104</v>
      </c>
      <c r="U1614" t="s">
        <v>105</v>
      </c>
      <c r="V1614" t="s">
        <v>77</v>
      </c>
      <c r="W1614" t="s">
        <v>104</v>
      </c>
      <c r="X1614" t="s">
        <v>106</v>
      </c>
      <c r="Y1614">
        <v>2.2527622032452399</v>
      </c>
      <c r="Z1614">
        <v>2252.76220324524</v>
      </c>
      <c r="AA1614">
        <v>4.71035</v>
      </c>
      <c r="AB1614">
        <v>-74.030416666666696</v>
      </c>
      <c r="AC1614">
        <v>2570</v>
      </c>
      <c r="AD1614">
        <v>10</v>
      </c>
      <c r="AE1614" t="s">
        <v>80</v>
      </c>
      <c r="AF1614" t="s">
        <v>107</v>
      </c>
      <c r="AG1614" t="s">
        <v>82</v>
      </c>
      <c r="AH1614" t="s">
        <v>83</v>
      </c>
      <c r="AI1614" t="s">
        <v>108</v>
      </c>
      <c r="AJ1614">
        <v>0.31162158306340498</v>
      </c>
      <c r="AK1614">
        <v>2.8273626660745399</v>
      </c>
      <c r="AL1614">
        <v>1.98650593162055</v>
      </c>
      <c r="AM1614">
        <v>0.431826178094187</v>
      </c>
      <c r="AN1614">
        <v>3.8464927724702198</v>
      </c>
      <c r="AO1614">
        <v>0.31584046051578202</v>
      </c>
      <c r="AP1614">
        <v>0.31584046051578202</v>
      </c>
      <c r="AQ1614">
        <v>1</v>
      </c>
      <c r="AR1614">
        <v>2</v>
      </c>
      <c r="AS1614">
        <v>0</v>
      </c>
      <c r="AT1614">
        <v>0</v>
      </c>
      <c r="AU1614">
        <v>0</v>
      </c>
      <c r="AV1614">
        <v>55</v>
      </c>
      <c r="AW1614">
        <v>0</v>
      </c>
      <c r="AX1614">
        <v>0</v>
      </c>
      <c r="AY1614">
        <v>15.5</v>
      </c>
      <c r="AZ1614">
        <v>2.4</v>
      </c>
      <c r="BA1614">
        <v>10.9</v>
      </c>
      <c r="BB1614">
        <v>564</v>
      </c>
      <c r="BC1614">
        <v>68</v>
      </c>
      <c r="BD1614">
        <v>1.5</v>
      </c>
      <c r="BE1614">
        <v>135</v>
      </c>
      <c r="BF1614">
        <v>0</v>
      </c>
      <c r="BG1614">
        <v>162</v>
      </c>
      <c r="BH1614">
        <v>9.1</v>
      </c>
      <c r="BI1614">
        <v>9.1999999999999993</v>
      </c>
      <c r="BJ1614">
        <v>18.3</v>
      </c>
      <c r="BK1614">
        <v>0.34</v>
      </c>
      <c r="BL1614">
        <v>7.3</v>
      </c>
      <c r="BM1614">
        <v>0.9</v>
      </c>
      <c r="BN1614">
        <v>7.5</v>
      </c>
      <c r="BO1614">
        <v>2.9</v>
      </c>
      <c r="BP1614">
        <f t="shared" si="50"/>
        <v>2.1467541598104587</v>
      </c>
      <c r="BQ1614">
        <f t="shared" si="51"/>
        <v>10.32632537635113</v>
      </c>
    </row>
    <row r="1615" spans="1:69" hidden="1" x14ac:dyDescent="0.2">
      <c r="A1615" t="s">
        <v>2925</v>
      </c>
      <c r="B1615" t="s">
        <v>68</v>
      </c>
      <c r="C1615" t="s">
        <v>1956</v>
      </c>
      <c r="D1615" t="s">
        <v>70</v>
      </c>
      <c r="E1615" t="s">
        <v>205</v>
      </c>
      <c r="F1615">
        <v>4</v>
      </c>
      <c r="G1615">
        <v>146</v>
      </c>
      <c r="H1615">
        <v>5</v>
      </c>
      <c r="I1615">
        <v>4</v>
      </c>
      <c r="J1615">
        <v>2</v>
      </c>
      <c r="K1615" t="s">
        <v>110</v>
      </c>
      <c r="L1615" t="s">
        <v>162</v>
      </c>
      <c r="M1615" s="4">
        <v>640000000</v>
      </c>
      <c r="N1615">
        <v>0</v>
      </c>
      <c r="O1615">
        <v>4.7207211999999998</v>
      </c>
      <c r="P1615">
        <v>-74.037086900000006</v>
      </c>
      <c r="Q1615" t="s">
        <v>2926</v>
      </c>
      <c r="R1615">
        <v>4383561.6440000003</v>
      </c>
      <c r="S1615">
        <v>0</v>
      </c>
      <c r="T1615" t="s">
        <v>104</v>
      </c>
      <c r="U1615" t="s">
        <v>105</v>
      </c>
      <c r="V1615" t="s">
        <v>77</v>
      </c>
      <c r="W1615" t="s">
        <v>104</v>
      </c>
      <c r="X1615" t="s">
        <v>106</v>
      </c>
      <c r="Y1615">
        <v>1.37132380489226</v>
      </c>
      <c r="Z1615">
        <v>1371.3238048922599</v>
      </c>
      <c r="AA1615">
        <v>4.71035</v>
      </c>
      <c r="AB1615">
        <v>-74.030416666666696</v>
      </c>
      <c r="AC1615">
        <v>2570</v>
      </c>
      <c r="AD1615">
        <v>10</v>
      </c>
      <c r="AE1615" t="s">
        <v>80</v>
      </c>
      <c r="AF1615" t="s">
        <v>107</v>
      </c>
      <c r="AG1615" t="s">
        <v>82</v>
      </c>
      <c r="AH1615" t="s">
        <v>83</v>
      </c>
      <c r="AI1615" t="s">
        <v>108</v>
      </c>
      <c r="AJ1615">
        <v>1.59424189441172</v>
      </c>
      <c r="AK1615">
        <v>1.5045061379451701</v>
      </c>
      <c r="AL1615">
        <v>1.2018637919072599</v>
      </c>
      <c r="AM1615">
        <v>0.15251134001340499</v>
      </c>
      <c r="AN1615">
        <v>2.5709898627970098</v>
      </c>
      <c r="AO1615">
        <v>1.2105326406484899E-2</v>
      </c>
      <c r="AP1615">
        <v>1.2105326406484899E-2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40</v>
      </c>
      <c r="AW1615">
        <v>0</v>
      </c>
      <c r="AX1615">
        <v>0</v>
      </c>
      <c r="AY1615">
        <v>15.5</v>
      </c>
      <c r="AZ1615">
        <v>2.4</v>
      </c>
      <c r="BA1615">
        <v>10.9</v>
      </c>
      <c r="BB1615">
        <v>564</v>
      </c>
      <c r="BC1615">
        <v>68</v>
      </c>
      <c r="BD1615">
        <v>1.5</v>
      </c>
      <c r="BE1615">
        <v>135</v>
      </c>
      <c r="BF1615">
        <v>0</v>
      </c>
      <c r="BG1615">
        <v>162</v>
      </c>
      <c r="BH1615">
        <v>9.1</v>
      </c>
      <c r="BI1615">
        <v>9.1999999999999993</v>
      </c>
      <c r="BJ1615">
        <v>18.3</v>
      </c>
      <c r="BK1615">
        <v>0.34</v>
      </c>
      <c r="BL1615">
        <v>7.3</v>
      </c>
      <c r="BM1615">
        <v>0.9</v>
      </c>
      <c r="BN1615">
        <v>7.5</v>
      </c>
      <c r="BO1615">
        <v>2.9</v>
      </c>
      <c r="BP1615">
        <f t="shared" si="50"/>
        <v>2.2424930349424272</v>
      </c>
      <c r="BQ1615">
        <f t="shared" si="51"/>
        <v>10.547100815280787</v>
      </c>
    </row>
    <row r="1616" spans="1:69" hidden="1" x14ac:dyDescent="0.2">
      <c r="A1616" t="s">
        <v>1781</v>
      </c>
      <c r="B1616" t="s">
        <v>68</v>
      </c>
      <c r="C1616" t="s">
        <v>69</v>
      </c>
      <c r="D1616" t="s">
        <v>70</v>
      </c>
      <c r="E1616" t="s">
        <v>1074</v>
      </c>
      <c r="F1616">
        <v>6</v>
      </c>
      <c r="G1616">
        <v>145</v>
      </c>
      <c r="H1616">
        <v>3</v>
      </c>
      <c r="I1616">
        <v>3</v>
      </c>
      <c r="J1616">
        <v>2</v>
      </c>
      <c r="K1616" t="s">
        <v>110</v>
      </c>
      <c r="L1616" t="s">
        <v>162</v>
      </c>
      <c r="M1616" s="4">
        <v>780000000</v>
      </c>
      <c r="N1616">
        <v>0</v>
      </c>
      <c r="O1616">
        <v>4.6851882930000004</v>
      </c>
      <c r="P1616">
        <v>-74.052490230000004</v>
      </c>
      <c r="Q1616" t="s">
        <v>1782</v>
      </c>
      <c r="R1616">
        <v>5379310.3449999997</v>
      </c>
      <c r="S1616">
        <v>0</v>
      </c>
      <c r="T1616" t="s">
        <v>104</v>
      </c>
      <c r="U1616" t="s">
        <v>105</v>
      </c>
      <c r="V1616" t="s">
        <v>77</v>
      </c>
      <c r="W1616" t="s">
        <v>104</v>
      </c>
      <c r="X1616" t="s">
        <v>106</v>
      </c>
      <c r="Y1616">
        <v>3.7206122785846301</v>
      </c>
      <c r="Z1616">
        <v>3720.6122785846301</v>
      </c>
      <c r="AA1616">
        <v>4.71035</v>
      </c>
      <c r="AB1616">
        <v>-74.030416666666696</v>
      </c>
      <c r="AC1616">
        <v>2570</v>
      </c>
      <c r="AD1616">
        <v>10</v>
      </c>
      <c r="AE1616" t="s">
        <v>80</v>
      </c>
      <c r="AF1616" t="s">
        <v>107</v>
      </c>
      <c r="AG1616" t="s">
        <v>82</v>
      </c>
      <c r="AH1616" t="s">
        <v>83</v>
      </c>
      <c r="AI1616" t="s">
        <v>130</v>
      </c>
      <c r="AJ1616">
        <v>0.59498923833050599</v>
      </c>
      <c r="AK1616">
        <v>1.8951852702930301</v>
      </c>
      <c r="AL1616">
        <v>7.2277808935243895E-2</v>
      </c>
      <c r="AM1616">
        <v>3.6276334469928499E-2</v>
      </c>
      <c r="AN1616">
        <v>3.4909994952133099</v>
      </c>
      <c r="AO1616">
        <v>0.65727092623807104</v>
      </c>
      <c r="AP1616">
        <v>0.65727092623807104</v>
      </c>
      <c r="AQ1616">
        <v>0</v>
      </c>
      <c r="AR1616">
        <v>2</v>
      </c>
      <c r="AS1616">
        <v>0</v>
      </c>
      <c r="AT1616">
        <v>0</v>
      </c>
      <c r="AU1616">
        <v>5</v>
      </c>
      <c r="AV1616">
        <v>244</v>
      </c>
      <c r="AW1616">
        <v>0</v>
      </c>
      <c r="AX1616">
        <v>0</v>
      </c>
      <c r="AY1616">
        <v>15.5</v>
      </c>
      <c r="AZ1616">
        <v>2.4</v>
      </c>
      <c r="BA1616">
        <v>10.9</v>
      </c>
      <c r="BB1616">
        <v>564</v>
      </c>
      <c r="BC1616">
        <v>68</v>
      </c>
      <c r="BD1616">
        <v>1.5</v>
      </c>
      <c r="BE1616">
        <v>135</v>
      </c>
      <c r="BF1616">
        <v>0</v>
      </c>
      <c r="BG1616">
        <v>162</v>
      </c>
      <c r="BH1616">
        <v>9.1</v>
      </c>
      <c r="BI1616">
        <v>9.1999999999999993</v>
      </c>
      <c r="BJ1616">
        <v>18.3</v>
      </c>
      <c r="BK1616">
        <v>0.34</v>
      </c>
      <c r="BL1616">
        <v>7.3</v>
      </c>
      <c r="BM1616">
        <v>0.9</v>
      </c>
      <c r="BN1616">
        <v>7.5</v>
      </c>
      <c r="BO1616">
        <v>2.9</v>
      </c>
      <c r="BP1616">
        <f t="shared" si="50"/>
        <v>1.9963059137829793</v>
      </c>
      <c r="BQ1616">
        <f t="shared" si="51"/>
        <v>9.9688785435131209</v>
      </c>
    </row>
    <row r="1617" spans="1:69" hidden="1" x14ac:dyDescent="0.2">
      <c r="A1617" t="s">
        <v>1731</v>
      </c>
      <c r="B1617" t="s">
        <v>68</v>
      </c>
      <c r="C1617" t="s">
        <v>69</v>
      </c>
      <c r="D1617" t="s">
        <v>70</v>
      </c>
      <c r="E1617" t="s">
        <v>210</v>
      </c>
      <c r="F1617">
        <v>6</v>
      </c>
      <c r="G1617">
        <v>145</v>
      </c>
      <c r="H1617">
        <v>2</v>
      </c>
      <c r="I1617">
        <v>3</v>
      </c>
      <c r="J1617">
        <v>2</v>
      </c>
      <c r="K1617" t="s">
        <v>110</v>
      </c>
      <c r="L1617" t="s">
        <v>162</v>
      </c>
      <c r="M1617" s="4">
        <v>780000000</v>
      </c>
      <c r="N1617">
        <v>0</v>
      </c>
      <c r="O1617">
        <v>4.6928086279999999</v>
      </c>
      <c r="P1617">
        <v>-74.046524050000002</v>
      </c>
      <c r="Q1617" t="s">
        <v>1732</v>
      </c>
      <c r="R1617">
        <v>5379310.3449999997</v>
      </c>
      <c r="S1617">
        <v>0</v>
      </c>
      <c r="T1617" t="s">
        <v>104</v>
      </c>
      <c r="U1617" t="s">
        <v>105</v>
      </c>
      <c r="V1617" t="s">
        <v>77</v>
      </c>
      <c r="W1617" t="s">
        <v>104</v>
      </c>
      <c r="X1617" t="s">
        <v>106</v>
      </c>
      <c r="Y1617">
        <v>2.6469809839376901</v>
      </c>
      <c r="Z1617">
        <v>2646.9809839376899</v>
      </c>
      <c r="AA1617">
        <v>4.71035</v>
      </c>
      <c r="AB1617">
        <v>-74.030416666666696</v>
      </c>
      <c r="AC1617">
        <v>2570</v>
      </c>
      <c r="AD1617">
        <v>10</v>
      </c>
      <c r="AE1617" t="s">
        <v>80</v>
      </c>
      <c r="AF1617" t="s">
        <v>107</v>
      </c>
      <c r="AG1617" t="s">
        <v>82</v>
      </c>
      <c r="AH1617" t="s">
        <v>83</v>
      </c>
      <c r="AI1617" t="s">
        <v>108</v>
      </c>
      <c r="AJ1617">
        <v>1.0710814209477799</v>
      </c>
      <c r="AK1617">
        <v>1.9368117598924499</v>
      </c>
      <c r="AL1617">
        <v>0.37271373409379199</v>
      </c>
      <c r="AM1617">
        <v>4.01056489946299E-2</v>
      </c>
      <c r="AN1617">
        <v>4.4452406495240702</v>
      </c>
      <c r="AO1617">
        <v>5.6188932044123598E-2</v>
      </c>
      <c r="AP1617">
        <v>5.6188932044123598E-2</v>
      </c>
      <c r="AQ1617">
        <v>0</v>
      </c>
      <c r="AR1617">
        <v>0</v>
      </c>
      <c r="AS1617">
        <v>0</v>
      </c>
      <c r="AT1617">
        <v>0</v>
      </c>
      <c r="AU1617">
        <v>4</v>
      </c>
      <c r="AV1617">
        <v>117</v>
      </c>
      <c r="AW1617">
        <v>0</v>
      </c>
      <c r="AX1617">
        <v>0</v>
      </c>
      <c r="AY1617">
        <v>15.5</v>
      </c>
      <c r="AZ1617">
        <v>2.4</v>
      </c>
      <c r="BA1617">
        <v>10.9</v>
      </c>
      <c r="BB1617">
        <v>564</v>
      </c>
      <c r="BC1617">
        <v>68</v>
      </c>
      <c r="BD1617">
        <v>1.5</v>
      </c>
      <c r="BE1617">
        <v>135</v>
      </c>
      <c r="BF1617">
        <v>0</v>
      </c>
      <c r="BG1617">
        <v>162</v>
      </c>
      <c r="BH1617">
        <v>9.1</v>
      </c>
      <c r="BI1617">
        <v>9.1999999999999993</v>
      </c>
      <c r="BJ1617">
        <v>18.3</v>
      </c>
      <c r="BK1617">
        <v>0.34</v>
      </c>
      <c r="BL1617">
        <v>7.3</v>
      </c>
      <c r="BM1617">
        <v>0.9</v>
      </c>
      <c r="BN1617">
        <v>7.5</v>
      </c>
      <c r="BO1617">
        <v>2.9</v>
      </c>
      <c r="BP1617">
        <f t="shared" si="50"/>
        <v>2.1052688499055647</v>
      </c>
      <c r="BQ1617">
        <f t="shared" si="51"/>
        <v>10.229086150491387</v>
      </c>
    </row>
    <row r="1618" spans="1:69" hidden="1" x14ac:dyDescent="0.2">
      <c r="A1618" t="s">
        <v>1200</v>
      </c>
      <c r="B1618" t="s">
        <v>68</v>
      </c>
      <c r="C1618" t="s">
        <v>69</v>
      </c>
      <c r="D1618" t="s">
        <v>70</v>
      </c>
      <c r="E1618" t="s">
        <v>210</v>
      </c>
      <c r="F1618">
        <v>6</v>
      </c>
      <c r="G1618">
        <v>144</v>
      </c>
      <c r="H1618">
        <v>3</v>
      </c>
      <c r="I1618">
        <v>4</v>
      </c>
      <c r="J1618">
        <v>2</v>
      </c>
      <c r="K1618" t="s">
        <v>110</v>
      </c>
      <c r="L1618" t="s">
        <v>162</v>
      </c>
      <c r="M1618" s="4">
        <v>780000000</v>
      </c>
      <c r="N1618">
        <v>0</v>
      </c>
      <c r="O1618">
        <v>4.6941590309999999</v>
      </c>
      <c r="P1618">
        <v>-74.050178529999997</v>
      </c>
      <c r="Q1618" t="s">
        <v>1201</v>
      </c>
      <c r="R1618">
        <v>5416666.6670000004</v>
      </c>
      <c r="S1618">
        <v>0</v>
      </c>
      <c r="T1618" t="s">
        <v>104</v>
      </c>
      <c r="U1618" t="s">
        <v>105</v>
      </c>
      <c r="V1618" t="s">
        <v>77</v>
      </c>
      <c r="W1618" t="s">
        <v>104</v>
      </c>
      <c r="X1618" t="s">
        <v>106</v>
      </c>
      <c r="Y1618">
        <v>2.8382196281594201</v>
      </c>
      <c r="Z1618">
        <v>2838.2196281594202</v>
      </c>
      <c r="AA1618">
        <v>4.71035</v>
      </c>
      <c r="AB1618">
        <v>-74.030416666666696</v>
      </c>
      <c r="AC1618">
        <v>2570</v>
      </c>
      <c r="AD1618">
        <v>10</v>
      </c>
      <c r="AE1618" t="s">
        <v>80</v>
      </c>
      <c r="AF1618" t="s">
        <v>107</v>
      </c>
      <c r="AG1618" t="s">
        <v>82</v>
      </c>
      <c r="AH1618" t="s">
        <v>83</v>
      </c>
      <c r="AI1618" t="s">
        <v>108</v>
      </c>
      <c r="AJ1618">
        <v>0.67828104524654698</v>
      </c>
      <c r="AK1618">
        <v>2.31104982134431</v>
      </c>
      <c r="AL1618">
        <v>0.102341981122957</v>
      </c>
      <c r="AM1618">
        <v>0.12302208049338501</v>
      </c>
      <c r="AN1618">
        <v>4.17106408098096</v>
      </c>
      <c r="AO1618">
        <v>8.4862911882784997E-2</v>
      </c>
      <c r="AP1618">
        <v>8.4862911882784997E-2</v>
      </c>
      <c r="AQ1618">
        <v>0</v>
      </c>
      <c r="AR1618">
        <v>2</v>
      </c>
      <c r="AS1618">
        <v>0</v>
      </c>
      <c r="AT1618">
        <v>0</v>
      </c>
      <c r="AU1618">
        <v>5</v>
      </c>
      <c r="AV1618">
        <v>161</v>
      </c>
      <c r="AW1618">
        <v>0</v>
      </c>
      <c r="AX1618">
        <v>0</v>
      </c>
      <c r="AY1618">
        <v>15.5</v>
      </c>
      <c r="AZ1618">
        <v>2.4</v>
      </c>
      <c r="BA1618">
        <v>10.9</v>
      </c>
      <c r="BB1618">
        <v>564</v>
      </c>
      <c r="BC1618">
        <v>68</v>
      </c>
      <c r="BD1618">
        <v>1.5</v>
      </c>
      <c r="BE1618">
        <v>135</v>
      </c>
      <c r="BF1618">
        <v>0</v>
      </c>
      <c r="BG1618">
        <v>162</v>
      </c>
      <c r="BH1618">
        <v>9.1</v>
      </c>
      <c r="BI1618">
        <v>9.1999999999999993</v>
      </c>
      <c r="BJ1618">
        <v>18.3</v>
      </c>
      <c r="BK1618">
        <v>0.34</v>
      </c>
      <c r="BL1618">
        <v>7.3</v>
      </c>
      <c r="BM1618">
        <v>0.9</v>
      </c>
      <c r="BN1618">
        <v>7.5</v>
      </c>
      <c r="BO1618">
        <v>2.9</v>
      </c>
      <c r="BP1618">
        <f t="shared" si="50"/>
        <v>2.0854337470221789</v>
      </c>
      <c r="BQ1618">
        <f t="shared" si="51"/>
        <v>10.182245009146655</v>
      </c>
    </row>
    <row r="1619" spans="1:69" hidden="1" x14ac:dyDescent="0.2">
      <c r="A1619" t="s">
        <v>1052</v>
      </c>
      <c r="B1619" t="s">
        <v>68</v>
      </c>
      <c r="C1619" t="s">
        <v>69</v>
      </c>
      <c r="D1619" t="s">
        <v>70</v>
      </c>
      <c r="E1619" t="s">
        <v>210</v>
      </c>
      <c r="F1619">
        <v>6</v>
      </c>
      <c r="G1619">
        <v>144</v>
      </c>
      <c r="H1619">
        <v>3</v>
      </c>
      <c r="I1619">
        <v>3</v>
      </c>
      <c r="J1619">
        <v>2</v>
      </c>
      <c r="K1619" t="s">
        <v>110</v>
      </c>
      <c r="L1619" t="s">
        <v>162</v>
      </c>
      <c r="M1619" s="4">
        <v>780000000</v>
      </c>
      <c r="N1619">
        <v>0</v>
      </c>
      <c r="O1619">
        <v>4.694159</v>
      </c>
      <c r="P1619">
        <v>-74.050174999999996</v>
      </c>
      <c r="Q1619" t="s">
        <v>1053</v>
      </c>
      <c r="R1619">
        <v>5416666.6670000004</v>
      </c>
      <c r="S1619">
        <v>0</v>
      </c>
      <c r="T1619" t="s">
        <v>104</v>
      </c>
      <c r="U1619" t="s">
        <v>105</v>
      </c>
      <c r="V1619" t="s">
        <v>77</v>
      </c>
      <c r="W1619" t="s">
        <v>104</v>
      </c>
      <c r="X1619" t="s">
        <v>106</v>
      </c>
      <c r="Y1619">
        <v>2.8379192993067499</v>
      </c>
      <c r="Z1619">
        <v>2837.91929930675</v>
      </c>
      <c r="AA1619">
        <v>4.71035</v>
      </c>
      <c r="AB1619">
        <v>-74.030416666666696</v>
      </c>
      <c r="AC1619">
        <v>2570</v>
      </c>
      <c r="AD1619">
        <v>10</v>
      </c>
      <c r="AE1619" t="s">
        <v>80</v>
      </c>
      <c r="AF1619" t="s">
        <v>107</v>
      </c>
      <c r="AG1619" t="s">
        <v>82</v>
      </c>
      <c r="AH1619" t="s">
        <v>83</v>
      </c>
      <c r="AI1619" t="s">
        <v>108</v>
      </c>
      <c r="AJ1619">
        <v>0.678664537175793</v>
      </c>
      <c r="AK1619">
        <v>2.3107821630590402</v>
      </c>
      <c r="AL1619">
        <v>0.102200373978847</v>
      </c>
      <c r="AM1619">
        <v>0.12315641655453</v>
      </c>
      <c r="AN1619">
        <v>4.1713918992704198</v>
      </c>
      <c r="AO1619">
        <v>8.4706212959803406E-2</v>
      </c>
      <c r="AP1619">
        <v>8.4706212959803406E-2</v>
      </c>
      <c r="AQ1619">
        <v>0</v>
      </c>
      <c r="AR1619">
        <v>2</v>
      </c>
      <c r="AS1619">
        <v>0</v>
      </c>
      <c r="AT1619">
        <v>0</v>
      </c>
      <c r="AU1619">
        <v>5</v>
      </c>
      <c r="AV1619">
        <v>161</v>
      </c>
      <c r="AW1619">
        <v>0</v>
      </c>
      <c r="AX1619">
        <v>0</v>
      </c>
      <c r="AY1619">
        <v>15.5</v>
      </c>
      <c r="AZ1619">
        <v>2.4</v>
      </c>
      <c r="BA1619">
        <v>10.9</v>
      </c>
      <c r="BB1619">
        <v>564</v>
      </c>
      <c r="BC1619">
        <v>68</v>
      </c>
      <c r="BD1619">
        <v>1.5</v>
      </c>
      <c r="BE1619">
        <v>135</v>
      </c>
      <c r="BF1619">
        <v>0</v>
      </c>
      <c r="BG1619">
        <v>162</v>
      </c>
      <c r="BH1619">
        <v>9.1</v>
      </c>
      <c r="BI1619">
        <v>9.1999999999999993</v>
      </c>
      <c r="BJ1619">
        <v>18.3</v>
      </c>
      <c r="BK1619">
        <v>0.34</v>
      </c>
      <c r="BL1619">
        <v>7.3</v>
      </c>
      <c r="BM1619">
        <v>0.9</v>
      </c>
      <c r="BN1619">
        <v>7.5</v>
      </c>
      <c r="BO1619">
        <v>2.9</v>
      </c>
      <c r="BP1619">
        <f t="shared" si="50"/>
        <v>2.0854647498908929</v>
      </c>
      <c r="BQ1619">
        <f t="shared" si="51"/>
        <v>10.182318401938227</v>
      </c>
    </row>
    <row r="1620" spans="1:69" hidden="1" x14ac:dyDescent="0.2">
      <c r="A1620" t="s">
        <v>1804</v>
      </c>
      <c r="B1620" t="s">
        <v>68</v>
      </c>
      <c r="C1620" t="s">
        <v>69</v>
      </c>
      <c r="D1620" t="s">
        <v>70</v>
      </c>
      <c r="E1620" t="s">
        <v>210</v>
      </c>
      <c r="F1620">
        <v>6</v>
      </c>
      <c r="G1620">
        <v>144</v>
      </c>
      <c r="H1620">
        <v>3</v>
      </c>
      <c r="I1620">
        <v>3</v>
      </c>
      <c r="J1620">
        <v>2</v>
      </c>
      <c r="K1620" t="s">
        <v>110</v>
      </c>
      <c r="L1620" t="s">
        <v>162</v>
      </c>
      <c r="M1620" s="4">
        <v>960000000</v>
      </c>
      <c r="N1620">
        <v>0</v>
      </c>
      <c r="O1620">
        <v>4.6942038540000004</v>
      </c>
      <c r="P1620">
        <v>-74.050132750000003</v>
      </c>
      <c r="Q1620" t="s">
        <v>1805</v>
      </c>
      <c r="R1620">
        <v>6666666.6670000004</v>
      </c>
      <c r="S1620">
        <v>0</v>
      </c>
      <c r="T1620" t="s">
        <v>104</v>
      </c>
      <c r="U1620" t="s">
        <v>105</v>
      </c>
      <c r="V1620" t="s">
        <v>77</v>
      </c>
      <c r="W1620" t="s">
        <v>104</v>
      </c>
      <c r="X1620" t="s">
        <v>106</v>
      </c>
      <c r="Y1620">
        <v>2.8311275417467598</v>
      </c>
      <c r="Z1620">
        <v>2831.12754174676</v>
      </c>
      <c r="AA1620">
        <v>4.71035</v>
      </c>
      <c r="AB1620">
        <v>-74.030416666666696</v>
      </c>
      <c r="AC1620">
        <v>2570</v>
      </c>
      <c r="AD1620">
        <v>10</v>
      </c>
      <c r="AE1620" t="s">
        <v>80</v>
      </c>
      <c r="AF1620" t="s">
        <v>107</v>
      </c>
      <c r="AG1620" t="s">
        <v>82</v>
      </c>
      <c r="AH1620" t="s">
        <v>83</v>
      </c>
      <c r="AI1620" t="s">
        <v>108</v>
      </c>
      <c r="AJ1620">
        <v>0.68422343469013502</v>
      </c>
      <c r="AK1620">
        <v>2.3112655315933801</v>
      </c>
      <c r="AL1620">
        <v>0.105369875896117</v>
      </c>
      <c r="AM1620">
        <v>0.121300553561155</v>
      </c>
      <c r="AN1620">
        <v>4.1780099388419503</v>
      </c>
      <c r="AO1620">
        <v>7.82684845619461E-2</v>
      </c>
      <c r="AP1620">
        <v>7.82684845619461E-2</v>
      </c>
      <c r="AQ1620">
        <v>0</v>
      </c>
      <c r="AR1620">
        <v>2</v>
      </c>
      <c r="AS1620">
        <v>0</v>
      </c>
      <c r="AT1620">
        <v>0</v>
      </c>
      <c r="AU1620">
        <v>5</v>
      </c>
      <c r="AV1620">
        <v>160</v>
      </c>
      <c r="AW1620">
        <v>0</v>
      </c>
      <c r="AX1620">
        <v>0</v>
      </c>
      <c r="AY1620">
        <v>15.5</v>
      </c>
      <c r="AZ1620">
        <v>2.4</v>
      </c>
      <c r="BA1620">
        <v>10.9</v>
      </c>
      <c r="BB1620">
        <v>564</v>
      </c>
      <c r="BC1620">
        <v>68</v>
      </c>
      <c r="BD1620">
        <v>1.5</v>
      </c>
      <c r="BE1620">
        <v>135</v>
      </c>
      <c r="BF1620">
        <v>0</v>
      </c>
      <c r="BG1620">
        <v>162</v>
      </c>
      <c r="BH1620">
        <v>9.1</v>
      </c>
      <c r="BI1620">
        <v>9.1999999999999993</v>
      </c>
      <c r="BJ1620">
        <v>18.3</v>
      </c>
      <c r="BK1620">
        <v>0.34</v>
      </c>
      <c r="BL1620">
        <v>7.3</v>
      </c>
      <c r="BM1620">
        <v>0.9</v>
      </c>
      <c r="BN1620">
        <v>7.5</v>
      </c>
      <c r="BO1620">
        <v>2.9</v>
      </c>
      <c r="BP1620">
        <f t="shared" si="50"/>
        <v>2.0861659843225584</v>
      </c>
      <c r="BQ1620">
        <f t="shared" si="51"/>
        <v>10.183978277327837</v>
      </c>
    </row>
    <row r="1621" spans="1:69" hidden="1" x14ac:dyDescent="0.2">
      <c r="A1621" t="s">
        <v>1665</v>
      </c>
      <c r="B1621" t="s">
        <v>68</v>
      </c>
      <c r="C1621" t="s">
        <v>69</v>
      </c>
      <c r="D1621" t="s">
        <v>70</v>
      </c>
      <c r="E1621" t="s">
        <v>1486</v>
      </c>
      <c r="F1621">
        <v>6</v>
      </c>
      <c r="G1621">
        <v>141</v>
      </c>
      <c r="H1621">
        <v>2</v>
      </c>
      <c r="I1621">
        <v>3</v>
      </c>
      <c r="J1621">
        <v>2</v>
      </c>
      <c r="K1621" t="s">
        <v>110</v>
      </c>
      <c r="L1621" t="s">
        <v>124</v>
      </c>
      <c r="M1621" s="4">
        <v>1250000000</v>
      </c>
      <c r="N1621">
        <v>0</v>
      </c>
      <c r="O1621">
        <v>4.681783169</v>
      </c>
      <c r="P1621">
        <v>-74.051357609999997</v>
      </c>
      <c r="Q1621" t="s">
        <v>1666</v>
      </c>
      <c r="R1621">
        <v>8865248.227</v>
      </c>
      <c r="S1621">
        <v>0</v>
      </c>
      <c r="T1621" t="s">
        <v>104</v>
      </c>
      <c r="U1621" t="s">
        <v>105</v>
      </c>
      <c r="V1621" t="s">
        <v>77</v>
      </c>
      <c r="W1621" t="s">
        <v>104</v>
      </c>
      <c r="X1621" t="s">
        <v>106</v>
      </c>
      <c r="Y1621">
        <v>3.9383313555765</v>
      </c>
      <c r="Z1621">
        <v>3938.3313555764998</v>
      </c>
      <c r="AA1621">
        <v>4.71035</v>
      </c>
      <c r="AB1621">
        <v>-74.030416666666696</v>
      </c>
      <c r="AC1621">
        <v>2570</v>
      </c>
      <c r="AD1621">
        <v>10</v>
      </c>
      <c r="AE1621" t="s">
        <v>80</v>
      </c>
      <c r="AF1621" t="s">
        <v>107</v>
      </c>
      <c r="AG1621" t="s">
        <v>82</v>
      </c>
      <c r="AH1621" t="s">
        <v>83</v>
      </c>
      <c r="AI1621" t="s">
        <v>130</v>
      </c>
      <c r="AJ1621">
        <v>0.744168798120867</v>
      </c>
      <c r="AK1621">
        <v>1.5720353524302799</v>
      </c>
      <c r="AL1621">
        <v>0.467914748351762</v>
      </c>
      <c r="AM1621">
        <v>0.105887279485194</v>
      </c>
      <c r="AN1621">
        <v>3.4951840727684198</v>
      </c>
      <c r="AO1621">
        <v>0.78642387253388202</v>
      </c>
      <c r="AP1621">
        <v>0.78642387253388202</v>
      </c>
      <c r="AQ1621">
        <v>0</v>
      </c>
      <c r="AR1621">
        <v>1</v>
      </c>
      <c r="AS1621">
        <v>0</v>
      </c>
      <c r="AT1621">
        <v>0</v>
      </c>
      <c r="AU1621">
        <v>4</v>
      </c>
      <c r="AV1621">
        <v>215</v>
      </c>
      <c r="AW1621">
        <v>0</v>
      </c>
      <c r="AX1621">
        <v>0</v>
      </c>
      <c r="AY1621">
        <v>15.5</v>
      </c>
      <c r="AZ1621">
        <v>2.4</v>
      </c>
      <c r="BA1621">
        <v>10.9</v>
      </c>
      <c r="BB1621">
        <v>564</v>
      </c>
      <c r="BC1621">
        <v>68</v>
      </c>
      <c r="BD1621">
        <v>1.5</v>
      </c>
      <c r="BE1621">
        <v>135</v>
      </c>
      <c r="BF1621">
        <v>0</v>
      </c>
      <c r="BG1621">
        <v>162</v>
      </c>
      <c r="BH1621">
        <v>9.1</v>
      </c>
      <c r="BI1621">
        <v>9.1999999999999993</v>
      </c>
      <c r="BJ1621">
        <v>18.3</v>
      </c>
      <c r="BK1621">
        <v>0.34</v>
      </c>
      <c r="BL1621">
        <v>7.3</v>
      </c>
      <c r="BM1621">
        <v>0.9</v>
      </c>
      <c r="BN1621">
        <v>7.5</v>
      </c>
      <c r="BO1621">
        <v>2.9</v>
      </c>
      <c r="BP1621">
        <f t="shared" si="50"/>
        <v>1.9749070525642758</v>
      </c>
      <c r="BQ1621">
        <f t="shared" si="51"/>
        <v>9.9169244376793397</v>
      </c>
    </row>
    <row r="1622" spans="1:69" hidden="1" x14ac:dyDescent="0.2">
      <c r="A1622" t="s">
        <v>355</v>
      </c>
      <c r="B1622" t="s">
        <v>68</v>
      </c>
      <c r="C1622" t="s">
        <v>69</v>
      </c>
      <c r="D1622" t="s">
        <v>70</v>
      </c>
      <c r="E1622" t="s">
        <v>213</v>
      </c>
      <c r="F1622">
        <v>6</v>
      </c>
      <c r="G1622">
        <v>141</v>
      </c>
      <c r="H1622">
        <v>3</v>
      </c>
      <c r="I1622">
        <v>3</v>
      </c>
      <c r="J1622">
        <v>2</v>
      </c>
      <c r="K1622" t="s">
        <v>110</v>
      </c>
      <c r="L1622" t="s">
        <v>124</v>
      </c>
      <c r="M1622" s="4">
        <v>1200000000</v>
      </c>
      <c r="N1622">
        <v>0</v>
      </c>
      <c r="O1622">
        <v>4.6954159740000003</v>
      </c>
      <c r="P1622">
        <v>-74.035369869999997</v>
      </c>
      <c r="Q1622" t="s">
        <v>356</v>
      </c>
      <c r="R1622">
        <v>8510638.2980000004</v>
      </c>
      <c r="S1622">
        <v>0</v>
      </c>
      <c r="T1622" t="s">
        <v>104</v>
      </c>
      <c r="U1622" t="s">
        <v>105</v>
      </c>
      <c r="V1622" t="s">
        <v>77</v>
      </c>
      <c r="W1622" t="s">
        <v>104</v>
      </c>
      <c r="X1622" t="s">
        <v>106</v>
      </c>
      <c r="Y1622">
        <v>1.7509194722489101</v>
      </c>
      <c r="Z1622">
        <v>1750.9194722489101</v>
      </c>
      <c r="AA1622">
        <v>4.71035</v>
      </c>
      <c r="AB1622">
        <v>-74.030416666666696</v>
      </c>
      <c r="AC1622">
        <v>2570</v>
      </c>
      <c r="AD1622">
        <v>10</v>
      </c>
      <c r="AE1622" t="s">
        <v>80</v>
      </c>
      <c r="AF1622" t="s">
        <v>107</v>
      </c>
      <c r="AG1622" t="s">
        <v>82</v>
      </c>
      <c r="AH1622" t="s">
        <v>83</v>
      </c>
      <c r="AI1622" t="s">
        <v>108</v>
      </c>
      <c r="AJ1622">
        <v>2.2309924613335301</v>
      </c>
      <c r="AK1622">
        <v>1.0564955298830701</v>
      </c>
      <c r="AL1622">
        <v>0.63657024720035205</v>
      </c>
      <c r="AM1622">
        <v>6.2654947460834304E-2</v>
      </c>
      <c r="AN1622">
        <v>5.1861271305388996</v>
      </c>
      <c r="AO1622">
        <v>0.22331699047148401</v>
      </c>
      <c r="AP1622">
        <v>0.22331699047148401</v>
      </c>
      <c r="AQ1622">
        <v>0</v>
      </c>
      <c r="AR1622">
        <v>0</v>
      </c>
      <c r="AS1622">
        <v>0</v>
      </c>
      <c r="AT1622">
        <v>0</v>
      </c>
      <c r="AU1622">
        <v>2</v>
      </c>
      <c r="AV1622">
        <v>133</v>
      </c>
      <c r="AW1622">
        <v>0</v>
      </c>
      <c r="AX1622">
        <v>0</v>
      </c>
      <c r="AY1622">
        <v>15.5</v>
      </c>
      <c r="AZ1622">
        <v>2.4</v>
      </c>
      <c r="BA1622">
        <v>10.9</v>
      </c>
      <c r="BB1622">
        <v>564</v>
      </c>
      <c r="BC1622">
        <v>68</v>
      </c>
      <c r="BD1622">
        <v>1.5</v>
      </c>
      <c r="BE1622">
        <v>135</v>
      </c>
      <c r="BF1622">
        <v>0</v>
      </c>
      <c r="BG1622">
        <v>162</v>
      </c>
      <c r="BH1622">
        <v>9.1</v>
      </c>
      <c r="BI1622">
        <v>9.1999999999999993</v>
      </c>
      <c r="BJ1622">
        <v>18.3</v>
      </c>
      <c r="BK1622">
        <v>0.34</v>
      </c>
      <c r="BL1622">
        <v>7.3</v>
      </c>
      <c r="BM1622">
        <v>0.9</v>
      </c>
      <c r="BN1622">
        <v>7.5</v>
      </c>
      <c r="BO1622">
        <v>2.9</v>
      </c>
      <c r="BP1622">
        <f t="shared" si="50"/>
        <v>2.2007500266702298</v>
      </c>
      <c r="BQ1622">
        <f t="shared" si="51"/>
        <v>10.451449970058306</v>
      </c>
    </row>
    <row r="1623" spans="1:69" hidden="1" x14ac:dyDescent="0.2">
      <c r="A1623" t="s">
        <v>1060</v>
      </c>
      <c r="B1623" t="s">
        <v>68</v>
      </c>
      <c r="C1623" t="s">
        <v>69</v>
      </c>
      <c r="D1623" t="s">
        <v>70</v>
      </c>
      <c r="E1623" t="s">
        <v>468</v>
      </c>
      <c r="F1623">
        <v>6</v>
      </c>
      <c r="G1623">
        <v>140</v>
      </c>
      <c r="H1623">
        <v>3</v>
      </c>
      <c r="I1623">
        <v>4</v>
      </c>
      <c r="J1623">
        <v>2</v>
      </c>
      <c r="K1623" t="s">
        <v>110</v>
      </c>
      <c r="L1623" t="s">
        <v>162</v>
      </c>
      <c r="M1623" s="4">
        <v>1200000000</v>
      </c>
      <c r="N1623">
        <v>0</v>
      </c>
      <c r="O1623">
        <v>4.6894183160000003</v>
      </c>
      <c r="P1623">
        <v>-74.055030819999999</v>
      </c>
      <c r="Q1623" t="s">
        <v>1061</v>
      </c>
      <c r="R1623">
        <v>8571428.5710000005</v>
      </c>
      <c r="S1623">
        <v>0</v>
      </c>
      <c r="T1623" t="s">
        <v>104</v>
      </c>
      <c r="U1623" t="s">
        <v>105</v>
      </c>
      <c r="V1623" t="s">
        <v>77</v>
      </c>
      <c r="W1623" t="s">
        <v>104</v>
      </c>
      <c r="X1623" t="s">
        <v>106</v>
      </c>
      <c r="Y1623">
        <v>3.5898153303816702</v>
      </c>
      <c r="Z1623">
        <v>3589.8153303816698</v>
      </c>
      <c r="AA1623">
        <v>4.71035</v>
      </c>
      <c r="AB1623">
        <v>-74.030416666666696</v>
      </c>
      <c r="AC1623">
        <v>2570</v>
      </c>
      <c r="AD1623">
        <v>10</v>
      </c>
      <c r="AE1623" t="s">
        <v>80</v>
      </c>
      <c r="AF1623" t="s">
        <v>107</v>
      </c>
      <c r="AG1623" t="s">
        <v>82</v>
      </c>
      <c r="AH1623" t="s">
        <v>83</v>
      </c>
      <c r="AI1623" t="s">
        <v>108</v>
      </c>
      <c r="AJ1623">
        <v>0.41407594630799499</v>
      </c>
      <c r="AK1623">
        <v>2.39229679933853</v>
      </c>
      <c r="AL1623">
        <v>0.473551683723337</v>
      </c>
      <c r="AM1623">
        <v>0.15882068677661601</v>
      </c>
      <c r="AN1623">
        <v>3.43881693260162</v>
      </c>
      <c r="AO1623">
        <v>0.444726695937949</v>
      </c>
      <c r="AP1623">
        <v>0.444726695937949</v>
      </c>
      <c r="AQ1623">
        <v>1</v>
      </c>
      <c r="AR1623">
        <v>3</v>
      </c>
      <c r="AS1623">
        <v>0</v>
      </c>
      <c r="AT1623">
        <v>0</v>
      </c>
      <c r="AU1623">
        <v>5</v>
      </c>
      <c r="AV1623">
        <v>211</v>
      </c>
      <c r="AW1623">
        <v>0</v>
      </c>
      <c r="AX1623">
        <v>0</v>
      </c>
      <c r="AY1623">
        <v>15.5</v>
      </c>
      <c r="AZ1623">
        <v>2.4</v>
      </c>
      <c r="BA1623">
        <v>10.9</v>
      </c>
      <c r="BB1623">
        <v>564</v>
      </c>
      <c r="BC1623">
        <v>68</v>
      </c>
      <c r="BD1623">
        <v>1.5</v>
      </c>
      <c r="BE1623">
        <v>135</v>
      </c>
      <c r="BF1623">
        <v>0</v>
      </c>
      <c r="BG1623">
        <v>162</v>
      </c>
      <c r="BH1623">
        <v>9.1</v>
      </c>
      <c r="BI1623">
        <v>9.1999999999999993</v>
      </c>
      <c r="BJ1623">
        <v>18.3</v>
      </c>
      <c r="BK1623">
        <v>0.34</v>
      </c>
      <c r="BL1623">
        <v>7.3</v>
      </c>
      <c r="BM1623">
        <v>0.9</v>
      </c>
      <c r="BN1623">
        <v>7.5</v>
      </c>
      <c r="BO1623">
        <v>2.9</v>
      </c>
      <c r="BP1623">
        <f t="shared" si="50"/>
        <v>2.0092728259918897</v>
      </c>
      <c r="BQ1623">
        <f t="shared" si="51"/>
        <v>10.000221285567253</v>
      </c>
    </row>
    <row r="1624" spans="1:69" hidden="1" x14ac:dyDescent="0.2">
      <c r="A1624" t="s">
        <v>1617</v>
      </c>
      <c r="B1624" t="s">
        <v>68</v>
      </c>
      <c r="C1624" t="s">
        <v>69</v>
      </c>
      <c r="D1624" t="s">
        <v>70</v>
      </c>
      <c r="E1624" t="s">
        <v>468</v>
      </c>
      <c r="F1624">
        <v>6</v>
      </c>
      <c r="G1624">
        <v>140</v>
      </c>
      <c r="H1624">
        <v>4</v>
      </c>
      <c r="I1624">
        <v>4</v>
      </c>
      <c r="J1624">
        <v>2</v>
      </c>
      <c r="K1624" t="s">
        <v>110</v>
      </c>
      <c r="L1624" t="s">
        <v>162</v>
      </c>
      <c r="M1624" s="4">
        <v>870000000</v>
      </c>
      <c r="N1624">
        <v>0</v>
      </c>
      <c r="O1624">
        <v>4.6895084379999998</v>
      </c>
      <c r="P1624">
        <v>-74.050666809999996</v>
      </c>
      <c r="Q1624" t="s">
        <v>1618</v>
      </c>
      <c r="R1624">
        <v>6214285.7139999997</v>
      </c>
      <c r="S1624">
        <v>0</v>
      </c>
      <c r="T1624" t="s">
        <v>104</v>
      </c>
      <c r="U1624" t="s">
        <v>105</v>
      </c>
      <c r="V1624" t="s">
        <v>77</v>
      </c>
      <c r="W1624" t="s">
        <v>104</v>
      </c>
      <c r="X1624" t="s">
        <v>106</v>
      </c>
      <c r="Y1624">
        <v>3.2295814602275201</v>
      </c>
      <c r="Z1624">
        <v>3229.58146022752</v>
      </c>
      <c r="AA1624">
        <v>4.71035</v>
      </c>
      <c r="AB1624">
        <v>-74.030416666666696</v>
      </c>
      <c r="AC1624">
        <v>2570</v>
      </c>
      <c r="AD1624">
        <v>10</v>
      </c>
      <c r="AE1624" t="s">
        <v>80</v>
      </c>
      <c r="AF1624" t="s">
        <v>107</v>
      </c>
      <c r="AG1624" t="s">
        <v>82</v>
      </c>
      <c r="AH1624" t="s">
        <v>83</v>
      </c>
      <c r="AI1624" t="s">
        <v>108</v>
      </c>
      <c r="AJ1624">
        <v>0.72209499821363998</v>
      </c>
      <c r="AK1624">
        <v>2.00028118801696</v>
      </c>
      <c r="AL1624">
        <v>0.15377518754480499</v>
      </c>
      <c r="AM1624">
        <v>5.44391647541769E-2</v>
      </c>
      <c r="AN1624">
        <v>3.8695226849005202</v>
      </c>
      <c r="AO1624">
        <v>0.31863731238121201</v>
      </c>
      <c r="AP1624">
        <v>0.31863731238121201</v>
      </c>
      <c r="AQ1624">
        <v>0</v>
      </c>
      <c r="AR1624">
        <v>2</v>
      </c>
      <c r="AS1624">
        <v>0</v>
      </c>
      <c r="AT1624">
        <v>0</v>
      </c>
      <c r="AU1624">
        <v>5</v>
      </c>
      <c r="AV1624">
        <v>187</v>
      </c>
      <c r="AW1624">
        <v>0</v>
      </c>
      <c r="AX1624">
        <v>0</v>
      </c>
      <c r="AY1624">
        <v>15.5</v>
      </c>
      <c r="AZ1624">
        <v>2.4</v>
      </c>
      <c r="BA1624">
        <v>10.9</v>
      </c>
      <c r="BB1624">
        <v>564</v>
      </c>
      <c r="BC1624">
        <v>68</v>
      </c>
      <c r="BD1624">
        <v>1.5</v>
      </c>
      <c r="BE1624">
        <v>135</v>
      </c>
      <c r="BF1624">
        <v>0</v>
      </c>
      <c r="BG1624">
        <v>162</v>
      </c>
      <c r="BH1624">
        <v>9.1</v>
      </c>
      <c r="BI1624">
        <v>9.1999999999999993</v>
      </c>
      <c r="BJ1624">
        <v>18.3</v>
      </c>
      <c r="BK1624">
        <v>0.34</v>
      </c>
      <c r="BL1624">
        <v>7.3</v>
      </c>
      <c r="BM1624">
        <v>0.9</v>
      </c>
      <c r="BN1624">
        <v>7.5</v>
      </c>
      <c r="BO1624">
        <v>2.9</v>
      </c>
      <c r="BP1624">
        <f t="shared" si="50"/>
        <v>2.0454226747814093</v>
      </c>
      <c r="BQ1624">
        <f t="shared" si="51"/>
        <v>10.087054148340902</v>
      </c>
    </row>
    <row r="1625" spans="1:69" hidden="1" x14ac:dyDescent="0.2">
      <c r="A1625" t="s">
        <v>3193</v>
      </c>
      <c r="B1625" t="s">
        <v>68</v>
      </c>
      <c r="C1625" t="s">
        <v>1956</v>
      </c>
      <c r="D1625" t="s">
        <v>70</v>
      </c>
      <c r="E1625" t="s">
        <v>283</v>
      </c>
      <c r="F1625">
        <v>4</v>
      </c>
      <c r="G1625">
        <v>140</v>
      </c>
      <c r="H1625">
        <v>3</v>
      </c>
      <c r="I1625">
        <v>3</v>
      </c>
      <c r="J1625">
        <v>1</v>
      </c>
      <c r="K1625" t="s">
        <v>110</v>
      </c>
      <c r="L1625" t="s">
        <v>162</v>
      </c>
      <c r="M1625" s="4">
        <v>560000000</v>
      </c>
      <c r="N1625">
        <v>0</v>
      </c>
      <c r="O1625">
        <v>4.726585</v>
      </c>
      <c r="P1625">
        <v>-74.032579999999996</v>
      </c>
      <c r="Q1625" t="s">
        <v>3194</v>
      </c>
      <c r="R1625">
        <v>4000000</v>
      </c>
      <c r="S1625">
        <v>0</v>
      </c>
      <c r="T1625" t="s">
        <v>104</v>
      </c>
      <c r="U1625" t="s">
        <v>105</v>
      </c>
      <c r="V1625" t="s">
        <v>77</v>
      </c>
      <c r="W1625" t="s">
        <v>104</v>
      </c>
      <c r="X1625" t="s">
        <v>106</v>
      </c>
      <c r="Y1625">
        <v>1.82313856891879</v>
      </c>
      <c r="Z1625">
        <v>1823.13856891879</v>
      </c>
      <c r="AA1625">
        <v>4.71035</v>
      </c>
      <c r="AB1625">
        <v>-74.030416666666696</v>
      </c>
      <c r="AC1625">
        <v>2570</v>
      </c>
      <c r="AD1625">
        <v>10</v>
      </c>
      <c r="AE1625" t="s">
        <v>80</v>
      </c>
      <c r="AF1625" t="s">
        <v>107</v>
      </c>
      <c r="AG1625" t="s">
        <v>82</v>
      </c>
      <c r="AH1625" t="s">
        <v>83</v>
      </c>
      <c r="AI1625" t="s">
        <v>108</v>
      </c>
      <c r="AJ1625">
        <v>1.96884623695246</v>
      </c>
      <c r="AK1625">
        <v>1.2280973973103499</v>
      </c>
      <c r="AL1625">
        <v>1.0753347990000699</v>
      </c>
      <c r="AM1625">
        <v>0.25169084232993</v>
      </c>
      <c r="AN1625">
        <v>1.7750565099698501</v>
      </c>
      <c r="AO1625">
        <v>0.19754914325422501</v>
      </c>
      <c r="AP1625">
        <v>0.19754914325422501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10</v>
      </c>
      <c r="AW1625">
        <v>0</v>
      </c>
      <c r="AX1625">
        <v>0</v>
      </c>
      <c r="AY1625">
        <v>15.5</v>
      </c>
      <c r="AZ1625">
        <v>2.4</v>
      </c>
      <c r="BA1625">
        <v>10.9</v>
      </c>
      <c r="BB1625">
        <v>564</v>
      </c>
      <c r="BC1625">
        <v>68</v>
      </c>
      <c r="BD1625">
        <v>1.5</v>
      </c>
      <c r="BE1625">
        <v>135</v>
      </c>
      <c r="BF1625">
        <v>0</v>
      </c>
      <c r="BG1625">
        <v>162</v>
      </c>
      <c r="BH1625">
        <v>9.1</v>
      </c>
      <c r="BI1625">
        <v>9.1999999999999993</v>
      </c>
      <c r="BJ1625">
        <v>18.3</v>
      </c>
      <c r="BK1625">
        <v>0.34</v>
      </c>
      <c r="BL1625">
        <v>7.3</v>
      </c>
      <c r="BM1625">
        <v>0.9</v>
      </c>
      <c r="BN1625">
        <v>7.5</v>
      </c>
      <c r="BO1625">
        <v>2.9</v>
      </c>
      <c r="BP1625">
        <f t="shared" si="50"/>
        <v>2.1928967313349186</v>
      </c>
      <c r="BQ1625">
        <f t="shared" si="51"/>
        <v>10.433350597416098</v>
      </c>
    </row>
    <row r="1626" spans="1:69" hidden="1" x14ac:dyDescent="0.2">
      <c r="A1626" t="s">
        <v>1721</v>
      </c>
      <c r="B1626" t="s">
        <v>68</v>
      </c>
      <c r="C1626" t="s">
        <v>69</v>
      </c>
      <c r="D1626" t="s">
        <v>70</v>
      </c>
      <c r="E1626" t="s">
        <v>560</v>
      </c>
      <c r="F1626">
        <v>5</v>
      </c>
      <c r="G1626">
        <v>140</v>
      </c>
      <c r="H1626">
        <v>3</v>
      </c>
      <c r="I1626">
        <v>3</v>
      </c>
      <c r="J1626">
        <v>2</v>
      </c>
      <c r="K1626" t="s">
        <v>110</v>
      </c>
      <c r="L1626" t="s">
        <v>162</v>
      </c>
      <c r="M1626" s="4">
        <v>1050000000</v>
      </c>
      <c r="N1626">
        <v>0</v>
      </c>
      <c r="O1626">
        <v>4.7142686999999999</v>
      </c>
      <c r="P1626">
        <v>-74.031515499999998</v>
      </c>
      <c r="Q1626" t="s">
        <v>1722</v>
      </c>
      <c r="R1626">
        <v>7500000</v>
      </c>
      <c r="S1626">
        <v>0</v>
      </c>
      <c r="T1626" t="s">
        <v>104</v>
      </c>
      <c r="U1626" t="s">
        <v>105</v>
      </c>
      <c r="V1626" t="s">
        <v>77</v>
      </c>
      <c r="W1626" t="s">
        <v>104</v>
      </c>
      <c r="X1626" t="s">
        <v>106</v>
      </c>
      <c r="Y1626">
        <v>0.45294169481296498</v>
      </c>
      <c r="Z1626">
        <v>452.94169481296501</v>
      </c>
      <c r="AA1626">
        <v>4.71035</v>
      </c>
      <c r="AB1626">
        <v>-74.030416666666696</v>
      </c>
      <c r="AC1626">
        <v>2570</v>
      </c>
      <c r="AD1626">
        <v>10</v>
      </c>
      <c r="AE1626" t="s">
        <v>80</v>
      </c>
      <c r="AF1626" t="s">
        <v>107</v>
      </c>
      <c r="AG1626" t="s">
        <v>82</v>
      </c>
      <c r="AH1626" t="s">
        <v>83</v>
      </c>
      <c r="AI1626" t="s">
        <v>108</v>
      </c>
      <c r="AJ1626">
        <v>2.3333383383814099</v>
      </c>
      <c r="AK1626">
        <v>0.77924847457153401</v>
      </c>
      <c r="AL1626">
        <v>0.41416731902519499</v>
      </c>
      <c r="AM1626">
        <v>9.9576679776115395E-2</v>
      </c>
      <c r="AN1626">
        <v>3.0598057045520202</v>
      </c>
      <c r="AO1626">
        <v>0.30855767822153402</v>
      </c>
      <c r="AP1626">
        <v>0.30855767822153402</v>
      </c>
      <c r="AQ1626">
        <v>0</v>
      </c>
      <c r="AR1626">
        <v>0</v>
      </c>
      <c r="AS1626">
        <v>0</v>
      </c>
      <c r="AT1626">
        <v>17</v>
      </c>
      <c r="AU1626">
        <v>1</v>
      </c>
      <c r="AV1626">
        <v>77</v>
      </c>
      <c r="AW1626">
        <v>0</v>
      </c>
      <c r="AX1626">
        <v>0</v>
      </c>
      <c r="AY1626">
        <v>15.5</v>
      </c>
      <c r="AZ1626">
        <v>2.4</v>
      </c>
      <c r="BA1626">
        <v>10.9</v>
      </c>
      <c r="BB1626">
        <v>564</v>
      </c>
      <c r="BC1626">
        <v>68</v>
      </c>
      <c r="BD1626">
        <v>1.5</v>
      </c>
      <c r="BE1626">
        <v>135</v>
      </c>
      <c r="BF1626">
        <v>0</v>
      </c>
      <c r="BG1626">
        <v>162</v>
      </c>
      <c r="BH1626">
        <v>9.1</v>
      </c>
      <c r="BI1626">
        <v>9.1999999999999993</v>
      </c>
      <c r="BJ1626">
        <v>18.3</v>
      </c>
      <c r="BK1626">
        <v>0.34</v>
      </c>
      <c r="BL1626">
        <v>7.3</v>
      </c>
      <c r="BM1626">
        <v>0.9</v>
      </c>
      <c r="BN1626">
        <v>7.5</v>
      </c>
      <c r="BO1626">
        <v>2.9</v>
      </c>
      <c r="BP1626">
        <f t="shared" si="50"/>
        <v>2.3467892643323665</v>
      </c>
      <c r="BQ1626">
        <f t="shared" si="51"/>
        <v>10.782152151591188</v>
      </c>
    </row>
    <row r="1627" spans="1:69" hidden="1" x14ac:dyDescent="0.2">
      <c r="A1627" t="s">
        <v>1838</v>
      </c>
      <c r="B1627" t="s">
        <v>68</v>
      </c>
      <c r="C1627" t="s">
        <v>69</v>
      </c>
      <c r="D1627" t="s">
        <v>70</v>
      </c>
      <c r="E1627" t="s">
        <v>132</v>
      </c>
      <c r="F1627">
        <v>6</v>
      </c>
      <c r="G1627">
        <v>138</v>
      </c>
      <c r="H1627">
        <v>2</v>
      </c>
      <c r="I1627">
        <v>3</v>
      </c>
      <c r="J1627">
        <v>1</v>
      </c>
      <c r="K1627" t="s">
        <v>110</v>
      </c>
      <c r="L1627" t="s">
        <v>162</v>
      </c>
      <c r="M1627" s="4">
        <v>680000000</v>
      </c>
      <c r="N1627">
        <v>0</v>
      </c>
      <c r="O1627">
        <v>4.6799172999999996</v>
      </c>
      <c r="P1627">
        <v>-74.045003699999995</v>
      </c>
      <c r="Q1627" t="s">
        <v>1839</v>
      </c>
      <c r="R1627">
        <v>4927536.2319999998</v>
      </c>
      <c r="S1627">
        <v>0</v>
      </c>
      <c r="T1627" t="s">
        <v>104</v>
      </c>
      <c r="U1627" t="s">
        <v>105</v>
      </c>
      <c r="V1627" t="s">
        <v>77</v>
      </c>
      <c r="W1627" t="s">
        <v>104</v>
      </c>
      <c r="X1627" t="s">
        <v>106</v>
      </c>
      <c r="Y1627">
        <v>3.7544635358159102</v>
      </c>
      <c r="Z1627">
        <v>3754.4635358159098</v>
      </c>
      <c r="AA1627">
        <v>4.71035</v>
      </c>
      <c r="AB1627">
        <v>-74.030416666666696</v>
      </c>
      <c r="AC1627">
        <v>2570</v>
      </c>
      <c r="AD1627">
        <v>10</v>
      </c>
      <c r="AE1627" t="s">
        <v>80</v>
      </c>
      <c r="AF1627" t="s">
        <v>107</v>
      </c>
      <c r="AG1627" t="s">
        <v>82</v>
      </c>
      <c r="AH1627" t="s">
        <v>83</v>
      </c>
      <c r="AI1627" t="s">
        <v>130</v>
      </c>
      <c r="AJ1627">
        <v>1.4779102495158301</v>
      </c>
      <c r="AK1627">
        <v>0.88719936749211603</v>
      </c>
      <c r="AL1627">
        <v>0.69558740300983302</v>
      </c>
      <c r="AM1627">
        <v>7.5997658989435293E-2</v>
      </c>
      <c r="AN1627">
        <v>4.1422050366553602</v>
      </c>
      <c r="AO1627">
        <v>0.98426524113024105</v>
      </c>
      <c r="AP1627">
        <v>0.98426524113024105</v>
      </c>
      <c r="AQ1627">
        <v>0</v>
      </c>
      <c r="AR1627">
        <v>0</v>
      </c>
      <c r="AS1627">
        <v>0</v>
      </c>
      <c r="AT1627">
        <v>1</v>
      </c>
      <c r="AU1627">
        <v>4</v>
      </c>
      <c r="AV1627">
        <v>97</v>
      </c>
      <c r="AW1627">
        <v>0</v>
      </c>
      <c r="AX1627">
        <v>0</v>
      </c>
      <c r="AY1627">
        <v>15.5</v>
      </c>
      <c r="AZ1627">
        <v>2.4</v>
      </c>
      <c r="BA1627">
        <v>10.9</v>
      </c>
      <c r="BB1627">
        <v>564</v>
      </c>
      <c r="BC1627">
        <v>68</v>
      </c>
      <c r="BD1627">
        <v>1.5</v>
      </c>
      <c r="BE1627">
        <v>135</v>
      </c>
      <c r="BF1627">
        <v>0</v>
      </c>
      <c r="BG1627">
        <v>162</v>
      </c>
      <c r="BH1627">
        <v>9.1</v>
      </c>
      <c r="BI1627">
        <v>9.1999999999999993</v>
      </c>
      <c r="BJ1627">
        <v>18.3</v>
      </c>
      <c r="BK1627">
        <v>0.34</v>
      </c>
      <c r="BL1627">
        <v>7.3</v>
      </c>
      <c r="BM1627">
        <v>0.9</v>
      </c>
      <c r="BN1627">
        <v>7.5</v>
      </c>
      <c r="BO1627">
        <v>2.9</v>
      </c>
      <c r="BP1627">
        <f t="shared" si="50"/>
        <v>1.9929636302748615</v>
      </c>
      <c r="BQ1627">
        <f t="shared" si="51"/>
        <v>9.9607828148403268</v>
      </c>
    </row>
    <row r="1628" spans="1:69" hidden="1" x14ac:dyDescent="0.2">
      <c r="A1628" t="s">
        <v>1248</v>
      </c>
      <c r="B1628" t="s">
        <v>68</v>
      </c>
      <c r="C1628" t="s">
        <v>69</v>
      </c>
      <c r="D1628" t="s">
        <v>70</v>
      </c>
      <c r="E1628" t="s">
        <v>190</v>
      </c>
      <c r="F1628">
        <v>6</v>
      </c>
      <c r="G1628">
        <v>138</v>
      </c>
      <c r="H1628">
        <v>3</v>
      </c>
      <c r="I1628">
        <v>3</v>
      </c>
      <c r="J1628">
        <v>1</v>
      </c>
      <c r="K1628" t="s">
        <v>72</v>
      </c>
      <c r="L1628" t="s">
        <v>73</v>
      </c>
      <c r="M1628" s="4">
        <v>1452900000</v>
      </c>
      <c r="N1628">
        <v>0</v>
      </c>
      <c r="O1628">
        <v>4.6849183999999999</v>
      </c>
      <c r="P1628">
        <v>-74.045360000000002</v>
      </c>
      <c r="Q1628" t="s">
        <v>1249</v>
      </c>
      <c r="R1628">
        <v>10528260.869999999</v>
      </c>
      <c r="S1628">
        <v>0</v>
      </c>
      <c r="T1628" t="s">
        <v>104</v>
      </c>
      <c r="U1628" t="s">
        <v>105</v>
      </c>
      <c r="V1628" t="s">
        <v>77</v>
      </c>
      <c r="W1628" t="s">
        <v>104</v>
      </c>
      <c r="X1628" t="s">
        <v>106</v>
      </c>
      <c r="Y1628">
        <v>3.2807569802126602</v>
      </c>
      <c r="Z1628">
        <v>3280.75698021266</v>
      </c>
      <c r="AA1628">
        <v>4.71035</v>
      </c>
      <c r="AB1628">
        <v>-74.030416666666696</v>
      </c>
      <c r="AC1628">
        <v>2570</v>
      </c>
      <c r="AD1628">
        <v>10</v>
      </c>
      <c r="AE1628" t="s">
        <v>80</v>
      </c>
      <c r="AF1628" t="s">
        <v>107</v>
      </c>
      <c r="AG1628" t="s">
        <v>82</v>
      </c>
      <c r="AH1628" t="s">
        <v>83</v>
      </c>
      <c r="AI1628" t="s">
        <v>108</v>
      </c>
      <c r="AJ1628">
        <v>1.37380277563854</v>
      </c>
      <c r="AK1628">
        <v>1.2243109840482</v>
      </c>
      <c r="AL1628">
        <v>0.64771334240354606</v>
      </c>
      <c r="AM1628">
        <v>0.13319029730864199</v>
      </c>
      <c r="AN1628">
        <v>4.2293790482367699</v>
      </c>
      <c r="AO1628">
        <v>0.50879496026064197</v>
      </c>
      <c r="AP1628">
        <v>0.50879496026064197</v>
      </c>
      <c r="AQ1628">
        <v>0</v>
      </c>
      <c r="AR1628">
        <v>0</v>
      </c>
      <c r="AS1628">
        <v>0</v>
      </c>
      <c r="AT1628">
        <v>0</v>
      </c>
      <c r="AU1628">
        <v>7</v>
      </c>
      <c r="AV1628">
        <v>122</v>
      </c>
      <c r="AW1628">
        <v>0</v>
      </c>
      <c r="AX1628">
        <v>0</v>
      </c>
      <c r="AY1628">
        <v>15.5</v>
      </c>
      <c r="AZ1628">
        <v>2.4</v>
      </c>
      <c r="BA1628">
        <v>10.9</v>
      </c>
      <c r="BB1628">
        <v>564</v>
      </c>
      <c r="BC1628">
        <v>68</v>
      </c>
      <c r="BD1628">
        <v>1.5</v>
      </c>
      <c r="BE1628">
        <v>135</v>
      </c>
      <c r="BF1628">
        <v>0</v>
      </c>
      <c r="BG1628">
        <v>162</v>
      </c>
      <c r="BH1628">
        <v>9.1</v>
      </c>
      <c r="BI1628">
        <v>9.1999999999999993</v>
      </c>
      <c r="BJ1628">
        <v>18.3</v>
      </c>
      <c r="BK1628">
        <v>0.34</v>
      </c>
      <c r="BL1628">
        <v>7.3</v>
      </c>
      <c r="BM1628">
        <v>0.9</v>
      </c>
      <c r="BN1628">
        <v>7.5</v>
      </c>
      <c r="BO1628">
        <v>2.9</v>
      </c>
      <c r="BP1628">
        <f t="shared" si="50"/>
        <v>2.0402477913615242</v>
      </c>
      <c r="BQ1628">
        <f t="shared" si="51"/>
        <v>10.074672707629528</v>
      </c>
    </row>
    <row r="1629" spans="1:69" hidden="1" x14ac:dyDescent="0.2">
      <c r="A1629" t="s">
        <v>1584</v>
      </c>
      <c r="B1629" t="s">
        <v>68</v>
      </c>
      <c r="C1629" t="s">
        <v>69</v>
      </c>
      <c r="D1629" t="s">
        <v>70</v>
      </c>
      <c r="E1629" t="s">
        <v>1585</v>
      </c>
      <c r="F1629">
        <v>6</v>
      </c>
      <c r="G1629">
        <v>138</v>
      </c>
      <c r="H1629">
        <v>3</v>
      </c>
      <c r="I1629">
        <v>4</v>
      </c>
      <c r="J1629">
        <v>3</v>
      </c>
      <c r="K1629" t="s">
        <v>110</v>
      </c>
      <c r="L1629" t="s">
        <v>124</v>
      </c>
      <c r="M1629" s="4">
        <v>1290000000</v>
      </c>
      <c r="N1629">
        <v>0</v>
      </c>
      <c r="O1629">
        <v>4.6886538</v>
      </c>
      <c r="P1629">
        <v>-74.043063900000007</v>
      </c>
      <c r="Q1629" t="s">
        <v>1586</v>
      </c>
      <c r="R1629">
        <v>9347826.0869999994</v>
      </c>
      <c r="S1629">
        <v>0</v>
      </c>
      <c r="T1629" t="s">
        <v>104</v>
      </c>
      <c r="U1629" t="s">
        <v>105</v>
      </c>
      <c r="V1629" t="s">
        <v>77</v>
      </c>
      <c r="W1629" t="s">
        <v>104</v>
      </c>
      <c r="X1629" t="s">
        <v>106</v>
      </c>
      <c r="Y1629">
        <v>2.7932185885629899</v>
      </c>
      <c r="Z1629">
        <v>2793.2185885629901</v>
      </c>
      <c r="AA1629">
        <v>4.71035</v>
      </c>
      <c r="AB1629">
        <v>-74.030416666666696</v>
      </c>
      <c r="AC1629">
        <v>2570</v>
      </c>
      <c r="AD1629">
        <v>10</v>
      </c>
      <c r="AE1629" t="s">
        <v>80</v>
      </c>
      <c r="AF1629" t="s">
        <v>107</v>
      </c>
      <c r="AG1629" t="s">
        <v>82</v>
      </c>
      <c r="AH1629" t="s">
        <v>83</v>
      </c>
      <c r="AI1629" t="s">
        <v>108</v>
      </c>
      <c r="AJ1629">
        <v>1.53121598861292</v>
      </c>
      <c r="AK1629">
        <v>1.3397104128669901</v>
      </c>
      <c r="AL1629">
        <v>0.80989815477737204</v>
      </c>
      <c r="AM1629">
        <v>0.16283658659039901</v>
      </c>
      <c r="AN1629">
        <v>4.6040187808067197</v>
      </c>
      <c r="AO1629">
        <v>2.4886546705693301E-2</v>
      </c>
      <c r="AP1629">
        <v>2.4886546705693301E-2</v>
      </c>
      <c r="AQ1629">
        <v>0</v>
      </c>
      <c r="AR1629">
        <v>0</v>
      </c>
      <c r="AS1629">
        <v>0</v>
      </c>
      <c r="AT1629">
        <v>0</v>
      </c>
      <c r="AU1629">
        <v>7</v>
      </c>
      <c r="AV1629">
        <v>103</v>
      </c>
      <c r="AW1629">
        <v>0</v>
      </c>
      <c r="AX1629">
        <v>0</v>
      </c>
      <c r="AY1629">
        <v>15.5</v>
      </c>
      <c r="AZ1629">
        <v>2.4</v>
      </c>
      <c r="BA1629">
        <v>10.9</v>
      </c>
      <c r="BB1629">
        <v>564</v>
      </c>
      <c r="BC1629">
        <v>68</v>
      </c>
      <c r="BD1629">
        <v>1.5</v>
      </c>
      <c r="BE1629">
        <v>135</v>
      </c>
      <c r="BF1629">
        <v>0</v>
      </c>
      <c r="BG1629">
        <v>162</v>
      </c>
      <c r="BH1629">
        <v>9.1</v>
      </c>
      <c r="BI1629">
        <v>9.1999999999999993</v>
      </c>
      <c r="BJ1629">
        <v>18.3</v>
      </c>
      <c r="BK1629">
        <v>0.34</v>
      </c>
      <c r="BL1629">
        <v>7.3</v>
      </c>
      <c r="BM1629">
        <v>0.9</v>
      </c>
      <c r="BN1629">
        <v>7.5</v>
      </c>
      <c r="BO1629">
        <v>2.9</v>
      </c>
      <c r="BP1629">
        <f t="shared" si="50"/>
        <v>2.0900843358000385</v>
      </c>
      <c r="BQ1629">
        <f t="shared" si="51"/>
        <v>10.193248028504922</v>
      </c>
    </row>
    <row r="1630" spans="1:69" hidden="1" x14ac:dyDescent="0.2">
      <c r="A1630" t="s">
        <v>956</v>
      </c>
      <c r="B1630" t="s">
        <v>68</v>
      </c>
      <c r="C1630" t="s">
        <v>69</v>
      </c>
      <c r="D1630" t="s">
        <v>70</v>
      </c>
      <c r="E1630" t="s">
        <v>344</v>
      </c>
      <c r="F1630">
        <v>5</v>
      </c>
      <c r="G1630">
        <v>137</v>
      </c>
      <c r="H1630">
        <v>4</v>
      </c>
      <c r="I1630">
        <v>4</v>
      </c>
      <c r="J1630">
        <v>2</v>
      </c>
      <c r="K1630" t="s">
        <v>110</v>
      </c>
      <c r="L1630" t="s">
        <v>162</v>
      </c>
      <c r="M1630" s="4">
        <v>730000000</v>
      </c>
      <c r="N1630">
        <v>0</v>
      </c>
      <c r="O1630">
        <v>4.6971778869999996</v>
      </c>
      <c r="P1630">
        <v>-74.058563230000004</v>
      </c>
      <c r="Q1630" t="s">
        <v>957</v>
      </c>
      <c r="R1630">
        <v>5328467.1529999999</v>
      </c>
      <c r="S1630">
        <v>0</v>
      </c>
      <c r="T1630" t="s">
        <v>104</v>
      </c>
      <c r="U1630" t="s">
        <v>105</v>
      </c>
      <c r="V1630" t="s">
        <v>77</v>
      </c>
      <c r="W1630" t="s">
        <v>104</v>
      </c>
      <c r="X1630" t="s">
        <v>106</v>
      </c>
      <c r="Y1630">
        <v>3.4498377518642802</v>
      </c>
      <c r="Z1630">
        <v>3449.8377518642801</v>
      </c>
      <c r="AA1630">
        <v>4.71035</v>
      </c>
      <c r="AB1630">
        <v>-74.030416666666696</v>
      </c>
      <c r="AC1630">
        <v>2570</v>
      </c>
      <c r="AD1630">
        <v>10</v>
      </c>
      <c r="AE1630" t="s">
        <v>80</v>
      </c>
      <c r="AF1630" t="s">
        <v>107</v>
      </c>
      <c r="AG1630" t="s">
        <v>82</v>
      </c>
      <c r="AH1630" t="s">
        <v>83</v>
      </c>
      <c r="AI1630" t="s">
        <v>121</v>
      </c>
      <c r="AJ1630">
        <v>0.375776867082669</v>
      </c>
      <c r="AK1630">
        <v>3.2154105901632</v>
      </c>
      <c r="AL1630">
        <v>1.05712943832839</v>
      </c>
      <c r="AM1630">
        <v>0.15269039551232499</v>
      </c>
      <c r="AN1630">
        <v>3.65261582613905</v>
      </c>
      <c r="AO1630">
        <v>0.125040659780674</v>
      </c>
      <c r="AP1630">
        <v>0.125040659780674</v>
      </c>
      <c r="AQ1630">
        <v>1</v>
      </c>
      <c r="AR1630">
        <v>3</v>
      </c>
      <c r="AS1630">
        <v>0</v>
      </c>
      <c r="AT1630">
        <v>0</v>
      </c>
      <c r="AU1630">
        <v>0</v>
      </c>
      <c r="AV1630">
        <v>110</v>
      </c>
      <c r="AW1630">
        <v>0</v>
      </c>
      <c r="AX1630">
        <v>0</v>
      </c>
      <c r="AY1630">
        <v>15.5</v>
      </c>
      <c r="AZ1630">
        <v>2.4</v>
      </c>
      <c r="BA1630">
        <v>10.9</v>
      </c>
      <c r="BB1630">
        <v>564</v>
      </c>
      <c r="BC1630">
        <v>68</v>
      </c>
      <c r="BD1630">
        <v>1.5</v>
      </c>
      <c r="BE1630">
        <v>135</v>
      </c>
      <c r="BF1630">
        <v>0</v>
      </c>
      <c r="BG1630">
        <v>162</v>
      </c>
      <c r="BH1630">
        <v>9.1</v>
      </c>
      <c r="BI1630">
        <v>9.1999999999999993</v>
      </c>
      <c r="BJ1630">
        <v>18.3</v>
      </c>
      <c r="BK1630">
        <v>0.34</v>
      </c>
      <c r="BL1630">
        <v>7.3</v>
      </c>
      <c r="BM1630">
        <v>0.9</v>
      </c>
      <c r="BN1630">
        <v>7.5</v>
      </c>
      <c r="BO1630">
        <v>2.9</v>
      </c>
      <c r="BP1630">
        <f t="shared" si="50"/>
        <v>2.0232432003597118</v>
      </c>
      <c r="BQ1630">
        <f t="shared" si="51"/>
        <v>10.033873142227229</v>
      </c>
    </row>
    <row r="1631" spans="1:69" hidden="1" x14ac:dyDescent="0.2">
      <c r="A1631" t="s">
        <v>715</v>
      </c>
      <c r="B1631" t="s">
        <v>68</v>
      </c>
      <c r="C1631" t="s">
        <v>69</v>
      </c>
      <c r="D1631" t="s">
        <v>70</v>
      </c>
      <c r="E1631" t="s">
        <v>272</v>
      </c>
      <c r="F1631">
        <v>6</v>
      </c>
      <c r="G1631">
        <v>137</v>
      </c>
      <c r="H1631">
        <v>2</v>
      </c>
      <c r="I1631">
        <v>3</v>
      </c>
      <c r="J1631">
        <v>2</v>
      </c>
      <c r="K1631" t="s">
        <v>110</v>
      </c>
      <c r="L1631" t="s">
        <v>115</v>
      </c>
      <c r="M1631" s="4">
        <v>1100000000</v>
      </c>
      <c r="N1631">
        <v>0</v>
      </c>
      <c r="O1631">
        <v>4.6873426440000001</v>
      </c>
      <c r="P1631">
        <v>-74.034072879999997</v>
      </c>
      <c r="Q1631" t="s">
        <v>716</v>
      </c>
      <c r="R1631">
        <v>8029197.0800000001</v>
      </c>
      <c r="S1631">
        <v>0</v>
      </c>
      <c r="T1631" t="s">
        <v>104</v>
      </c>
      <c r="U1631" t="s">
        <v>105</v>
      </c>
      <c r="V1631" t="s">
        <v>77</v>
      </c>
      <c r="W1631" t="s">
        <v>104</v>
      </c>
      <c r="X1631" t="s">
        <v>106</v>
      </c>
      <c r="Y1631">
        <v>2.5930909920830101</v>
      </c>
      <c r="Z1631">
        <v>2593.09099208301</v>
      </c>
      <c r="AA1631">
        <v>4.71035</v>
      </c>
      <c r="AB1631">
        <v>-74.030416666666696</v>
      </c>
      <c r="AC1631">
        <v>2570</v>
      </c>
      <c r="AD1631">
        <v>10</v>
      </c>
      <c r="AE1631" t="s">
        <v>80</v>
      </c>
      <c r="AF1631" t="s">
        <v>107</v>
      </c>
      <c r="AG1631" t="s">
        <v>82</v>
      </c>
      <c r="AH1631" t="s">
        <v>83</v>
      </c>
      <c r="AI1631" t="s">
        <v>108</v>
      </c>
      <c r="AJ1631">
        <v>2.52947572011225</v>
      </c>
      <c r="AK1631">
        <v>0.84181630374608096</v>
      </c>
      <c r="AL1631">
        <v>0.74897284329605396</v>
      </c>
      <c r="AM1631">
        <v>0.37834781901112402</v>
      </c>
      <c r="AN1631">
        <v>5.5058148223807004</v>
      </c>
      <c r="AO1631">
        <v>0.30793526458869303</v>
      </c>
      <c r="AP1631">
        <v>0.30793526458869303</v>
      </c>
      <c r="AQ1631">
        <v>0</v>
      </c>
      <c r="AR1631">
        <v>0</v>
      </c>
      <c r="AS1631">
        <v>0</v>
      </c>
      <c r="AT1631">
        <v>18</v>
      </c>
      <c r="AU1631">
        <v>4</v>
      </c>
      <c r="AV1631">
        <v>57</v>
      </c>
      <c r="AW1631">
        <v>0</v>
      </c>
      <c r="AX1631">
        <v>0</v>
      </c>
      <c r="AY1631">
        <v>15.5</v>
      </c>
      <c r="AZ1631">
        <v>2.4</v>
      </c>
      <c r="BA1631">
        <v>10.9</v>
      </c>
      <c r="BB1631">
        <v>564</v>
      </c>
      <c r="BC1631">
        <v>68</v>
      </c>
      <c r="BD1631">
        <v>1.5</v>
      </c>
      <c r="BE1631">
        <v>135</v>
      </c>
      <c r="BF1631">
        <v>0</v>
      </c>
      <c r="BG1631">
        <v>162</v>
      </c>
      <c r="BH1631">
        <v>9.1</v>
      </c>
      <c r="BI1631">
        <v>9.1999999999999993</v>
      </c>
      <c r="BJ1631">
        <v>18.3</v>
      </c>
      <c r="BK1631">
        <v>0.34</v>
      </c>
      <c r="BL1631">
        <v>7.3</v>
      </c>
      <c r="BM1631">
        <v>0.9</v>
      </c>
      <c r="BN1631">
        <v>7.5</v>
      </c>
      <c r="BO1631">
        <v>2.9</v>
      </c>
      <c r="BP1631">
        <f t="shared" si="50"/>
        <v>2.110892266554496</v>
      </c>
      <c r="BQ1631">
        <f t="shared" si="51"/>
        <v>10.242324598548205</v>
      </c>
    </row>
    <row r="1632" spans="1:69" hidden="1" x14ac:dyDescent="0.2">
      <c r="A1632" t="s">
        <v>1502</v>
      </c>
      <c r="B1632" t="s">
        <v>68</v>
      </c>
      <c r="C1632" t="s">
        <v>69</v>
      </c>
      <c r="D1632" t="s">
        <v>70</v>
      </c>
      <c r="E1632" t="s">
        <v>132</v>
      </c>
      <c r="F1632">
        <v>6</v>
      </c>
      <c r="G1632">
        <v>136</v>
      </c>
      <c r="H1632">
        <v>3</v>
      </c>
      <c r="I1632">
        <v>3</v>
      </c>
      <c r="J1632">
        <v>2</v>
      </c>
      <c r="K1632" t="s">
        <v>110</v>
      </c>
      <c r="L1632" t="s">
        <v>162</v>
      </c>
      <c r="M1632" s="4">
        <v>800000000</v>
      </c>
      <c r="N1632">
        <v>0</v>
      </c>
      <c r="O1632">
        <v>4.6823079200000004</v>
      </c>
      <c r="P1632">
        <v>-74.050183869999998</v>
      </c>
      <c r="Q1632" t="s">
        <v>1503</v>
      </c>
      <c r="R1632">
        <v>5882352.9409999996</v>
      </c>
      <c r="S1632">
        <v>0</v>
      </c>
      <c r="T1632" t="s">
        <v>104</v>
      </c>
      <c r="U1632" t="s">
        <v>105</v>
      </c>
      <c r="V1632" t="s">
        <v>77</v>
      </c>
      <c r="W1632" t="s">
        <v>104</v>
      </c>
      <c r="X1632" t="s">
        <v>106</v>
      </c>
      <c r="Y1632">
        <v>3.8149974689925399</v>
      </c>
      <c r="Z1632">
        <v>3814.9974689925398</v>
      </c>
      <c r="AA1632">
        <v>4.71035</v>
      </c>
      <c r="AB1632">
        <v>-74.030416666666696</v>
      </c>
      <c r="AC1632">
        <v>2570</v>
      </c>
      <c r="AD1632">
        <v>10</v>
      </c>
      <c r="AE1632" t="s">
        <v>80</v>
      </c>
      <c r="AF1632" t="s">
        <v>107</v>
      </c>
      <c r="AG1632" t="s">
        <v>82</v>
      </c>
      <c r="AH1632" t="s">
        <v>83</v>
      </c>
      <c r="AI1632" t="s">
        <v>130</v>
      </c>
      <c r="AJ1632">
        <v>0.85423862942645201</v>
      </c>
      <c r="AK1632">
        <v>1.4972600735138999</v>
      </c>
      <c r="AL1632">
        <v>0.42256259290641601</v>
      </c>
      <c r="AM1632">
        <v>5.3079487153273902E-2</v>
      </c>
      <c r="AN1632">
        <v>3.6358176254071299</v>
      </c>
      <c r="AO1632">
        <v>0.90162002937326302</v>
      </c>
      <c r="AP1632">
        <v>0.90162002937326302</v>
      </c>
      <c r="AQ1632">
        <v>0</v>
      </c>
      <c r="AR1632">
        <v>1</v>
      </c>
      <c r="AS1632">
        <v>0</v>
      </c>
      <c r="AT1632">
        <v>0</v>
      </c>
      <c r="AU1632">
        <v>4</v>
      </c>
      <c r="AV1632">
        <v>192</v>
      </c>
      <c r="AW1632">
        <v>0</v>
      </c>
      <c r="AX1632">
        <v>0</v>
      </c>
      <c r="AY1632">
        <v>15.5</v>
      </c>
      <c r="AZ1632">
        <v>2.4</v>
      </c>
      <c r="BA1632">
        <v>10.9</v>
      </c>
      <c r="BB1632">
        <v>564</v>
      </c>
      <c r="BC1632">
        <v>68</v>
      </c>
      <c r="BD1632">
        <v>1.5</v>
      </c>
      <c r="BE1632">
        <v>135</v>
      </c>
      <c r="BF1632">
        <v>0</v>
      </c>
      <c r="BG1632">
        <v>162</v>
      </c>
      <c r="BH1632">
        <v>9.1</v>
      </c>
      <c r="BI1632">
        <v>9.1999999999999993</v>
      </c>
      <c r="BJ1632">
        <v>18.3</v>
      </c>
      <c r="BK1632">
        <v>0.34</v>
      </c>
      <c r="BL1632">
        <v>7.3</v>
      </c>
      <c r="BM1632">
        <v>0.9</v>
      </c>
      <c r="BN1632">
        <v>7.5</v>
      </c>
      <c r="BO1632">
        <v>2.9</v>
      </c>
      <c r="BP1632">
        <f t="shared" si="50"/>
        <v>1.9870007929504387</v>
      </c>
      <c r="BQ1632">
        <f t="shared" si="51"/>
        <v>9.9463221530414092</v>
      </c>
    </row>
    <row r="1633" spans="1:69" hidden="1" x14ac:dyDescent="0.2">
      <c r="A1633" t="s">
        <v>1093</v>
      </c>
      <c r="B1633" t="s">
        <v>68</v>
      </c>
      <c r="C1633" t="s">
        <v>69</v>
      </c>
      <c r="D1633" t="s">
        <v>70</v>
      </c>
      <c r="E1633" t="s">
        <v>210</v>
      </c>
      <c r="F1633">
        <v>6</v>
      </c>
      <c r="G1633">
        <v>135.76</v>
      </c>
      <c r="H1633">
        <v>3</v>
      </c>
      <c r="I1633">
        <v>5</v>
      </c>
      <c r="J1633">
        <v>2</v>
      </c>
      <c r="K1633" t="s">
        <v>72</v>
      </c>
      <c r="L1633" t="s">
        <v>73</v>
      </c>
      <c r="M1633" s="4">
        <v>2711421200</v>
      </c>
      <c r="N1633">
        <v>0</v>
      </c>
      <c r="O1633">
        <v>4.6971930000000004</v>
      </c>
      <c r="P1633">
        <v>-74.052099999999996</v>
      </c>
      <c r="Q1633" t="s">
        <v>1094</v>
      </c>
      <c r="R1633">
        <v>19972165.59</v>
      </c>
      <c r="S1633">
        <v>0</v>
      </c>
      <c r="T1633" t="s">
        <v>104</v>
      </c>
      <c r="U1633" t="s">
        <v>105</v>
      </c>
      <c r="V1633" t="s">
        <v>77</v>
      </c>
      <c r="W1633" t="s">
        <v>104</v>
      </c>
      <c r="X1633" t="s">
        <v>106</v>
      </c>
      <c r="Y1633">
        <v>2.8164312341552802</v>
      </c>
      <c r="Z1633">
        <v>2816.43123415528</v>
      </c>
      <c r="AA1633">
        <v>4.71035</v>
      </c>
      <c r="AB1633">
        <v>-74.030416666666696</v>
      </c>
      <c r="AC1633">
        <v>2570</v>
      </c>
      <c r="AD1633">
        <v>10</v>
      </c>
      <c r="AE1633" t="s">
        <v>80</v>
      </c>
      <c r="AF1633" t="s">
        <v>107</v>
      </c>
      <c r="AG1633" t="s">
        <v>82</v>
      </c>
      <c r="AH1633" t="s">
        <v>83</v>
      </c>
      <c r="AI1633" t="s">
        <v>108</v>
      </c>
      <c r="AJ1633">
        <v>0.3704520231708</v>
      </c>
      <c r="AK1633">
        <v>2.7029258595346799</v>
      </c>
      <c r="AL1633">
        <v>0.497922585731226</v>
      </c>
      <c r="AM1633">
        <v>0.183439943781117</v>
      </c>
      <c r="AN1633">
        <v>4.1912385891044197</v>
      </c>
      <c r="AO1633">
        <v>0.29890318697298801</v>
      </c>
      <c r="AP1633">
        <v>0.29890318697298801</v>
      </c>
      <c r="AQ1633">
        <v>1</v>
      </c>
      <c r="AR1633">
        <v>3</v>
      </c>
      <c r="AS1633">
        <v>0</v>
      </c>
      <c r="AT1633">
        <v>0</v>
      </c>
      <c r="AU1633">
        <v>1</v>
      </c>
      <c r="AV1633">
        <v>157</v>
      </c>
      <c r="AW1633">
        <v>0</v>
      </c>
      <c r="AX1633">
        <v>0</v>
      </c>
      <c r="AY1633">
        <v>15.5</v>
      </c>
      <c r="AZ1633">
        <v>2.4</v>
      </c>
      <c r="BA1633">
        <v>10.9</v>
      </c>
      <c r="BB1633">
        <v>564</v>
      </c>
      <c r="BC1633">
        <v>68</v>
      </c>
      <c r="BD1633">
        <v>1.5</v>
      </c>
      <c r="BE1633">
        <v>135</v>
      </c>
      <c r="BF1633">
        <v>0</v>
      </c>
      <c r="BG1633">
        <v>162</v>
      </c>
      <c r="BH1633">
        <v>9.1</v>
      </c>
      <c r="BI1633">
        <v>9.1999999999999993</v>
      </c>
      <c r="BJ1633">
        <v>18.3</v>
      </c>
      <c r="BK1633">
        <v>0.34</v>
      </c>
      <c r="BL1633">
        <v>7.3</v>
      </c>
      <c r="BM1633">
        <v>0.9</v>
      </c>
      <c r="BN1633">
        <v>7.5</v>
      </c>
      <c r="BO1633">
        <v>2.9</v>
      </c>
      <c r="BP1633">
        <f t="shared" si="50"/>
        <v>2.0876841538460198</v>
      </c>
      <c r="BQ1633">
        <f t="shared" si="51"/>
        <v>10.187570915927299</v>
      </c>
    </row>
    <row r="1634" spans="1:69" hidden="1" x14ac:dyDescent="0.2">
      <c r="A1634" t="s">
        <v>3714</v>
      </c>
      <c r="B1634" t="s">
        <v>68</v>
      </c>
      <c r="C1634" t="s">
        <v>3294</v>
      </c>
      <c r="D1634" t="s">
        <v>70</v>
      </c>
      <c r="E1634" t="s">
        <v>748</v>
      </c>
      <c r="F1634">
        <v>6</v>
      </c>
      <c r="G1634">
        <v>135</v>
      </c>
      <c r="H1634">
        <v>3</v>
      </c>
      <c r="I1634">
        <v>4</v>
      </c>
      <c r="J1634">
        <v>2</v>
      </c>
      <c r="K1634" t="s">
        <v>110</v>
      </c>
      <c r="L1634" t="s">
        <v>162</v>
      </c>
      <c r="M1634" s="4">
        <v>790000000</v>
      </c>
      <c r="N1634">
        <v>0</v>
      </c>
      <c r="O1634">
        <v>4.6892399999999999</v>
      </c>
      <c r="P1634">
        <v>-74.041390000000007</v>
      </c>
      <c r="Q1634" t="s">
        <v>3715</v>
      </c>
      <c r="R1634">
        <v>5851851.852</v>
      </c>
      <c r="S1634">
        <v>0</v>
      </c>
      <c r="T1634" t="s">
        <v>104</v>
      </c>
      <c r="U1634" t="s">
        <v>105</v>
      </c>
      <c r="V1634" t="s">
        <v>77</v>
      </c>
      <c r="W1634" t="s">
        <v>104</v>
      </c>
      <c r="X1634" t="s">
        <v>106</v>
      </c>
      <c r="Y1634">
        <v>2.6465907827733299</v>
      </c>
      <c r="Z1634">
        <v>2646.5907827733299</v>
      </c>
      <c r="AA1634">
        <v>4.71035</v>
      </c>
      <c r="AB1634">
        <v>-74.030416666666696</v>
      </c>
      <c r="AC1634">
        <v>2570</v>
      </c>
      <c r="AD1634">
        <v>10</v>
      </c>
      <c r="AE1634" t="s">
        <v>80</v>
      </c>
      <c r="AF1634" t="s">
        <v>107</v>
      </c>
      <c r="AG1634" t="s">
        <v>82</v>
      </c>
      <c r="AH1634" t="s">
        <v>83</v>
      </c>
      <c r="AI1634" t="s">
        <v>108</v>
      </c>
      <c r="AJ1634">
        <v>1.69151365966886</v>
      </c>
      <c r="AK1634">
        <v>1.29867756340948</v>
      </c>
      <c r="AL1634">
        <v>0.79165771806403895</v>
      </c>
      <c r="AM1634">
        <v>0.281046144864602</v>
      </c>
      <c r="AN1634">
        <v>4.8005239128712196</v>
      </c>
      <c r="AO1634">
        <v>0.108098228229514</v>
      </c>
      <c r="AP1634">
        <v>0.108098228229514</v>
      </c>
      <c r="AQ1634">
        <v>0</v>
      </c>
      <c r="AR1634">
        <v>0</v>
      </c>
      <c r="AS1634">
        <v>0</v>
      </c>
      <c r="AT1634">
        <v>0</v>
      </c>
      <c r="AU1634">
        <v>3</v>
      </c>
      <c r="AV1634">
        <v>96</v>
      </c>
      <c r="AW1634">
        <v>0</v>
      </c>
      <c r="AX1634">
        <v>0</v>
      </c>
      <c r="AY1634">
        <v>15.5</v>
      </c>
      <c r="AZ1634">
        <v>2.4</v>
      </c>
      <c r="BA1634">
        <v>10.9</v>
      </c>
      <c r="BB1634">
        <v>564</v>
      </c>
      <c r="BC1634">
        <v>68</v>
      </c>
      <c r="BD1634">
        <v>1.5</v>
      </c>
      <c r="BE1634">
        <v>135</v>
      </c>
      <c r="BF1634">
        <v>0</v>
      </c>
      <c r="BG1634">
        <v>162</v>
      </c>
      <c r="BH1634">
        <v>9.1</v>
      </c>
      <c r="BI1634">
        <v>9.1999999999999993</v>
      </c>
      <c r="BJ1634">
        <v>18.3</v>
      </c>
      <c r="BK1634">
        <v>0.34</v>
      </c>
      <c r="BL1634">
        <v>7.3</v>
      </c>
      <c r="BM1634">
        <v>0.9</v>
      </c>
      <c r="BN1634">
        <v>7.5</v>
      </c>
      <c r="BO1634">
        <v>2.9</v>
      </c>
      <c r="BP1634">
        <f t="shared" si="50"/>
        <v>2.1053095134769193</v>
      </c>
      <c r="BQ1634">
        <f t="shared" si="51"/>
        <v>10.229181944571765</v>
      </c>
    </row>
    <row r="1635" spans="1:69" hidden="1" x14ac:dyDescent="0.2">
      <c r="A1635" t="s">
        <v>499</v>
      </c>
      <c r="B1635" t="s">
        <v>68</v>
      </c>
      <c r="C1635" t="s">
        <v>69</v>
      </c>
      <c r="D1635" t="s">
        <v>70</v>
      </c>
      <c r="E1635" t="s">
        <v>177</v>
      </c>
      <c r="F1635">
        <v>5</v>
      </c>
      <c r="G1635">
        <v>135</v>
      </c>
      <c r="H1635">
        <v>3</v>
      </c>
      <c r="I1635">
        <v>3</v>
      </c>
      <c r="J1635">
        <v>2</v>
      </c>
      <c r="K1635" t="s">
        <v>110</v>
      </c>
      <c r="L1635" t="s">
        <v>115</v>
      </c>
      <c r="M1635" s="4">
        <v>920000000</v>
      </c>
      <c r="N1635">
        <v>0</v>
      </c>
      <c r="O1635">
        <v>4.7112302780000004</v>
      </c>
      <c r="P1635">
        <v>-74.047782900000001</v>
      </c>
      <c r="Q1635" t="s">
        <v>500</v>
      </c>
      <c r="R1635">
        <v>6814814.8150000004</v>
      </c>
      <c r="S1635">
        <v>0</v>
      </c>
      <c r="T1635" t="s">
        <v>104</v>
      </c>
      <c r="U1635" t="s">
        <v>105</v>
      </c>
      <c r="V1635" t="s">
        <v>77</v>
      </c>
      <c r="W1635" t="s">
        <v>104</v>
      </c>
      <c r="X1635" t="s">
        <v>106</v>
      </c>
      <c r="Y1635">
        <v>1.9291601538070999</v>
      </c>
      <c r="Z1635">
        <v>1929.1601538071</v>
      </c>
      <c r="AA1635">
        <v>4.71035</v>
      </c>
      <c r="AB1635">
        <v>-74.030416666666696</v>
      </c>
      <c r="AC1635">
        <v>2570</v>
      </c>
      <c r="AD1635">
        <v>10</v>
      </c>
      <c r="AE1635" t="s">
        <v>80</v>
      </c>
      <c r="AF1635" t="s">
        <v>107</v>
      </c>
      <c r="AG1635" t="s">
        <v>82</v>
      </c>
      <c r="AH1635" t="s">
        <v>83</v>
      </c>
      <c r="AI1635" t="s">
        <v>108</v>
      </c>
      <c r="AJ1635">
        <v>0.64468547188088998</v>
      </c>
      <c r="AK1635">
        <v>2.5276750222767399</v>
      </c>
      <c r="AL1635">
        <v>1.6645006023376001</v>
      </c>
      <c r="AM1635">
        <v>0.394021734897187</v>
      </c>
      <c r="AN1635">
        <v>4.0822906149973397</v>
      </c>
      <c r="AO1635">
        <v>0.16740626042284701</v>
      </c>
      <c r="AP1635">
        <v>0.16740626042284701</v>
      </c>
      <c r="AQ1635">
        <v>0</v>
      </c>
      <c r="AR1635">
        <v>1</v>
      </c>
      <c r="AS1635">
        <v>0</v>
      </c>
      <c r="AT1635">
        <v>0</v>
      </c>
      <c r="AU1635">
        <v>0</v>
      </c>
      <c r="AV1635">
        <v>100</v>
      </c>
      <c r="AW1635">
        <v>0</v>
      </c>
      <c r="AX1635">
        <v>0</v>
      </c>
      <c r="AY1635">
        <v>15.5</v>
      </c>
      <c r="AZ1635">
        <v>2.4</v>
      </c>
      <c r="BA1635">
        <v>10.9</v>
      </c>
      <c r="BB1635">
        <v>564</v>
      </c>
      <c r="BC1635">
        <v>68</v>
      </c>
      <c r="BD1635">
        <v>1.5</v>
      </c>
      <c r="BE1635">
        <v>135</v>
      </c>
      <c r="BF1635">
        <v>0</v>
      </c>
      <c r="BG1635">
        <v>162</v>
      </c>
      <c r="BH1635">
        <v>9.1</v>
      </c>
      <c r="BI1635">
        <v>9.1999999999999993</v>
      </c>
      <c r="BJ1635">
        <v>18.3</v>
      </c>
      <c r="BK1635">
        <v>0.34</v>
      </c>
      <c r="BL1635">
        <v>7.3</v>
      </c>
      <c r="BM1635">
        <v>0.9</v>
      </c>
      <c r="BN1635">
        <v>7.5</v>
      </c>
      <c r="BO1635">
        <v>2.9</v>
      </c>
      <c r="BP1635">
        <f t="shared" si="50"/>
        <v>2.1814184050466783</v>
      </c>
      <c r="BQ1635">
        <f t="shared" si="51"/>
        <v>10.406836495741892</v>
      </c>
    </row>
    <row r="1636" spans="1:69" hidden="1" x14ac:dyDescent="0.2">
      <c r="A1636" t="s">
        <v>204</v>
      </c>
      <c r="B1636" t="s">
        <v>68</v>
      </c>
      <c r="C1636" t="s">
        <v>69</v>
      </c>
      <c r="D1636" t="s">
        <v>70</v>
      </c>
      <c r="E1636" t="s">
        <v>205</v>
      </c>
      <c r="F1636">
        <v>4</v>
      </c>
      <c r="G1636">
        <v>135</v>
      </c>
      <c r="H1636">
        <v>4</v>
      </c>
      <c r="I1636">
        <v>4</v>
      </c>
      <c r="J1636">
        <v>2</v>
      </c>
      <c r="K1636" t="s">
        <v>110</v>
      </c>
      <c r="L1636" t="s">
        <v>124</v>
      </c>
      <c r="M1636" s="4">
        <v>980000000</v>
      </c>
      <c r="N1636">
        <v>0</v>
      </c>
      <c r="O1636">
        <v>4.7233907000000004</v>
      </c>
      <c r="P1636">
        <v>-74.0401636</v>
      </c>
      <c r="Q1636" t="s">
        <v>206</v>
      </c>
      <c r="R1636">
        <v>7259259.2589999996</v>
      </c>
      <c r="S1636">
        <v>0</v>
      </c>
      <c r="T1636" t="s">
        <v>104</v>
      </c>
      <c r="U1636" t="s">
        <v>105</v>
      </c>
      <c r="V1636" t="s">
        <v>77</v>
      </c>
      <c r="W1636" t="s">
        <v>104</v>
      </c>
      <c r="X1636" t="s">
        <v>106</v>
      </c>
      <c r="Y1636">
        <v>1.8101663326758299</v>
      </c>
      <c r="Z1636">
        <v>1810.1663326758301</v>
      </c>
      <c r="AA1636">
        <v>4.71035</v>
      </c>
      <c r="AB1636">
        <v>-74.030416666666696</v>
      </c>
      <c r="AC1636">
        <v>2570</v>
      </c>
      <c r="AD1636">
        <v>10</v>
      </c>
      <c r="AE1636" t="s">
        <v>80</v>
      </c>
      <c r="AF1636" t="s">
        <v>107</v>
      </c>
      <c r="AG1636" t="s">
        <v>82</v>
      </c>
      <c r="AH1636" t="s">
        <v>83</v>
      </c>
      <c r="AI1636" t="s">
        <v>108</v>
      </c>
      <c r="AJ1636">
        <v>1.2084663025412301</v>
      </c>
      <c r="AK1636">
        <v>1.8854762507343401</v>
      </c>
      <c r="AL1636">
        <v>1.0493393014841801</v>
      </c>
      <c r="AM1636">
        <v>0.366065553222717</v>
      </c>
      <c r="AN1636">
        <v>2.4978673349359699</v>
      </c>
      <c r="AO1636">
        <v>1.31287125915067E-2</v>
      </c>
      <c r="AP1636">
        <v>1.31287125915067E-2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36</v>
      </c>
      <c r="AW1636">
        <v>0</v>
      </c>
      <c r="AX1636">
        <v>0</v>
      </c>
      <c r="AY1636">
        <v>15.5</v>
      </c>
      <c r="AZ1636">
        <v>2.4</v>
      </c>
      <c r="BA1636">
        <v>10.9</v>
      </c>
      <c r="BB1636">
        <v>564</v>
      </c>
      <c r="BC1636">
        <v>68</v>
      </c>
      <c r="BD1636">
        <v>1.5</v>
      </c>
      <c r="BE1636">
        <v>135</v>
      </c>
      <c r="BF1636">
        <v>0</v>
      </c>
      <c r="BG1636">
        <v>162</v>
      </c>
      <c r="BH1636">
        <v>9.1</v>
      </c>
      <c r="BI1636">
        <v>9.1999999999999993</v>
      </c>
      <c r="BJ1636">
        <v>18.3</v>
      </c>
      <c r="BK1636">
        <v>0.34</v>
      </c>
      <c r="BL1636">
        <v>7.3</v>
      </c>
      <c r="BM1636">
        <v>0.9</v>
      </c>
      <c r="BN1636">
        <v>7.5</v>
      </c>
      <c r="BO1636">
        <v>2.9</v>
      </c>
      <c r="BP1636">
        <f t="shared" si="50"/>
        <v>2.1943052988607565</v>
      </c>
      <c r="BQ1636">
        <f t="shared" si="51"/>
        <v>10.436599356444018</v>
      </c>
    </row>
    <row r="1637" spans="1:69" hidden="1" x14ac:dyDescent="0.2">
      <c r="A1637" t="s">
        <v>3271</v>
      </c>
      <c r="B1637" t="s">
        <v>68</v>
      </c>
      <c r="C1637" t="s">
        <v>1956</v>
      </c>
      <c r="D1637" t="s">
        <v>70</v>
      </c>
      <c r="E1637" t="s">
        <v>2083</v>
      </c>
      <c r="F1637">
        <v>4</v>
      </c>
      <c r="G1637">
        <v>135</v>
      </c>
      <c r="H1637">
        <v>3</v>
      </c>
      <c r="I1637">
        <v>3</v>
      </c>
      <c r="J1637">
        <v>2</v>
      </c>
      <c r="K1637" t="s">
        <v>110</v>
      </c>
      <c r="L1637" t="s">
        <v>162</v>
      </c>
      <c r="M1637" s="4">
        <v>700000000</v>
      </c>
      <c r="N1637">
        <v>0</v>
      </c>
      <c r="O1637">
        <v>4.7214499999999999</v>
      </c>
      <c r="P1637">
        <v>-74.029300000000006</v>
      </c>
      <c r="Q1637" t="s">
        <v>3272</v>
      </c>
      <c r="R1637">
        <v>5185185.1849999996</v>
      </c>
      <c r="S1637">
        <v>0</v>
      </c>
      <c r="T1637" t="s">
        <v>104</v>
      </c>
      <c r="U1637" t="s">
        <v>105</v>
      </c>
      <c r="V1637" t="s">
        <v>77</v>
      </c>
      <c r="W1637" t="s">
        <v>104</v>
      </c>
      <c r="X1637" t="s">
        <v>106</v>
      </c>
      <c r="Y1637">
        <v>1.24184122269613</v>
      </c>
      <c r="Z1637">
        <v>1241.84122269613</v>
      </c>
      <c r="AA1637">
        <v>4.71035</v>
      </c>
      <c r="AB1637">
        <v>-74.030416666666696</v>
      </c>
      <c r="AC1637">
        <v>2570</v>
      </c>
      <c r="AD1637">
        <v>10</v>
      </c>
      <c r="AE1637" t="s">
        <v>80</v>
      </c>
      <c r="AF1637" t="s">
        <v>107</v>
      </c>
      <c r="AG1637" t="s">
        <v>82</v>
      </c>
      <c r="AH1637" t="s">
        <v>83</v>
      </c>
      <c r="AI1637" t="s">
        <v>108</v>
      </c>
      <c r="AJ1637">
        <v>2.4254470167657498</v>
      </c>
      <c r="AK1637">
        <v>0.66479506576331104</v>
      </c>
      <c r="AL1637">
        <v>1.24465129156567</v>
      </c>
      <c r="AM1637">
        <v>0.20819903942780599</v>
      </c>
      <c r="AN1637">
        <v>2.2380616123277401</v>
      </c>
      <c r="AO1637">
        <v>3.1215897145354998E-2</v>
      </c>
      <c r="AP1637">
        <v>3.1215897145354998E-2</v>
      </c>
      <c r="AQ1637">
        <v>0</v>
      </c>
      <c r="AR1637">
        <v>0</v>
      </c>
      <c r="AS1637">
        <v>0</v>
      </c>
      <c r="AT1637">
        <v>17</v>
      </c>
      <c r="AU1637">
        <v>0</v>
      </c>
      <c r="AV1637">
        <v>43</v>
      </c>
      <c r="AW1637">
        <v>0</v>
      </c>
      <c r="AX1637">
        <v>0</v>
      </c>
      <c r="AY1637">
        <v>15.5</v>
      </c>
      <c r="AZ1637">
        <v>2.4</v>
      </c>
      <c r="BA1637">
        <v>10.9</v>
      </c>
      <c r="BB1637">
        <v>564</v>
      </c>
      <c r="BC1637">
        <v>68</v>
      </c>
      <c r="BD1637">
        <v>1.5</v>
      </c>
      <c r="BE1637">
        <v>135</v>
      </c>
      <c r="BF1637">
        <v>0</v>
      </c>
      <c r="BG1637">
        <v>162</v>
      </c>
      <c r="BH1637">
        <v>9.1</v>
      </c>
      <c r="BI1637">
        <v>9.1999999999999993</v>
      </c>
      <c r="BJ1637">
        <v>18.3</v>
      </c>
      <c r="BK1637">
        <v>0.34</v>
      </c>
      <c r="BL1637">
        <v>7.3</v>
      </c>
      <c r="BM1637">
        <v>0.9</v>
      </c>
      <c r="BN1637">
        <v>7.5</v>
      </c>
      <c r="BO1637">
        <v>2.9</v>
      </c>
      <c r="BP1637">
        <f t="shared" si="50"/>
        <v>2.2569122021395351</v>
      </c>
      <c r="BQ1637">
        <f t="shared" si="51"/>
        <v>10.579927775455836</v>
      </c>
    </row>
    <row r="1638" spans="1:69" hidden="1" x14ac:dyDescent="0.2">
      <c r="A1638" t="s">
        <v>434</v>
      </c>
      <c r="B1638" t="s">
        <v>68</v>
      </c>
      <c r="C1638" t="s">
        <v>69</v>
      </c>
      <c r="D1638" t="s">
        <v>70</v>
      </c>
      <c r="E1638" t="s">
        <v>213</v>
      </c>
      <c r="F1638">
        <v>6</v>
      </c>
      <c r="G1638">
        <v>134.41999999999999</v>
      </c>
      <c r="H1638">
        <v>3</v>
      </c>
      <c r="I1638">
        <v>3</v>
      </c>
      <c r="J1638">
        <v>2</v>
      </c>
      <c r="K1638" t="s">
        <v>110</v>
      </c>
      <c r="L1638" t="s">
        <v>115</v>
      </c>
      <c r="M1638" s="4">
        <v>1100000000</v>
      </c>
      <c r="N1638">
        <v>0</v>
      </c>
      <c r="O1638">
        <v>4.6979193690000001</v>
      </c>
      <c r="P1638">
        <v>-74.039695739999999</v>
      </c>
      <c r="Q1638" t="s">
        <v>435</v>
      </c>
      <c r="R1638">
        <v>8183306.0559999999</v>
      </c>
      <c r="S1638">
        <v>0</v>
      </c>
      <c r="T1638" t="s">
        <v>104</v>
      </c>
      <c r="U1638" t="s">
        <v>105</v>
      </c>
      <c r="V1638" t="s">
        <v>77</v>
      </c>
      <c r="W1638" t="s">
        <v>104</v>
      </c>
      <c r="X1638" t="s">
        <v>106</v>
      </c>
      <c r="Y1638">
        <v>1.72470753122002</v>
      </c>
      <c r="Z1638">
        <v>1724.70753122002</v>
      </c>
      <c r="AA1638">
        <v>4.71035</v>
      </c>
      <c r="AB1638">
        <v>-74.030416666666696</v>
      </c>
      <c r="AC1638">
        <v>2570</v>
      </c>
      <c r="AD1638">
        <v>10</v>
      </c>
      <c r="AE1638" t="s">
        <v>80</v>
      </c>
      <c r="AF1638" t="s">
        <v>107</v>
      </c>
      <c r="AG1638" t="s">
        <v>82</v>
      </c>
      <c r="AH1638" t="s">
        <v>83</v>
      </c>
      <c r="AI1638" t="s">
        <v>108</v>
      </c>
      <c r="AJ1638">
        <v>1.7312927293573701</v>
      </c>
      <c r="AK1638">
        <v>1.5329287055970999</v>
      </c>
      <c r="AL1638">
        <v>0.88614865074614502</v>
      </c>
      <c r="AM1638">
        <v>4.8557280425766201E-2</v>
      </c>
      <c r="AN1638">
        <v>5.03001426801183</v>
      </c>
      <c r="AO1638">
        <v>2.1329371519383598E-2</v>
      </c>
      <c r="AP1638">
        <v>2.1329371519383598E-2</v>
      </c>
      <c r="AQ1638">
        <v>0</v>
      </c>
      <c r="AR1638">
        <v>0</v>
      </c>
      <c r="AS1638">
        <v>0</v>
      </c>
      <c r="AT1638">
        <v>0</v>
      </c>
      <c r="AU1638">
        <v>1</v>
      </c>
      <c r="AV1638">
        <v>156</v>
      </c>
      <c r="AW1638">
        <v>0</v>
      </c>
      <c r="AX1638">
        <v>0</v>
      </c>
      <c r="AY1638">
        <v>15.5</v>
      </c>
      <c r="AZ1638">
        <v>2.4</v>
      </c>
      <c r="BA1638">
        <v>10.9</v>
      </c>
      <c r="BB1638">
        <v>564</v>
      </c>
      <c r="BC1638">
        <v>68</v>
      </c>
      <c r="BD1638">
        <v>1.5</v>
      </c>
      <c r="BE1638">
        <v>135</v>
      </c>
      <c r="BF1638">
        <v>0</v>
      </c>
      <c r="BG1638">
        <v>162</v>
      </c>
      <c r="BH1638">
        <v>9.1</v>
      </c>
      <c r="BI1638">
        <v>9.1999999999999993</v>
      </c>
      <c r="BJ1638">
        <v>18.3</v>
      </c>
      <c r="BK1638">
        <v>0.34</v>
      </c>
      <c r="BL1638">
        <v>7.3</v>
      </c>
      <c r="BM1638">
        <v>0.9</v>
      </c>
      <c r="BN1638">
        <v>7.5</v>
      </c>
      <c r="BO1638">
        <v>2.9</v>
      </c>
      <c r="BP1638">
        <f t="shared" si="50"/>
        <v>2.2036073334653801</v>
      </c>
      <c r="BQ1638">
        <f t="shared" si="51"/>
        <v>10.458026905539102</v>
      </c>
    </row>
    <row r="1639" spans="1:69" hidden="1" x14ac:dyDescent="0.2">
      <c r="A1639" t="s">
        <v>835</v>
      </c>
      <c r="B1639" t="s">
        <v>68</v>
      </c>
      <c r="C1639" t="s">
        <v>69</v>
      </c>
      <c r="D1639" t="s">
        <v>70</v>
      </c>
      <c r="E1639" t="s">
        <v>190</v>
      </c>
      <c r="F1639">
        <v>4</v>
      </c>
      <c r="G1639">
        <v>133</v>
      </c>
      <c r="H1639">
        <v>3</v>
      </c>
      <c r="I1639">
        <v>4</v>
      </c>
      <c r="J1639">
        <v>2</v>
      </c>
      <c r="K1639" t="s">
        <v>110</v>
      </c>
      <c r="L1639" t="s">
        <v>124</v>
      </c>
      <c r="M1639" s="4">
        <v>1100000000</v>
      </c>
      <c r="N1639">
        <v>0</v>
      </c>
      <c r="O1639">
        <v>4.6873251329999999</v>
      </c>
      <c r="P1639">
        <v>-74.043059779999993</v>
      </c>
      <c r="Q1639" t="s">
        <v>836</v>
      </c>
      <c r="R1639">
        <v>8270676.6919999998</v>
      </c>
      <c r="S1639">
        <v>0</v>
      </c>
      <c r="T1639" t="s">
        <v>104</v>
      </c>
      <c r="U1639" t="s">
        <v>105</v>
      </c>
      <c r="V1639" t="s">
        <v>77</v>
      </c>
      <c r="W1639" t="s">
        <v>104</v>
      </c>
      <c r="X1639" t="s">
        <v>106</v>
      </c>
      <c r="Y1639">
        <v>2.9218347487072198</v>
      </c>
      <c r="Z1639">
        <v>2921.8347487072201</v>
      </c>
      <c r="AA1639">
        <v>4.71035</v>
      </c>
      <c r="AB1639">
        <v>-74.030416666666696</v>
      </c>
      <c r="AC1639">
        <v>2570</v>
      </c>
      <c r="AD1639">
        <v>10</v>
      </c>
      <c r="AE1639" t="s">
        <v>80</v>
      </c>
      <c r="AF1639" t="s">
        <v>107</v>
      </c>
      <c r="AG1639" t="s">
        <v>82</v>
      </c>
      <c r="AH1639" t="s">
        <v>83</v>
      </c>
      <c r="AI1639" t="s">
        <v>108</v>
      </c>
      <c r="AJ1639">
        <v>1.5836669085339301</v>
      </c>
      <c r="AK1639">
        <v>1.22275230301417</v>
      </c>
      <c r="AL1639">
        <v>0.68877794167694095</v>
      </c>
      <c r="AM1639">
        <v>5.1718073002576997E-2</v>
      </c>
      <c r="AN1639">
        <v>4.5542112992859396</v>
      </c>
      <c r="AO1639">
        <v>0.15417951864111901</v>
      </c>
      <c r="AP1639">
        <v>0.15417951864111901</v>
      </c>
      <c r="AQ1639">
        <v>0</v>
      </c>
      <c r="AR1639">
        <v>0</v>
      </c>
      <c r="AS1639">
        <v>0</v>
      </c>
      <c r="AT1639">
        <v>0</v>
      </c>
      <c r="AU1639">
        <v>6</v>
      </c>
      <c r="AV1639">
        <v>106</v>
      </c>
      <c r="AW1639">
        <v>0</v>
      </c>
      <c r="AX1639">
        <v>0</v>
      </c>
      <c r="AY1639">
        <v>15.5</v>
      </c>
      <c r="AZ1639">
        <v>2.4</v>
      </c>
      <c r="BA1639">
        <v>10.9</v>
      </c>
      <c r="BB1639">
        <v>564</v>
      </c>
      <c r="BC1639">
        <v>68</v>
      </c>
      <c r="BD1639">
        <v>1.5</v>
      </c>
      <c r="BE1639">
        <v>135</v>
      </c>
      <c r="BF1639">
        <v>0</v>
      </c>
      <c r="BG1639">
        <v>162</v>
      </c>
      <c r="BH1639">
        <v>9.1</v>
      </c>
      <c r="BI1639">
        <v>9.1999999999999993</v>
      </c>
      <c r="BJ1639">
        <v>18.3</v>
      </c>
      <c r="BK1639">
        <v>0.34</v>
      </c>
      <c r="BL1639">
        <v>7.3</v>
      </c>
      <c r="BM1639">
        <v>0.9</v>
      </c>
      <c r="BN1639">
        <v>7.5</v>
      </c>
      <c r="BO1639">
        <v>2.9</v>
      </c>
      <c r="BP1639">
        <f t="shared" si="50"/>
        <v>2.0768200822655842</v>
      </c>
      <c r="BQ1639">
        <f t="shared" si="51"/>
        <v>10.161832146431468</v>
      </c>
    </row>
    <row r="1640" spans="1:69" hidden="1" x14ac:dyDescent="0.2">
      <c r="A1640" t="s">
        <v>1935</v>
      </c>
      <c r="B1640" t="s">
        <v>68</v>
      </c>
      <c r="C1640" t="s">
        <v>69</v>
      </c>
      <c r="D1640" t="s">
        <v>70</v>
      </c>
      <c r="E1640" t="s">
        <v>337</v>
      </c>
      <c r="F1640">
        <v>5</v>
      </c>
      <c r="G1640">
        <v>133</v>
      </c>
      <c r="H1640">
        <v>3</v>
      </c>
      <c r="I1640">
        <v>3</v>
      </c>
      <c r="J1640">
        <v>1</v>
      </c>
      <c r="K1640" t="s">
        <v>110</v>
      </c>
      <c r="L1640" t="s">
        <v>111</v>
      </c>
      <c r="M1640" s="4">
        <v>1250000000</v>
      </c>
      <c r="N1640">
        <v>0</v>
      </c>
      <c r="O1640">
        <v>4.7015619940000004</v>
      </c>
      <c r="P1640">
        <v>-74.053612119999997</v>
      </c>
      <c r="Q1640" t="s">
        <v>1936</v>
      </c>
      <c r="R1640">
        <v>9398496.2410000004</v>
      </c>
      <c r="S1640">
        <v>0</v>
      </c>
      <c r="T1640" t="s">
        <v>104</v>
      </c>
      <c r="U1640" t="s">
        <v>105</v>
      </c>
      <c r="V1640" t="s">
        <v>77</v>
      </c>
      <c r="W1640" t="s">
        <v>104</v>
      </c>
      <c r="X1640" t="s">
        <v>106</v>
      </c>
      <c r="Y1640">
        <v>2.7530745523073601</v>
      </c>
      <c r="Z1640">
        <v>2753.0745523073601</v>
      </c>
      <c r="AA1640">
        <v>4.71035</v>
      </c>
      <c r="AB1640">
        <v>-74.030416666666696</v>
      </c>
      <c r="AC1640">
        <v>2570</v>
      </c>
      <c r="AD1640">
        <v>10</v>
      </c>
      <c r="AE1640" t="s">
        <v>80</v>
      </c>
      <c r="AF1640" t="s">
        <v>107</v>
      </c>
      <c r="AG1640" t="s">
        <v>82</v>
      </c>
      <c r="AH1640" t="s">
        <v>83</v>
      </c>
      <c r="AI1640" t="s">
        <v>108</v>
      </c>
      <c r="AJ1640">
        <v>0.34684202445818801</v>
      </c>
      <c r="AK1640">
        <v>3.0885465237028802</v>
      </c>
      <c r="AL1640">
        <v>1.0044609318419899</v>
      </c>
      <c r="AM1640">
        <v>8.4120263961578498E-2</v>
      </c>
      <c r="AN1640">
        <v>4.3836318646072403</v>
      </c>
      <c r="AO1640">
        <v>0.105480422728044</v>
      </c>
      <c r="AP1640">
        <v>0.105480422728044</v>
      </c>
      <c r="AQ1640">
        <v>2</v>
      </c>
      <c r="AR1640">
        <v>3</v>
      </c>
      <c r="AS1640">
        <v>0</v>
      </c>
      <c r="AT1640">
        <v>0</v>
      </c>
      <c r="AU1640">
        <v>0</v>
      </c>
      <c r="AV1640">
        <v>161</v>
      </c>
      <c r="AW1640">
        <v>0</v>
      </c>
      <c r="AX1640">
        <v>0</v>
      </c>
      <c r="AY1640">
        <v>15.5</v>
      </c>
      <c r="AZ1640">
        <v>2.4</v>
      </c>
      <c r="BA1640">
        <v>10.9</v>
      </c>
      <c r="BB1640">
        <v>564</v>
      </c>
      <c r="BC1640">
        <v>68</v>
      </c>
      <c r="BD1640">
        <v>1.5</v>
      </c>
      <c r="BE1640">
        <v>135</v>
      </c>
      <c r="BF1640">
        <v>0</v>
      </c>
      <c r="BG1640">
        <v>162</v>
      </c>
      <c r="BH1640">
        <v>9.1</v>
      </c>
      <c r="BI1640">
        <v>9.1999999999999993</v>
      </c>
      <c r="BJ1640">
        <v>18.3</v>
      </c>
      <c r="BK1640">
        <v>0.34</v>
      </c>
      <c r="BL1640">
        <v>7.3</v>
      </c>
      <c r="BM1640">
        <v>0.9</v>
      </c>
      <c r="BN1640">
        <v>7.5</v>
      </c>
      <c r="BO1640">
        <v>2.9</v>
      </c>
      <c r="BP1640">
        <f t="shared" si="50"/>
        <v>2.0942417339338744</v>
      </c>
      <c r="BQ1640">
        <f t="shared" si="51"/>
        <v>10.203073515803554</v>
      </c>
    </row>
    <row r="1641" spans="1:69" hidden="1" x14ac:dyDescent="0.2">
      <c r="A1641" t="s">
        <v>1031</v>
      </c>
      <c r="B1641" t="s">
        <v>68</v>
      </c>
      <c r="C1641" t="s">
        <v>69</v>
      </c>
      <c r="D1641" t="s">
        <v>70</v>
      </c>
      <c r="E1641" t="s">
        <v>1032</v>
      </c>
      <c r="F1641">
        <v>5</v>
      </c>
      <c r="G1641">
        <v>133</v>
      </c>
      <c r="H1641">
        <v>3</v>
      </c>
      <c r="I1641">
        <v>4</v>
      </c>
      <c r="J1641">
        <v>2</v>
      </c>
      <c r="K1641" t="s">
        <v>110</v>
      </c>
      <c r="L1641" t="s">
        <v>162</v>
      </c>
      <c r="M1641" s="4">
        <v>630000000</v>
      </c>
      <c r="N1641">
        <v>0</v>
      </c>
      <c r="O1641">
        <v>4.7193355559999999</v>
      </c>
      <c r="P1641">
        <v>-74.043083190000004</v>
      </c>
      <c r="Q1641" t="s">
        <v>1033</v>
      </c>
      <c r="R1641">
        <v>4736842.1050000004</v>
      </c>
      <c r="S1641">
        <v>0</v>
      </c>
      <c r="T1641" t="s">
        <v>104</v>
      </c>
      <c r="U1641" t="s">
        <v>105</v>
      </c>
      <c r="V1641" t="s">
        <v>77</v>
      </c>
      <c r="W1641" t="s">
        <v>104</v>
      </c>
      <c r="X1641" t="s">
        <v>106</v>
      </c>
      <c r="Y1641">
        <v>1.7249027624448601</v>
      </c>
      <c r="Z1641">
        <v>1724.9027624448599</v>
      </c>
      <c r="AA1641">
        <v>4.71035</v>
      </c>
      <c r="AB1641">
        <v>-74.030416666666696</v>
      </c>
      <c r="AC1641">
        <v>2570</v>
      </c>
      <c r="AD1641">
        <v>10</v>
      </c>
      <c r="AE1641" t="s">
        <v>80</v>
      </c>
      <c r="AF1641" t="s">
        <v>107</v>
      </c>
      <c r="AG1641" t="s">
        <v>82</v>
      </c>
      <c r="AH1641" t="s">
        <v>83</v>
      </c>
      <c r="AI1641" t="s">
        <v>108</v>
      </c>
      <c r="AJ1641">
        <v>0.95027199340591295</v>
      </c>
      <c r="AK1641">
        <v>2.1649500519410698</v>
      </c>
      <c r="AL1641">
        <v>1.48571867651709</v>
      </c>
      <c r="AM1641">
        <v>0.26299698908337799</v>
      </c>
      <c r="AN1641">
        <v>3.0506530988213201</v>
      </c>
      <c r="AO1641">
        <v>0.303587385944809</v>
      </c>
      <c r="AP1641">
        <v>0.303587385944809</v>
      </c>
      <c r="AQ1641">
        <v>0</v>
      </c>
      <c r="AR1641">
        <v>1</v>
      </c>
      <c r="AS1641">
        <v>0</v>
      </c>
      <c r="AT1641">
        <v>0</v>
      </c>
      <c r="AU1641">
        <v>0</v>
      </c>
      <c r="AV1641">
        <v>35</v>
      </c>
      <c r="AW1641">
        <v>0</v>
      </c>
      <c r="AX1641">
        <v>0</v>
      </c>
      <c r="AY1641">
        <v>15.5</v>
      </c>
      <c r="AZ1641">
        <v>2.4</v>
      </c>
      <c r="BA1641">
        <v>10.9</v>
      </c>
      <c r="BB1641">
        <v>564</v>
      </c>
      <c r="BC1641">
        <v>68</v>
      </c>
      <c r="BD1641">
        <v>1.5</v>
      </c>
      <c r="BE1641">
        <v>135</v>
      </c>
      <c r="BF1641">
        <v>0</v>
      </c>
      <c r="BG1641">
        <v>162</v>
      </c>
      <c r="BH1641">
        <v>9.1</v>
      </c>
      <c r="BI1641">
        <v>9.1999999999999993</v>
      </c>
      <c r="BJ1641">
        <v>18.3</v>
      </c>
      <c r="BK1641">
        <v>0.34</v>
      </c>
      <c r="BL1641">
        <v>7.3</v>
      </c>
      <c r="BM1641">
        <v>0.9</v>
      </c>
      <c r="BN1641">
        <v>7.5</v>
      </c>
      <c r="BO1641">
        <v>2.9</v>
      </c>
      <c r="BP1641">
        <f t="shared" si="50"/>
        <v>2.2035860380268195</v>
      </c>
      <c r="BQ1641">
        <f t="shared" si="51"/>
        <v>10.45797790405225</v>
      </c>
    </row>
    <row r="1642" spans="1:69" hidden="1" x14ac:dyDescent="0.2">
      <c r="A1642" t="s">
        <v>704</v>
      </c>
      <c r="B1642" t="s">
        <v>68</v>
      </c>
      <c r="C1642" t="s">
        <v>69</v>
      </c>
      <c r="D1642" t="s">
        <v>70</v>
      </c>
      <c r="E1642" t="s">
        <v>210</v>
      </c>
      <c r="F1642">
        <v>6</v>
      </c>
      <c r="G1642">
        <v>132</v>
      </c>
      <c r="H1642">
        <v>3</v>
      </c>
      <c r="I1642">
        <v>4</v>
      </c>
      <c r="J1642">
        <v>3</v>
      </c>
      <c r="K1642" t="s">
        <v>110</v>
      </c>
      <c r="L1642" t="s">
        <v>162</v>
      </c>
      <c r="M1642" s="4">
        <v>860000000</v>
      </c>
      <c r="N1642">
        <v>0</v>
      </c>
      <c r="O1642">
        <v>4.6975332889999999</v>
      </c>
      <c r="P1642">
        <v>-74.048455340000004</v>
      </c>
      <c r="Q1642" t="s">
        <v>705</v>
      </c>
      <c r="R1642">
        <v>6515151.5149999997</v>
      </c>
      <c r="S1642">
        <v>0</v>
      </c>
      <c r="T1642" t="s">
        <v>104</v>
      </c>
      <c r="U1642" t="s">
        <v>105</v>
      </c>
      <c r="V1642" t="s">
        <v>77</v>
      </c>
      <c r="W1642" t="s">
        <v>104</v>
      </c>
      <c r="X1642" t="s">
        <v>106</v>
      </c>
      <c r="Y1642">
        <v>2.4578009769548301</v>
      </c>
      <c r="Z1642">
        <v>2457.8009769548298</v>
      </c>
      <c r="AA1642">
        <v>4.71035</v>
      </c>
      <c r="AB1642">
        <v>-74.030416666666696</v>
      </c>
      <c r="AC1642">
        <v>2570</v>
      </c>
      <c r="AD1642">
        <v>10</v>
      </c>
      <c r="AE1642" t="s">
        <v>80</v>
      </c>
      <c r="AF1642" t="s">
        <v>107</v>
      </c>
      <c r="AG1642" t="s">
        <v>82</v>
      </c>
      <c r="AH1642" t="s">
        <v>83</v>
      </c>
      <c r="AI1642" t="s">
        <v>108</v>
      </c>
      <c r="AJ1642">
        <v>0.76272370340840201</v>
      </c>
      <c r="AK1642">
        <v>2.4871727627526501</v>
      </c>
      <c r="AL1642">
        <v>0.49343953000935997</v>
      </c>
      <c r="AM1642">
        <v>0.136098868344149</v>
      </c>
      <c r="AN1642">
        <v>4.53792012172954</v>
      </c>
      <c r="AO1642">
        <v>0.33354627603675902</v>
      </c>
      <c r="AP1642">
        <v>0.33354627603675902</v>
      </c>
      <c r="AQ1642">
        <v>0</v>
      </c>
      <c r="AR1642">
        <v>2</v>
      </c>
      <c r="AS1642">
        <v>0</v>
      </c>
      <c r="AT1642">
        <v>0</v>
      </c>
      <c r="AU1642">
        <v>1</v>
      </c>
      <c r="AV1642">
        <v>161</v>
      </c>
      <c r="AW1642">
        <v>0</v>
      </c>
      <c r="AX1642">
        <v>0</v>
      </c>
      <c r="AY1642">
        <v>15.5</v>
      </c>
      <c r="AZ1642">
        <v>2.4</v>
      </c>
      <c r="BA1642">
        <v>10.9</v>
      </c>
      <c r="BB1642">
        <v>564</v>
      </c>
      <c r="BC1642">
        <v>68</v>
      </c>
      <c r="BD1642">
        <v>1.5</v>
      </c>
      <c r="BE1642">
        <v>135</v>
      </c>
      <c r="BF1642">
        <v>0</v>
      </c>
      <c r="BG1642">
        <v>162</v>
      </c>
      <c r="BH1642">
        <v>9.1</v>
      </c>
      <c r="BI1642">
        <v>9.1999999999999993</v>
      </c>
      <c r="BJ1642">
        <v>18.3</v>
      </c>
      <c r="BK1642">
        <v>0.34</v>
      </c>
      <c r="BL1642">
        <v>7.3</v>
      </c>
      <c r="BM1642">
        <v>0.9</v>
      </c>
      <c r="BN1642">
        <v>7.5</v>
      </c>
      <c r="BO1642">
        <v>2.9</v>
      </c>
      <c r="BP1642">
        <f t="shared" si="50"/>
        <v>2.1250760479245341</v>
      </c>
      <c r="BQ1642">
        <f t="shared" si="51"/>
        <v>10.27563507017064</v>
      </c>
    </row>
    <row r="1643" spans="1:69" hidden="1" x14ac:dyDescent="0.2">
      <c r="A1643" t="s">
        <v>1887</v>
      </c>
      <c r="B1643" t="s">
        <v>68</v>
      </c>
      <c r="C1643" t="s">
        <v>69</v>
      </c>
      <c r="D1643" t="s">
        <v>70</v>
      </c>
      <c r="E1643" t="s">
        <v>210</v>
      </c>
      <c r="F1643">
        <v>6</v>
      </c>
      <c r="G1643">
        <v>132</v>
      </c>
      <c r="H1643">
        <v>3</v>
      </c>
      <c r="I1643">
        <v>4</v>
      </c>
      <c r="J1643">
        <v>3</v>
      </c>
      <c r="K1643" t="s">
        <v>110</v>
      </c>
      <c r="L1643" t="s">
        <v>162</v>
      </c>
      <c r="M1643" s="4">
        <v>821300000</v>
      </c>
      <c r="N1643">
        <v>0</v>
      </c>
      <c r="O1643">
        <v>4.6976522000000003</v>
      </c>
      <c r="P1643">
        <v>-74.048423</v>
      </c>
      <c r="Q1643" t="s">
        <v>1888</v>
      </c>
      <c r="R1643">
        <v>6221969.6969999997</v>
      </c>
      <c r="S1643">
        <v>0</v>
      </c>
      <c r="T1643" t="s">
        <v>104</v>
      </c>
      <c r="U1643" t="s">
        <v>105</v>
      </c>
      <c r="V1643" t="s">
        <v>77</v>
      </c>
      <c r="W1643" t="s">
        <v>104</v>
      </c>
      <c r="X1643" t="s">
        <v>106</v>
      </c>
      <c r="Y1643">
        <v>2.4472106375673301</v>
      </c>
      <c r="Z1643">
        <v>2447.2106375673302</v>
      </c>
      <c r="AA1643">
        <v>4.71035</v>
      </c>
      <c r="AB1643">
        <v>-74.030416666666696</v>
      </c>
      <c r="AC1643">
        <v>2570</v>
      </c>
      <c r="AD1643">
        <v>10</v>
      </c>
      <c r="AE1643" t="s">
        <v>80</v>
      </c>
      <c r="AF1643" t="s">
        <v>107</v>
      </c>
      <c r="AG1643" t="s">
        <v>82</v>
      </c>
      <c r="AH1643" t="s">
        <v>83</v>
      </c>
      <c r="AI1643" t="s">
        <v>108</v>
      </c>
      <c r="AJ1643">
        <v>0.76528324786608004</v>
      </c>
      <c r="AK1643">
        <v>2.4961639338831501</v>
      </c>
      <c r="AL1643">
        <v>0.50704276054478203</v>
      </c>
      <c r="AM1643">
        <v>0.12275541340341301</v>
      </c>
      <c r="AN1643">
        <v>4.54844652992427</v>
      </c>
      <c r="AO1643">
        <v>0.34700604162399201</v>
      </c>
      <c r="AP1643">
        <v>0.34700604162399201</v>
      </c>
      <c r="AQ1643">
        <v>0</v>
      </c>
      <c r="AR1643">
        <v>1</v>
      </c>
      <c r="AS1643">
        <v>0</v>
      </c>
      <c r="AT1643">
        <v>0</v>
      </c>
      <c r="AU1643">
        <v>1</v>
      </c>
      <c r="AV1643">
        <v>158</v>
      </c>
      <c r="AW1643">
        <v>0</v>
      </c>
      <c r="AX1643">
        <v>0</v>
      </c>
      <c r="AY1643">
        <v>15.5</v>
      </c>
      <c r="AZ1643">
        <v>2.4</v>
      </c>
      <c r="BA1643">
        <v>10.9</v>
      </c>
      <c r="BB1643">
        <v>564</v>
      </c>
      <c r="BC1643">
        <v>68</v>
      </c>
      <c r="BD1643">
        <v>1.5</v>
      </c>
      <c r="BE1643">
        <v>135</v>
      </c>
      <c r="BF1643">
        <v>0</v>
      </c>
      <c r="BG1643">
        <v>162</v>
      </c>
      <c r="BH1643">
        <v>9.1</v>
      </c>
      <c r="BI1643">
        <v>9.1999999999999993</v>
      </c>
      <c r="BJ1643">
        <v>18.3</v>
      </c>
      <c r="BK1643">
        <v>0.34</v>
      </c>
      <c r="BL1643">
        <v>7.3</v>
      </c>
      <c r="BM1643">
        <v>0.9</v>
      </c>
      <c r="BN1643">
        <v>7.5</v>
      </c>
      <c r="BO1643">
        <v>2.9</v>
      </c>
      <c r="BP1643">
        <f t="shared" si="50"/>
        <v>2.1261903511603424</v>
      </c>
      <c r="BQ1643">
        <f t="shared" si="51"/>
        <v>10.278247141216768</v>
      </c>
    </row>
    <row r="1644" spans="1:69" hidden="1" x14ac:dyDescent="0.2">
      <c r="A1644" t="s">
        <v>1600</v>
      </c>
      <c r="B1644" t="s">
        <v>68</v>
      </c>
      <c r="C1644" t="s">
        <v>69</v>
      </c>
      <c r="D1644" t="s">
        <v>70</v>
      </c>
      <c r="E1644" t="s">
        <v>102</v>
      </c>
      <c r="F1644">
        <v>6</v>
      </c>
      <c r="G1644">
        <v>132</v>
      </c>
      <c r="H1644">
        <v>3</v>
      </c>
      <c r="I1644">
        <v>4</v>
      </c>
      <c r="J1644">
        <v>2</v>
      </c>
      <c r="K1644" t="s">
        <v>110</v>
      </c>
      <c r="L1644" t="s">
        <v>162</v>
      </c>
      <c r="M1644" s="4">
        <v>900000000</v>
      </c>
      <c r="N1644">
        <v>0</v>
      </c>
      <c r="O1644">
        <v>4.6980873000000001</v>
      </c>
      <c r="P1644">
        <v>-74.045056000000002</v>
      </c>
      <c r="Q1644" t="s">
        <v>1601</v>
      </c>
      <c r="R1644">
        <v>6818181.818</v>
      </c>
      <c r="S1644">
        <v>0</v>
      </c>
      <c r="T1644" t="s">
        <v>104</v>
      </c>
      <c r="U1644" t="s">
        <v>105</v>
      </c>
      <c r="V1644" t="s">
        <v>77</v>
      </c>
      <c r="W1644" t="s">
        <v>104</v>
      </c>
      <c r="X1644" t="s">
        <v>106</v>
      </c>
      <c r="Y1644">
        <v>2.1216293291001702</v>
      </c>
      <c r="Z1644">
        <v>2121.6293291001698</v>
      </c>
      <c r="AA1644">
        <v>4.71035</v>
      </c>
      <c r="AB1644">
        <v>-74.030416666666696</v>
      </c>
      <c r="AC1644">
        <v>2570</v>
      </c>
      <c r="AD1644">
        <v>10</v>
      </c>
      <c r="AE1644" t="s">
        <v>80</v>
      </c>
      <c r="AF1644" t="s">
        <v>107</v>
      </c>
      <c r="AG1644" t="s">
        <v>82</v>
      </c>
      <c r="AH1644" t="s">
        <v>83</v>
      </c>
      <c r="AI1644" t="s">
        <v>108</v>
      </c>
      <c r="AJ1644">
        <v>1.1368165540179</v>
      </c>
      <c r="AK1644">
        <v>2.1272155161014599</v>
      </c>
      <c r="AL1644">
        <v>0.75052567526059699</v>
      </c>
      <c r="AM1644">
        <v>0.13625946536714401</v>
      </c>
      <c r="AN1644">
        <v>4.8838315124165197</v>
      </c>
      <c r="AO1644">
        <v>0.26094409723019202</v>
      </c>
      <c r="AP1644">
        <v>0.26094409723019202</v>
      </c>
      <c r="AQ1644">
        <v>0</v>
      </c>
      <c r="AR1644">
        <v>0</v>
      </c>
      <c r="AS1644">
        <v>0</v>
      </c>
      <c r="AT1644">
        <v>0</v>
      </c>
      <c r="AU1644">
        <v>1</v>
      </c>
      <c r="AV1644">
        <v>119</v>
      </c>
      <c r="AW1644">
        <v>0</v>
      </c>
      <c r="AX1644">
        <v>0</v>
      </c>
      <c r="AY1644">
        <v>15.5</v>
      </c>
      <c r="AZ1644">
        <v>2.4</v>
      </c>
      <c r="BA1644">
        <v>10.9</v>
      </c>
      <c r="BB1644">
        <v>564</v>
      </c>
      <c r="BC1644">
        <v>68</v>
      </c>
      <c r="BD1644">
        <v>1.5</v>
      </c>
      <c r="BE1644">
        <v>135</v>
      </c>
      <c r="BF1644">
        <v>0</v>
      </c>
      <c r="BG1644">
        <v>162</v>
      </c>
      <c r="BH1644">
        <v>9.1</v>
      </c>
      <c r="BI1644">
        <v>9.1999999999999993</v>
      </c>
      <c r="BJ1644">
        <v>18.3</v>
      </c>
      <c r="BK1644">
        <v>0.34</v>
      </c>
      <c r="BL1644">
        <v>7.3</v>
      </c>
      <c r="BM1644">
        <v>0.9</v>
      </c>
      <c r="BN1644">
        <v>7.5</v>
      </c>
      <c r="BO1644">
        <v>2.9</v>
      </c>
      <c r="BP1644">
        <f t="shared" si="50"/>
        <v>2.1607342307156925</v>
      </c>
      <c r="BQ1644">
        <f t="shared" si="51"/>
        <v>10.358875467551442</v>
      </c>
    </row>
    <row r="1645" spans="1:69" hidden="1" x14ac:dyDescent="0.2">
      <c r="A1645" t="s">
        <v>390</v>
      </c>
      <c r="B1645" t="s">
        <v>68</v>
      </c>
      <c r="C1645" t="s">
        <v>69</v>
      </c>
      <c r="D1645" t="s">
        <v>70</v>
      </c>
      <c r="E1645" t="s">
        <v>391</v>
      </c>
      <c r="F1645">
        <v>5</v>
      </c>
      <c r="G1645">
        <v>131</v>
      </c>
      <c r="H1645">
        <v>3</v>
      </c>
      <c r="I1645">
        <v>3</v>
      </c>
      <c r="J1645">
        <v>2</v>
      </c>
      <c r="K1645" t="s">
        <v>110</v>
      </c>
      <c r="L1645" t="s">
        <v>124</v>
      </c>
      <c r="M1645" s="4">
        <v>960000000</v>
      </c>
      <c r="N1645">
        <v>0</v>
      </c>
      <c r="O1645">
        <v>4.7226009370000002</v>
      </c>
      <c r="P1645">
        <v>-74.048614499999999</v>
      </c>
      <c r="Q1645" t="s">
        <v>392</v>
      </c>
      <c r="R1645">
        <v>7328244.2750000004</v>
      </c>
      <c r="S1645">
        <v>0</v>
      </c>
      <c r="T1645" t="s">
        <v>104</v>
      </c>
      <c r="U1645" t="s">
        <v>105</v>
      </c>
      <c r="V1645" t="s">
        <v>77</v>
      </c>
      <c r="W1645" t="s">
        <v>104</v>
      </c>
      <c r="X1645" t="s">
        <v>106</v>
      </c>
      <c r="Y1645">
        <v>2.43636540700538</v>
      </c>
      <c r="Z1645">
        <v>2436.3654070053799</v>
      </c>
      <c r="AA1645">
        <v>4.71035</v>
      </c>
      <c r="AB1645">
        <v>-74.030416666666696</v>
      </c>
      <c r="AC1645">
        <v>2570</v>
      </c>
      <c r="AD1645">
        <v>10</v>
      </c>
      <c r="AE1645" t="s">
        <v>80</v>
      </c>
      <c r="AF1645" t="s">
        <v>107</v>
      </c>
      <c r="AG1645" t="s">
        <v>82</v>
      </c>
      <c r="AH1645" t="s">
        <v>83</v>
      </c>
      <c r="AI1645" t="s">
        <v>108</v>
      </c>
      <c r="AJ1645">
        <v>0.353408817299531</v>
      </c>
      <c r="AK1645">
        <v>2.7966564294062501</v>
      </c>
      <c r="AL1645">
        <v>1.4864431910956499</v>
      </c>
      <c r="AM1645">
        <v>0.193370889774727</v>
      </c>
      <c r="AN1645">
        <v>3.20399460604391</v>
      </c>
      <c r="AO1645">
        <v>0.21097296803308799</v>
      </c>
      <c r="AP1645">
        <v>0.21097296803308799</v>
      </c>
      <c r="AQ1645">
        <v>1</v>
      </c>
      <c r="AR1645">
        <v>4</v>
      </c>
      <c r="AS1645">
        <v>0</v>
      </c>
      <c r="AT1645">
        <v>0</v>
      </c>
      <c r="AU1645">
        <v>0</v>
      </c>
      <c r="AV1645">
        <v>42</v>
      </c>
      <c r="AW1645">
        <v>0</v>
      </c>
      <c r="AX1645">
        <v>0</v>
      </c>
      <c r="AY1645">
        <v>15.5</v>
      </c>
      <c r="AZ1645">
        <v>2.4</v>
      </c>
      <c r="BA1645">
        <v>10.9</v>
      </c>
      <c r="BB1645">
        <v>564</v>
      </c>
      <c r="BC1645">
        <v>68</v>
      </c>
      <c r="BD1645">
        <v>1.5</v>
      </c>
      <c r="BE1645">
        <v>135</v>
      </c>
      <c r="BF1645">
        <v>0</v>
      </c>
      <c r="BG1645">
        <v>162</v>
      </c>
      <c r="BH1645">
        <v>9.1</v>
      </c>
      <c r="BI1645">
        <v>9.1999999999999993</v>
      </c>
      <c r="BJ1645">
        <v>18.3</v>
      </c>
      <c r="BK1645">
        <v>0.34</v>
      </c>
      <c r="BL1645">
        <v>7.3</v>
      </c>
      <c r="BM1645">
        <v>0.9</v>
      </c>
      <c r="BN1645">
        <v>7.5</v>
      </c>
      <c r="BO1645">
        <v>2.9</v>
      </c>
      <c r="BP1645">
        <f t="shared" si="50"/>
        <v>2.1273320793115298</v>
      </c>
      <c r="BQ1645">
        <f t="shared" si="51"/>
        <v>10.280922768455655</v>
      </c>
    </row>
    <row r="1646" spans="1:69" hidden="1" x14ac:dyDescent="0.2">
      <c r="A1646" t="s">
        <v>883</v>
      </c>
      <c r="B1646" t="s">
        <v>68</v>
      </c>
      <c r="C1646" t="s">
        <v>69</v>
      </c>
      <c r="D1646" t="s">
        <v>70</v>
      </c>
      <c r="E1646" t="s">
        <v>884</v>
      </c>
      <c r="F1646">
        <v>6</v>
      </c>
      <c r="G1646">
        <v>130</v>
      </c>
      <c r="H1646">
        <v>2</v>
      </c>
      <c r="I1646">
        <v>4</v>
      </c>
      <c r="J1646">
        <v>2</v>
      </c>
      <c r="K1646" t="s">
        <v>110</v>
      </c>
      <c r="L1646" t="s">
        <v>124</v>
      </c>
      <c r="M1646" s="4">
        <v>1330000000</v>
      </c>
      <c r="N1646">
        <v>0</v>
      </c>
      <c r="O1646">
        <v>4.6777563100000004</v>
      </c>
      <c r="P1646">
        <v>-74.042877200000007</v>
      </c>
      <c r="Q1646" t="s">
        <v>885</v>
      </c>
      <c r="R1646">
        <v>10230769.23</v>
      </c>
      <c r="S1646">
        <v>0</v>
      </c>
      <c r="T1646" t="s">
        <v>104</v>
      </c>
      <c r="U1646" t="s">
        <v>105</v>
      </c>
      <c r="V1646" t="s">
        <v>77</v>
      </c>
      <c r="W1646" t="s">
        <v>104</v>
      </c>
      <c r="X1646" t="s">
        <v>106</v>
      </c>
      <c r="Y1646">
        <v>3.88275890564507</v>
      </c>
      <c r="Z1646">
        <v>3882.7589056450702</v>
      </c>
      <c r="AA1646">
        <v>4.71035</v>
      </c>
      <c r="AB1646">
        <v>-74.030416666666696</v>
      </c>
      <c r="AC1646">
        <v>2570</v>
      </c>
      <c r="AD1646">
        <v>10</v>
      </c>
      <c r="AE1646" t="s">
        <v>80</v>
      </c>
      <c r="AF1646" t="s">
        <v>107</v>
      </c>
      <c r="AG1646" t="s">
        <v>82</v>
      </c>
      <c r="AH1646" t="s">
        <v>83</v>
      </c>
      <c r="AI1646" t="s">
        <v>130</v>
      </c>
      <c r="AJ1646">
        <v>1.7816273848495801</v>
      </c>
      <c r="AK1646">
        <v>0.55187750616801001</v>
      </c>
      <c r="AL1646">
        <v>0.65322396752175105</v>
      </c>
      <c r="AM1646">
        <v>0.22640309150346399</v>
      </c>
      <c r="AN1646">
        <v>4.3446018646973998</v>
      </c>
      <c r="AO1646">
        <v>1.0857131596971801</v>
      </c>
      <c r="AP1646">
        <v>1.0857131596971801</v>
      </c>
      <c r="AQ1646">
        <v>0</v>
      </c>
      <c r="AR1646">
        <v>0</v>
      </c>
      <c r="AS1646">
        <v>0</v>
      </c>
      <c r="AT1646">
        <v>8</v>
      </c>
      <c r="AU1646">
        <v>3</v>
      </c>
      <c r="AV1646">
        <v>77</v>
      </c>
      <c r="AW1646">
        <v>0</v>
      </c>
      <c r="AX1646">
        <v>0</v>
      </c>
      <c r="AY1646">
        <v>15.5</v>
      </c>
      <c r="AZ1646">
        <v>2.4</v>
      </c>
      <c r="BA1646">
        <v>10.9</v>
      </c>
      <c r="BB1646">
        <v>564</v>
      </c>
      <c r="BC1646">
        <v>68</v>
      </c>
      <c r="BD1646">
        <v>1.5</v>
      </c>
      <c r="BE1646">
        <v>135</v>
      </c>
      <c r="BF1646">
        <v>0</v>
      </c>
      <c r="BG1646">
        <v>162</v>
      </c>
      <c r="BH1646">
        <v>9.1</v>
      </c>
      <c r="BI1646">
        <v>9.1999999999999993</v>
      </c>
      <c r="BJ1646">
        <v>18.3</v>
      </c>
      <c r="BK1646">
        <v>0.34</v>
      </c>
      <c r="BL1646">
        <v>7.3</v>
      </c>
      <c r="BM1646">
        <v>0.9</v>
      </c>
      <c r="BN1646">
        <v>7.5</v>
      </c>
      <c r="BO1646">
        <v>2.9</v>
      </c>
      <c r="BP1646">
        <f t="shared" si="50"/>
        <v>1.9803471775335664</v>
      </c>
      <c r="BQ1646">
        <f t="shared" si="51"/>
        <v>9.9301598488909502</v>
      </c>
    </row>
    <row r="1647" spans="1:69" hidden="1" x14ac:dyDescent="0.2">
      <c r="A1647" t="s">
        <v>3347</v>
      </c>
      <c r="B1647" t="s">
        <v>68</v>
      </c>
      <c r="C1647" t="s">
        <v>3294</v>
      </c>
      <c r="D1647" t="s">
        <v>70</v>
      </c>
      <c r="E1647" t="s">
        <v>1649</v>
      </c>
      <c r="F1647">
        <v>6</v>
      </c>
      <c r="G1647">
        <v>130</v>
      </c>
      <c r="H1647">
        <v>3</v>
      </c>
      <c r="I1647">
        <v>4</v>
      </c>
      <c r="J1647">
        <v>2</v>
      </c>
      <c r="K1647" t="s">
        <v>110</v>
      </c>
      <c r="L1647" t="s">
        <v>133</v>
      </c>
      <c r="M1647" s="4">
        <v>1110000000</v>
      </c>
      <c r="N1647">
        <v>0</v>
      </c>
      <c r="O1647">
        <v>4.6912155000000002</v>
      </c>
      <c r="P1647">
        <v>-74.041872100000006</v>
      </c>
      <c r="Q1647" t="s">
        <v>3348</v>
      </c>
      <c r="R1647">
        <v>8538461.5380000006</v>
      </c>
      <c r="S1647">
        <v>0</v>
      </c>
      <c r="T1647" t="s">
        <v>104</v>
      </c>
      <c r="U1647" t="s">
        <v>105</v>
      </c>
      <c r="V1647" t="s">
        <v>77</v>
      </c>
      <c r="W1647" t="s">
        <v>104</v>
      </c>
      <c r="X1647" t="s">
        <v>106</v>
      </c>
      <c r="Y1647">
        <v>2.4803888643866601</v>
      </c>
      <c r="Z1647">
        <v>2480.3888643866599</v>
      </c>
      <c r="AA1647">
        <v>4.71035</v>
      </c>
      <c r="AB1647">
        <v>-74.030416666666696</v>
      </c>
      <c r="AC1647">
        <v>2570</v>
      </c>
      <c r="AD1647">
        <v>10</v>
      </c>
      <c r="AE1647" t="s">
        <v>80</v>
      </c>
      <c r="AF1647" t="s">
        <v>107</v>
      </c>
      <c r="AG1647" t="s">
        <v>82</v>
      </c>
      <c r="AH1647" t="s">
        <v>83</v>
      </c>
      <c r="AI1647" t="s">
        <v>108</v>
      </c>
      <c r="AJ1647">
        <v>1.5986838500454299</v>
      </c>
      <c r="AK1647">
        <v>1.5182794736779699</v>
      </c>
      <c r="AL1647">
        <v>0.91396254703374802</v>
      </c>
      <c r="AM1647">
        <v>0.170679923968514</v>
      </c>
      <c r="AN1647">
        <v>4.8332371513221597</v>
      </c>
      <c r="AO1647">
        <v>0.26824463368789198</v>
      </c>
      <c r="AP1647">
        <v>0.26824463368789198</v>
      </c>
      <c r="AQ1647">
        <v>0</v>
      </c>
      <c r="AR1647">
        <v>0</v>
      </c>
      <c r="AS1647">
        <v>0</v>
      </c>
      <c r="AT1647">
        <v>0</v>
      </c>
      <c r="AU1647">
        <v>1</v>
      </c>
      <c r="AV1647">
        <v>103</v>
      </c>
      <c r="AW1647">
        <v>0</v>
      </c>
      <c r="AX1647">
        <v>0</v>
      </c>
      <c r="AY1647">
        <v>15.5</v>
      </c>
      <c r="AZ1647">
        <v>2.4</v>
      </c>
      <c r="BA1647">
        <v>10.9</v>
      </c>
      <c r="BB1647">
        <v>564</v>
      </c>
      <c r="BC1647">
        <v>68</v>
      </c>
      <c r="BD1647">
        <v>1.5</v>
      </c>
      <c r="BE1647">
        <v>135</v>
      </c>
      <c r="BF1647">
        <v>0</v>
      </c>
      <c r="BG1647">
        <v>162</v>
      </c>
      <c r="BH1647">
        <v>9.1</v>
      </c>
      <c r="BI1647">
        <v>9.1999999999999993</v>
      </c>
      <c r="BJ1647">
        <v>18.3</v>
      </c>
      <c r="BK1647">
        <v>0.34</v>
      </c>
      <c r="BL1647">
        <v>7.3</v>
      </c>
      <c r="BM1647">
        <v>0.9</v>
      </c>
      <c r="BN1647">
        <v>7.5</v>
      </c>
      <c r="BO1647">
        <v>2.9</v>
      </c>
      <c r="BP1647">
        <f t="shared" si="50"/>
        <v>2.1227013273215389</v>
      </c>
      <c r="BQ1647">
        <f t="shared" si="51"/>
        <v>10.270066062494314</v>
      </c>
    </row>
    <row r="1648" spans="1:69" hidden="1" x14ac:dyDescent="0.2">
      <c r="A1648" t="s">
        <v>1382</v>
      </c>
      <c r="B1648" t="s">
        <v>68</v>
      </c>
      <c r="C1648" t="s">
        <v>69</v>
      </c>
      <c r="D1648" t="s">
        <v>70</v>
      </c>
      <c r="E1648" t="s">
        <v>283</v>
      </c>
      <c r="F1648">
        <v>4</v>
      </c>
      <c r="G1648">
        <v>129</v>
      </c>
      <c r="H1648">
        <v>3</v>
      </c>
      <c r="I1648">
        <v>5</v>
      </c>
      <c r="J1648">
        <v>2</v>
      </c>
      <c r="K1648" t="s">
        <v>110</v>
      </c>
      <c r="L1648" t="s">
        <v>133</v>
      </c>
      <c r="M1648" s="4">
        <v>989900000</v>
      </c>
      <c r="N1648">
        <v>0</v>
      </c>
      <c r="O1648">
        <v>4.7270040509999998</v>
      </c>
      <c r="P1648">
        <v>-74.035469059999997</v>
      </c>
      <c r="Q1648" t="s">
        <v>1383</v>
      </c>
      <c r="R1648">
        <v>7673643.4110000003</v>
      </c>
      <c r="S1648">
        <v>0</v>
      </c>
      <c r="T1648" t="s">
        <v>104</v>
      </c>
      <c r="U1648" t="s">
        <v>105</v>
      </c>
      <c r="V1648" t="s">
        <v>77</v>
      </c>
      <c r="W1648" t="s">
        <v>104</v>
      </c>
      <c r="X1648" t="s">
        <v>106</v>
      </c>
      <c r="Y1648">
        <v>1.93680350104421</v>
      </c>
      <c r="Z1648">
        <v>1936.80350104421</v>
      </c>
      <c r="AA1648">
        <v>4.71035</v>
      </c>
      <c r="AB1648">
        <v>-74.030416666666696</v>
      </c>
      <c r="AC1648">
        <v>2570</v>
      </c>
      <c r="AD1648">
        <v>10</v>
      </c>
      <c r="AE1648" t="s">
        <v>80</v>
      </c>
      <c r="AF1648" t="s">
        <v>107</v>
      </c>
      <c r="AG1648" t="s">
        <v>82</v>
      </c>
      <c r="AH1648" t="s">
        <v>83</v>
      </c>
      <c r="AI1648" t="s">
        <v>108</v>
      </c>
      <c r="AJ1648">
        <v>1.6471530955505</v>
      </c>
      <c r="AK1648">
        <v>1.5412521888914501</v>
      </c>
      <c r="AL1648">
        <v>0.81947964967577602</v>
      </c>
      <c r="AM1648">
        <v>0.10009327612519001</v>
      </c>
      <c r="AN1648">
        <v>1.8756051425389799</v>
      </c>
      <c r="AO1648">
        <v>9.1683241531159504E-2</v>
      </c>
      <c r="AP1648">
        <v>9.1683241531159504E-2</v>
      </c>
      <c r="AQ1648">
        <v>0</v>
      </c>
      <c r="AR1648">
        <v>0</v>
      </c>
      <c r="AS1648">
        <v>0</v>
      </c>
      <c r="AT1648">
        <v>0</v>
      </c>
      <c r="AU1648">
        <v>1</v>
      </c>
      <c r="AV1648">
        <v>12</v>
      </c>
      <c r="AW1648">
        <v>0</v>
      </c>
      <c r="AX1648">
        <v>0</v>
      </c>
      <c r="AY1648">
        <v>15.5</v>
      </c>
      <c r="AZ1648">
        <v>2.4</v>
      </c>
      <c r="BA1648">
        <v>10.9</v>
      </c>
      <c r="BB1648">
        <v>564</v>
      </c>
      <c r="BC1648">
        <v>68</v>
      </c>
      <c r="BD1648">
        <v>1.5</v>
      </c>
      <c r="BE1648">
        <v>135</v>
      </c>
      <c r="BF1648">
        <v>0</v>
      </c>
      <c r="BG1648">
        <v>162</v>
      </c>
      <c r="BH1648">
        <v>9.1</v>
      </c>
      <c r="BI1648">
        <v>9.1999999999999993</v>
      </c>
      <c r="BJ1648">
        <v>18.3</v>
      </c>
      <c r="BK1648">
        <v>0.34</v>
      </c>
      <c r="BL1648">
        <v>7.3</v>
      </c>
      <c r="BM1648">
        <v>0.9</v>
      </c>
      <c r="BN1648">
        <v>7.5</v>
      </c>
      <c r="BO1648">
        <v>2.9</v>
      </c>
      <c r="BP1648">
        <f t="shared" si="50"/>
        <v>2.1805932309092699</v>
      </c>
      <c r="BQ1648">
        <f t="shared" si="51"/>
        <v>10.404927637268619</v>
      </c>
    </row>
    <row r="1649" spans="1:69" hidden="1" x14ac:dyDescent="0.2">
      <c r="A1649" t="s">
        <v>1037</v>
      </c>
      <c r="B1649" t="s">
        <v>68</v>
      </c>
      <c r="C1649" t="s">
        <v>69</v>
      </c>
      <c r="D1649" t="s">
        <v>70</v>
      </c>
      <c r="E1649" t="s">
        <v>235</v>
      </c>
      <c r="F1649">
        <v>6</v>
      </c>
      <c r="G1649">
        <v>129</v>
      </c>
      <c r="H1649">
        <v>3</v>
      </c>
      <c r="I1649">
        <v>3</v>
      </c>
      <c r="J1649">
        <v>2</v>
      </c>
      <c r="K1649" t="s">
        <v>110</v>
      </c>
      <c r="L1649" t="s">
        <v>124</v>
      </c>
      <c r="M1649" s="4">
        <v>1290000000</v>
      </c>
      <c r="N1649">
        <v>0</v>
      </c>
      <c r="O1649">
        <v>4.7047538759999998</v>
      </c>
      <c r="P1649">
        <v>-74.040985109999994</v>
      </c>
      <c r="Q1649" t="s">
        <v>1038</v>
      </c>
      <c r="R1649">
        <v>10000000</v>
      </c>
      <c r="S1649">
        <v>0</v>
      </c>
      <c r="T1649" t="s">
        <v>104</v>
      </c>
      <c r="U1649" t="s">
        <v>105</v>
      </c>
      <c r="V1649" t="s">
        <v>77</v>
      </c>
      <c r="W1649" t="s">
        <v>104</v>
      </c>
      <c r="X1649" t="s">
        <v>106</v>
      </c>
      <c r="Y1649">
        <v>1.32772143533472</v>
      </c>
      <c r="Z1649">
        <v>1327.7214353347199</v>
      </c>
      <c r="AA1649">
        <v>4.71035</v>
      </c>
      <c r="AB1649">
        <v>-74.030416666666696</v>
      </c>
      <c r="AC1649">
        <v>2570</v>
      </c>
      <c r="AD1649">
        <v>10</v>
      </c>
      <c r="AE1649" t="s">
        <v>80</v>
      </c>
      <c r="AF1649" t="s">
        <v>107</v>
      </c>
      <c r="AG1649" t="s">
        <v>82</v>
      </c>
      <c r="AH1649" t="s">
        <v>83</v>
      </c>
      <c r="AI1649" t="s">
        <v>108</v>
      </c>
      <c r="AJ1649">
        <v>1.4680676606726599</v>
      </c>
      <c r="AK1649">
        <v>1.73126720926184</v>
      </c>
      <c r="AL1649">
        <v>1.01757171755533</v>
      </c>
      <c r="AM1649">
        <v>6.9988819847280795E-2</v>
      </c>
      <c r="AN1649">
        <v>4.3613602592407599</v>
      </c>
      <c r="AO1649">
        <v>0.203496744893541</v>
      </c>
      <c r="AP1649">
        <v>0.203496744893541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81</v>
      </c>
      <c r="AW1649">
        <v>0</v>
      </c>
      <c r="AX1649">
        <v>0</v>
      </c>
      <c r="AY1649">
        <v>15.5</v>
      </c>
      <c r="AZ1649">
        <v>2.4</v>
      </c>
      <c r="BA1649">
        <v>10.9</v>
      </c>
      <c r="BB1649">
        <v>564</v>
      </c>
      <c r="BC1649">
        <v>68</v>
      </c>
      <c r="BD1649">
        <v>1.5</v>
      </c>
      <c r="BE1649">
        <v>135</v>
      </c>
      <c r="BF1649">
        <v>0</v>
      </c>
      <c r="BG1649">
        <v>162</v>
      </c>
      <c r="BH1649">
        <v>9.1</v>
      </c>
      <c r="BI1649">
        <v>9.1999999999999993</v>
      </c>
      <c r="BJ1649">
        <v>18.3</v>
      </c>
      <c r="BK1649">
        <v>0.34</v>
      </c>
      <c r="BL1649">
        <v>7.3</v>
      </c>
      <c r="BM1649">
        <v>0.9</v>
      </c>
      <c r="BN1649">
        <v>7.5</v>
      </c>
      <c r="BO1649">
        <v>2.9</v>
      </c>
      <c r="BP1649">
        <f t="shared" si="50"/>
        <v>2.2473382733394121</v>
      </c>
      <c r="BQ1649">
        <f t="shared" si="51"/>
        <v>10.558143678313204</v>
      </c>
    </row>
    <row r="1650" spans="1:69" hidden="1" x14ac:dyDescent="0.2">
      <c r="A1650" t="s">
        <v>2614</v>
      </c>
      <c r="B1650" t="s">
        <v>68</v>
      </c>
      <c r="C1650" t="s">
        <v>1956</v>
      </c>
      <c r="D1650" t="s">
        <v>70</v>
      </c>
      <c r="E1650" t="s">
        <v>982</v>
      </c>
      <c r="F1650">
        <v>5</v>
      </c>
      <c r="G1650">
        <v>128.61000000000001</v>
      </c>
      <c r="H1650">
        <v>3</v>
      </c>
      <c r="I1650">
        <v>3</v>
      </c>
      <c r="J1650">
        <v>2</v>
      </c>
      <c r="K1650" t="s">
        <v>110</v>
      </c>
      <c r="L1650" t="s">
        <v>162</v>
      </c>
      <c r="M1650" s="4">
        <v>650000000</v>
      </c>
      <c r="N1650">
        <v>0</v>
      </c>
      <c r="O1650">
        <v>4.7094399999999998</v>
      </c>
      <c r="P1650">
        <v>-74.049440000000004</v>
      </c>
      <c r="Q1650" t="s">
        <v>2615</v>
      </c>
      <c r="R1650">
        <v>5054039.3439999996</v>
      </c>
      <c r="S1650">
        <v>0</v>
      </c>
      <c r="T1650" t="s">
        <v>104</v>
      </c>
      <c r="U1650" t="s">
        <v>105</v>
      </c>
      <c r="V1650" t="s">
        <v>77</v>
      </c>
      <c r="W1650" t="s">
        <v>104</v>
      </c>
      <c r="X1650" t="s">
        <v>106</v>
      </c>
      <c r="Y1650">
        <v>2.1129466053055799</v>
      </c>
      <c r="Z1650">
        <v>2112.9466053055799</v>
      </c>
      <c r="AA1650">
        <v>4.71035</v>
      </c>
      <c r="AB1650">
        <v>-74.030416666666696</v>
      </c>
      <c r="AC1650">
        <v>2570</v>
      </c>
      <c r="AD1650">
        <v>10</v>
      </c>
      <c r="AE1650" t="s">
        <v>80</v>
      </c>
      <c r="AF1650" t="s">
        <v>107</v>
      </c>
      <c r="AG1650" t="s">
        <v>82</v>
      </c>
      <c r="AH1650" t="s">
        <v>83</v>
      </c>
      <c r="AI1650" t="s">
        <v>108</v>
      </c>
      <c r="AJ1650">
        <v>0.66294379448778196</v>
      </c>
      <c r="AK1650">
        <v>2.7017644808542798</v>
      </c>
      <c r="AL1650">
        <v>1.7849736439622299</v>
      </c>
      <c r="AM1650">
        <v>0.124040006098665</v>
      </c>
      <c r="AN1650">
        <v>4.3498201145258104</v>
      </c>
      <c r="AO1650">
        <v>0.14362138314450401</v>
      </c>
      <c r="AP1650">
        <v>0.14362138314450401</v>
      </c>
      <c r="AQ1650">
        <v>0</v>
      </c>
      <c r="AR1650">
        <v>2</v>
      </c>
      <c r="AS1650">
        <v>0</v>
      </c>
      <c r="AT1650">
        <v>0</v>
      </c>
      <c r="AU1650">
        <v>0</v>
      </c>
      <c r="AV1650">
        <v>114</v>
      </c>
      <c r="AW1650">
        <v>0</v>
      </c>
      <c r="AX1650">
        <v>0</v>
      </c>
      <c r="AY1650">
        <v>15.5</v>
      </c>
      <c r="AZ1650">
        <v>2.4</v>
      </c>
      <c r="BA1650">
        <v>10.9</v>
      </c>
      <c r="BB1650">
        <v>564</v>
      </c>
      <c r="BC1650">
        <v>68</v>
      </c>
      <c r="BD1650">
        <v>1.5</v>
      </c>
      <c r="BE1650">
        <v>135</v>
      </c>
      <c r="BF1650">
        <v>0</v>
      </c>
      <c r="BG1650">
        <v>162</v>
      </c>
      <c r="BH1650">
        <v>9.1</v>
      </c>
      <c r="BI1650">
        <v>9.1999999999999993</v>
      </c>
      <c r="BJ1650">
        <v>18.3</v>
      </c>
      <c r="BK1650">
        <v>0.34</v>
      </c>
      <c r="BL1650">
        <v>7.3</v>
      </c>
      <c r="BM1650">
        <v>0.9</v>
      </c>
      <c r="BN1650">
        <v>7.5</v>
      </c>
      <c r="BO1650">
        <v>2.9</v>
      </c>
      <c r="BP1650">
        <f t="shared" si="50"/>
        <v>2.1616631027102651</v>
      </c>
      <c r="BQ1650">
        <f t="shared" si="51"/>
        <v>10.361034330589542</v>
      </c>
    </row>
    <row r="1651" spans="1:69" hidden="1" x14ac:dyDescent="0.2">
      <c r="A1651" t="s">
        <v>1416</v>
      </c>
      <c r="B1651" t="s">
        <v>68</v>
      </c>
      <c r="C1651" t="s">
        <v>69</v>
      </c>
      <c r="D1651" t="s">
        <v>70</v>
      </c>
      <c r="E1651" t="s">
        <v>1149</v>
      </c>
      <c r="F1651">
        <v>5</v>
      </c>
      <c r="G1651">
        <v>128</v>
      </c>
      <c r="H1651">
        <v>3</v>
      </c>
      <c r="I1651">
        <v>3</v>
      </c>
      <c r="J1651">
        <v>2</v>
      </c>
      <c r="K1651" t="s">
        <v>110</v>
      </c>
      <c r="L1651" t="s">
        <v>124</v>
      </c>
      <c r="M1651" s="4">
        <v>940000000</v>
      </c>
      <c r="N1651">
        <v>0</v>
      </c>
      <c r="O1651">
        <v>4.7035254999999996</v>
      </c>
      <c r="P1651">
        <v>-74.027889999999999</v>
      </c>
      <c r="Q1651" t="s">
        <v>1417</v>
      </c>
      <c r="R1651">
        <v>7343750</v>
      </c>
      <c r="S1651">
        <v>0</v>
      </c>
      <c r="T1651" t="s">
        <v>104</v>
      </c>
      <c r="U1651" t="s">
        <v>105</v>
      </c>
      <c r="V1651" t="s">
        <v>77</v>
      </c>
      <c r="W1651" t="s">
        <v>104</v>
      </c>
      <c r="X1651" t="s">
        <v>106</v>
      </c>
      <c r="Y1651">
        <v>0.80976690252234096</v>
      </c>
      <c r="Z1651">
        <v>809.76690252234096</v>
      </c>
      <c r="AA1651">
        <v>4.71035</v>
      </c>
      <c r="AB1651">
        <v>-74.030416666666696</v>
      </c>
      <c r="AC1651">
        <v>2570</v>
      </c>
      <c r="AD1651">
        <v>10</v>
      </c>
      <c r="AE1651" t="s">
        <v>80</v>
      </c>
      <c r="AF1651" t="s">
        <v>107</v>
      </c>
      <c r="AG1651" t="s">
        <v>82</v>
      </c>
      <c r="AH1651" t="s">
        <v>83</v>
      </c>
      <c r="AI1651" t="s">
        <v>108</v>
      </c>
      <c r="AJ1651">
        <v>2.9225470726546998</v>
      </c>
      <c r="AK1651">
        <v>0.29258211761417002</v>
      </c>
      <c r="AL1651">
        <v>0.56205150572168605</v>
      </c>
      <c r="AM1651">
        <v>0.127387936860729</v>
      </c>
      <c r="AN1651">
        <v>4.2026943368741998</v>
      </c>
      <c r="AO1651">
        <v>5.0533235097508199E-3</v>
      </c>
      <c r="AP1651">
        <v>5.0533235097508199E-3</v>
      </c>
      <c r="AQ1651">
        <v>0</v>
      </c>
      <c r="AR1651">
        <v>0</v>
      </c>
      <c r="AS1651">
        <v>11</v>
      </c>
      <c r="AT1651">
        <v>34</v>
      </c>
      <c r="AU1651">
        <v>2</v>
      </c>
      <c r="AV1651">
        <v>110</v>
      </c>
      <c r="AW1651">
        <v>0</v>
      </c>
      <c r="AX1651">
        <v>0</v>
      </c>
      <c r="AY1651">
        <v>15.5</v>
      </c>
      <c r="AZ1651">
        <v>2.4</v>
      </c>
      <c r="BA1651">
        <v>10.9</v>
      </c>
      <c r="BB1651">
        <v>564</v>
      </c>
      <c r="BC1651">
        <v>68</v>
      </c>
      <c r="BD1651">
        <v>1.5</v>
      </c>
      <c r="BE1651">
        <v>135</v>
      </c>
      <c r="BF1651">
        <v>0</v>
      </c>
      <c r="BG1651">
        <v>162</v>
      </c>
      <c r="BH1651">
        <v>9.1</v>
      </c>
      <c r="BI1651">
        <v>9.1999999999999993</v>
      </c>
      <c r="BJ1651">
        <v>18.3</v>
      </c>
      <c r="BK1651">
        <v>0.34</v>
      </c>
      <c r="BL1651">
        <v>7.3</v>
      </c>
      <c r="BM1651">
        <v>0.9</v>
      </c>
      <c r="BN1651">
        <v>7.5</v>
      </c>
      <c r="BO1651">
        <v>2.9</v>
      </c>
      <c r="BP1651">
        <f t="shared" si="50"/>
        <v>2.3057022081667506</v>
      </c>
      <c r="BQ1651">
        <f t="shared" si="51"/>
        <v>10.690210151832662</v>
      </c>
    </row>
    <row r="1652" spans="1:69" hidden="1" x14ac:dyDescent="0.2">
      <c r="A1652" t="s">
        <v>1937</v>
      </c>
      <c r="B1652" t="s">
        <v>68</v>
      </c>
      <c r="C1652" t="s">
        <v>69</v>
      </c>
      <c r="D1652" t="s">
        <v>70</v>
      </c>
      <c r="E1652" t="s">
        <v>748</v>
      </c>
      <c r="F1652">
        <v>6</v>
      </c>
      <c r="G1652">
        <v>127.8</v>
      </c>
      <c r="H1652">
        <v>3</v>
      </c>
      <c r="I1652">
        <v>3</v>
      </c>
      <c r="J1652">
        <v>2</v>
      </c>
      <c r="K1652" t="s">
        <v>110</v>
      </c>
      <c r="L1652" t="s">
        <v>124</v>
      </c>
      <c r="M1652" s="4">
        <v>1175000000</v>
      </c>
      <c r="N1652">
        <v>0</v>
      </c>
      <c r="O1652">
        <v>4.6906626339999997</v>
      </c>
      <c r="P1652">
        <v>-74.046037220000002</v>
      </c>
      <c r="Q1652" t="s">
        <v>1938</v>
      </c>
      <c r="R1652">
        <v>9194053.2080000006</v>
      </c>
      <c r="S1652">
        <v>0</v>
      </c>
      <c r="T1652" t="s">
        <v>104</v>
      </c>
      <c r="U1652" t="s">
        <v>105</v>
      </c>
      <c r="V1652" t="s">
        <v>77</v>
      </c>
      <c r="W1652" t="s">
        <v>104</v>
      </c>
      <c r="X1652" t="s">
        <v>106</v>
      </c>
      <c r="Y1652">
        <v>2.7939983708358298</v>
      </c>
      <c r="Z1652">
        <v>2793.99837083583</v>
      </c>
      <c r="AA1652">
        <v>4.71035</v>
      </c>
      <c r="AB1652">
        <v>-74.030416666666696</v>
      </c>
      <c r="AC1652">
        <v>2570</v>
      </c>
      <c r="AD1652">
        <v>10</v>
      </c>
      <c r="AE1652" t="s">
        <v>80</v>
      </c>
      <c r="AF1652" t="s">
        <v>107</v>
      </c>
      <c r="AG1652" t="s">
        <v>82</v>
      </c>
      <c r="AH1652" t="s">
        <v>83</v>
      </c>
      <c r="AI1652" t="s">
        <v>108</v>
      </c>
      <c r="AJ1652">
        <v>1.15373703163967</v>
      </c>
      <c r="AK1652">
        <v>1.7174400231334199</v>
      </c>
      <c r="AL1652">
        <v>0.51312980069774905</v>
      </c>
      <c r="AM1652">
        <v>7.6771570370136502E-2</v>
      </c>
      <c r="AN1652">
        <v>4.3870970898167698</v>
      </c>
      <c r="AO1652">
        <v>3.7568142687053E-3</v>
      </c>
      <c r="AP1652">
        <v>3.7568142687053E-3</v>
      </c>
      <c r="AQ1652">
        <v>0</v>
      </c>
      <c r="AR1652">
        <v>0</v>
      </c>
      <c r="AS1652">
        <v>0</v>
      </c>
      <c r="AT1652">
        <v>0</v>
      </c>
      <c r="AU1652">
        <v>5</v>
      </c>
      <c r="AV1652">
        <v>111</v>
      </c>
      <c r="AW1652">
        <v>0</v>
      </c>
      <c r="AX1652">
        <v>0</v>
      </c>
      <c r="AY1652">
        <v>15.5</v>
      </c>
      <c r="AZ1652">
        <v>2.4</v>
      </c>
      <c r="BA1652">
        <v>10.9</v>
      </c>
      <c r="BB1652">
        <v>564</v>
      </c>
      <c r="BC1652">
        <v>68</v>
      </c>
      <c r="BD1652">
        <v>1.5</v>
      </c>
      <c r="BE1652">
        <v>135</v>
      </c>
      <c r="BF1652">
        <v>0</v>
      </c>
      <c r="BG1652">
        <v>162</v>
      </c>
      <c r="BH1652">
        <v>9.1</v>
      </c>
      <c r="BI1652">
        <v>9.1999999999999993</v>
      </c>
      <c r="BJ1652">
        <v>18.3</v>
      </c>
      <c r="BK1652">
        <v>0.34</v>
      </c>
      <c r="BL1652">
        <v>7.3</v>
      </c>
      <c r="BM1652">
        <v>0.9</v>
      </c>
      <c r="BN1652">
        <v>7.5</v>
      </c>
      <c r="BO1652">
        <v>2.9</v>
      </c>
      <c r="BP1652">
        <f t="shared" si="50"/>
        <v>2.0900036617266937</v>
      </c>
      <c r="BQ1652">
        <f t="shared" si="51"/>
        <v>10.193057265951198</v>
      </c>
    </row>
    <row r="1653" spans="1:69" hidden="1" x14ac:dyDescent="0.2">
      <c r="A1653" t="s">
        <v>1651</v>
      </c>
      <c r="B1653" t="s">
        <v>68</v>
      </c>
      <c r="C1653" t="s">
        <v>69</v>
      </c>
      <c r="D1653" t="s">
        <v>70</v>
      </c>
      <c r="E1653" t="s">
        <v>102</v>
      </c>
      <c r="F1653">
        <v>6</v>
      </c>
      <c r="G1653">
        <v>127</v>
      </c>
      <c r="H1653">
        <v>4</v>
      </c>
      <c r="I1653">
        <v>3</v>
      </c>
      <c r="J1653">
        <v>0</v>
      </c>
      <c r="K1653" t="s">
        <v>110</v>
      </c>
      <c r="L1653" t="s">
        <v>162</v>
      </c>
      <c r="M1653" s="4">
        <v>726300000</v>
      </c>
      <c r="N1653">
        <v>0</v>
      </c>
      <c r="O1653">
        <v>4.6951580999999996</v>
      </c>
      <c r="P1653">
        <v>-74.041832999999997</v>
      </c>
      <c r="Q1653" t="s">
        <v>1652</v>
      </c>
      <c r="R1653">
        <v>5718897.6380000003</v>
      </c>
      <c r="S1653">
        <v>0</v>
      </c>
      <c r="T1653" t="s">
        <v>104</v>
      </c>
      <c r="U1653" t="s">
        <v>105</v>
      </c>
      <c r="V1653" t="s">
        <v>77</v>
      </c>
      <c r="W1653" t="s">
        <v>104</v>
      </c>
      <c r="X1653" t="s">
        <v>106</v>
      </c>
      <c r="Y1653">
        <v>2.1128733342099699</v>
      </c>
      <c r="Z1653">
        <v>2112.8733342099699</v>
      </c>
      <c r="AA1653">
        <v>4.71035</v>
      </c>
      <c r="AB1653">
        <v>-74.030416666666696</v>
      </c>
      <c r="AC1653">
        <v>2570</v>
      </c>
      <c r="AD1653">
        <v>10</v>
      </c>
      <c r="AE1653" t="s">
        <v>80</v>
      </c>
      <c r="AF1653" t="s">
        <v>107</v>
      </c>
      <c r="AG1653" t="s">
        <v>82</v>
      </c>
      <c r="AH1653" t="s">
        <v>83</v>
      </c>
      <c r="AI1653" t="s">
        <v>108</v>
      </c>
      <c r="AJ1653">
        <v>1.52976588851373</v>
      </c>
      <c r="AK1653">
        <v>1.7264589354434201</v>
      </c>
      <c r="AL1653">
        <v>0.91255098078211105</v>
      </c>
      <c r="AM1653">
        <v>4.7075644862713498E-2</v>
      </c>
      <c r="AN1653">
        <v>5.0263664963338002</v>
      </c>
      <c r="AO1653">
        <v>0.20967408422334799</v>
      </c>
      <c r="AP1653">
        <v>0.20967408422334799</v>
      </c>
      <c r="AQ1653">
        <v>0</v>
      </c>
      <c r="AR1653">
        <v>0</v>
      </c>
      <c r="AS1653">
        <v>0</v>
      </c>
      <c r="AT1653">
        <v>0</v>
      </c>
      <c r="AU1653">
        <v>1</v>
      </c>
      <c r="AV1653">
        <v>128</v>
      </c>
      <c r="AW1653">
        <v>0</v>
      </c>
      <c r="AX1653">
        <v>0</v>
      </c>
      <c r="AY1653">
        <v>15.5</v>
      </c>
      <c r="AZ1653">
        <v>2.4</v>
      </c>
      <c r="BA1653">
        <v>10.9</v>
      </c>
      <c r="BB1653">
        <v>564</v>
      </c>
      <c r="BC1653">
        <v>68</v>
      </c>
      <c r="BD1653">
        <v>1.5</v>
      </c>
      <c r="BE1653">
        <v>135</v>
      </c>
      <c r="BF1653">
        <v>0</v>
      </c>
      <c r="BG1653">
        <v>162</v>
      </c>
      <c r="BH1653">
        <v>9.1</v>
      </c>
      <c r="BI1653">
        <v>9.1999999999999993</v>
      </c>
      <c r="BJ1653">
        <v>18.3</v>
      </c>
      <c r="BK1653">
        <v>0.34</v>
      </c>
      <c r="BL1653">
        <v>7.3</v>
      </c>
      <c r="BM1653">
        <v>0.9</v>
      </c>
      <c r="BN1653">
        <v>7.5</v>
      </c>
      <c r="BO1653">
        <v>2.9</v>
      </c>
      <c r="BP1653">
        <f t="shared" si="50"/>
        <v>2.1616709429019645</v>
      </c>
      <c r="BQ1653">
        <f t="shared" si="51"/>
        <v>10.361052550549651</v>
      </c>
    </row>
    <row r="1654" spans="1:69" hidden="1" x14ac:dyDescent="0.2">
      <c r="A1654" t="s">
        <v>2528</v>
      </c>
      <c r="B1654" t="s">
        <v>68</v>
      </c>
      <c r="C1654" t="s">
        <v>1956</v>
      </c>
      <c r="D1654" t="s">
        <v>70</v>
      </c>
      <c r="E1654" t="s">
        <v>205</v>
      </c>
      <c r="F1654">
        <v>4</v>
      </c>
      <c r="G1654">
        <v>127</v>
      </c>
      <c r="H1654">
        <v>3</v>
      </c>
      <c r="I1654">
        <v>3</v>
      </c>
      <c r="J1654">
        <v>2</v>
      </c>
      <c r="K1654" t="s">
        <v>110</v>
      </c>
      <c r="L1654" t="s">
        <v>162</v>
      </c>
      <c r="M1654" s="4">
        <v>650000000</v>
      </c>
      <c r="N1654">
        <v>0</v>
      </c>
      <c r="O1654">
        <v>4.7237999999999998</v>
      </c>
      <c r="P1654">
        <v>-74.038039999999995</v>
      </c>
      <c r="Q1654" t="s">
        <v>2529</v>
      </c>
      <c r="R1654">
        <v>5118110.2359999996</v>
      </c>
      <c r="S1654">
        <v>0</v>
      </c>
      <c r="T1654" t="s">
        <v>104</v>
      </c>
      <c r="U1654" t="s">
        <v>105</v>
      </c>
      <c r="V1654" t="s">
        <v>77</v>
      </c>
      <c r="W1654" t="s">
        <v>104</v>
      </c>
      <c r="X1654" t="s">
        <v>106</v>
      </c>
      <c r="Y1654">
        <v>1.71960581622876</v>
      </c>
      <c r="Z1654">
        <v>1719.60581622876</v>
      </c>
      <c r="AA1654">
        <v>4.71035</v>
      </c>
      <c r="AB1654">
        <v>-74.030416666666696</v>
      </c>
      <c r="AC1654">
        <v>2570</v>
      </c>
      <c r="AD1654">
        <v>10</v>
      </c>
      <c r="AE1654" t="s">
        <v>80</v>
      </c>
      <c r="AF1654" t="s">
        <v>107</v>
      </c>
      <c r="AG1654" t="s">
        <v>82</v>
      </c>
      <c r="AH1654" t="s">
        <v>83</v>
      </c>
      <c r="AI1654" t="s">
        <v>108</v>
      </c>
      <c r="AJ1654">
        <v>1.42236707331079</v>
      </c>
      <c r="AK1654">
        <v>1.6678753550932901</v>
      </c>
      <c r="AL1654">
        <v>1.0265005987200899</v>
      </c>
      <c r="AM1654">
        <v>0.43437019670846699</v>
      </c>
      <c r="AN1654">
        <v>2.3268329306164399</v>
      </c>
      <c r="AO1654">
        <v>0.117212557903137</v>
      </c>
      <c r="AP1654">
        <v>0.117212557903137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26</v>
      </c>
      <c r="AW1654">
        <v>0</v>
      </c>
      <c r="AX1654">
        <v>0</v>
      </c>
      <c r="AY1654">
        <v>15.5</v>
      </c>
      <c r="AZ1654">
        <v>2.4</v>
      </c>
      <c r="BA1654">
        <v>10.9</v>
      </c>
      <c r="BB1654">
        <v>564</v>
      </c>
      <c r="BC1654">
        <v>68</v>
      </c>
      <c r="BD1654">
        <v>1.5</v>
      </c>
      <c r="BE1654">
        <v>135</v>
      </c>
      <c r="BF1654">
        <v>0</v>
      </c>
      <c r="BG1654">
        <v>162</v>
      </c>
      <c r="BH1654">
        <v>9.1</v>
      </c>
      <c r="BI1654">
        <v>9.1999999999999993</v>
      </c>
      <c r="BJ1654">
        <v>18.3</v>
      </c>
      <c r="BK1654">
        <v>0.34</v>
      </c>
      <c r="BL1654">
        <v>7.3</v>
      </c>
      <c r="BM1654">
        <v>0.9</v>
      </c>
      <c r="BN1654">
        <v>7.5</v>
      </c>
      <c r="BO1654">
        <v>2.9</v>
      </c>
      <c r="BP1654">
        <f t="shared" si="50"/>
        <v>2.2041638914776964</v>
      </c>
      <c r="BQ1654">
        <f t="shared" si="51"/>
        <v>10.459307476878253</v>
      </c>
    </row>
    <row r="1655" spans="1:69" hidden="1" x14ac:dyDescent="0.2">
      <c r="A1655" t="s">
        <v>1798</v>
      </c>
      <c r="B1655" t="s">
        <v>68</v>
      </c>
      <c r="C1655" t="s">
        <v>69</v>
      </c>
      <c r="D1655" t="s">
        <v>70</v>
      </c>
      <c r="E1655" t="s">
        <v>1486</v>
      </c>
      <c r="F1655">
        <v>6</v>
      </c>
      <c r="G1655">
        <v>123</v>
      </c>
      <c r="H1655">
        <v>3</v>
      </c>
      <c r="I1655">
        <v>3</v>
      </c>
      <c r="J1655">
        <v>2</v>
      </c>
      <c r="K1655" t="s">
        <v>110</v>
      </c>
      <c r="L1655" t="s">
        <v>162</v>
      </c>
      <c r="M1655" s="4">
        <v>1250000000</v>
      </c>
      <c r="N1655">
        <v>0</v>
      </c>
      <c r="O1655">
        <v>4.681783169</v>
      </c>
      <c r="P1655">
        <v>-74.051357609999997</v>
      </c>
      <c r="Q1655" t="s">
        <v>1799</v>
      </c>
      <c r="R1655">
        <v>10162601.630000001</v>
      </c>
      <c r="S1655">
        <v>0</v>
      </c>
      <c r="T1655" t="s">
        <v>104</v>
      </c>
      <c r="U1655" t="s">
        <v>105</v>
      </c>
      <c r="V1655" t="s">
        <v>77</v>
      </c>
      <c r="W1655" t="s">
        <v>104</v>
      </c>
      <c r="X1655" t="s">
        <v>106</v>
      </c>
      <c r="Y1655">
        <v>3.9383313555765</v>
      </c>
      <c r="Z1655">
        <v>3938.3313555764998</v>
      </c>
      <c r="AA1655">
        <v>4.71035</v>
      </c>
      <c r="AB1655">
        <v>-74.030416666666696</v>
      </c>
      <c r="AC1655">
        <v>2570</v>
      </c>
      <c r="AD1655">
        <v>10</v>
      </c>
      <c r="AE1655" t="s">
        <v>80</v>
      </c>
      <c r="AF1655" t="s">
        <v>107</v>
      </c>
      <c r="AG1655" t="s">
        <v>82</v>
      </c>
      <c r="AH1655" t="s">
        <v>83</v>
      </c>
      <c r="AI1655" t="s">
        <v>130</v>
      </c>
      <c r="AJ1655">
        <v>0.744168798120867</v>
      </c>
      <c r="AK1655">
        <v>1.5720353524302799</v>
      </c>
      <c r="AL1655">
        <v>0.467914748351762</v>
      </c>
      <c r="AM1655">
        <v>0.105887279485194</v>
      </c>
      <c r="AN1655">
        <v>3.4951840727684198</v>
      </c>
      <c r="AO1655">
        <v>0.78642387253388202</v>
      </c>
      <c r="AP1655">
        <v>0.78642387253388202</v>
      </c>
      <c r="AQ1655">
        <v>0</v>
      </c>
      <c r="AR1655">
        <v>1</v>
      </c>
      <c r="AS1655">
        <v>0</v>
      </c>
      <c r="AT1655">
        <v>0</v>
      </c>
      <c r="AU1655">
        <v>4</v>
      </c>
      <c r="AV1655">
        <v>215</v>
      </c>
      <c r="AW1655">
        <v>0</v>
      </c>
      <c r="AX1655">
        <v>0</v>
      </c>
      <c r="AY1655">
        <v>15.5</v>
      </c>
      <c r="AZ1655">
        <v>2.4</v>
      </c>
      <c r="BA1655">
        <v>10.9</v>
      </c>
      <c r="BB1655">
        <v>564</v>
      </c>
      <c r="BC1655">
        <v>68</v>
      </c>
      <c r="BD1655">
        <v>1.5</v>
      </c>
      <c r="BE1655">
        <v>135</v>
      </c>
      <c r="BF1655">
        <v>0</v>
      </c>
      <c r="BG1655">
        <v>162</v>
      </c>
      <c r="BH1655">
        <v>9.1</v>
      </c>
      <c r="BI1655">
        <v>9.1999999999999993</v>
      </c>
      <c r="BJ1655">
        <v>18.3</v>
      </c>
      <c r="BK1655">
        <v>0.34</v>
      </c>
      <c r="BL1655">
        <v>7.3</v>
      </c>
      <c r="BM1655">
        <v>0.9</v>
      </c>
      <c r="BN1655">
        <v>7.5</v>
      </c>
      <c r="BO1655">
        <v>2.9</v>
      </c>
      <c r="BP1655">
        <f t="shared" si="50"/>
        <v>1.9749070525642758</v>
      </c>
      <c r="BQ1655">
        <f t="shared" si="51"/>
        <v>9.9169244376793397</v>
      </c>
    </row>
    <row r="1656" spans="1:69" hidden="1" x14ac:dyDescent="0.2">
      <c r="A1656" t="s">
        <v>2369</v>
      </c>
      <c r="B1656" t="s">
        <v>68</v>
      </c>
      <c r="C1656" t="s">
        <v>1956</v>
      </c>
      <c r="D1656" t="s">
        <v>70</v>
      </c>
      <c r="E1656" t="s">
        <v>560</v>
      </c>
      <c r="F1656">
        <v>5</v>
      </c>
      <c r="G1656">
        <v>122.16</v>
      </c>
      <c r="H1656">
        <v>3</v>
      </c>
      <c r="I1656">
        <v>4</v>
      </c>
      <c r="J1656">
        <v>2</v>
      </c>
      <c r="K1656" t="s">
        <v>110</v>
      </c>
      <c r="L1656" t="s">
        <v>162</v>
      </c>
      <c r="M1656" s="4">
        <v>800000000</v>
      </c>
      <c r="N1656">
        <v>0</v>
      </c>
      <c r="O1656">
        <v>4.7168890000000001</v>
      </c>
      <c r="P1656">
        <v>-74.033904000000007</v>
      </c>
      <c r="Q1656" t="s">
        <v>2370</v>
      </c>
      <c r="R1656">
        <v>6548788.4740000004</v>
      </c>
      <c r="S1656">
        <v>0</v>
      </c>
      <c r="T1656" t="s">
        <v>104</v>
      </c>
      <c r="U1656" t="s">
        <v>105</v>
      </c>
      <c r="V1656" t="s">
        <v>77</v>
      </c>
      <c r="W1656" t="s">
        <v>104</v>
      </c>
      <c r="X1656" t="s">
        <v>106</v>
      </c>
      <c r="Y1656">
        <v>0.82434988499711404</v>
      </c>
      <c r="Z1656">
        <v>824.34988499711403</v>
      </c>
      <c r="AA1656">
        <v>4.71035</v>
      </c>
      <c r="AB1656">
        <v>-74.030416666666696</v>
      </c>
      <c r="AC1656">
        <v>2570</v>
      </c>
      <c r="AD1656">
        <v>10</v>
      </c>
      <c r="AE1656" t="s">
        <v>80</v>
      </c>
      <c r="AF1656" t="s">
        <v>107</v>
      </c>
      <c r="AG1656" t="s">
        <v>82</v>
      </c>
      <c r="AH1656" t="s">
        <v>83</v>
      </c>
      <c r="AI1656" t="s">
        <v>108</v>
      </c>
      <c r="AJ1656">
        <v>2.0027792283135701</v>
      </c>
      <c r="AK1656">
        <v>1.12299231520898</v>
      </c>
      <c r="AL1656">
        <v>0.69071708530619602</v>
      </c>
      <c r="AM1656">
        <v>0.120436048890311</v>
      </c>
      <c r="AN1656">
        <v>2.8376122393764001</v>
      </c>
      <c r="AO1656">
        <v>0.143664590974451</v>
      </c>
      <c r="AP1656">
        <v>0.143664590974451</v>
      </c>
      <c r="AQ1656">
        <v>0</v>
      </c>
      <c r="AR1656">
        <v>0</v>
      </c>
      <c r="AS1656">
        <v>0</v>
      </c>
      <c r="AT1656">
        <v>0</v>
      </c>
      <c r="AU1656">
        <v>1</v>
      </c>
      <c r="AV1656">
        <v>75</v>
      </c>
      <c r="AW1656">
        <v>0</v>
      </c>
      <c r="AX1656">
        <v>0</v>
      </c>
      <c r="AY1656">
        <v>15.5</v>
      </c>
      <c r="AZ1656">
        <v>2.4</v>
      </c>
      <c r="BA1656">
        <v>10.9</v>
      </c>
      <c r="BB1656">
        <v>564</v>
      </c>
      <c r="BC1656">
        <v>68</v>
      </c>
      <c r="BD1656">
        <v>1.5</v>
      </c>
      <c r="BE1656">
        <v>135</v>
      </c>
      <c r="BF1656">
        <v>0</v>
      </c>
      <c r="BG1656">
        <v>162</v>
      </c>
      <c r="BH1656">
        <v>9.1</v>
      </c>
      <c r="BI1656">
        <v>9.1999999999999993</v>
      </c>
      <c r="BJ1656">
        <v>18.3</v>
      </c>
      <c r="BK1656">
        <v>0.34</v>
      </c>
      <c r="BL1656">
        <v>7.3</v>
      </c>
      <c r="BM1656">
        <v>0.9</v>
      </c>
      <c r="BN1656">
        <v>7.5</v>
      </c>
      <c r="BO1656">
        <v>2.9</v>
      </c>
      <c r="BP1656">
        <f t="shared" si="50"/>
        <v>2.3040384200108468</v>
      </c>
      <c r="BQ1656">
        <f t="shared" si="51"/>
        <v>10.686469322965049</v>
      </c>
    </row>
    <row r="1657" spans="1:69" hidden="1" x14ac:dyDescent="0.2">
      <c r="A1657" t="s">
        <v>2451</v>
      </c>
      <c r="B1657" t="s">
        <v>68</v>
      </c>
      <c r="C1657" t="s">
        <v>1956</v>
      </c>
      <c r="D1657" t="s">
        <v>70</v>
      </c>
      <c r="E1657" t="s">
        <v>205</v>
      </c>
      <c r="F1657">
        <v>4</v>
      </c>
      <c r="G1657">
        <v>120</v>
      </c>
      <c r="H1657">
        <v>5</v>
      </c>
      <c r="I1657">
        <v>3</v>
      </c>
      <c r="J1657">
        <v>2</v>
      </c>
      <c r="K1657" t="s">
        <v>110</v>
      </c>
      <c r="L1657" t="s">
        <v>162</v>
      </c>
      <c r="M1657" s="4">
        <v>620000000</v>
      </c>
      <c r="N1657">
        <v>0</v>
      </c>
      <c r="O1657">
        <v>4.7308300000000001</v>
      </c>
      <c r="P1657">
        <v>-74.039649999999995</v>
      </c>
      <c r="Q1657" t="s">
        <v>2452</v>
      </c>
      <c r="R1657">
        <v>5166666.6670000004</v>
      </c>
      <c r="S1657">
        <v>0</v>
      </c>
      <c r="T1657" t="s">
        <v>104</v>
      </c>
      <c r="U1657" t="s">
        <v>105</v>
      </c>
      <c r="V1657" t="s">
        <v>77</v>
      </c>
      <c r="W1657" t="s">
        <v>104</v>
      </c>
      <c r="X1657" t="s">
        <v>106</v>
      </c>
      <c r="Y1657">
        <v>2.4993827233947599</v>
      </c>
      <c r="Z1657">
        <v>2499.38272339476</v>
      </c>
      <c r="AA1657">
        <v>4.71035</v>
      </c>
      <c r="AB1657">
        <v>-74.030416666666696</v>
      </c>
      <c r="AC1657">
        <v>2570</v>
      </c>
      <c r="AD1657">
        <v>10</v>
      </c>
      <c r="AE1657" t="s">
        <v>80</v>
      </c>
      <c r="AF1657" t="s">
        <v>107</v>
      </c>
      <c r="AG1657" t="s">
        <v>82</v>
      </c>
      <c r="AH1657" t="s">
        <v>83</v>
      </c>
      <c r="AI1657" t="s">
        <v>108</v>
      </c>
      <c r="AJ1657">
        <v>1.1266203867171301</v>
      </c>
      <c r="AK1657">
        <v>1.96794722719455</v>
      </c>
      <c r="AL1657">
        <v>0.22979377615097599</v>
      </c>
      <c r="AM1657">
        <v>0.29085063097455</v>
      </c>
      <c r="AN1657">
        <v>1.8578073474438299</v>
      </c>
      <c r="AO1657">
        <v>8.2247631449551203E-2</v>
      </c>
      <c r="AP1657">
        <v>8.2247631449551203E-2</v>
      </c>
      <c r="AQ1657">
        <v>0</v>
      </c>
      <c r="AR1657">
        <v>0</v>
      </c>
      <c r="AS1657">
        <v>0</v>
      </c>
      <c r="AT1657">
        <v>0</v>
      </c>
      <c r="AU1657">
        <v>1</v>
      </c>
      <c r="AV1657">
        <v>12</v>
      </c>
      <c r="AW1657">
        <v>0</v>
      </c>
      <c r="AX1657">
        <v>0</v>
      </c>
      <c r="AY1657">
        <v>15.5</v>
      </c>
      <c r="AZ1657">
        <v>2.4</v>
      </c>
      <c r="BA1657">
        <v>10.9</v>
      </c>
      <c r="BB1657">
        <v>564</v>
      </c>
      <c r="BC1657">
        <v>68</v>
      </c>
      <c r="BD1657">
        <v>1.5</v>
      </c>
      <c r="BE1657">
        <v>135</v>
      </c>
      <c r="BF1657">
        <v>0</v>
      </c>
      <c r="BG1657">
        <v>162</v>
      </c>
      <c r="BH1657">
        <v>9.1</v>
      </c>
      <c r="BI1657">
        <v>9.1999999999999993</v>
      </c>
      <c r="BJ1657">
        <v>18.3</v>
      </c>
      <c r="BK1657">
        <v>0.34</v>
      </c>
      <c r="BL1657">
        <v>7.3</v>
      </c>
      <c r="BM1657">
        <v>0.9</v>
      </c>
      <c r="BN1657">
        <v>7.5</v>
      </c>
      <c r="BO1657">
        <v>2.9</v>
      </c>
      <c r="BP1657">
        <f t="shared" si="50"/>
        <v>2.1207065098866837</v>
      </c>
      <c r="BQ1657">
        <f t="shared" si="51"/>
        <v>10.265385492917233</v>
      </c>
    </row>
    <row r="1658" spans="1:69" hidden="1" x14ac:dyDescent="0.2">
      <c r="A1658" t="s">
        <v>1045</v>
      </c>
      <c r="B1658" t="s">
        <v>68</v>
      </c>
      <c r="C1658" t="s">
        <v>69</v>
      </c>
      <c r="D1658" t="s">
        <v>70</v>
      </c>
      <c r="E1658" t="s">
        <v>102</v>
      </c>
      <c r="F1658">
        <v>6</v>
      </c>
      <c r="G1658">
        <v>120</v>
      </c>
      <c r="H1658">
        <v>3</v>
      </c>
      <c r="I1658">
        <v>2</v>
      </c>
      <c r="J1658">
        <v>2</v>
      </c>
      <c r="K1658" t="s">
        <v>110</v>
      </c>
      <c r="L1658" t="s">
        <v>162</v>
      </c>
      <c r="M1658" s="4">
        <v>750000000</v>
      </c>
      <c r="N1658">
        <v>0</v>
      </c>
      <c r="O1658">
        <v>4.6948740000000004</v>
      </c>
      <c r="P1658">
        <v>-74.041196200000002</v>
      </c>
      <c r="Q1658" t="s">
        <v>1046</v>
      </c>
      <c r="R1658">
        <v>6250000</v>
      </c>
      <c r="S1658">
        <v>0</v>
      </c>
      <c r="T1658" t="s">
        <v>104</v>
      </c>
      <c r="U1658" t="s">
        <v>105</v>
      </c>
      <c r="V1658" t="s">
        <v>77</v>
      </c>
      <c r="W1658" t="s">
        <v>104</v>
      </c>
      <c r="X1658" t="s">
        <v>106</v>
      </c>
      <c r="Y1658">
        <v>2.0971951037716701</v>
      </c>
      <c r="Z1658">
        <v>2097.1951037716699</v>
      </c>
      <c r="AA1658">
        <v>4.71035</v>
      </c>
      <c r="AB1658">
        <v>-74.030416666666696</v>
      </c>
      <c r="AC1658">
        <v>2570</v>
      </c>
      <c r="AD1658">
        <v>10</v>
      </c>
      <c r="AE1658" t="s">
        <v>80</v>
      </c>
      <c r="AF1658" t="s">
        <v>107</v>
      </c>
      <c r="AG1658" t="s">
        <v>82</v>
      </c>
      <c r="AH1658" t="s">
        <v>83</v>
      </c>
      <c r="AI1658" t="s">
        <v>108</v>
      </c>
      <c r="AJ1658">
        <v>1.60553875420931</v>
      </c>
      <c r="AK1658">
        <v>1.6504429793569699</v>
      </c>
      <c r="AL1658">
        <v>0.97535499944895698</v>
      </c>
      <c r="AM1658">
        <v>0.117527508819511</v>
      </c>
      <c r="AN1658">
        <v>5.0743457736093198</v>
      </c>
      <c r="AO1658">
        <v>0.16104387353865299</v>
      </c>
      <c r="AP1658">
        <v>0.16104387353865299</v>
      </c>
      <c r="AQ1658">
        <v>0</v>
      </c>
      <c r="AR1658">
        <v>0</v>
      </c>
      <c r="AS1658">
        <v>0</v>
      </c>
      <c r="AT1658">
        <v>0</v>
      </c>
      <c r="AU1658">
        <v>1</v>
      </c>
      <c r="AV1658">
        <v>121</v>
      </c>
      <c r="AW1658">
        <v>0</v>
      </c>
      <c r="AX1658">
        <v>0</v>
      </c>
      <c r="AY1658">
        <v>15.5</v>
      </c>
      <c r="AZ1658">
        <v>2.4</v>
      </c>
      <c r="BA1658">
        <v>10.9</v>
      </c>
      <c r="BB1658">
        <v>564</v>
      </c>
      <c r="BC1658">
        <v>68</v>
      </c>
      <c r="BD1658">
        <v>1.5</v>
      </c>
      <c r="BE1658">
        <v>135</v>
      </c>
      <c r="BF1658">
        <v>0</v>
      </c>
      <c r="BG1658">
        <v>162</v>
      </c>
      <c r="BH1658">
        <v>9.1</v>
      </c>
      <c r="BI1658">
        <v>9.1999999999999993</v>
      </c>
      <c r="BJ1658">
        <v>18.3</v>
      </c>
      <c r="BK1658">
        <v>0.34</v>
      </c>
      <c r="BL1658">
        <v>7.3</v>
      </c>
      <c r="BM1658">
        <v>0.9</v>
      </c>
      <c r="BN1658">
        <v>7.5</v>
      </c>
      <c r="BO1658">
        <v>2.9</v>
      </c>
      <c r="BP1658">
        <f t="shared" si="50"/>
        <v>2.1633492072161862</v>
      </c>
      <c r="BQ1658">
        <f t="shared" si="51"/>
        <v>10.364951915392631</v>
      </c>
    </row>
    <row r="1659" spans="1:69" hidden="1" x14ac:dyDescent="0.2">
      <c r="A1659" t="s">
        <v>774</v>
      </c>
      <c r="B1659" t="s">
        <v>68</v>
      </c>
      <c r="C1659" t="s">
        <v>69</v>
      </c>
      <c r="D1659" t="s">
        <v>70</v>
      </c>
      <c r="E1659" t="s">
        <v>775</v>
      </c>
      <c r="F1659">
        <v>5</v>
      </c>
      <c r="G1659">
        <v>120</v>
      </c>
      <c r="H1659">
        <v>3</v>
      </c>
      <c r="I1659">
        <v>3</v>
      </c>
      <c r="J1659">
        <v>2</v>
      </c>
      <c r="K1659" t="s">
        <v>110</v>
      </c>
      <c r="L1659" t="s">
        <v>162</v>
      </c>
      <c r="M1659" s="4">
        <v>600000000</v>
      </c>
      <c r="N1659">
        <v>0</v>
      </c>
      <c r="O1659">
        <v>4.7134389880000001</v>
      </c>
      <c r="P1659">
        <v>-74.047561650000006</v>
      </c>
      <c r="Q1659" t="s">
        <v>776</v>
      </c>
      <c r="R1659">
        <v>5000000</v>
      </c>
      <c r="S1659">
        <v>0</v>
      </c>
      <c r="T1659" t="s">
        <v>104</v>
      </c>
      <c r="U1659" t="s">
        <v>105</v>
      </c>
      <c r="V1659" t="s">
        <v>77</v>
      </c>
      <c r="W1659" t="s">
        <v>104</v>
      </c>
      <c r="X1659" t="s">
        <v>106</v>
      </c>
      <c r="Y1659">
        <v>1.9329524890485399</v>
      </c>
      <c r="Z1659">
        <v>1932.95248904854</v>
      </c>
      <c r="AA1659">
        <v>4.71035</v>
      </c>
      <c r="AB1659">
        <v>-74.030416666666696</v>
      </c>
      <c r="AC1659">
        <v>2570</v>
      </c>
      <c r="AD1659">
        <v>10</v>
      </c>
      <c r="AE1659" t="s">
        <v>80</v>
      </c>
      <c r="AF1659" t="s">
        <v>107</v>
      </c>
      <c r="AG1659" t="s">
        <v>82</v>
      </c>
      <c r="AH1659" t="s">
        <v>83</v>
      </c>
      <c r="AI1659" t="s">
        <v>108</v>
      </c>
      <c r="AJ1659">
        <v>0.56764878060841195</v>
      </c>
      <c r="AK1659">
        <v>2.5365445946624301</v>
      </c>
      <c r="AL1659">
        <v>1.6659751319337699</v>
      </c>
      <c r="AM1659">
        <v>0.52828020142508203</v>
      </c>
      <c r="AN1659">
        <v>3.8698470005694698</v>
      </c>
      <c r="AO1659">
        <v>0.41246168161647501</v>
      </c>
      <c r="AP1659">
        <v>0.41246168161647501</v>
      </c>
      <c r="AQ1659">
        <v>0</v>
      </c>
      <c r="AR1659">
        <v>2</v>
      </c>
      <c r="AS1659">
        <v>0</v>
      </c>
      <c r="AT1659">
        <v>0</v>
      </c>
      <c r="AU1659">
        <v>0</v>
      </c>
      <c r="AV1659">
        <v>80</v>
      </c>
      <c r="AW1659">
        <v>0</v>
      </c>
      <c r="AX1659">
        <v>0</v>
      </c>
      <c r="AY1659">
        <v>15.5</v>
      </c>
      <c r="AZ1659">
        <v>2.4</v>
      </c>
      <c r="BA1659">
        <v>10.9</v>
      </c>
      <c r="BB1659">
        <v>564</v>
      </c>
      <c r="BC1659">
        <v>68</v>
      </c>
      <c r="BD1659">
        <v>1.5</v>
      </c>
      <c r="BE1659">
        <v>135</v>
      </c>
      <c r="BF1659">
        <v>0</v>
      </c>
      <c r="BG1659">
        <v>162</v>
      </c>
      <c r="BH1659">
        <v>9.1</v>
      </c>
      <c r="BI1659">
        <v>9.1999999999999993</v>
      </c>
      <c r="BJ1659">
        <v>18.3</v>
      </c>
      <c r="BK1659">
        <v>0.34</v>
      </c>
      <c r="BL1659">
        <v>7.3</v>
      </c>
      <c r="BM1659">
        <v>0.9</v>
      </c>
      <c r="BN1659">
        <v>7.5</v>
      </c>
      <c r="BO1659">
        <v>2.9</v>
      </c>
      <c r="BP1659">
        <f t="shared" si="50"/>
        <v>2.1810089463200564</v>
      </c>
      <c r="BQ1659">
        <f t="shared" si="51"/>
        <v>10.405889349738214</v>
      </c>
    </row>
    <row r="1660" spans="1:69" hidden="1" x14ac:dyDescent="0.2">
      <c r="A1660" t="s">
        <v>1653</v>
      </c>
      <c r="B1660" t="s">
        <v>68</v>
      </c>
      <c r="C1660" t="s">
        <v>69</v>
      </c>
      <c r="D1660" t="s">
        <v>70</v>
      </c>
      <c r="E1660" t="s">
        <v>190</v>
      </c>
      <c r="F1660">
        <v>6</v>
      </c>
      <c r="G1660">
        <v>119</v>
      </c>
      <c r="H1660">
        <v>2</v>
      </c>
      <c r="I1660">
        <v>3</v>
      </c>
      <c r="J1660">
        <v>2</v>
      </c>
      <c r="K1660" t="s">
        <v>110</v>
      </c>
      <c r="L1660" t="s">
        <v>162</v>
      </c>
      <c r="M1660" s="4">
        <v>900000000</v>
      </c>
      <c r="N1660">
        <v>0</v>
      </c>
      <c r="O1660">
        <v>4.6883407669999997</v>
      </c>
      <c r="P1660">
        <v>-74.04412816</v>
      </c>
      <c r="Q1660" t="s">
        <v>1654</v>
      </c>
      <c r="R1660">
        <v>7563025.21</v>
      </c>
      <c r="S1660">
        <v>0</v>
      </c>
      <c r="T1660" t="s">
        <v>104</v>
      </c>
      <c r="U1660" t="s">
        <v>105</v>
      </c>
      <c r="V1660" t="s">
        <v>77</v>
      </c>
      <c r="W1660" t="s">
        <v>104</v>
      </c>
      <c r="X1660" t="s">
        <v>106</v>
      </c>
      <c r="Y1660">
        <v>2.8839042797402898</v>
      </c>
      <c r="Z1660">
        <v>2883.9042797402899</v>
      </c>
      <c r="AA1660">
        <v>4.71035</v>
      </c>
      <c r="AB1660">
        <v>-74.030416666666696</v>
      </c>
      <c r="AC1660">
        <v>2570</v>
      </c>
      <c r="AD1660">
        <v>10</v>
      </c>
      <c r="AE1660" t="s">
        <v>80</v>
      </c>
      <c r="AF1660" t="s">
        <v>107</v>
      </c>
      <c r="AG1660" t="s">
        <v>82</v>
      </c>
      <c r="AH1660" t="s">
        <v>83</v>
      </c>
      <c r="AI1660" t="s">
        <v>108</v>
      </c>
      <c r="AJ1660">
        <v>1.43162625267147</v>
      </c>
      <c r="AK1660">
        <v>1.3848263732896999</v>
      </c>
      <c r="AL1660">
        <v>0.73743182426506404</v>
      </c>
      <c r="AM1660">
        <v>0.137754200261861</v>
      </c>
      <c r="AN1660">
        <v>4.48144305612312</v>
      </c>
      <c r="AO1660">
        <v>0.11172515859674</v>
      </c>
      <c r="AP1660">
        <v>0.11172515859674</v>
      </c>
      <c r="AQ1660">
        <v>0</v>
      </c>
      <c r="AR1660">
        <v>0</v>
      </c>
      <c r="AS1660">
        <v>0</v>
      </c>
      <c r="AT1660">
        <v>0</v>
      </c>
      <c r="AU1660">
        <v>5</v>
      </c>
      <c r="AV1660">
        <v>113</v>
      </c>
      <c r="AW1660">
        <v>0</v>
      </c>
      <c r="AX1660">
        <v>0</v>
      </c>
      <c r="AY1660">
        <v>15.5</v>
      </c>
      <c r="AZ1660">
        <v>2.4</v>
      </c>
      <c r="BA1660">
        <v>10.9</v>
      </c>
      <c r="BB1660">
        <v>564</v>
      </c>
      <c r="BC1660">
        <v>68</v>
      </c>
      <c r="BD1660">
        <v>1.5</v>
      </c>
      <c r="BE1660">
        <v>135</v>
      </c>
      <c r="BF1660">
        <v>0</v>
      </c>
      <c r="BG1660">
        <v>162</v>
      </c>
      <c r="BH1660">
        <v>9.1</v>
      </c>
      <c r="BI1660">
        <v>9.1999999999999993</v>
      </c>
      <c r="BJ1660">
        <v>18.3</v>
      </c>
      <c r="BK1660">
        <v>0.34</v>
      </c>
      <c r="BL1660">
        <v>7.3</v>
      </c>
      <c r="BM1660">
        <v>0.9</v>
      </c>
      <c r="BN1660">
        <v>7.5</v>
      </c>
      <c r="BO1660">
        <v>2.9</v>
      </c>
      <c r="BP1660">
        <f t="shared" si="50"/>
        <v>2.0807230957907259</v>
      </c>
      <c r="BQ1660">
        <f t="shared" si="51"/>
        <v>10.171086991692849</v>
      </c>
    </row>
    <row r="1661" spans="1:69" hidden="1" x14ac:dyDescent="0.2">
      <c r="A1661" t="s">
        <v>1019</v>
      </c>
      <c r="B1661" t="s">
        <v>68</v>
      </c>
      <c r="C1661" t="s">
        <v>69</v>
      </c>
      <c r="D1661" t="s">
        <v>70</v>
      </c>
      <c r="E1661" t="s">
        <v>226</v>
      </c>
      <c r="F1661">
        <v>6</v>
      </c>
      <c r="G1661">
        <v>119</v>
      </c>
      <c r="H1661">
        <v>3</v>
      </c>
      <c r="I1661">
        <v>3</v>
      </c>
      <c r="J1661">
        <v>2</v>
      </c>
      <c r="K1661" t="s">
        <v>110</v>
      </c>
      <c r="L1661" t="s">
        <v>162</v>
      </c>
      <c r="M1661" s="4">
        <v>726300000</v>
      </c>
      <c r="N1661">
        <v>0</v>
      </c>
      <c r="O1661">
        <v>4.6950030470000002</v>
      </c>
      <c r="P1661">
        <v>-74.041886950000006</v>
      </c>
      <c r="Q1661" t="s">
        <v>1020</v>
      </c>
      <c r="R1661">
        <v>6103361.3449999997</v>
      </c>
      <c r="S1661">
        <v>0</v>
      </c>
      <c r="T1661" t="s">
        <v>104</v>
      </c>
      <c r="U1661" t="s">
        <v>105</v>
      </c>
      <c r="V1661" t="s">
        <v>77</v>
      </c>
      <c r="W1661" t="s">
        <v>104</v>
      </c>
      <c r="X1661" t="s">
        <v>106</v>
      </c>
      <c r="Y1661">
        <v>2.1302840389425399</v>
      </c>
      <c r="Z1661">
        <v>2130.2840389425401</v>
      </c>
      <c r="AA1661">
        <v>4.71035</v>
      </c>
      <c r="AB1661">
        <v>-74.030416666666696</v>
      </c>
      <c r="AC1661">
        <v>2570</v>
      </c>
      <c r="AD1661">
        <v>10</v>
      </c>
      <c r="AE1661" t="s">
        <v>80</v>
      </c>
      <c r="AF1661" t="s">
        <v>107</v>
      </c>
      <c r="AG1661" t="s">
        <v>82</v>
      </c>
      <c r="AH1661" t="s">
        <v>83</v>
      </c>
      <c r="AI1661" t="s">
        <v>108</v>
      </c>
      <c r="AJ1661">
        <v>1.5277046112211401</v>
      </c>
      <c r="AK1661">
        <v>1.7282571186147699</v>
      </c>
      <c r="AL1661">
        <v>0.902984562510174</v>
      </c>
      <c r="AM1661">
        <v>6.11091641012739E-2</v>
      </c>
      <c r="AN1661">
        <v>5.01305784574883</v>
      </c>
      <c r="AO1661">
        <v>0.22118871610698701</v>
      </c>
      <c r="AP1661">
        <v>0.22118871610698701</v>
      </c>
      <c r="AQ1661">
        <v>0</v>
      </c>
      <c r="AR1661">
        <v>0</v>
      </c>
      <c r="AS1661">
        <v>0</v>
      </c>
      <c r="AT1661">
        <v>0</v>
      </c>
      <c r="AU1661">
        <v>1</v>
      </c>
      <c r="AV1661">
        <v>120</v>
      </c>
      <c r="AW1661">
        <v>0</v>
      </c>
      <c r="AX1661">
        <v>0</v>
      </c>
      <c r="AY1661">
        <v>15.5</v>
      </c>
      <c r="AZ1661">
        <v>2.4</v>
      </c>
      <c r="BA1661">
        <v>10.9</v>
      </c>
      <c r="BB1661">
        <v>564</v>
      </c>
      <c r="BC1661">
        <v>68</v>
      </c>
      <c r="BD1661">
        <v>1.5</v>
      </c>
      <c r="BE1661">
        <v>135</v>
      </c>
      <c r="BF1661">
        <v>0</v>
      </c>
      <c r="BG1661">
        <v>162</v>
      </c>
      <c r="BH1661">
        <v>9.1</v>
      </c>
      <c r="BI1661">
        <v>9.1999999999999993</v>
      </c>
      <c r="BJ1661">
        <v>18.3</v>
      </c>
      <c r="BK1661">
        <v>0.34</v>
      </c>
      <c r="BL1661">
        <v>7.3</v>
      </c>
      <c r="BM1661">
        <v>0.9</v>
      </c>
      <c r="BN1661">
        <v>7.5</v>
      </c>
      <c r="BO1661">
        <v>2.9</v>
      </c>
      <c r="BP1661">
        <f t="shared" si="50"/>
        <v>2.1598087528442131</v>
      </c>
      <c r="BQ1661">
        <f t="shared" si="51"/>
        <v>10.356724017526128</v>
      </c>
    </row>
    <row r="1662" spans="1:69" hidden="1" x14ac:dyDescent="0.2">
      <c r="A1662" t="s">
        <v>752</v>
      </c>
      <c r="B1662" t="s">
        <v>68</v>
      </c>
      <c r="C1662" t="s">
        <v>69</v>
      </c>
      <c r="D1662" t="s">
        <v>70</v>
      </c>
      <c r="E1662" t="s">
        <v>229</v>
      </c>
      <c r="F1662">
        <v>6</v>
      </c>
      <c r="G1662">
        <v>118</v>
      </c>
      <c r="H1662">
        <v>2</v>
      </c>
      <c r="I1662">
        <v>3</v>
      </c>
      <c r="J1662">
        <v>1</v>
      </c>
      <c r="K1662" t="s">
        <v>110</v>
      </c>
      <c r="L1662" t="s">
        <v>162</v>
      </c>
      <c r="M1662" s="4">
        <v>750000000</v>
      </c>
      <c r="N1662">
        <v>0</v>
      </c>
      <c r="O1662">
        <v>4.6813445859999998</v>
      </c>
      <c r="P1662">
        <v>-74.042323999999994</v>
      </c>
      <c r="Q1662" t="s">
        <v>753</v>
      </c>
      <c r="R1662">
        <v>6355932.2029999997</v>
      </c>
      <c r="S1662">
        <v>0</v>
      </c>
      <c r="T1662" t="s">
        <v>104</v>
      </c>
      <c r="U1662" t="s">
        <v>105</v>
      </c>
      <c r="V1662" t="s">
        <v>77</v>
      </c>
      <c r="W1662" t="s">
        <v>104</v>
      </c>
      <c r="X1662" t="s">
        <v>106</v>
      </c>
      <c r="Y1662">
        <v>3.4886689649893801</v>
      </c>
      <c r="Z1662">
        <v>3488.6689649893801</v>
      </c>
      <c r="AA1662">
        <v>4.71035</v>
      </c>
      <c r="AB1662">
        <v>-74.030416666666696</v>
      </c>
      <c r="AC1662">
        <v>2570</v>
      </c>
      <c r="AD1662">
        <v>10</v>
      </c>
      <c r="AE1662" t="s">
        <v>80</v>
      </c>
      <c r="AF1662" t="s">
        <v>107</v>
      </c>
      <c r="AG1662" t="s">
        <v>82</v>
      </c>
      <c r="AH1662" t="s">
        <v>83</v>
      </c>
      <c r="AI1662" t="s">
        <v>130</v>
      </c>
      <c r="AJ1662">
        <v>1.7303713640554099</v>
      </c>
      <c r="AK1662">
        <v>0.72536014887490996</v>
      </c>
      <c r="AL1662">
        <v>0.36132813170651101</v>
      </c>
      <c r="AM1662">
        <v>8.4650581257128696E-2</v>
      </c>
      <c r="AN1662">
        <v>4.4623411179854804</v>
      </c>
      <c r="AO1662">
        <v>0.70438938737025403</v>
      </c>
      <c r="AP1662">
        <v>0.70438938737025403</v>
      </c>
      <c r="AQ1662">
        <v>0</v>
      </c>
      <c r="AR1662">
        <v>0</v>
      </c>
      <c r="AS1662">
        <v>0</v>
      </c>
      <c r="AT1662">
        <v>1</v>
      </c>
      <c r="AU1662">
        <v>3</v>
      </c>
      <c r="AV1662">
        <v>82</v>
      </c>
      <c r="AW1662">
        <v>0</v>
      </c>
      <c r="AX1662">
        <v>0</v>
      </c>
      <c r="AY1662">
        <v>15.5</v>
      </c>
      <c r="AZ1662">
        <v>2.4</v>
      </c>
      <c r="BA1662">
        <v>10.9</v>
      </c>
      <c r="BB1662">
        <v>564</v>
      </c>
      <c r="BC1662">
        <v>68</v>
      </c>
      <c r="BD1662">
        <v>1.5</v>
      </c>
      <c r="BE1662">
        <v>135</v>
      </c>
      <c r="BF1662">
        <v>0</v>
      </c>
      <c r="BG1662">
        <v>162</v>
      </c>
      <c r="BH1662">
        <v>9.1</v>
      </c>
      <c r="BI1662">
        <v>9.1999999999999993</v>
      </c>
      <c r="BJ1662">
        <v>18.3</v>
      </c>
      <c r="BK1662">
        <v>0.34</v>
      </c>
      <c r="BL1662">
        <v>7.3</v>
      </c>
      <c r="BM1662">
        <v>0.9</v>
      </c>
      <c r="BN1662">
        <v>7.5</v>
      </c>
      <c r="BO1662">
        <v>2.9</v>
      </c>
      <c r="BP1662">
        <f t="shared" si="50"/>
        <v>2.0193579686434835</v>
      </c>
      <c r="BQ1662">
        <f t="shared" si="51"/>
        <v>10.024526439034657</v>
      </c>
    </row>
    <row r="1663" spans="1:69" hidden="1" x14ac:dyDescent="0.2">
      <c r="A1663" t="s">
        <v>428</v>
      </c>
      <c r="B1663" t="s">
        <v>68</v>
      </c>
      <c r="C1663" t="s">
        <v>69</v>
      </c>
      <c r="D1663" t="s">
        <v>70</v>
      </c>
      <c r="E1663" t="s">
        <v>429</v>
      </c>
      <c r="F1663">
        <v>4</v>
      </c>
      <c r="G1663">
        <v>118</v>
      </c>
      <c r="H1663">
        <v>3</v>
      </c>
      <c r="I1663">
        <v>3</v>
      </c>
      <c r="J1663">
        <v>2</v>
      </c>
      <c r="K1663" t="s">
        <v>110</v>
      </c>
      <c r="L1663" t="s">
        <v>133</v>
      </c>
      <c r="M1663" s="4">
        <v>790000000</v>
      </c>
      <c r="N1663">
        <v>0</v>
      </c>
      <c r="O1663">
        <v>4.7274875639999996</v>
      </c>
      <c r="P1663">
        <v>-74.042640689999999</v>
      </c>
      <c r="Q1663" t="s">
        <v>430</v>
      </c>
      <c r="R1663">
        <v>6694915.2539999997</v>
      </c>
      <c r="S1663">
        <v>0</v>
      </c>
      <c r="T1663" t="s">
        <v>104</v>
      </c>
      <c r="U1663" t="s">
        <v>105</v>
      </c>
      <c r="V1663" t="s">
        <v>77</v>
      </c>
      <c r="W1663" t="s">
        <v>104</v>
      </c>
      <c r="X1663" t="s">
        <v>106</v>
      </c>
      <c r="Y1663">
        <v>2.34065352692165</v>
      </c>
      <c r="Z1663">
        <v>2340.6535269216502</v>
      </c>
      <c r="AA1663">
        <v>4.71035</v>
      </c>
      <c r="AB1663">
        <v>-74.030416666666696</v>
      </c>
      <c r="AC1663">
        <v>2570</v>
      </c>
      <c r="AD1663">
        <v>10</v>
      </c>
      <c r="AE1663" t="s">
        <v>80</v>
      </c>
      <c r="AF1663" t="s">
        <v>107</v>
      </c>
      <c r="AG1663" t="s">
        <v>82</v>
      </c>
      <c r="AH1663" t="s">
        <v>83</v>
      </c>
      <c r="AI1663" t="s">
        <v>108</v>
      </c>
      <c r="AJ1663">
        <v>0.874597311468991</v>
      </c>
      <c r="AK1663">
        <v>2.28243959171271</v>
      </c>
      <c r="AL1663">
        <v>0.66572028269707195</v>
      </c>
      <c r="AM1663">
        <v>0.364503088006354</v>
      </c>
      <c r="AN1663">
        <v>2.34985370453155</v>
      </c>
      <c r="AO1663">
        <v>0.10960554436941899</v>
      </c>
      <c r="AP1663">
        <v>0.10960554436941899</v>
      </c>
      <c r="AQ1663">
        <v>0</v>
      </c>
      <c r="AR1663">
        <v>2</v>
      </c>
      <c r="AS1663">
        <v>0</v>
      </c>
      <c r="AT1663">
        <v>0</v>
      </c>
      <c r="AU1663">
        <v>1</v>
      </c>
      <c r="AV1663">
        <v>32</v>
      </c>
      <c r="AW1663">
        <v>0</v>
      </c>
      <c r="AX1663">
        <v>0</v>
      </c>
      <c r="AY1663">
        <v>15.5</v>
      </c>
      <c r="AZ1663">
        <v>2.4</v>
      </c>
      <c r="BA1663">
        <v>10.9</v>
      </c>
      <c r="BB1663">
        <v>564</v>
      </c>
      <c r="BC1663">
        <v>68</v>
      </c>
      <c r="BD1663">
        <v>1.5</v>
      </c>
      <c r="BE1663">
        <v>135</v>
      </c>
      <c r="BF1663">
        <v>0</v>
      </c>
      <c r="BG1663">
        <v>162</v>
      </c>
      <c r="BH1663">
        <v>9.1</v>
      </c>
      <c r="BI1663">
        <v>9.1999999999999993</v>
      </c>
      <c r="BJ1663">
        <v>18.3</v>
      </c>
      <c r="BK1663">
        <v>0.34</v>
      </c>
      <c r="BL1663">
        <v>7.3</v>
      </c>
      <c r="BM1663">
        <v>0.9</v>
      </c>
      <c r="BN1663">
        <v>7.5</v>
      </c>
      <c r="BO1663">
        <v>2.9</v>
      </c>
      <c r="BP1663">
        <f t="shared" si="50"/>
        <v>2.1374347344485098</v>
      </c>
      <c r="BQ1663">
        <f t="shared" si="51"/>
        <v>10.304566068127206</v>
      </c>
    </row>
    <row r="1664" spans="1:69" hidden="1" x14ac:dyDescent="0.2">
      <c r="A1664" t="s">
        <v>576</v>
      </c>
      <c r="B1664" t="s">
        <v>68</v>
      </c>
      <c r="C1664" t="s">
        <v>69</v>
      </c>
      <c r="D1664" t="s">
        <v>70</v>
      </c>
      <c r="E1664" t="s">
        <v>577</v>
      </c>
      <c r="F1664">
        <v>5</v>
      </c>
      <c r="G1664">
        <v>118</v>
      </c>
      <c r="H1664">
        <v>3</v>
      </c>
      <c r="I1664">
        <v>3</v>
      </c>
      <c r="J1664">
        <v>2</v>
      </c>
      <c r="K1664" t="s">
        <v>110</v>
      </c>
      <c r="L1664" t="s">
        <v>111</v>
      </c>
      <c r="M1664" s="4">
        <v>1280000000</v>
      </c>
      <c r="N1664">
        <v>0</v>
      </c>
      <c r="O1664">
        <v>4.7086315159999996</v>
      </c>
      <c r="P1664">
        <v>-74.030052190000006</v>
      </c>
      <c r="Q1664" t="s">
        <v>578</v>
      </c>
      <c r="R1664">
        <v>10847457.630000001</v>
      </c>
      <c r="S1664">
        <v>0</v>
      </c>
      <c r="T1664" t="s">
        <v>104</v>
      </c>
      <c r="U1664" t="s">
        <v>105</v>
      </c>
      <c r="V1664" t="s">
        <v>77</v>
      </c>
      <c r="W1664" t="s">
        <v>104</v>
      </c>
      <c r="X1664" t="s">
        <v>106</v>
      </c>
      <c r="Y1664">
        <v>0.19552770267490799</v>
      </c>
      <c r="Z1664">
        <v>195.527702674908</v>
      </c>
      <c r="AA1664">
        <v>4.71035</v>
      </c>
      <c r="AB1664">
        <v>-74.030416666666696</v>
      </c>
      <c r="AC1664">
        <v>2570</v>
      </c>
      <c r="AD1664">
        <v>10</v>
      </c>
      <c r="AE1664" t="s">
        <v>80</v>
      </c>
      <c r="AF1664" t="s">
        <v>107</v>
      </c>
      <c r="AG1664" t="s">
        <v>82</v>
      </c>
      <c r="AH1664" t="s">
        <v>83</v>
      </c>
      <c r="AI1664" t="s">
        <v>108</v>
      </c>
      <c r="AJ1664">
        <v>2.5799028587527602</v>
      </c>
      <c r="AK1664">
        <v>0.55587781561569405</v>
      </c>
      <c r="AL1664">
        <v>0.38177261070386098</v>
      </c>
      <c r="AM1664">
        <v>0.274565740502557</v>
      </c>
      <c r="AN1664">
        <v>3.6550473568937898</v>
      </c>
      <c r="AO1664">
        <v>0.36285931789027098</v>
      </c>
      <c r="AP1664">
        <v>0.36285931789027098</v>
      </c>
      <c r="AQ1664">
        <v>0</v>
      </c>
      <c r="AR1664">
        <v>0</v>
      </c>
      <c r="AS1664">
        <v>0</v>
      </c>
      <c r="AT1664">
        <v>28</v>
      </c>
      <c r="AU1664">
        <v>2</v>
      </c>
      <c r="AV1664">
        <v>100</v>
      </c>
      <c r="AW1664">
        <v>0</v>
      </c>
      <c r="AX1664">
        <v>0</v>
      </c>
      <c r="AY1664">
        <v>15.5</v>
      </c>
      <c r="AZ1664">
        <v>2.4</v>
      </c>
      <c r="BA1664">
        <v>10.9</v>
      </c>
      <c r="BB1664">
        <v>564</v>
      </c>
      <c r="BC1664">
        <v>68</v>
      </c>
      <c r="BD1664">
        <v>1.5</v>
      </c>
      <c r="BE1664">
        <v>135</v>
      </c>
      <c r="BF1664">
        <v>0</v>
      </c>
      <c r="BG1664">
        <v>162</v>
      </c>
      <c r="BH1664">
        <v>9.1</v>
      </c>
      <c r="BI1664">
        <v>9.1999999999999993</v>
      </c>
      <c r="BJ1664">
        <v>18.3</v>
      </c>
      <c r="BK1664">
        <v>0.34</v>
      </c>
      <c r="BL1664">
        <v>7.3</v>
      </c>
      <c r="BM1664">
        <v>0.9</v>
      </c>
      <c r="BN1664">
        <v>7.5</v>
      </c>
      <c r="BO1664">
        <v>2.9</v>
      </c>
      <c r="BP1664">
        <f t="shared" si="50"/>
        <v>2.3768833579892648</v>
      </c>
      <c r="BQ1664">
        <f t="shared" si="51"/>
        <v>10.848969780484422</v>
      </c>
    </row>
    <row r="1665" spans="1:69" hidden="1" x14ac:dyDescent="0.2">
      <c r="A1665" t="s">
        <v>396</v>
      </c>
      <c r="B1665" t="s">
        <v>68</v>
      </c>
      <c r="C1665" t="s">
        <v>69</v>
      </c>
      <c r="D1665" t="s">
        <v>70</v>
      </c>
      <c r="E1665" t="s">
        <v>262</v>
      </c>
      <c r="F1665">
        <v>5</v>
      </c>
      <c r="G1665">
        <v>116</v>
      </c>
      <c r="H1665">
        <v>3</v>
      </c>
      <c r="I1665">
        <v>2</v>
      </c>
      <c r="J1665">
        <v>2</v>
      </c>
      <c r="K1665" t="s">
        <v>110</v>
      </c>
      <c r="L1665" t="s">
        <v>162</v>
      </c>
      <c r="M1665" s="4">
        <v>770000000</v>
      </c>
      <c r="N1665">
        <v>0</v>
      </c>
      <c r="O1665">
        <v>4.7042150500000002</v>
      </c>
      <c r="P1665">
        <v>-74.031661990000003</v>
      </c>
      <c r="Q1665" t="s">
        <v>397</v>
      </c>
      <c r="R1665">
        <v>6637931.034</v>
      </c>
      <c r="S1665">
        <v>0</v>
      </c>
      <c r="T1665" t="s">
        <v>104</v>
      </c>
      <c r="U1665" t="s">
        <v>105</v>
      </c>
      <c r="V1665" t="s">
        <v>77</v>
      </c>
      <c r="W1665" t="s">
        <v>104</v>
      </c>
      <c r="X1665" t="s">
        <v>106</v>
      </c>
      <c r="Y1665">
        <v>0.69677462666665002</v>
      </c>
      <c r="Z1665">
        <v>696.77462666664997</v>
      </c>
      <c r="AA1665">
        <v>4.71035</v>
      </c>
      <c r="AB1665">
        <v>-74.030416666666696</v>
      </c>
      <c r="AC1665">
        <v>2570</v>
      </c>
      <c r="AD1665">
        <v>10</v>
      </c>
      <c r="AE1665" t="s">
        <v>80</v>
      </c>
      <c r="AF1665" t="s">
        <v>107</v>
      </c>
      <c r="AG1665" t="s">
        <v>82</v>
      </c>
      <c r="AH1665" t="s">
        <v>83</v>
      </c>
      <c r="AI1665" t="s">
        <v>108</v>
      </c>
      <c r="AJ1665">
        <v>2.5021673165885701</v>
      </c>
      <c r="AK1665">
        <v>0.70908553186116496</v>
      </c>
      <c r="AL1665">
        <v>0.33062436072842699</v>
      </c>
      <c r="AM1665">
        <v>8.9745899133046494E-2</v>
      </c>
      <c r="AN1665">
        <v>4.1605935936747898</v>
      </c>
      <c r="AO1665">
        <v>0.354239633370315</v>
      </c>
      <c r="AP1665">
        <v>0.354239633370315</v>
      </c>
      <c r="AQ1665">
        <v>0</v>
      </c>
      <c r="AR1665">
        <v>0</v>
      </c>
      <c r="AS1665">
        <v>0</v>
      </c>
      <c r="AT1665">
        <v>18</v>
      </c>
      <c r="AU1665">
        <v>2</v>
      </c>
      <c r="AV1665">
        <v>118</v>
      </c>
      <c r="AW1665">
        <v>0</v>
      </c>
      <c r="AX1665">
        <v>0</v>
      </c>
      <c r="AY1665">
        <v>15.5</v>
      </c>
      <c r="AZ1665">
        <v>2.4</v>
      </c>
      <c r="BA1665">
        <v>10.9</v>
      </c>
      <c r="BB1665">
        <v>564</v>
      </c>
      <c r="BC1665">
        <v>68</v>
      </c>
      <c r="BD1665">
        <v>1.5</v>
      </c>
      <c r="BE1665">
        <v>135</v>
      </c>
      <c r="BF1665">
        <v>0</v>
      </c>
      <c r="BG1665">
        <v>162</v>
      </c>
      <c r="BH1665">
        <v>9.1</v>
      </c>
      <c r="BI1665">
        <v>9.1999999999999993</v>
      </c>
      <c r="BJ1665">
        <v>18.3</v>
      </c>
      <c r="BK1665">
        <v>0.34</v>
      </c>
      <c r="BL1665">
        <v>7.3</v>
      </c>
      <c r="BM1665">
        <v>0.9</v>
      </c>
      <c r="BN1665">
        <v>7.5</v>
      </c>
      <c r="BO1665">
        <v>2.9</v>
      </c>
      <c r="BP1665">
        <f t="shared" si="50"/>
        <v>2.3186344038269202</v>
      </c>
      <c r="BQ1665">
        <f t="shared" si="51"/>
        <v>10.719239363148928</v>
      </c>
    </row>
    <row r="1666" spans="1:69" hidden="1" x14ac:dyDescent="0.2">
      <c r="A1666" t="s">
        <v>1047</v>
      </c>
      <c r="B1666" t="s">
        <v>68</v>
      </c>
      <c r="C1666" t="s">
        <v>69</v>
      </c>
      <c r="D1666" t="s">
        <v>70</v>
      </c>
      <c r="E1666" t="s">
        <v>213</v>
      </c>
      <c r="F1666">
        <v>6</v>
      </c>
      <c r="G1666">
        <v>115.15</v>
      </c>
      <c r="H1666">
        <v>3</v>
      </c>
      <c r="I1666">
        <v>3</v>
      </c>
      <c r="J1666">
        <v>2</v>
      </c>
      <c r="K1666" t="s">
        <v>110</v>
      </c>
      <c r="L1666" t="s">
        <v>124</v>
      </c>
      <c r="M1666" s="4">
        <v>1050000000</v>
      </c>
      <c r="N1666">
        <v>0</v>
      </c>
      <c r="O1666">
        <v>4.7000870700000004</v>
      </c>
      <c r="P1666">
        <v>-74.034935000000004</v>
      </c>
      <c r="Q1666" t="s">
        <v>1048</v>
      </c>
      <c r="R1666">
        <v>9118541.0329999998</v>
      </c>
      <c r="S1666">
        <v>0</v>
      </c>
      <c r="T1666" t="s">
        <v>104</v>
      </c>
      <c r="U1666" t="s">
        <v>105</v>
      </c>
      <c r="V1666" t="s">
        <v>77</v>
      </c>
      <c r="W1666" t="s">
        <v>104</v>
      </c>
      <c r="X1666" t="s">
        <v>106</v>
      </c>
      <c r="Y1666">
        <v>1.2476014785724201</v>
      </c>
      <c r="Z1666">
        <v>1247.6014785724201</v>
      </c>
      <c r="AA1666">
        <v>4.71035</v>
      </c>
      <c r="AB1666">
        <v>-74.030416666666696</v>
      </c>
      <c r="AC1666">
        <v>2570</v>
      </c>
      <c r="AD1666">
        <v>10</v>
      </c>
      <c r="AE1666" t="s">
        <v>80</v>
      </c>
      <c r="AF1666" t="s">
        <v>107</v>
      </c>
      <c r="AG1666" t="s">
        <v>82</v>
      </c>
      <c r="AH1666" t="s">
        <v>83</v>
      </c>
      <c r="AI1666" t="s">
        <v>108</v>
      </c>
      <c r="AJ1666">
        <v>2.1972106807663199</v>
      </c>
      <c r="AK1666">
        <v>1.01179843336599</v>
      </c>
      <c r="AL1666">
        <v>0.30663537287641301</v>
      </c>
      <c r="AM1666">
        <v>0.27664242657592603</v>
      </c>
      <c r="AN1666">
        <v>4.6701384710199099</v>
      </c>
      <c r="AO1666">
        <v>0.26286597583210902</v>
      </c>
      <c r="AP1666">
        <v>0.26286597583210902</v>
      </c>
      <c r="AQ1666">
        <v>0</v>
      </c>
      <c r="AR1666">
        <v>0</v>
      </c>
      <c r="AS1666">
        <v>0</v>
      </c>
      <c r="AT1666">
        <v>0</v>
      </c>
      <c r="AU1666">
        <v>2</v>
      </c>
      <c r="AV1666">
        <v>163</v>
      </c>
      <c r="AW1666">
        <v>0</v>
      </c>
      <c r="AX1666">
        <v>0</v>
      </c>
      <c r="AY1666">
        <v>15.5</v>
      </c>
      <c r="AZ1666">
        <v>2.4</v>
      </c>
      <c r="BA1666">
        <v>10.9</v>
      </c>
      <c r="BB1666">
        <v>564</v>
      </c>
      <c r="BC1666">
        <v>68</v>
      </c>
      <c r="BD1666">
        <v>1.5</v>
      </c>
      <c r="BE1666">
        <v>135</v>
      </c>
      <c r="BF1666">
        <v>0</v>
      </c>
      <c r="BG1666">
        <v>162</v>
      </c>
      <c r="BH1666">
        <v>9.1</v>
      </c>
      <c r="BI1666">
        <v>9.1999999999999993</v>
      </c>
      <c r="BJ1666">
        <v>18.3</v>
      </c>
      <c r="BK1666">
        <v>0.34</v>
      </c>
      <c r="BL1666">
        <v>7.3</v>
      </c>
      <c r="BM1666">
        <v>0.9</v>
      </c>
      <c r="BN1666">
        <v>7.5</v>
      </c>
      <c r="BO1666">
        <v>2.9</v>
      </c>
      <c r="BP1666">
        <f t="shared" ref="BP1666:BP1729" si="52">+AZ1666*EXP(-0.0495*Y1666)</f>
        <v>2.2562687744821712</v>
      </c>
      <c r="BQ1666">
        <f t="shared" ref="BQ1666:BQ1729" si="53">+BA1666*EXP(-0.024*Y1666)</f>
        <v>10.578465242365599</v>
      </c>
    </row>
    <row r="1667" spans="1:69" hidden="1" x14ac:dyDescent="0.2">
      <c r="A1667" t="s">
        <v>2206</v>
      </c>
      <c r="B1667" t="s">
        <v>68</v>
      </c>
      <c r="C1667" t="s">
        <v>1956</v>
      </c>
      <c r="D1667" t="s">
        <v>70</v>
      </c>
      <c r="E1667" t="s">
        <v>1603</v>
      </c>
      <c r="F1667">
        <v>4</v>
      </c>
      <c r="G1667">
        <v>115</v>
      </c>
      <c r="H1667">
        <v>5</v>
      </c>
      <c r="I1667">
        <v>3</v>
      </c>
      <c r="J1667">
        <v>2</v>
      </c>
      <c r="K1667" t="s">
        <v>110</v>
      </c>
      <c r="L1667" t="s">
        <v>162</v>
      </c>
      <c r="M1667" s="4">
        <v>620000000</v>
      </c>
      <c r="N1667">
        <v>0</v>
      </c>
      <c r="O1667">
        <v>4.7310514000000001</v>
      </c>
      <c r="P1667">
        <v>-74.039444000000003</v>
      </c>
      <c r="Q1667" t="s">
        <v>2207</v>
      </c>
      <c r="R1667">
        <v>5391304.3480000002</v>
      </c>
      <c r="S1667">
        <v>0</v>
      </c>
      <c r="T1667" t="s">
        <v>104</v>
      </c>
      <c r="U1667" t="s">
        <v>105</v>
      </c>
      <c r="V1667" t="s">
        <v>77</v>
      </c>
      <c r="W1667" t="s">
        <v>104</v>
      </c>
      <c r="X1667" t="s">
        <v>106</v>
      </c>
      <c r="Y1667">
        <v>2.5126876884823499</v>
      </c>
      <c r="Z1667">
        <v>2512.68768848235</v>
      </c>
      <c r="AA1667">
        <v>4.71035</v>
      </c>
      <c r="AB1667">
        <v>-74.030416666666696</v>
      </c>
      <c r="AC1667">
        <v>2570</v>
      </c>
      <c r="AD1667">
        <v>10</v>
      </c>
      <c r="AE1667" t="s">
        <v>80</v>
      </c>
      <c r="AF1667" t="s">
        <v>107</v>
      </c>
      <c r="AG1667" t="s">
        <v>82</v>
      </c>
      <c r="AH1667" t="s">
        <v>83</v>
      </c>
      <c r="AI1667" t="s">
        <v>108</v>
      </c>
      <c r="AJ1667">
        <v>1.1495762415791499</v>
      </c>
      <c r="AK1667">
        <v>1.9428160329578399</v>
      </c>
      <c r="AL1667">
        <v>0.21083251092692501</v>
      </c>
      <c r="AM1667">
        <v>0.303846850630765</v>
      </c>
      <c r="AN1667">
        <v>1.82462090637733</v>
      </c>
      <c r="AO1667">
        <v>5.0500052671401202E-2</v>
      </c>
      <c r="AP1667">
        <v>5.0500052671401202E-2</v>
      </c>
      <c r="AQ1667">
        <v>0</v>
      </c>
      <c r="AR1667">
        <v>0</v>
      </c>
      <c r="AS1667">
        <v>0</v>
      </c>
      <c r="AT1667">
        <v>0</v>
      </c>
      <c r="AU1667">
        <v>1</v>
      </c>
      <c r="AV1667">
        <v>13</v>
      </c>
      <c r="AW1667">
        <v>0</v>
      </c>
      <c r="AX1667">
        <v>0</v>
      </c>
      <c r="AY1667">
        <v>15.5</v>
      </c>
      <c r="AZ1667">
        <v>2.4</v>
      </c>
      <c r="BA1667">
        <v>10.9</v>
      </c>
      <c r="BB1667">
        <v>564</v>
      </c>
      <c r="BC1667">
        <v>68</v>
      </c>
      <c r="BD1667">
        <v>1.5</v>
      </c>
      <c r="BE1667">
        <v>135</v>
      </c>
      <c r="BF1667">
        <v>0</v>
      </c>
      <c r="BG1667">
        <v>162</v>
      </c>
      <c r="BH1667">
        <v>9.1</v>
      </c>
      <c r="BI1667">
        <v>9.1999999999999993</v>
      </c>
      <c r="BJ1667">
        <v>18.3</v>
      </c>
      <c r="BK1667">
        <v>0.34</v>
      </c>
      <c r="BL1667">
        <v>7.3</v>
      </c>
      <c r="BM1667">
        <v>0.9</v>
      </c>
      <c r="BN1667">
        <v>7.5</v>
      </c>
      <c r="BO1667">
        <v>2.9</v>
      </c>
      <c r="BP1667">
        <f t="shared" si="52"/>
        <v>2.1193102813715337</v>
      </c>
      <c r="BQ1667">
        <f t="shared" si="53"/>
        <v>10.262108081920893</v>
      </c>
    </row>
    <row r="1668" spans="1:69" hidden="1" x14ac:dyDescent="0.2">
      <c r="A1668" t="s">
        <v>1069</v>
      </c>
      <c r="B1668" t="s">
        <v>68</v>
      </c>
      <c r="C1668" t="s">
        <v>69</v>
      </c>
      <c r="D1668" t="s">
        <v>70</v>
      </c>
      <c r="E1668" t="s">
        <v>1001</v>
      </c>
      <c r="F1668">
        <v>5</v>
      </c>
      <c r="G1668">
        <v>113</v>
      </c>
      <c r="H1668">
        <v>3</v>
      </c>
      <c r="I1668">
        <v>4</v>
      </c>
      <c r="J1668">
        <v>2</v>
      </c>
      <c r="K1668" t="s">
        <v>110</v>
      </c>
      <c r="L1668" t="s">
        <v>162</v>
      </c>
      <c r="M1668" s="4">
        <v>750000000</v>
      </c>
      <c r="N1668">
        <v>0</v>
      </c>
      <c r="O1668">
        <v>4.6951460840000001</v>
      </c>
      <c r="P1668">
        <v>-74.064399719999997</v>
      </c>
      <c r="Q1668" t="s">
        <v>1070</v>
      </c>
      <c r="R1668">
        <v>6637168.142</v>
      </c>
      <c r="S1668">
        <v>0</v>
      </c>
      <c r="T1668" t="s">
        <v>104</v>
      </c>
      <c r="U1668" t="s">
        <v>105</v>
      </c>
      <c r="V1668" t="s">
        <v>77</v>
      </c>
      <c r="W1668" t="s">
        <v>104</v>
      </c>
      <c r="X1668" t="s">
        <v>106</v>
      </c>
      <c r="Y1668">
        <v>4.1327042196649204</v>
      </c>
      <c r="Z1668">
        <v>4132.7042196649199</v>
      </c>
      <c r="AA1668">
        <v>4.71035</v>
      </c>
      <c r="AB1668">
        <v>-74.030416666666696</v>
      </c>
      <c r="AC1668">
        <v>2570</v>
      </c>
      <c r="AD1668">
        <v>10</v>
      </c>
      <c r="AE1668" t="s">
        <v>80</v>
      </c>
      <c r="AF1668" t="s">
        <v>107</v>
      </c>
      <c r="AG1668" t="s">
        <v>82</v>
      </c>
      <c r="AH1668" t="s">
        <v>83</v>
      </c>
      <c r="AI1668" t="s">
        <v>121</v>
      </c>
      <c r="AJ1668">
        <v>0.36634725862984902</v>
      </c>
      <c r="AK1668">
        <v>3.6087711528918298</v>
      </c>
      <c r="AL1668">
        <v>0.64920356089764397</v>
      </c>
      <c r="AM1668">
        <v>3.3682990691208899E-2</v>
      </c>
      <c r="AN1668">
        <v>3.0508325902730702</v>
      </c>
      <c r="AO1668">
        <v>0.185750802990686</v>
      </c>
      <c r="AP1668">
        <v>0.185750802990686</v>
      </c>
      <c r="AQ1668">
        <v>1</v>
      </c>
      <c r="AR1668">
        <v>4</v>
      </c>
      <c r="AS1668">
        <v>0</v>
      </c>
      <c r="AT1668">
        <v>0</v>
      </c>
      <c r="AU1668">
        <v>1</v>
      </c>
      <c r="AV1668">
        <v>92</v>
      </c>
      <c r="AW1668">
        <v>0</v>
      </c>
      <c r="AX1668">
        <v>0</v>
      </c>
      <c r="AY1668">
        <v>15.5</v>
      </c>
      <c r="AZ1668">
        <v>2.4</v>
      </c>
      <c r="BA1668">
        <v>10.9</v>
      </c>
      <c r="BB1668">
        <v>564</v>
      </c>
      <c r="BC1668">
        <v>68</v>
      </c>
      <c r="BD1668">
        <v>1.5</v>
      </c>
      <c r="BE1668">
        <v>135</v>
      </c>
      <c r="BF1668">
        <v>0</v>
      </c>
      <c r="BG1668">
        <v>162</v>
      </c>
      <c r="BH1668">
        <v>9.1</v>
      </c>
      <c r="BI1668">
        <v>9.1999999999999993</v>
      </c>
      <c r="BJ1668">
        <v>18.3</v>
      </c>
      <c r="BK1668">
        <v>0.34</v>
      </c>
      <c r="BL1668">
        <v>7.3</v>
      </c>
      <c r="BM1668">
        <v>0.9</v>
      </c>
      <c r="BN1668">
        <v>7.5</v>
      </c>
      <c r="BO1668">
        <v>2.9</v>
      </c>
      <c r="BP1668">
        <f t="shared" si="52"/>
        <v>1.9559966882363391</v>
      </c>
      <c r="BQ1668">
        <f t="shared" si="53"/>
        <v>9.8707702307420906</v>
      </c>
    </row>
    <row r="1669" spans="1:69" hidden="1" x14ac:dyDescent="0.2">
      <c r="A1669" t="s">
        <v>1854</v>
      </c>
      <c r="B1669" t="s">
        <v>68</v>
      </c>
      <c r="C1669" t="s">
        <v>69</v>
      </c>
      <c r="D1669" t="s">
        <v>70</v>
      </c>
      <c r="E1669" t="s">
        <v>262</v>
      </c>
      <c r="F1669">
        <v>5</v>
      </c>
      <c r="G1669">
        <v>112</v>
      </c>
      <c r="H1669">
        <v>3</v>
      </c>
      <c r="I1669">
        <v>3</v>
      </c>
      <c r="J1669">
        <v>2</v>
      </c>
      <c r="K1669" t="s">
        <v>110</v>
      </c>
      <c r="L1669" t="s">
        <v>162</v>
      </c>
      <c r="M1669" s="4">
        <v>600000000</v>
      </c>
      <c r="N1669">
        <v>0</v>
      </c>
      <c r="O1669">
        <v>4.7067227000000003</v>
      </c>
      <c r="P1669">
        <v>-74.032134999999997</v>
      </c>
      <c r="Q1669" t="s">
        <v>1855</v>
      </c>
      <c r="R1669">
        <v>5357142.8569999998</v>
      </c>
      <c r="S1669">
        <v>0</v>
      </c>
      <c r="T1669" t="s">
        <v>104</v>
      </c>
      <c r="U1669" t="s">
        <v>105</v>
      </c>
      <c r="V1669" t="s">
        <v>77</v>
      </c>
      <c r="W1669" t="s">
        <v>104</v>
      </c>
      <c r="X1669" t="s">
        <v>106</v>
      </c>
      <c r="Y1669">
        <v>0.44652964519362998</v>
      </c>
      <c r="Z1669">
        <v>446.52964519363002</v>
      </c>
      <c r="AA1669">
        <v>4.71035</v>
      </c>
      <c r="AB1669">
        <v>-74.030416666666696</v>
      </c>
      <c r="AC1669">
        <v>2570</v>
      </c>
      <c r="AD1669">
        <v>10</v>
      </c>
      <c r="AE1669" t="s">
        <v>80</v>
      </c>
      <c r="AF1669" t="s">
        <v>107</v>
      </c>
      <c r="AG1669" t="s">
        <v>82</v>
      </c>
      <c r="AH1669" t="s">
        <v>83</v>
      </c>
      <c r="AI1669" t="s">
        <v>108</v>
      </c>
      <c r="AJ1669">
        <v>2.4243672047779801</v>
      </c>
      <c r="AK1669">
        <v>0.83027985120193903</v>
      </c>
      <c r="AL1669">
        <v>0.44983418190294899</v>
      </c>
      <c r="AM1669">
        <v>0.14110066579337299</v>
      </c>
      <c r="AN1669">
        <v>3.8937658479878601</v>
      </c>
      <c r="AO1669">
        <v>0.10325334172239101</v>
      </c>
      <c r="AP1669">
        <v>0.10325334172239101</v>
      </c>
      <c r="AQ1669">
        <v>0</v>
      </c>
      <c r="AR1669">
        <v>0</v>
      </c>
      <c r="AS1669">
        <v>0</v>
      </c>
      <c r="AT1669">
        <v>15</v>
      </c>
      <c r="AU1669">
        <v>2</v>
      </c>
      <c r="AV1669">
        <v>111</v>
      </c>
      <c r="AW1669">
        <v>0</v>
      </c>
      <c r="AX1669">
        <v>0</v>
      </c>
      <c r="AY1669">
        <v>15.5</v>
      </c>
      <c r="AZ1669">
        <v>2.4</v>
      </c>
      <c r="BA1669">
        <v>10.9</v>
      </c>
      <c r="BB1669">
        <v>564</v>
      </c>
      <c r="BC1669">
        <v>68</v>
      </c>
      <c r="BD1669">
        <v>1.5</v>
      </c>
      <c r="BE1669">
        <v>135</v>
      </c>
      <c r="BF1669">
        <v>0</v>
      </c>
      <c r="BG1669">
        <v>162</v>
      </c>
      <c r="BH1669">
        <v>9.1</v>
      </c>
      <c r="BI1669">
        <v>9.1999999999999993</v>
      </c>
      <c r="BJ1669">
        <v>18.3</v>
      </c>
      <c r="BK1669">
        <v>0.34</v>
      </c>
      <c r="BL1669">
        <v>7.3</v>
      </c>
      <c r="BM1669">
        <v>0.9</v>
      </c>
      <c r="BN1669">
        <v>7.5</v>
      </c>
      <c r="BO1669">
        <v>2.9</v>
      </c>
      <c r="BP1669">
        <f t="shared" si="52"/>
        <v>2.3475342451490944</v>
      </c>
      <c r="BQ1669">
        <f t="shared" si="53"/>
        <v>10.783811535938952</v>
      </c>
    </row>
    <row r="1670" spans="1:69" hidden="1" x14ac:dyDescent="0.2">
      <c r="A1670" t="s">
        <v>279</v>
      </c>
      <c r="B1670" t="s">
        <v>68</v>
      </c>
      <c r="C1670" t="s">
        <v>69</v>
      </c>
      <c r="D1670" t="s">
        <v>70</v>
      </c>
      <c r="E1670" t="s">
        <v>280</v>
      </c>
      <c r="F1670">
        <v>4</v>
      </c>
      <c r="G1670">
        <v>111</v>
      </c>
      <c r="H1670">
        <v>4</v>
      </c>
      <c r="I1670">
        <v>2</v>
      </c>
      <c r="J1670">
        <v>2</v>
      </c>
      <c r="K1670" t="s">
        <v>110</v>
      </c>
      <c r="L1670" t="s">
        <v>124</v>
      </c>
      <c r="M1670" s="4">
        <v>650000000</v>
      </c>
      <c r="N1670">
        <v>0</v>
      </c>
      <c r="O1670">
        <v>4.7465004999999998</v>
      </c>
      <c r="P1670">
        <v>-74.033159999999995</v>
      </c>
      <c r="Q1670" t="s">
        <v>281</v>
      </c>
      <c r="R1670">
        <v>5855855.8559999997</v>
      </c>
      <c r="S1670">
        <v>0</v>
      </c>
      <c r="T1670" t="s">
        <v>104</v>
      </c>
      <c r="U1670" t="s">
        <v>105</v>
      </c>
      <c r="V1670" t="s">
        <v>77</v>
      </c>
      <c r="W1670" t="s">
        <v>104</v>
      </c>
      <c r="X1670" t="s">
        <v>106</v>
      </c>
      <c r="Y1670">
        <v>4.0357474524368504</v>
      </c>
      <c r="Z1670">
        <v>4035.7474524368499</v>
      </c>
      <c r="AA1670">
        <v>4.71035</v>
      </c>
      <c r="AB1670">
        <v>-74.030416666666696</v>
      </c>
      <c r="AC1670">
        <v>2570</v>
      </c>
      <c r="AD1670">
        <v>10</v>
      </c>
      <c r="AE1670" t="s">
        <v>80</v>
      </c>
      <c r="AF1670" t="s">
        <v>107</v>
      </c>
      <c r="AG1670" t="s">
        <v>82</v>
      </c>
      <c r="AH1670" t="s">
        <v>83</v>
      </c>
      <c r="AI1670" t="s">
        <v>108</v>
      </c>
      <c r="AJ1670">
        <v>1.56308207268739</v>
      </c>
      <c r="AK1670">
        <v>1.4340142329821299</v>
      </c>
      <c r="AL1670">
        <v>0.38740797421536</v>
      </c>
      <c r="AM1670">
        <v>0.49968041716068101</v>
      </c>
      <c r="AN1670">
        <v>0.89929322576575199</v>
      </c>
      <c r="AO1670">
        <v>0.35858639633436901</v>
      </c>
      <c r="AP1670">
        <v>0.35858639633436901</v>
      </c>
      <c r="AQ1670">
        <v>0</v>
      </c>
      <c r="AR1670">
        <v>0</v>
      </c>
      <c r="AS1670">
        <v>0</v>
      </c>
      <c r="AT1670">
        <v>0</v>
      </c>
      <c r="AU1670">
        <v>3</v>
      </c>
      <c r="AV1670">
        <v>12</v>
      </c>
      <c r="AW1670">
        <v>1</v>
      </c>
      <c r="AX1670">
        <v>0</v>
      </c>
      <c r="AY1670">
        <v>15.5</v>
      </c>
      <c r="AZ1670">
        <v>2.4</v>
      </c>
      <c r="BA1670">
        <v>10.9</v>
      </c>
      <c r="BB1670">
        <v>564</v>
      </c>
      <c r="BC1670">
        <v>68</v>
      </c>
      <c r="BD1670">
        <v>1.5</v>
      </c>
      <c r="BE1670">
        <v>135</v>
      </c>
      <c r="BF1670">
        <v>0</v>
      </c>
      <c r="BG1670">
        <v>162</v>
      </c>
      <c r="BH1670">
        <v>9.1</v>
      </c>
      <c r="BI1670">
        <v>9.1999999999999993</v>
      </c>
      <c r="BJ1670">
        <v>18.3</v>
      </c>
      <c r="BK1670">
        <v>0.34</v>
      </c>
      <c r="BL1670">
        <v>7.3</v>
      </c>
      <c r="BM1670">
        <v>0.9</v>
      </c>
      <c r="BN1670">
        <v>7.5</v>
      </c>
      <c r="BO1670">
        <v>2.9</v>
      </c>
      <c r="BP1670">
        <f t="shared" si="52"/>
        <v>1.9654067836135614</v>
      </c>
      <c r="BQ1670">
        <f t="shared" si="53"/>
        <v>9.8937658866982883</v>
      </c>
    </row>
    <row r="1671" spans="1:69" hidden="1" x14ac:dyDescent="0.2">
      <c r="A1671" t="s">
        <v>2255</v>
      </c>
      <c r="B1671" t="s">
        <v>68</v>
      </c>
      <c r="C1671" t="s">
        <v>1956</v>
      </c>
      <c r="D1671" t="s">
        <v>70</v>
      </c>
      <c r="E1671" t="s">
        <v>1142</v>
      </c>
      <c r="F1671">
        <v>5</v>
      </c>
      <c r="G1671">
        <v>110</v>
      </c>
      <c r="H1671">
        <v>4</v>
      </c>
      <c r="I1671">
        <v>4</v>
      </c>
      <c r="J1671">
        <v>3</v>
      </c>
      <c r="K1671" t="s">
        <v>110</v>
      </c>
      <c r="L1671" t="s">
        <v>162</v>
      </c>
      <c r="M1671" s="4">
        <v>1200000000</v>
      </c>
      <c r="N1671">
        <v>0</v>
      </c>
      <c r="O1671">
        <v>4.7070598600000002</v>
      </c>
      <c r="P1671">
        <v>-74.060150149999998</v>
      </c>
      <c r="Q1671" t="s">
        <v>2256</v>
      </c>
      <c r="R1671">
        <v>10909090.91</v>
      </c>
      <c r="S1671">
        <v>0</v>
      </c>
      <c r="T1671" t="s">
        <v>104</v>
      </c>
      <c r="U1671" t="s">
        <v>105</v>
      </c>
      <c r="V1671" t="s">
        <v>77</v>
      </c>
      <c r="W1671" t="s">
        <v>104</v>
      </c>
      <c r="X1671" t="s">
        <v>106</v>
      </c>
      <c r="Y1671">
        <v>3.31901531118258</v>
      </c>
      <c r="Z1671">
        <v>3319.0153111825798</v>
      </c>
      <c r="AA1671">
        <v>4.71035</v>
      </c>
      <c r="AB1671">
        <v>-74.030416666666696</v>
      </c>
      <c r="AC1671">
        <v>2570</v>
      </c>
      <c r="AD1671">
        <v>10</v>
      </c>
      <c r="AE1671" t="s">
        <v>80</v>
      </c>
      <c r="AF1671" t="s">
        <v>107</v>
      </c>
      <c r="AG1671" t="s">
        <v>82</v>
      </c>
      <c r="AH1671" t="s">
        <v>83</v>
      </c>
      <c r="AI1671" t="s">
        <v>121</v>
      </c>
      <c r="AJ1671">
        <v>0.70930395682849601</v>
      </c>
      <c r="AK1671">
        <v>3.8706789678844902</v>
      </c>
      <c r="AL1671">
        <v>1.46355806486578</v>
      </c>
      <c r="AM1671">
        <v>0.18169671072944499</v>
      </c>
      <c r="AN1671">
        <v>4.3927220227714896</v>
      </c>
      <c r="AO1671">
        <v>0.108205664341622</v>
      </c>
      <c r="AP1671">
        <v>0.108205664341622</v>
      </c>
      <c r="AQ1671">
        <v>0</v>
      </c>
      <c r="AR1671">
        <v>1</v>
      </c>
      <c r="AS1671">
        <v>0</v>
      </c>
      <c r="AT1671">
        <v>0</v>
      </c>
      <c r="AU1671">
        <v>0</v>
      </c>
      <c r="AV1671">
        <v>64</v>
      </c>
      <c r="AW1671">
        <v>0</v>
      </c>
      <c r="AX1671">
        <v>0</v>
      </c>
      <c r="AY1671">
        <v>15.5</v>
      </c>
      <c r="AZ1671">
        <v>2.4</v>
      </c>
      <c r="BA1671">
        <v>10.9</v>
      </c>
      <c r="BB1671">
        <v>564</v>
      </c>
      <c r="BC1671">
        <v>68</v>
      </c>
      <c r="BD1671">
        <v>1.5</v>
      </c>
      <c r="BE1671">
        <v>135</v>
      </c>
      <c r="BF1671">
        <v>0</v>
      </c>
      <c r="BG1671">
        <v>162</v>
      </c>
      <c r="BH1671">
        <v>9.1</v>
      </c>
      <c r="BI1671">
        <v>9.1999999999999993</v>
      </c>
      <c r="BJ1671">
        <v>18.3</v>
      </c>
      <c r="BK1671">
        <v>0.34</v>
      </c>
      <c r="BL1671">
        <v>7.3</v>
      </c>
      <c r="BM1671">
        <v>0.9</v>
      </c>
      <c r="BN1671">
        <v>7.5</v>
      </c>
      <c r="BO1671">
        <v>2.9</v>
      </c>
      <c r="BP1671">
        <f t="shared" si="52"/>
        <v>2.0363876521311903</v>
      </c>
      <c r="BQ1671">
        <f t="shared" si="53"/>
        <v>10.065426389354919</v>
      </c>
    </row>
    <row r="1672" spans="1:69" hidden="1" x14ac:dyDescent="0.2">
      <c r="A1672" t="s">
        <v>1669</v>
      </c>
      <c r="B1672" t="s">
        <v>68</v>
      </c>
      <c r="C1672" t="s">
        <v>69</v>
      </c>
      <c r="D1672" t="s">
        <v>70</v>
      </c>
      <c r="E1672" t="s">
        <v>210</v>
      </c>
      <c r="F1672">
        <v>6</v>
      </c>
      <c r="G1672">
        <v>110</v>
      </c>
      <c r="H1672">
        <v>2</v>
      </c>
      <c r="I1672">
        <v>3</v>
      </c>
      <c r="J1672">
        <v>2</v>
      </c>
      <c r="K1672" t="s">
        <v>110</v>
      </c>
      <c r="L1672" t="s">
        <v>124</v>
      </c>
      <c r="M1672" s="4">
        <v>750000000</v>
      </c>
      <c r="N1672">
        <v>0</v>
      </c>
      <c r="O1672">
        <v>4.6908620000000001</v>
      </c>
      <c r="P1672">
        <v>-74.052090000000007</v>
      </c>
      <c r="Q1672" t="s">
        <v>1670</v>
      </c>
      <c r="R1672">
        <v>6818181.818</v>
      </c>
      <c r="S1672">
        <v>0</v>
      </c>
      <c r="T1672" t="s">
        <v>104</v>
      </c>
      <c r="U1672" t="s">
        <v>105</v>
      </c>
      <c r="V1672" t="s">
        <v>77</v>
      </c>
      <c r="W1672" t="s">
        <v>104</v>
      </c>
      <c r="X1672" t="s">
        <v>106</v>
      </c>
      <c r="Y1672">
        <v>3.2385381746577702</v>
      </c>
      <c r="Z1672">
        <v>3238.53817465777</v>
      </c>
      <c r="AA1672">
        <v>4.71035</v>
      </c>
      <c r="AB1672">
        <v>-74.030416666666696</v>
      </c>
      <c r="AC1672">
        <v>2570</v>
      </c>
      <c r="AD1672">
        <v>10</v>
      </c>
      <c r="AE1672" t="s">
        <v>80</v>
      </c>
      <c r="AF1672" t="s">
        <v>107</v>
      </c>
      <c r="AG1672" t="s">
        <v>82</v>
      </c>
      <c r="AH1672" t="s">
        <v>83</v>
      </c>
      <c r="AI1672" t="s">
        <v>108</v>
      </c>
      <c r="AJ1672">
        <v>0.51070839222151398</v>
      </c>
      <c r="AK1672">
        <v>2.2170053221320898</v>
      </c>
      <c r="AL1672">
        <v>0.336140497119782</v>
      </c>
      <c r="AM1672">
        <v>0.166916172939089</v>
      </c>
      <c r="AN1672">
        <v>3.80102030575258</v>
      </c>
      <c r="AO1672">
        <v>0.231877370272636</v>
      </c>
      <c r="AP1672">
        <v>0.231877370272636</v>
      </c>
      <c r="AQ1672">
        <v>0</v>
      </c>
      <c r="AR1672">
        <v>3</v>
      </c>
      <c r="AS1672">
        <v>0</v>
      </c>
      <c r="AT1672">
        <v>0</v>
      </c>
      <c r="AU1672">
        <v>5</v>
      </c>
      <c r="AV1672">
        <v>183</v>
      </c>
      <c r="AW1672">
        <v>0</v>
      </c>
      <c r="AX1672">
        <v>0</v>
      </c>
      <c r="AY1672">
        <v>15.5</v>
      </c>
      <c r="AZ1672">
        <v>2.4</v>
      </c>
      <c r="BA1672">
        <v>10.9</v>
      </c>
      <c r="BB1672">
        <v>564</v>
      </c>
      <c r="BC1672">
        <v>68</v>
      </c>
      <c r="BD1672">
        <v>1.5</v>
      </c>
      <c r="BE1672">
        <v>135</v>
      </c>
      <c r="BF1672">
        <v>0</v>
      </c>
      <c r="BG1672">
        <v>162</v>
      </c>
      <c r="BH1672">
        <v>9.1</v>
      </c>
      <c r="BI1672">
        <v>9.1999999999999993</v>
      </c>
      <c r="BJ1672">
        <v>18.3</v>
      </c>
      <c r="BK1672">
        <v>0.34</v>
      </c>
      <c r="BL1672">
        <v>7.3</v>
      </c>
      <c r="BM1672">
        <v>0.9</v>
      </c>
      <c r="BN1672">
        <v>7.5</v>
      </c>
      <c r="BO1672">
        <v>2.9</v>
      </c>
      <c r="BP1672">
        <f t="shared" si="52"/>
        <v>2.0445160225757615</v>
      </c>
      <c r="BQ1672">
        <f t="shared" si="53"/>
        <v>10.084886056654209</v>
      </c>
    </row>
    <row r="1673" spans="1:69" hidden="1" x14ac:dyDescent="0.2">
      <c r="A1673" t="s">
        <v>1105</v>
      </c>
      <c r="B1673" t="s">
        <v>68</v>
      </c>
      <c r="C1673" t="s">
        <v>69</v>
      </c>
      <c r="D1673" t="s">
        <v>70</v>
      </c>
      <c r="E1673" t="s">
        <v>1106</v>
      </c>
      <c r="F1673">
        <v>5</v>
      </c>
      <c r="G1673">
        <v>110</v>
      </c>
      <c r="H1673">
        <v>3</v>
      </c>
      <c r="I1673">
        <v>2</v>
      </c>
      <c r="J1673">
        <v>1</v>
      </c>
      <c r="K1673" t="s">
        <v>110</v>
      </c>
      <c r="L1673" t="s">
        <v>115</v>
      </c>
      <c r="M1673" s="4">
        <v>717000000</v>
      </c>
      <c r="N1673">
        <v>0</v>
      </c>
      <c r="O1673">
        <v>4.7166056999999997</v>
      </c>
      <c r="P1673">
        <v>-74.050889999999995</v>
      </c>
      <c r="Q1673" t="s">
        <v>1107</v>
      </c>
      <c r="R1673">
        <v>6518181.818</v>
      </c>
      <c r="S1673">
        <v>0</v>
      </c>
      <c r="T1673" t="s">
        <v>104</v>
      </c>
      <c r="U1673" t="s">
        <v>105</v>
      </c>
      <c r="V1673" t="s">
        <v>77</v>
      </c>
      <c r="W1673" t="s">
        <v>104</v>
      </c>
      <c r="X1673" t="s">
        <v>106</v>
      </c>
      <c r="Y1673">
        <v>2.3757280999223398</v>
      </c>
      <c r="Z1673">
        <v>2375.7280999223399</v>
      </c>
      <c r="AA1673">
        <v>4.71035</v>
      </c>
      <c r="AB1673">
        <v>-74.030416666666696</v>
      </c>
      <c r="AC1673">
        <v>2570</v>
      </c>
      <c r="AD1673">
        <v>10</v>
      </c>
      <c r="AE1673" t="s">
        <v>80</v>
      </c>
      <c r="AF1673" t="s">
        <v>107</v>
      </c>
      <c r="AG1673" t="s">
        <v>82</v>
      </c>
      <c r="AH1673" t="s">
        <v>83</v>
      </c>
      <c r="AI1673" t="s">
        <v>108</v>
      </c>
      <c r="AJ1673">
        <v>0.29223778726639499</v>
      </c>
      <c r="AK1673">
        <v>2.93899705085403</v>
      </c>
      <c r="AL1673">
        <v>2.1100953092325501</v>
      </c>
      <c r="AM1673">
        <v>0.38992458357881299</v>
      </c>
      <c r="AN1673">
        <v>3.8425831916472499</v>
      </c>
      <c r="AO1673">
        <v>0.24282213494366001</v>
      </c>
      <c r="AP1673">
        <v>0.24282213494366001</v>
      </c>
      <c r="AQ1673">
        <v>1</v>
      </c>
      <c r="AR1673">
        <v>2</v>
      </c>
      <c r="AS1673">
        <v>0</v>
      </c>
      <c r="AT1673">
        <v>0</v>
      </c>
      <c r="AU1673">
        <v>0</v>
      </c>
      <c r="AV1673">
        <v>43</v>
      </c>
      <c r="AW1673">
        <v>0</v>
      </c>
      <c r="AX1673">
        <v>0</v>
      </c>
      <c r="AY1673">
        <v>15.5</v>
      </c>
      <c r="AZ1673">
        <v>2.4</v>
      </c>
      <c r="BA1673">
        <v>10.9</v>
      </c>
      <c r="BB1673">
        <v>564</v>
      </c>
      <c r="BC1673">
        <v>68</v>
      </c>
      <c r="BD1673">
        <v>1.5</v>
      </c>
      <c r="BE1673">
        <v>135</v>
      </c>
      <c r="BF1673">
        <v>0</v>
      </c>
      <c r="BG1673">
        <v>162</v>
      </c>
      <c r="BH1673">
        <v>9.1</v>
      </c>
      <c r="BI1673">
        <v>9.1999999999999993</v>
      </c>
      <c r="BJ1673">
        <v>18.3</v>
      </c>
      <c r="BK1673">
        <v>0.34</v>
      </c>
      <c r="BL1673">
        <v>7.3</v>
      </c>
      <c r="BM1673">
        <v>0.9</v>
      </c>
      <c r="BN1673">
        <v>7.5</v>
      </c>
      <c r="BO1673">
        <v>2.9</v>
      </c>
      <c r="BP1673">
        <f t="shared" si="52"/>
        <v>2.1337269583582366</v>
      </c>
      <c r="BQ1673">
        <f t="shared" si="53"/>
        <v>10.29589543994706</v>
      </c>
    </row>
    <row r="1674" spans="1:69" hidden="1" x14ac:dyDescent="0.2">
      <c r="A1674" t="s">
        <v>261</v>
      </c>
      <c r="B1674" t="s">
        <v>68</v>
      </c>
      <c r="C1674" t="s">
        <v>69</v>
      </c>
      <c r="D1674" t="s">
        <v>70</v>
      </c>
      <c r="E1674" t="s">
        <v>262</v>
      </c>
      <c r="F1674">
        <v>5</v>
      </c>
      <c r="G1674">
        <v>110</v>
      </c>
      <c r="H1674">
        <v>3</v>
      </c>
      <c r="I1674">
        <v>3</v>
      </c>
      <c r="J1674">
        <v>1</v>
      </c>
      <c r="K1674" t="s">
        <v>110</v>
      </c>
      <c r="L1674" t="s">
        <v>133</v>
      </c>
      <c r="M1674" s="4">
        <v>780000000</v>
      </c>
      <c r="N1674">
        <v>0</v>
      </c>
      <c r="O1674">
        <v>4.7056488989999998</v>
      </c>
      <c r="P1674">
        <v>-74.029815670000005</v>
      </c>
      <c r="Q1674" t="s">
        <v>263</v>
      </c>
      <c r="R1674">
        <v>7090909.091</v>
      </c>
      <c r="S1674">
        <v>0</v>
      </c>
      <c r="T1674" t="s">
        <v>104</v>
      </c>
      <c r="U1674" t="s">
        <v>105</v>
      </c>
      <c r="V1674" t="s">
        <v>77</v>
      </c>
      <c r="W1674" t="s">
        <v>104</v>
      </c>
      <c r="X1674" t="s">
        <v>106</v>
      </c>
      <c r="Y1674">
        <v>0.52755473325986302</v>
      </c>
      <c r="Z1674">
        <v>527.55473325986304</v>
      </c>
      <c r="AA1674">
        <v>4.71035</v>
      </c>
      <c r="AB1674">
        <v>-74.030416666666696</v>
      </c>
      <c r="AC1674">
        <v>2570</v>
      </c>
      <c r="AD1674">
        <v>10</v>
      </c>
      <c r="AE1674" t="s">
        <v>80</v>
      </c>
      <c r="AF1674" t="s">
        <v>107</v>
      </c>
      <c r="AG1674" t="s">
        <v>82</v>
      </c>
      <c r="AH1674" t="s">
        <v>83</v>
      </c>
      <c r="AI1674" t="s">
        <v>108</v>
      </c>
      <c r="AJ1674">
        <v>2.7070140746478599</v>
      </c>
      <c r="AK1674">
        <v>0.57696699548850705</v>
      </c>
      <c r="AL1674">
        <v>0.560055710351958</v>
      </c>
      <c r="AM1674">
        <v>0.25439577198637098</v>
      </c>
      <c r="AN1674">
        <v>3.9807839923600001</v>
      </c>
      <c r="AO1674">
        <v>0.17069400988104</v>
      </c>
      <c r="AP1674">
        <v>0.17069400988104</v>
      </c>
      <c r="AQ1674">
        <v>0</v>
      </c>
      <c r="AR1674">
        <v>0</v>
      </c>
      <c r="AS1674">
        <v>0</v>
      </c>
      <c r="AT1674">
        <v>28</v>
      </c>
      <c r="AU1674">
        <v>2</v>
      </c>
      <c r="AV1674">
        <v>101</v>
      </c>
      <c r="AW1674">
        <v>0</v>
      </c>
      <c r="AX1674">
        <v>0</v>
      </c>
      <c r="AY1674">
        <v>15.5</v>
      </c>
      <c r="AZ1674">
        <v>2.4</v>
      </c>
      <c r="BA1674">
        <v>10.9</v>
      </c>
      <c r="BB1674">
        <v>564</v>
      </c>
      <c r="BC1674">
        <v>68</v>
      </c>
      <c r="BD1674">
        <v>1.5</v>
      </c>
      <c r="BE1674">
        <v>135</v>
      </c>
      <c r="BF1674">
        <v>0</v>
      </c>
      <c r="BG1674">
        <v>162</v>
      </c>
      <c r="BH1674">
        <v>9.1</v>
      </c>
      <c r="BI1674">
        <v>9.1999999999999993</v>
      </c>
      <c r="BJ1674">
        <v>18.3</v>
      </c>
      <c r="BK1674">
        <v>0.34</v>
      </c>
      <c r="BL1674">
        <v>7.3</v>
      </c>
      <c r="BM1674">
        <v>0.9</v>
      </c>
      <c r="BN1674">
        <v>7.5</v>
      </c>
      <c r="BO1674">
        <v>2.9</v>
      </c>
      <c r="BP1674">
        <f t="shared" si="52"/>
        <v>2.3381377473455625</v>
      </c>
      <c r="BQ1674">
        <f t="shared" si="53"/>
        <v>10.762861689393329</v>
      </c>
    </row>
    <row r="1675" spans="1:69" hidden="1" x14ac:dyDescent="0.2">
      <c r="A1675" t="s">
        <v>824</v>
      </c>
      <c r="B1675" t="s">
        <v>68</v>
      </c>
      <c r="C1675" t="s">
        <v>69</v>
      </c>
      <c r="D1675" t="s">
        <v>70</v>
      </c>
      <c r="E1675" t="s">
        <v>280</v>
      </c>
      <c r="F1675">
        <v>4</v>
      </c>
      <c r="G1675">
        <v>108</v>
      </c>
      <c r="H1675">
        <v>3</v>
      </c>
      <c r="I1675">
        <v>2</v>
      </c>
      <c r="J1675">
        <v>1</v>
      </c>
      <c r="K1675" t="s">
        <v>110</v>
      </c>
      <c r="L1675" t="s">
        <v>124</v>
      </c>
      <c r="M1675" s="4">
        <v>630000000</v>
      </c>
      <c r="N1675">
        <v>0</v>
      </c>
      <c r="O1675">
        <v>4.7440604999999998</v>
      </c>
      <c r="P1675">
        <v>-74.033810000000003</v>
      </c>
      <c r="Q1675" t="s">
        <v>825</v>
      </c>
      <c r="R1675">
        <v>5833333.3329999996</v>
      </c>
      <c r="S1675">
        <v>0</v>
      </c>
      <c r="T1675" t="s">
        <v>104</v>
      </c>
      <c r="U1675" t="s">
        <v>105</v>
      </c>
      <c r="V1675" t="s">
        <v>77</v>
      </c>
      <c r="W1675" t="s">
        <v>104</v>
      </c>
      <c r="X1675" t="s">
        <v>106</v>
      </c>
      <c r="Y1675">
        <v>3.7714713540082099</v>
      </c>
      <c r="Z1675">
        <v>3771.4713540082098</v>
      </c>
      <c r="AA1675">
        <v>4.71035</v>
      </c>
      <c r="AB1675">
        <v>-74.030416666666696</v>
      </c>
      <c r="AC1675">
        <v>2570</v>
      </c>
      <c r="AD1675">
        <v>10</v>
      </c>
      <c r="AE1675" t="s">
        <v>80</v>
      </c>
      <c r="AF1675" t="s">
        <v>107</v>
      </c>
      <c r="AG1675" t="s">
        <v>82</v>
      </c>
      <c r="AH1675" t="s">
        <v>83</v>
      </c>
      <c r="AI1675" t="s">
        <v>108</v>
      </c>
      <c r="AJ1675">
        <v>1.50900654522519</v>
      </c>
      <c r="AK1675">
        <v>1.5451090183557601</v>
      </c>
      <c r="AL1675">
        <v>0.59392827969754702</v>
      </c>
      <c r="AM1675">
        <v>0.22709056145044301</v>
      </c>
      <c r="AN1675">
        <v>0.832800912146624</v>
      </c>
      <c r="AO1675">
        <v>7.9703606572866195E-2</v>
      </c>
      <c r="AP1675">
        <v>7.9703606572866195E-2</v>
      </c>
      <c r="AQ1675">
        <v>0</v>
      </c>
      <c r="AR1675">
        <v>0</v>
      </c>
      <c r="AS1675">
        <v>0</v>
      </c>
      <c r="AT1675">
        <v>0</v>
      </c>
      <c r="AU1675">
        <v>3</v>
      </c>
      <c r="AV1675">
        <v>17</v>
      </c>
      <c r="AW1675">
        <v>1</v>
      </c>
      <c r="AX1675">
        <v>0</v>
      </c>
      <c r="AY1675">
        <v>15.5</v>
      </c>
      <c r="AZ1675">
        <v>2.4</v>
      </c>
      <c r="BA1675">
        <v>10.9</v>
      </c>
      <c r="BB1675">
        <v>564</v>
      </c>
      <c r="BC1675">
        <v>68</v>
      </c>
      <c r="BD1675">
        <v>1.5</v>
      </c>
      <c r="BE1675">
        <v>135</v>
      </c>
      <c r="BF1675">
        <v>0</v>
      </c>
      <c r="BG1675">
        <v>162</v>
      </c>
      <c r="BH1675">
        <v>9.1</v>
      </c>
      <c r="BI1675">
        <v>9.1999999999999993</v>
      </c>
      <c r="BJ1675">
        <v>18.3</v>
      </c>
      <c r="BK1675">
        <v>0.34</v>
      </c>
      <c r="BL1675">
        <v>7.3</v>
      </c>
      <c r="BM1675">
        <v>0.9</v>
      </c>
      <c r="BN1675">
        <v>7.5</v>
      </c>
      <c r="BO1675">
        <v>2.9</v>
      </c>
      <c r="BP1675">
        <f t="shared" si="52"/>
        <v>1.9912864861839901</v>
      </c>
      <c r="BQ1675">
        <f t="shared" si="53"/>
        <v>9.9567177761500094</v>
      </c>
    </row>
    <row r="1676" spans="1:69" hidden="1" x14ac:dyDescent="0.2">
      <c r="A1676" t="s">
        <v>1563</v>
      </c>
      <c r="B1676" t="s">
        <v>68</v>
      </c>
      <c r="C1676" t="s">
        <v>69</v>
      </c>
      <c r="D1676" t="s">
        <v>70</v>
      </c>
      <c r="E1676" t="s">
        <v>1564</v>
      </c>
      <c r="F1676">
        <v>4</v>
      </c>
      <c r="G1676">
        <v>108</v>
      </c>
      <c r="H1676">
        <v>3</v>
      </c>
      <c r="I1676">
        <v>2</v>
      </c>
      <c r="J1676">
        <v>1</v>
      </c>
      <c r="K1676" t="s">
        <v>110</v>
      </c>
      <c r="L1676" t="s">
        <v>111</v>
      </c>
      <c r="M1676" s="4">
        <v>650000000</v>
      </c>
      <c r="N1676">
        <v>0</v>
      </c>
      <c r="O1676">
        <v>4.7343322299999997</v>
      </c>
      <c r="P1676">
        <v>-74.029986800000003</v>
      </c>
      <c r="Q1676" t="s">
        <v>1565</v>
      </c>
      <c r="R1676">
        <v>6018518.5190000003</v>
      </c>
      <c r="S1676">
        <v>0</v>
      </c>
      <c r="T1676" t="s">
        <v>104</v>
      </c>
      <c r="U1676" t="s">
        <v>105</v>
      </c>
      <c r="V1676" t="s">
        <v>77</v>
      </c>
      <c r="W1676" t="s">
        <v>104</v>
      </c>
      <c r="X1676" t="s">
        <v>106</v>
      </c>
      <c r="Y1676">
        <v>2.6701155545769901</v>
      </c>
      <c r="Z1676">
        <v>2670.1155545769898</v>
      </c>
      <c r="AA1676">
        <v>4.71035</v>
      </c>
      <c r="AB1676">
        <v>-74.030416666666696</v>
      </c>
      <c r="AC1676">
        <v>2570</v>
      </c>
      <c r="AD1676">
        <v>10</v>
      </c>
      <c r="AE1676" t="s">
        <v>80</v>
      </c>
      <c r="AF1676" t="s">
        <v>107</v>
      </c>
      <c r="AG1676" t="s">
        <v>82</v>
      </c>
      <c r="AH1676" t="s">
        <v>83</v>
      </c>
      <c r="AI1676" t="s">
        <v>108</v>
      </c>
      <c r="AJ1676">
        <v>2.13329679249959</v>
      </c>
      <c r="AK1676">
        <v>0.90461641821993999</v>
      </c>
      <c r="AL1676">
        <v>1.1186281255238999</v>
      </c>
      <c r="AM1676">
        <v>0.47534616233726601</v>
      </c>
      <c r="AN1676">
        <v>0.87420228866514704</v>
      </c>
      <c r="AO1676">
        <v>8.2910921754532699E-2</v>
      </c>
      <c r="AP1676">
        <v>8.2910921754532699E-2</v>
      </c>
      <c r="AQ1676">
        <v>0</v>
      </c>
      <c r="AR1676">
        <v>0</v>
      </c>
      <c r="AS1676">
        <v>0</v>
      </c>
      <c r="AT1676">
        <v>3</v>
      </c>
      <c r="AU1676">
        <v>0</v>
      </c>
      <c r="AV1676">
        <v>12</v>
      </c>
      <c r="AW1676">
        <v>1</v>
      </c>
      <c r="AX1676">
        <v>0</v>
      </c>
      <c r="AY1676">
        <v>15.5</v>
      </c>
      <c r="AZ1676">
        <v>2.4</v>
      </c>
      <c r="BA1676">
        <v>10.9</v>
      </c>
      <c r="BB1676">
        <v>564</v>
      </c>
      <c r="BC1676">
        <v>68</v>
      </c>
      <c r="BD1676">
        <v>1.5</v>
      </c>
      <c r="BE1676">
        <v>135</v>
      </c>
      <c r="BF1676">
        <v>0</v>
      </c>
      <c r="BG1676">
        <v>162</v>
      </c>
      <c r="BH1676">
        <v>9.1</v>
      </c>
      <c r="BI1676">
        <v>9.1999999999999993</v>
      </c>
      <c r="BJ1676">
        <v>18.3</v>
      </c>
      <c r="BK1676">
        <v>0.34</v>
      </c>
      <c r="BL1676">
        <v>7.3</v>
      </c>
      <c r="BM1676">
        <v>0.9</v>
      </c>
      <c r="BN1676">
        <v>7.5</v>
      </c>
      <c r="BO1676">
        <v>2.9</v>
      </c>
      <c r="BP1676">
        <f t="shared" si="52"/>
        <v>2.102859357496865</v>
      </c>
      <c r="BQ1676">
        <f t="shared" si="53"/>
        <v>10.223408234524053</v>
      </c>
    </row>
    <row r="1677" spans="1:69" hidden="1" x14ac:dyDescent="0.2">
      <c r="A1677" t="s">
        <v>3780</v>
      </c>
      <c r="B1677" t="s">
        <v>68</v>
      </c>
      <c r="C1677" t="s">
        <v>3294</v>
      </c>
      <c r="D1677" t="s">
        <v>70</v>
      </c>
      <c r="E1677" t="s">
        <v>1649</v>
      </c>
      <c r="F1677">
        <v>6</v>
      </c>
      <c r="G1677">
        <v>106</v>
      </c>
      <c r="H1677">
        <v>3</v>
      </c>
      <c r="I1677">
        <v>3</v>
      </c>
      <c r="J1677">
        <v>2</v>
      </c>
      <c r="K1677" t="s">
        <v>110</v>
      </c>
      <c r="L1677" t="s">
        <v>124</v>
      </c>
      <c r="M1677" s="4">
        <v>1190000000</v>
      </c>
      <c r="N1677">
        <v>0</v>
      </c>
      <c r="O1677">
        <v>4.6882041000000001</v>
      </c>
      <c r="P1677">
        <v>-74.055956499999994</v>
      </c>
      <c r="Q1677" t="s">
        <v>3781</v>
      </c>
      <c r="R1677">
        <v>11226415.09</v>
      </c>
      <c r="S1677">
        <v>0</v>
      </c>
      <c r="T1677" t="s">
        <v>104</v>
      </c>
      <c r="U1677" t="s">
        <v>105</v>
      </c>
      <c r="V1677" t="s">
        <v>77</v>
      </c>
      <c r="W1677" t="s">
        <v>104</v>
      </c>
      <c r="X1677" t="s">
        <v>106</v>
      </c>
      <c r="Y1677">
        <v>3.7558508827492401</v>
      </c>
      <c r="Z1677">
        <v>3755.8508827492401</v>
      </c>
      <c r="AA1677">
        <v>4.71035</v>
      </c>
      <c r="AB1677">
        <v>-74.030416666666696</v>
      </c>
      <c r="AC1677">
        <v>2570</v>
      </c>
      <c r="AD1677">
        <v>10</v>
      </c>
      <c r="AE1677" t="s">
        <v>80</v>
      </c>
      <c r="AF1677" t="s">
        <v>107</v>
      </c>
      <c r="AG1677" t="s">
        <v>82</v>
      </c>
      <c r="AH1677" t="s">
        <v>83</v>
      </c>
      <c r="AI1677" t="s">
        <v>108</v>
      </c>
      <c r="AJ1677">
        <v>0.50890203568054904</v>
      </c>
      <c r="AK1677">
        <v>2.4038156842724199</v>
      </c>
      <c r="AL1677">
        <v>0.44142890337241503</v>
      </c>
      <c r="AM1677">
        <v>4.4634023693252201E-2</v>
      </c>
      <c r="AN1677">
        <v>3.2833582611730998</v>
      </c>
      <c r="AO1677">
        <v>0.56452254880785802</v>
      </c>
      <c r="AP1677">
        <v>0.56452254880785802</v>
      </c>
      <c r="AQ1677">
        <v>0</v>
      </c>
      <c r="AR1677">
        <v>4</v>
      </c>
      <c r="AS1677">
        <v>0</v>
      </c>
      <c r="AT1677">
        <v>0</v>
      </c>
      <c r="AU1677">
        <v>5</v>
      </c>
      <c r="AV1677">
        <v>218</v>
      </c>
      <c r="AW1677">
        <v>0</v>
      </c>
      <c r="AX1677">
        <v>0</v>
      </c>
      <c r="AY1677">
        <v>15.5</v>
      </c>
      <c r="AZ1677">
        <v>2.4</v>
      </c>
      <c r="BA1677">
        <v>10.9</v>
      </c>
      <c r="BB1677">
        <v>564</v>
      </c>
      <c r="BC1677">
        <v>68</v>
      </c>
      <c r="BD1677">
        <v>1.5</v>
      </c>
      <c r="BE1677">
        <v>135</v>
      </c>
      <c r="BF1677">
        <v>0</v>
      </c>
      <c r="BG1677">
        <v>162</v>
      </c>
      <c r="BH1677">
        <v>9.1</v>
      </c>
      <c r="BI1677">
        <v>9.1999999999999993</v>
      </c>
      <c r="BJ1677">
        <v>18.3</v>
      </c>
      <c r="BK1677">
        <v>0.34</v>
      </c>
      <c r="BL1677">
        <v>7.3</v>
      </c>
      <c r="BM1677">
        <v>0.9</v>
      </c>
      <c r="BN1677">
        <v>7.5</v>
      </c>
      <c r="BO1677">
        <v>2.9</v>
      </c>
      <c r="BP1677">
        <f t="shared" si="52"/>
        <v>1.9928267708411909</v>
      </c>
      <c r="BQ1677">
        <f t="shared" si="53"/>
        <v>9.9604511628859509</v>
      </c>
    </row>
    <row r="1678" spans="1:69" hidden="1" x14ac:dyDescent="0.2">
      <c r="A1678" t="s">
        <v>750</v>
      </c>
      <c r="B1678" t="s">
        <v>68</v>
      </c>
      <c r="C1678" t="s">
        <v>69</v>
      </c>
      <c r="D1678" t="s">
        <v>70</v>
      </c>
      <c r="E1678" t="s">
        <v>468</v>
      </c>
      <c r="F1678">
        <v>6</v>
      </c>
      <c r="G1678">
        <v>106</v>
      </c>
      <c r="H1678">
        <v>3</v>
      </c>
      <c r="I1678">
        <v>2</v>
      </c>
      <c r="J1678">
        <v>2</v>
      </c>
      <c r="K1678" t="s">
        <v>110</v>
      </c>
      <c r="L1678" t="s">
        <v>133</v>
      </c>
      <c r="M1678" s="4">
        <v>1200000000</v>
      </c>
      <c r="N1678">
        <v>0</v>
      </c>
      <c r="O1678">
        <v>4.6882109639999996</v>
      </c>
      <c r="P1678">
        <v>-74.055953979999998</v>
      </c>
      <c r="Q1678" t="s">
        <v>751</v>
      </c>
      <c r="R1678">
        <v>11320754.720000001</v>
      </c>
      <c r="S1678">
        <v>0</v>
      </c>
      <c r="T1678" t="s">
        <v>104</v>
      </c>
      <c r="U1678" t="s">
        <v>105</v>
      </c>
      <c r="V1678" t="s">
        <v>77</v>
      </c>
      <c r="W1678" t="s">
        <v>104</v>
      </c>
      <c r="X1678" t="s">
        <v>106</v>
      </c>
      <c r="Y1678">
        <v>3.7551384288790901</v>
      </c>
      <c r="Z1678">
        <v>3755.13842887909</v>
      </c>
      <c r="AA1678">
        <v>4.71035</v>
      </c>
      <c r="AB1678">
        <v>-74.030416666666696</v>
      </c>
      <c r="AC1678">
        <v>2570</v>
      </c>
      <c r="AD1678">
        <v>10</v>
      </c>
      <c r="AE1678" t="s">
        <v>80</v>
      </c>
      <c r="AF1678" t="s">
        <v>107</v>
      </c>
      <c r="AG1678" t="s">
        <v>82</v>
      </c>
      <c r="AH1678" t="s">
        <v>83</v>
      </c>
      <c r="AI1678" t="s">
        <v>108</v>
      </c>
      <c r="AJ1678">
        <v>0.50970978206363204</v>
      </c>
      <c r="AK1678">
        <v>2.4040891688012098</v>
      </c>
      <c r="AL1678">
        <v>0.44167290300996898</v>
      </c>
      <c r="AM1678">
        <v>4.4923251656710503E-2</v>
      </c>
      <c r="AN1678">
        <v>3.28397019426742</v>
      </c>
      <c r="AO1678">
        <v>0.56532645186810004</v>
      </c>
      <c r="AP1678">
        <v>0.56532645186810004</v>
      </c>
      <c r="AQ1678">
        <v>0</v>
      </c>
      <c r="AR1678">
        <v>4</v>
      </c>
      <c r="AS1678">
        <v>0</v>
      </c>
      <c r="AT1678">
        <v>0</v>
      </c>
      <c r="AU1678">
        <v>5</v>
      </c>
      <c r="AV1678">
        <v>218</v>
      </c>
      <c r="AW1678">
        <v>0</v>
      </c>
      <c r="AX1678">
        <v>0</v>
      </c>
      <c r="AY1678">
        <v>15.5</v>
      </c>
      <c r="AZ1678">
        <v>2.4</v>
      </c>
      <c r="BA1678">
        <v>10.9</v>
      </c>
      <c r="BB1678">
        <v>564</v>
      </c>
      <c r="BC1678">
        <v>68</v>
      </c>
      <c r="BD1678">
        <v>1.5</v>
      </c>
      <c r="BE1678">
        <v>135</v>
      </c>
      <c r="BF1678">
        <v>0</v>
      </c>
      <c r="BG1678">
        <v>162</v>
      </c>
      <c r="BH1678">
        <v>9.1</v>
      </c>
      <c r="BI1678">
        <v>9.1999999999999993</v>
      </c>
      <c r="BJ1678">
        <v>18.3</v>
      </c>
      <c r="BK1678">
        <v>0.34</v>
      </c>
      <c r="BL1678">
        <v>7.3</v>
      </c>
      <c r="BM1678">
        <v>0.9</v>
      </c>
      <c r="BN1678">
        <v>7.5</v>
      </c>
      <c r="BO1678">
        <v>2.9</v>
      </c>
      <c r="BP1678">
        <f t="shared" si="52"/>
        <v>1.9928970520391669</v>
      </c>
      <c r="BQ1678">
        <f t="shared" si="53"/>
        <v>9.9606214770295463</v>
      </c>
    </row>
    <row r="1679" spans="1:69" hidden="1" x14ac:dyDescent="0.2">
      <c r="A1679" t="s">
        <v>1071</v>
      </c>
      <c r="B1679" t="s">
        <v>68</v>
      </c>
      <c r="C1679" t="s">
        <v>69</v>
      </c>
      <c r="D1679" t="s">
        <v>70</v>
      </c>
      <c r="E1679" t="s">
        <v>468</v>
      </c>
      <c r="F1679">
        <v>6</v>
      </c>
      <c r="G1679">
        <v>105.49</v>
      </c>
      <c r="H1679">
        <v>3</v>
      </c>
      <c r="I1679">
        <v>3</v>
      </c>
      <c r="J1679">
        <v>2</v>
      </c>
      <c r="K1679" t="s">
        <v>110</v>
      </c>
      <c r="L1679" t="s">
        <v>162</v>
      </c>
      <c r="M1679" s="4">
        <v>965000000</v>
      </c>
      <c r="N1679">
        <v>0</v>
      </c>
      <c r="O1679">
        <v>4.6872339250000001</v>
      </c>
      <c r="P1679">
        <v>-74.049270629999995</v>
      </c>
      <c r="Q1679" t="s">
        <v>1072</v>
      </c>
      <c r="R1679">
        <v>9147786.5199999996</v>
      </c>
      <c r="S1679">
        <v>0</v>
      </c>
      <c r="T1679" t="s">
        <v>104</v>
      </c>
      <c r="U1679" t="s">
        <v>105</v>
      </c>
      <c r="V1679" t="s">
        <v>77</v>
      </c>
      <c r="W1679" t="s">
        <v>104</v>
      </c>
      <c r="X1679" t="s">
        <v>106</v>
      </c>
      <c r="Y1679">
        <v>3.3161989725060002</v>
      </c>
      <c r="Z1679">
        <v>3316.1989725059998</v>
      </c>
      <c r="AA1679">
        <v>4.71035</v>
      </c>
      <c r="AB1679">
        <v>-74.030416666666696</v>
      </c>
      <c r="AC1679">
        <v>2570</v>
      </c>
      <c r="AD1679">
        <v>10</v>
      </c>
      <c r="AE1679" t="s">
        <v>80</v>
      </c>
      <c r="AF1679" t="s">
        <v>107</v>
      </c>
      <c r="AG1679" t="s">
        <v>82</v>
      </c>
      <c r="AH1679" t="s">
        <v>83</v>
      </c>
      <c r="AI1679" t="s">
        <v>108</v>
      </c>
      <c r="AJ1679">
        <v>0.99545614761782797</v>
      </c>
      <c r="AK1679">
        <v>1.72537627400813</v>
      </c>
      <c r="AL1679">
        <v>0.193521395695672</v>
      </c>
      <c r="AM1679">
        <v>0.14783056817530599</v>
      </c>
      <c r="AN1679">
        <v>3.9063144710942699</v>
      </c>
      <c r="AO1679">
        <v>0.48112301705375399</v>
      </c>
      <c r="AP1679">
        <v>0.48112301705375399</v>
      </c>
      <c r="AQ1679">
        <v>0</v>
      </c>
      <c r="AR1679">
        <v>1</v>
      </c>
      <c r="AS1679">
        <v>0</v>
      </c>
      <c r="AT1679">
        <v>0</v>
      </c>
      <c r="AU1679">
        <v>5</v>
      </c>
      <c r="AV1679">
        <v>186</v>
      </c>
      <c r="AW1679">
        <v>0</v>
      </c>
      <c r="AX1679">
        <v>0</v>
      </c>
      <c r="AY1679">
        <v>15.5</v>
      </c>
      <c r="AZ1679">
        <v>2.4</v>
      </c>
      <c r="BA1679">
        <v>10.9</v>
      </c>
      <c r="BB1679">
        <v>564</v>
      </c>
      <c r="BC1679">
        <v>68</v>
      </c>
      <c r="BD1679">
        <v>1.5</v>
      </c>
      <c r="BE1679">
        <v>135</v>
      </c>
      <c r="BF1679">
        <v>0</v>
      </c>
      <c r="BG1679">
        <v>162</v>
      </c>
      <c r="BH1679">
        <v>9.1</v>
      </c>
      <c r="BI1679">
        <v>9.1999999999999993</v>
      </c>
      <c r="BJ1679">
        <v>18.3</v>
      </c>
      <c r="BK1679">
        <v>0.34</v>
      </c>
      <c r="BL1679">
        <v>7.3</v>
      </c>
      <c r="BM1679">
        <v>0.9</v>
      </c>
      <c r="BN1679">
        <v>7.5</v>
      </c>
      <c r="BO1679">
        <v>2.9</v>
      </c>
      <c r="BP1679">
        <f t="shared" si="52"/>
        <v>2.0366715622071143</v>
      </c>
      <c r="BQ1679">
        <f t="shared" si="53"/>
        <v>10.06610675593965</v>
      </c>
    </row>
    <row r="1680" spans="1:69" hidden="1" x14ac:dyDescent="0.2">
      <c r="A1680" t="s">
        <v>3113</v>
      </c>
      <c r="B1680" t="s">
        <v>68</v>
      </c>
      <c r="C1680" t="s">
        <v>1956</v>
      </c>
      <c r="D1680" t="s">
        <v>70</v>
      </c>
      <c r="E1680" t="s">
        <v>3114</v>
      </c>
      <c r="F1680">
        <v>4</v>
      </c>
      <c r="G1680">
        <v>105</v>
      </c>
      <c r="H1680">
        <v>3</v>
      </c>
      <c r="I1680">
        <v>3</v>
      </c>
      <c r="J1680">
        <v>1</v>
      </c>
      <c r="K1680" t="s">
        <v>110</v>
      </c>
      <c r="L1680" t="s">
        <v>124</v>
      </c>
      <c r="M1680" s="4">
        <v>480000000</v>
      </c>
      <c r="N1680">
        <v>0</v>
      </c>
      <c r="O1680">
        <v>4.7463800000000003</v>
      </c>
      <c r="P1680">
        <v>-74.032340000000005</v>
      </c>
      <c r="Q1680" t="s">
        <v>3115</v>
      </c>
      <c r="R1680">
        <v>4571428.5710000005</v>
      </c>
      <c r="S1680">
        <v>0</v>
      </c>
      <c r="T1680" t="s">
        <v>104</v>
      </c>
      <c r="U1680" t="s">
        <v>105</v>
      </c>
      <c r="V1680" t="s">
        <v>77</v>
      </c>
      <c r="W1680" t="s">
        <v>104</v>
      </c>
      <c r="X1680" t="s">
        <v>106</v>
      </c>
      <c r="Y1680">
        <v>4.0165130150913502</v>
      </c>
      <c r="Z1680">
        <v>4016.5130150913501</v>
      </c>
      <c r="AA1680">
        <v>4.71035</v>
      </c>
      <c r="AB1680">
        <v>-74.030416666666696</v>
      </c>
      <c r="AC1680">
        <v>2570</v>
      </c>
      <c r="AD1680">
        <v>10</v>
      </c>
      <c r="AE1680" t="s">
        <v>80</v>
      </c>
      <c r="AF1680" t="s">
        <v>107</v>
      </c>
      <c r="AG1680" t="s">
        <v>82</v>
      </c>
      <c r="AH1680" t="s">
        <v>83</v>
      </c>
      <c r="AI1680" t="s">
        <v>108</v>
      </c>
      <c r="AJ1680">
        <v>1.65374671992857</v>
      </c>
      <c r="AK1680">
        <v>1.34785639407575</v>
      </c>
      <c r="AL1680">
        <v>0.30987706470499998</v>
      </c>
      <c r="AM1680">
        <v>0.45714340575343998</v>
      </c>
      <c r="AN1680">
        <v>0.82035419635614704</v>
      </c>
      <c r="AO1680">
        <v>0.36479113107177003</v>
      </c>
      <c r="AP1680">
        <v>0.36479113107177003</v>
      </c>
      <c r="AQ1680">
        <v>0</v>
      </c>
      <c r="AR1680">
        <v>0</v>
      </c>
      <c r="AS1680">
        <v>0</v>
      </c>
      <c r="AT1680">
        <v>0</v>
      </c>
      <c r="AU1680">
        <v>3</v>
      </c>
      <c r="AV1680">
        <v>10</v>
      </c>
      <c r="AW1680">
        <v>1</v>
      </c>
      <c r="AX1680">
        <v>0</v>
      </c>
      <c r="AY1680">
        <v>15.5</v>
      </c>
      <c r="AZ1680">
        <v>2.4</v>
      </c>
      <c r="BA1680">
        <v>10.9</v>
      </c>
      <c r="BB1680">
        <v>564</v>
      </c>
      <c r="BC1680">
        <v>68</v>
      </c>
      <c r="BD1680">
        <v>1.5</v>
      </c>
      <c r="BE1680">
        <v>135</v>
      </c>
      <c r="BF1680">
        <v>0</v>
      </c>
      <c r="BG1680">
        <v>162</v>
      </c>
      <c r="BH1680">
        <v>9.1</v>
      </c>
      <c r="BI1680">
        <v>9.1999999999999993</v>
      </c>
      <c r="BJ1680">
        <v>18.3</v>
      </c>
      <c r="BK1680">
        <v>0.34</v>
      </c>
      <c r="BL1680">
        <v>7.3</v>
      </c>
      <c r="BM1680">
        <v>0.9</v>
      </c>
      <c r="BN1680">
        <v>7.5</v>
      </c>
      <c r="BO1680">
        <v>2.9</v>
      </c>
      <c r="BP1680">
        <f t="shared" si="52"/>
        <v>1.967278947655251</v>
      </c>
      <c r="BQ1680">
        <f t="shared" si="53"/>
        <v>9.898334165517845</v>
      </c>
    </row>
    <row r="1681" spans="1:69" hidden="1" x14ac:dyDescent="0.2">
      <c r="A1681" t="s">
        <v>1521</v>
      </c>
      <c r="B1681" t="s">
        <v>68</v>
      </c>
      <c r="C1681" t="s">
        <v>69</v>
      </c>
      <c r="D1681" t="s">
        <v>70</v>
      </c>
      <c r="E1681" t="s">
        <v>1142</v>
      </c>
      <c r="F1681">
        <v>5</v>
      </c>
      <c r="G1681">
        <v>105</v>
      </c>
      <c r="H1681">
        <v>3</v>
      </c>
      <c r="I1681">
        <v>4</v>
      </c>
      <c r="J1681">
        <v>2</v>
      </c>
      <c r="K1681" t="s">
        <v>110</v>
      </c>
      <c r="L1681" t="s">
        <v>124</v>
      </c>
      <c r="M1681" s="4">
        <v>600000000</v>
      </c>
      <c r="N1681">
        <v>0</v>
      </c>
      <c r="O1681">
        <v>4.706404</v>
      </c>
      <c r="P1681">
        <v>-74.056690000000003</v>
      </c>
      <c r="Q1681" t="s">
        <v>1522</v>
      </c>
      <c r="R1681">
        <v>5714285.7139999997</v>
      </c>
      <c r="S1681">
        <v>0</v>
      </c>
      <c r="T1681" t="s">
        <v>104</v>
      </c>
      <c r="U1681" t="s">
        <v>105</v>
      </c>
      <c r="V1681" t="s">
        <v>77</v>
      </c>
      <c r="W1681" t="s">
        <v>104</v>
      </c>
      <c r="X1681" t="s">
        <v>106</v>
      </c>
      <c r="Y1681">
        <v>2.9477769501992399</v>
      </c>
      <c r="Z1681">
        <v>2947.7769501992402</v>
      </c>
      <c r="AA1681">
        <v>4.71035</v>
      </c>
      <c r="AB1681">
        <v>-74.030416666666696</v>
      </c>
      <c r="AC1681">
        <v>2570</v>
      </c>
      <c r="AD1681">
        <v>10</v>
      </c>
      <c r="AE1681" t="s">
        <v>80</v>
      </c>
      <c r="AF1681" t="s">
        <v>107</v>
      </c>
      <c r="AG1681" t="s">
        <v>82</v>
      </c>
      <c r="AH1681" t="s">
        <v>83</v>
      </c>
      <c r="AI1681" t="s">
        <v>121</v>
      </c>
      <c r="AJ1681">
        <v>0.33571969338568902</v>
      </c>
      <c r="AK1681">
        <v>3.4807729062535899</v>
      </c>
      <c r="AL1681">
        <v>1.6353374568891299</v>
      </c>
      <c r="AM1681">
        <v>0.10340112708659401</v>
      </c>
      <c r="AN1681">
        <v>4.5566480372171903</v>
      </c>
      <c r="AO1681">
        <v>0.18466969488563201</v>
      </c>
      <c r="AP1681">
        <v>0.18466969488563201</v>
      </c>
      <c r="AQ1681">
        <v>1</v>
      </c>
      <c r="AR1681">
        <v>2</v>
      </c>
      <c r="AS1681">
        <v>0</v>
      </c>
      <c r="AT1681">
        <v>0</v>
      </c>
      <c r="AU1681">
        <v>0</v>
      </c>
      <c r="AV1681">
        <v>113</v>
      </c>
      <c r="AW1681">
        <v>0</v>
      </c>
      <c r="AX1681">
        <v>0</v>
      </c>
      <c r="AY1681">
        <v>15.5</v>
      </c>
      <c r="AZ1681">
        <v>2.4</v>
      </c>
      <c r="BA1681">
        <v>10.9</v>
      </c>
      <c r="BB1681">
        <v>564</v>
      </c>
      <c r="BC1681">
        <v>68</v>
      </c>
      <c r="BD1681">
        <v>1.5</v>
      </c>
      <c r="BE1681">
        <v>135</v>
      </c>
      <c r="BF1681">
        <v>0</v>
      </c>
      <c r="BG1681">
        <v>162</v>
      </c>
      <c r="BH1681">
        <v>9.1</v>
      </c>
      <c r="BI1681">
        <v>9.1999999999999993</v>
      </c>
      <c r="BJ1681">
        <v>18.3</v>
      </c>
      <c r="BK1681">
        <v>0.34</v>
      </c>
      <c r="BL1681">
        <v>7.3</v>
      </c>
      <c r="BM1681">
        <v>0.9</v>
      </c>
      <c r="BN1681">
        <v>7.5</v>
      </c>
      <c r="BO1681">
        <v>2.9</v>
      </c>
      <c r="BP1681">
        <f t="shared" si="52"/>
        <v>2.0741548682750897</v>
      </c>
      <c r="BQ1681">
        <f t="shared" si="53"/>
        <v>10.155507228493633</v>
      </c>
    </row>
    <row r="1682" spans="1:69" hidden="1" x14ac:dyDescent="0.2">
      <c r="A1682" t="s">
        <v>954</v>
      </c>
      <c r="B1682" t="s">
        <v>68</v>
      </c>
      <c r="C1682" t="s">
        <v>69</v>
      </c>
      <c r="D1682" t="s">
        <v>70</v>
      </c>
      <c r="E1682" t="s">
        <v>283</v>
      </c>
      <c r="F1682">
        <v>4</v>
      </c>
      <c r="G1682">
        <v>104</v>
      </c>
      <c r="H1682">
        <v>3</v>
      </c>
      <c r="I1682">
        <v>3</v>
      </c>
      <c r="J1682">
        <v>2</v>
      </c>
      <c r="K1682" t="s">
        <v>110</v>
      </c>
      <c r="L1682" t="s">
        <v>124</v>
      </c>
      <c r="M1682" s="4">
        <v>670000000</v>
      </c>
      <c r="N1682">
        <v>0</v>
      </c>
      <c r="O1682">
        <v>4.7263135910000003</v>
      </c>
      <c r="P1682">
        <v>-74.03669739</v>
      </c>
      <c r="Q1682" t="s">
        <v>955</v>
      </c>
      <c r="R1682">
        <v>6442307.6919999998</v>
      </c>
      <c r="S1682">
        <v>0</v>
      </c>
      <c r="T1682" t="s">
        <v>104</v>
      </c>
      <c r="U1682" t="s">
        <v>105</v>
      </c>
      <c r="V1682" t="s">
        <v>77</v>
      </c>
      <c r="W1682" t="s">
        <v>104</v>
      </c>
      <c r="X1682" t="s">
        <v>106</v>
      </c>
      <c r="Y1682">
        <v>1.90878622412057</v>
      </c>
      <c r="Z1682">
        <v>1908.7862241205701</v>
      </c>
      <c r="AA1682">
        <v>4.71035</v>
      </c>
      <c r="AB1682">
        <v>-74.030416666666696</v>
      </c>
      <c r="AC1682">
        <v>2570</v>
      </c>
      <c r="AD1682">
        <v>10</v>
      </c>
      <c r="AE1682" t="s">
        <v>80</v>
      </c>
      <c r="AF1682" t="s">
        <v>107</v>
      </c>
      <c r="AG1682" t="s">
        <v>82</v>
      </c>
      <c r="AH1682" t="s">
        <v>83</v>
      </c>
      <c r="AI1682" t="s">
        <v>108</v>
      </c>
      <c r="AJ1682">
        <v>1.53185508148001</v>
      </c>
      <c r="AK1682">
        <v>1.62703419837896</v>
      </c>
      <c r="AL1682">
        <v>0.81184112642336004</v>
      </c>
      <c r="AM1682">
        <v>0.25620071721946203</v>
      </c>
      <c r="AN1682">
        <v>2.0127624235158699</v>
      </c>
      <c r="AO1682">
        <v>0.18500560364249399</v>
      </c>
      <c r="AP1682">
        <v>0.18500560364249399</v>
      </c>
      <c r="AQ1682">
        <v>0</v>
      </c>
      <c r="AR1682">
        <v>0</v>
      </c>
      <c r="AS1682">
        <v>0</v>
      </c>
      <c r="AT1682">
        <v>0</v>
      </c>
      <c r="AU1682">
        <v>1</v>
      </c>
      <c r="AV1682">
        <v>20</v>
      </c>
      <c r="AW1682">
        <v>0</v>
      </c>
      <c r="AX1682">
        <v>0</v>
      </c>
      <c r="AY1682">
        <v>15.5</v>
      </c>
      <c r="AZ1682">
        <v>2.4</v>
      </c>
      <c r="BA1682">
        <v>10.9</v>
      </c>
      <c r="BB1682">
        <v>564</v>
      </c>
      <c r="BC1682">
        <v>68</v>
      </c>
      <c r="BD1682">
        <v>1.5</v>
      </c>
      <c r="BE1682">
        <v>135</v>
      </c>
      <c r="BF1682">
        <v>0</v>
      </c>
      <c r="BG1682">
        <v>162</v>
      </c>
      <c r="BH1682">
        <v>9.1</v>
      </c>
      <c r="BI1682">
        <v>9.1999999999999993</v>
      </c>
      <c r="BJ1682">
        <v>18.3</v>
      </c>
      <c r="BK1682">
        <v>0.34</v>
      </c>
      <c r="BL1682">
        <v>7.3</v>
      </c>
      <c r="BM1682">
        <v>0.9</v>
      </c>
      <c r="BN1682">
        <v>7.5</v>
      </c>
      <c r="BO1682">
        <v>2.9</v>
      </c>
      <c r="BP1682">
        <f t="shared" si="52"/>
        <v>2.1836194959981738</v>
      </c>
      <c r="BQ1682">
        <f t="shared" si="53"/>
        <v>10.411926415781116</v>
      </c>
    </row>
    <row r="1683" spans="1:69" hidden="1" x14ac:dyDescent="0.2">
      <c r="A1683" t="s">
        <v>331</v>
      </c>
      <c r="B1683" t="s">
        <v>68</v>
      </c>
      <c r="C1683" t="s">
        <v>69</v>
      </c>
      <c r="D1683" t="s">
        <v>70</v>
      </c>
      <c r="E1683" t="s">
        <v>332</v>
      </c>
      <c r="F1683">
        <v>4</v>
      </c>
      <c r="G1683">
        <v>103</v>
      </c>
      <c r="H1683">
        <v>3</v>
      </c>
      <c r="I1683">
        <v>3</v>
      </c>
      <c r="J1683">
        <v>1</v>
      </c>
      <c r="K1683" t="s">
        <v>110</v>
      </c>
      <c r="L1683" t="s">
        <v>162</v>
      </c>
      <c r="M1683" s="4">
        <v>585000000</v>
      </c>
      <c r="N1683">
        <v>0</v>
      </c>
      <c r="O1683">
        <v>4.7256264999999997</v>
      </c>
      <c r="P1683">
        <v>-74.025059999999996</v>
      </c>
      <c r="Q1683" t="s">
        <v>333</v>
      </c>
      <c r="R1683">
        <v>5679611.6500000004</v>
      </c>
      <c r="S1683">
        <v>0</v>
      </c>
      <c r="T1683" t="s">
        <v>104</v>
      </c>
      <c r="U1683" t="s">
        <v>105</v>
      </c>
      <c r="V1683" t="s">
        <v>77</v>
      </c>
      <c r="W1683" t="s">
        <v>104</v>
      </c>
      <c r="X1683" t="s">
        <v>106</v>
      </c>
      <c r="Y1683">
        <v>1.8014204405974801</v>
      </c>
      <c r="Z1683">
        <v>1801.4204405974799</v>
      </c>
      <c r="AA1683">
        <v>4.71035</v>
      </c>
      <c r="AB1683">
        <v>-74.030416666666696</v>
      </c>
      <c r="AC1683">
        <v>2570</v>
      </c>
      <c r="AD1683">
        <v>10</v>
      </c>
      <c r="AE1683" t="s">
        <v>80</v>
      </c>
      <c r="AF1683" t="s">
        <v>107</v>
      </c>
      <c r="AG1683" t="s">
        <v>82</v>
      </c>
      <c r="AH1683" t="s">
        <v>83</v>
      </c>
      <c r="AI1683" t="s">
        <v>108</v>
      </c>
      <c r="AJ1683">
        <v>2.80522718694171</v>
      </c>
      <c r="AK1683">
        <v>0.41524629549222702</v>
      </c>
      <c r="AL1683">
        <v>1.8376370808581399</v>
      </c>
      <c r="AM1683">
        <v>0.227713053029163</v>
      </c>
      <c r="AN1683">
        <v>1.76807213699543</v>
      </c>
      <c r="AO1683">
        <v>0.60199973168199905</v>
      </c>
      <c r="AP1683">
        <v>0.60199973168199905</v>
      </c>
      <c r="AQ1683">
        <v>0</v>
      </c>
      <c r="AR1683">
        <v>0</v>
      </c>
      <c r="AS1683">
        <v>10</v>
      </c>
      <c r="AT1683">
        <v>33</v>
      </c>
      <c r="AU1683">
        <v>0</v>
      </c>
      <c r="AV1683">
        <v>7</v>
      </c>
      <c r="AW1683">
        <v>0</v>
      </c>
      <c r="AX1683">
        <v>0</v>
      </c>
      <c r="AY1683">
        <v>15.5</v>
      </c>
      <c r="AZ1683">
        <v>2.4</v>
      </c>
      <c r="BA1683">
        <v>10.9</v>
      </c>
      <c r="BB1683">
        <v>564</v>
      </c>
      <c r="BC1683">
        <v>68</v>
      </c>
      <c r="BD1683">
        <v>1.5</v>
      </c>
      <c r="BE1683">
        <v>135</v>
      </c>
      <c r="BF1683">
        <v>0</v>
      </c>
      <c r="BG1683">
        <v>162</v>
      </c>
      <c r="BH1683">
        <v>9.1</v>
      </c>
      <c r="BI1683">
        <v>9.1999999999999993</v>
      </c>
      <c r="BJ1683">
        <v>18.3</v>
      </c>
      <c r="BK1683">
        <v>0.34</v>
      </c>
      <c r="BL1683">
        <v>7.3</v>
      </c>
      <c r="BM1683">
        <v>0.9</v>
      </c>
      <c r="BN1683">
        <v>7.5</v>
      </c>
      <c r="BO1683">
        <v>2.9</v>
      </c>
      <c r="BP1683">
        <f t="shared" si="52"/>
        <v>2.1952554668079314</v>
      </c>
      <c r="BQ1683">
        <f t="shared" si="53"/>
        <v>10.438790243290368</v>
      </c>
    </row>
    <row r="1684" spans="1:69" hidden="1" x14ac:dyDescent="0.2">
      <c r="A1684" t="s">
        <v>833</v>
      </c>
      <c r="B1684" t="s">
        <v>68</v>
      </c>
      <c r="C1684" t="s">
        <v>69</v>
      </c>
      <c r="D1684" t="s">
        <v>70</v>
      </c>
      <c r="E1684" t="s">
        <v>210</v>
      </c>
      <c r="F1684">
        <v>6</v>
      </c>
      <c r="G1684">
        <v>102</v>
      </c>
      <c r="H1684">
        <v>2</v>
      </c>
      <c r="I1684">
        <v>3</v>
      </c>
      <c r="J1684">
        <v>1</v>
      </c>
      <c r="K1684" t="s">
        <v>110</v>
      </c>
      <c r="L1684" t="s">
        <v>133</v>
      </c>
      <c r="M1684" s="4">
        <v>850000000</v>
      </c>
      <c r="N1684">
        <v>0</v>
      </c>
      <c r="O1684">
        <v>4.691987514</v>
      </c>
      <c r="P1684">
        <v>-74.046882629999999</v>
      </c>
      <c r="Q1684" t="s">
        <v>834</v>
      </c>
      <c r="R1684">
        <v>8333333.3329999996</v>
      </c>
      <c r="S1684">
        <v>0</v>
      </c>
      <c r="T1684" t="s">
        <v>104</v>
      </c>
      <c r="U1684" t="s">
        <v>105</v>
      </c>
      <c r="V1684" t="s">
        <v>77</v>
      </c>
      <c r="W1684" t="s">
        <v>104</v>
      </c>
      <c r="X1684" t="s">
        <v>106</v>
      </c>
      <c r="Y1684">
        <v>2.7414616523781601</v>
      </c>
      <c r="Z1684">
        <v>2741.4616523781601</v>
      </c>
      <c r="AA1684">
        <v>4.71035</v>
      </c>
      <c r="AB1684">
        <v>-74.030416666666696</v>
      </c>
      <c r="AC1684">
        <v>2570</v>
      </c>
      <c r="AD1684">
        <v>10</v>
      </c>
      <c r="AE1684" t="s">
        <v>80</v>
      </c>
      <c r="AF1684" t="s">
        <v>107</v>
      </c>
      <c r="AG1684" t="s">
        <v>82</v>
      </c>
      <c r="AH1684" t="s">
        <v>83</v>
      </c>
      <c r="AI1684" t="s">
        <v>108</v>
      </c>
      <c r="AJ1684">
        <v>1.0369979639471401</v>
      </c>
      <c r="AK1684">
        <v>1.8899468238035799</v>
      </c>
      <c r="AL1684">
        <v>0.35933726263367199</v>
      </c>
      <c r="AM1684">
        <v>0.104564971201019</v>
      </c>
      <c r="AN1684">
        <v>4.3677701648488103</v>
      </c>
      <c r="AO1684">
        <v>9.8841846768010097E-2</v>
      </c>
      <c r="AP1684">
        <v>9.8841846768010097E-2</v>
      </c>
      <c r="AQ1684">
        <v>0</v>
      </c>
      <c r="AR1684">
        <v>0</v>
      </c>
      <c r="AS1684">
        <v>0</v>
      </c>
      <c r="AT1684">
        <v>0</v>
      </c>
      <c r="AU1684">
        <v>5</v>
      </c>
      <c r="AV1684">
        <v>120</v>
      </c>
      <c r="AW1684">
        <v>0</v>
      </c>
      <c r="AX1684">
        <v>0</v>
      </c>
      <c r="AY1684">
        <v>15.5</v>
      </c>
      <c r="AZ1684">
        <v>2.4</v>
      </c>
      <c r="BA1684">
        <v>10.9</v>
      </c>
      <c r="BB1684">
        <v>564</v>
      </c>
      <c r="BC1684">
        <v>68</v>
      </c>
      <c r="BD1684">
        <v>1.5</v>
      </c>
      <c r="BE1684">
        <v>135</v>
      </c>
      <c r="BF1684">
        <v>0</v>
      </c>
      <c r="BG1684">
        <v>162</v>
      </c>
      <c r="BH1684">
        <v>9.1</v>
      </c>
      <c r="BI1684">
        <v>9.1999999999999993</v>
      </c>
      <c r="BJ1684">
        <v>18.3</v>
      </c>
      <c r="BK1684">
        <v>0.34</v>
      </c>
      <c r="BL1684">
        <v>7.3</v>
      </c>
      <c r="BM1684">
        <v>0.9</v>
      </c>
      <c r="BN1684">
        <v>7.5</v>
      </c>
      <c r="BO1684">
        <v>2.9</v>
      </c>
      <c r="BP1684">
        <f t="shared" si="52"/>
        <v>2.095445930884472</v>
      </c>
      <c r="BQ1684">
        <f t="shared" si="53"/>
        <v>10.205917606643874</v>
      </c>
    </row>
    <row r="1685" spans="1:69" hidden="1" x14ac:dyDescent="0.2">
      <c r="A1685" t="s">
        <v>1566</v>
      </c>
      <c r="B1685" t="s">
        <v>68</v>
      </c>
      <c r="C1685" t="s">
        <v>69</v>
      </c>
      <c r="D1685" t="s">
        <v>70</v>
      </c>
      <c r="E1685" t="s">
        <v>229</v>
      </c>
      <c r="F1685">
        <v>6</v>
      </c>
      <c r="G1685">
        <v>100</v>
      </c>
      <c r="H1685">
        <v>3</v>
      </c>
      <c r="I1685">
        <v>3</v>
      </c>
      <c r="J1685">
        <v>2</v>
      </c>
      <c r="K1685" t="s">
        <v>110</v>
      </c>
      <c r="L1685" t="s">
        <v>124</v>
      </c>
      <c r="M1685" s="4">
        <v>1050000000</v>
      </c>
      <c r="N1685">
        <v>0</v>
      </c>
      <c r="O1685">
        <v>4.6778455709999998</v>
      </c>
      <c r="P1685">
        <v>-74.047937390000001</v>
      </c>
      <c r="Q1685" t="s">
        <v>1567</v>
      </c>
      <c r="R1685">
        <v>10500000</v>
      </c>
      <c r="S1685">
        <v>0</v>
      </c>
      <c r="T1685" t="s">
        <v>104</v>
      </c>
      <c r="U1685" t="s">
        <v>105</v>
      </c>
      <c r="V1685" t="s">
        <v>77</v>
      </c>
      <c r="W1685" t="s">
        <v>104</v>
      </c>
      <c r="X1685" t="s">
        <v>106</v>
      </c>
      <c r="Y1685">
        <v>4.10745961659077</v>
      </c>
      <c r="Z1685">
        <v>4107.4596165907697</v>
      </c>
      <c r="AA1685">
        <v>4.71035</v>
      </c>
      <c r="AB1685">
        <v>-74.030416666666696</v>
      </c>
      <c r="AC1685">
        <v>2570</v>
      </c>
      <c r="AD1685">
        <v>10</v>
      </c>
      <c r="AE1685" t="s">
        <v>80</v>
      </c>
      <c r="AF1685" t="s">
        <v>107</v>
      </c>
      <c r="AG1685" t="s">
        <v>82</v>
      </c>
      <c r="AH1685" t="s">
        <v>83</v>
      </c>
      <c r="AI1685" t="s">
        <v>130</v>
      </c>
      <c r="AJ1685">
        <v>1.2456595992159201</v>
      </c>
      <c r="AK1685">
        <v>1.0260542064445</v>
      </c>
      <c r="AL1685">
        <v>0.96895472022163998</v>
      </c>
      <c r="AM1685">
        <v>9.9890223332519804E-2</v>
      </c>
      <c r="AN1685">
        <v>3.7879195690677299</v>
      </c>
      <c r="AO1685">
        <v>1.2347679595877401</v>
      </c>
      <c r="AP1685">
        <v>1.2347679595877401</v>
      </c>
      <c r="AQ1685">
        <v>0</v>
      </c>
      <c r="AR1685">
        <v>0</v>
      </c>
      <c r="AS1685">
        <v>0</v>
      </c>
      <c r="AT1685">
        <v>0</v>
      </c>
      <c r="AU1685">
        <v>1</v>
      </c>
      <c r="AV1685">
        <v>110</v>
      </c>
      <c r="AW1685">
        <v>0</v>
      </c>
      <c r="AX1685">
        <v>0</v>
      </c>
      <c r="AY1685">
        <v>15.5</v>
      </c>
      <c r="AZ1685">
        <v>2.4</v>
      </c>
      <c r="BA1685">
        <v>10.9</v>
      </c>
      <c r="BB1685">
        <v>564</v>
      </c>
      <c r="BC1685">
        <v>68</v>
      </c>
      <c r="BD1685">
        <v>1.5</v>
      </c>
      <c r="BE1685">
        <v>135</v>
      </c>
      <c r="BF1685">
        <v>0</v>
      </c>
      <c r="BG1685">
        <v>162</v>
      </c>
      <c r="BH1685">
        <v>9.1</v>
      </c>
      <c r="BI1685">
        <v>9.1999999999999993</v>
      </c>
      <c r="BJ1685">
        <v>18.3</v>
      </c>
      <c r="BK1685">
        <v>0.34</v>
      </c>
      <c r="BL1685">
        <v>7.3</v>
      </c>
      <c r="BM1685">
        <v>0.9</v>
      </c>
      <c r="BN1685">
        <v>7.5</v>
      </c>
      <c r="BO1685">
        <v>2.9</v>
      </c>
      <c r="BP1685">
        <f t="shared" si="52"/>
        <v>1.9584424448568594</v>
      </c>
      <c r="BQ1685">
        <f t="shared" si="53"/>
        <v>9.8767524510206819</v>
      </c>
    </row>
    <row r="1686" spans="1:69" hidden="1" x14ac:dyDescent="0.2">
      <c r="A1686" t="s">
        <v>1632</v>
      </c>
      <c r="B1686" t="s">
        <v>68</v>
      </c>
      <c r="C1686" t="s">
        <v>69</v>
      </c>
      <c r="D1686" t="s">
        <v>70</v>
      </c>
      <c r="E1686" t="s">
        <v>337</v>
      </c>
      <c r="F1686">
        <v>5</v>
      </c>
      <c r="G1686">
        <v>100</v>
      </c>
      <c r="H1686">
        <v>2</v>
      </c>
      <c r="I1686">
        <v>3</v>
      </c>
      <c r="J1686">
        <v>2</v>
      </c>
      <c r="K1686" t="s">
        <v>110</v>
      </c>
      <c r="L1686" t="s">
        <v>124</v>
      </c>
      <c r="M1686" s="4">
        <v>830000000</v>
      </c>
      <c r="N1686">
        <v>0</v>
      </c>
      <c r="O1686">
        <v>4.7036033000000002</v>
      </c>
      <c r="P1686">
        <v>-74.045069999999996</v>
      </c>
      <c r="Q1686" t="s">
        <v>1633</v>
      </c>
      <c r="R1686">
        <v>8300000</v>
      </c>
      <c r="S1686">
        <v>0</v>
      </c>
      <c r="T1686" t="s">
        <v>104</v>
      </c>
      <c r="U1686" t="s">
        <v>105</v>
      </c>
      <c r="V1686" t="s">
        <v>77</v>
      </c>
      <c r="W1686" t="s">
        <v>104</v>
      </c>
      <c r="X1686" t="s">
        <v>106</v>
      </c>
      <c r="Y1686">
        <v>1.79079900841226</v>
      </c>
      <c r="Z1686">
        <v>1790.79900841226</v>
      </c>
      <c r="AA1686">
        <v>4.71035</v>
      </c>
      <c r="AB1686">
        <v>-74.030416666666696</v>
      </c>
      <c r="AC1686">
        <v>2570</v>
      </c>
      <c r="AD1686">
        <v>10</v>
      </c>
      <c r="AE1686" t="s">
        <v>80</v>
      </c>
      <c r="AF1686" t="s">
        <v>107</v>
      </c>
      <c r="AG1686" t="s">
        <v>82</v>
      </c>
      <c r="AH1686" t="s">
        <v>83</v>
      </c>
      <c r="AI1686" t="s">
        <v>108</v>
      </c>
      <c r="AJ1686">
        <v>1.0215360897368799</v>
      </c>
      <c r="AK1686">
        <v>2.1672634361982999</v>
      </c>
      <c r="AL1686">
        <v>1.25663250623207</v>
      </c>
      <c r="AM1686">
        <v>0.10471652955824701</v>
      </c>
      <c r="AN1686">
        <v>4.6591810837339498</v>
      </c>
      <c r="AO1686">
        <v>0.27373009124200198</v>
      </c>
      <c r="AP1686">
        <v>0.27373009124200198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163</v>
      </c>
      <c r="AW1686">
        <v>0</v>
      </c>
      <c r="AX1686">
        <v>0</v>
      </c>
      <c r="AY1686">
        <v>15.5</v>
      </c>
      <c r="AZ1686">
        <v>2.4</v>
      </c>
      <c r="BA1686">
        <v>10.9</v>
      </c>
      <c r="BB1686">
        <v>564</v>
      </c>
      <c r="BC1686">
        <v>68</v>
      </c>
      <c r="BD1686">
        <v>1.5</v>
      </c>
      <c r="BE1686">
        <v>135</v>
      </c>
      <c r="BF1686">
        <v>0</v>
      </c>
      <c r="BG1686">
        <v>162</v>
      </c>
      <c r="BH1686">
        <v>9.1</v>
      </c>
      <c r="BI1686">
        <v>9.1999999999999993</v>
      </c>
      <c r="BJ1686">
        <v>18.3</v>
      </c>
      <c r="BK1686">
        <v>0.34</v>
      </c>
      <c r="BL1686">
        <v>7.3</v>
      </c>
      <c r="BM1686">
        <v>0.9</v>
      </c>
      <c r="BN1686">
        <v>7.5</v>
      </c>
      <c r="BO1686">
        <v>2.9</v>
      </c>
      <c r="BP1686">
        <f t="shared" si="52"/>
        <v>2.1964099497472902</v>
      </c>
      <c r="BQ1686">
        <f t="shared" si="53"/>
        <v>10.44145158014642</v>
      </c>
    </row>
    <row r="1687" spans="1:69" hidden="1" x14ac:dyDescent="0.2">
      <c r="A1687" t="s">
        <v>1228</v>
      </c>
      <c r="B1687" t="s">
        <v>68</v>
      </c>
      <c r="C1687" t="s">
        <v>69</v>
      </c>
      <c r="D1687" t="s">
        <v>70</v>
      </c>
      <c r="E1687" t="s">
        <v>205</v>
      </c>
      <c r="F1687">
        <v>4</v>
      </c>
      <c r="G1687">
        <v>99.4</v>
      </c>
      <c r="H1687">
        <v>4</v>
      </c>
      <c r="I1687">
        <v>3</v>
      </c>
      <c r="J1687">
        <v>1</v>
      </c>
      <c r="K1687" t="s">
        <v>110</v>
      </c>
      <c r="L1687" t="s">
        <v>124</v>
      </c>
      <c r="M1687" s="4">
        <v>600000000</v>
      </c>
      <c r="N1687">
        <v>0</v>
      </c>
      <c r="O1687">
        <v>4.7181839940000003</v>
      </c>
      <c r="P1687">
        <v>-74.037261959999995</v>
      </c>
      <c r="Q1687" t="s">
        <v>1229</v>
      </c>
      <c r="R1687">
        <v>6036217.3039999995</v>
      </c>
      <c r="S1687">
        <v>0</v>
      </c>
      <c r="T1687" t="s">
        <v>104</v>
      </c>
      <c r="U1687" t="s">
        <v>105</v>
      </c>
      <c r="V1687" t="s">
        <v>77</v>
      </c>
      <c r="W1687" t="s">
        <v>104</v>
      </c>
      <c r="X1687" t="s">
        <v>106</v>
      </c>
      <c r="Y1687">
        <v>1.1563999927297</v>
      </c>
      <c r="Z1687">
        <v>1156.3999927297</v>
      </c>
      <c r="AA1687">
        <v>4.71035</v>
      </c>
      <c r="AB1687">
        <v>-74.030416666666696</v>
      </c>
      <c r="AC1687">
        <v>2570</v>
      </c>
      <c r="AD1687">
        <v>10</v>
      </c>
      <c r="AE1687" t="s">
        <v>80</v>
      </c>
      <c r="AF1687" t="s">
        <v>107</v>
      </c>
      <c r="AG1687" t="s">
        <v>82</v>
      </c>
      <c r="AH1687" t="s">
        <v>83</v>
      </c>
      <c r="AI1687" t="s">
        <v>108</v>
      </c>
      <c r="AJ1687">
        <v>1.6080532913999299</v>
      </c>
      <c r="AK1687">
        <v>1.52150263597823</v>
      </c>
      <c r="AL1687">
        <v>0.96101992397168401</v>
      </c>
      <c r="AM1687">
        <v>0.106475532895178</v>
      </c>
      <c r="AN1687">
        <v>2.8325932895125301</v>
      </c>
      <c r="AO1687">
        <v>0.153906147094027</v>
      </c>
      <c r="AP1687">
        <v>0.153906147094027</v>
      </c>
      <c r="AQ1687">
        <v>0</v>
      </c>
      <c r="AR1687">
        <v>0</v>
      </c>
      <c r="AS1687">
        <v>0</v>
      </c>
      <c r="AT1687">
        <v>0</v>
      </c>
      <c r="AU1687">
        <v>1</v>
      </c>
      <c r="AV1687">
        <v>65</v>
      </c>
      <c r="AW1687">
        <v>0</v>
      </c>
      <c r="AX1687">
        <v>0</v>
      </c>
      <c r="AY1687">
        <v>15.5</v>
      </c>
      <c r="AZ1687">
        <v>2.4</v>
      </c>
      <c r="BA1687">
        <v>10.9</v>
      </c>
      <c r="BB1687">
        <v>564</v>
      </c>
      <c r="BC1687">
        <v>68</v>
      </c>
      <c r="BD1687">
        <v>1.5</v>
      </c>
      <c r="BE1687">
        <v>135</v>
      </c>
      <c r="BF1687">
        <v>0</v>
      </c>
      <c r="BG1687">
        <v>162</v>
      </c>
      <c r="BH1687">
        <v>9.1</v>
      </c>
      <c r="BI1687">
        <v>9.1999999999999993</v>
      </c>
      <c r="BJ1687">
        <v>18.3</v>
      </c>
      <c r="BK1687">
        <v>0.34</v>
      </c>
      <c r="BL1687">
        <v>7.3</v>
      </c>
      <c r="BM1687">
        <v>0.9</v>
      </c>
      <c r="BN1687">
        <v>7.5</v>
      </c>
      <c r="BO1687">
        <v>2.9</v>
      </c>
      <c r="BP1687">
        <f t="shared" si="52"/>
        <v>2.2664776667330093</v>
      </c>
      <c r="BQ1687">
        <f t="shared" si="53"/>
        <v>10.60164512353923</v>
      </c>
    </row>
    <row r="1688" spans="1:69" hidden="1" x14ac:dyDescent="0.2">
      <c r="A1688" t="s">
        <v>1330</v>
      </c>
      <c r="B1688" t="s">
        <v>68</v>
      </c>
      <c r="C1688" t="s">
        <v>69</v>
      </c>
      <c r="D1688" t="s">
        <v>70</v>
      </c>
      <c r="E1688" t="s">
        <v>1331</v>
      </c>
      <c r="F1688">
        <v>6</v>
      </c>
      <c r="G1688">
        <v>97</v>
      </c>
      <c r="H1688">
        <v>3</v>
      </c>
      <c r="I1688">
        <v>2</v>
      </c>
      <c r="J1688">
        <v>2</v>
      </c>
      <c r="K1688" t="s">
        <v>110</v>
      </c>
      <c r="L1688" t="s">
        <v>162</v>
      </c>
      <c r="M1688" s="4">
        <v>1050000000</v>
      </c>
      <c r="N1688">
        <v>0</v>
      </c>
      <c r="O1688">
        <v>4.6830005650000004</v>
      </c>
      <c r="P1688">
        <v>-74.050292970000001</v>
      </c>
      <c r="Q1688" t="s">
        <v>1332</v>
      </c>
      <c r="R1688">
        <v>10824742.27</v>
      </c>
      <c r="S1688">
        <v>0</v>
      </c>
      <c r="T1688" t="s">
        <v>104</v>
      </c>
      <c r="U1688" t="s">
        <v>105</v>
      </c>
      <c r="V1688" t="s">
        <v>77</v>
      </c>
      <c r="W1688" t="s">
        <v>104</v>
      </c>
      <c r="X1688" t="s">
        <v>106</v>
      </c>
      <c r="Y1688">
        <v>3.7592549409204001</v>
      </c>
      <c r="Z1688">
        <v>3759.2549409203998</v>
      </c>
      <c r="AA1688">
        <v>4.71035</v>
      </c>
      <c r="AB1688">
        <v>-74.030416666666696</v>
      </c>
      <c r="AC1688">
        <v>2570</v>
      </c>
      <c r="AD1688">
        <v>10</v>
      </c>
      <c r="AE1688" t="s">
        <v>80</v>
      </c>
      <c r="AF1688" t="s">
        <v>107</v>
      </c>
      <c r="AG1688" t="s">
        <v>82</v>
      </c>
      <c r="AH1688" t="s">
        <v>83</v>
      </c>
      <c r="AI1688" t="s">
        <v>130</v>
      </c>
      <c r="AJ1688">
        <v>0.82931333307610799</v>
      </c>
      <c r="AK1688">
        <v>1.55357552673224</v>
      </c>
      <c r="AL1688">
        <v>0.34541234854927</v>
      </c>
      <c r="AM1688">
        <v>6.3135041531379901E-2</v>
      </c>
      <c r="AN1688">
        <v>3.6447111868686899</v>
      </c>
      <c r="AO1688">
        <v>0.88042373523911099</v>
      </c>
      <c r="AP1688">
        <v>0.88042373523911099</v>
      </c>
      <c r="AQ1688">
        <v>0</v>
      </c>
      <c r="AR1688">
        <v>1</v>
      </c>
      <c r="AS1688">
        <v>0</v>
      </c>
      <c r="AT1688">
        <v>0</v>
      </c>
      <c r="AU1688">
        <v>4</v>
      </c>
      <c r="AV1688">
        <v>186</v>
      </c>
      <c r="AW1688">
        <v>0</v>
      </c>
      <c r="AX1688">
        <v>0</v>
      </c>
      <c r="AY1688">
        <v>15.5</v>
      </c>
      <c r="AZ1688">
        <v>2.4</v>
      </c>
      <c r="BA1688">
        <v>10.9</v>
      </c>
      <c r="BB1688">
        <v>564</v>
      </c>
      <c r="BC1688">
        <v>68</v>
      </c>
      <c r="BD1688">
        <v>1.5</v>
      </c>
      <c r="BE1688">
        <v>135</v>
      </c>
      <c r="BF1688">
        <v>0</v>
      </c>
      <c r="BG1688">
        <v>162</v>
      </c>
      <c r="BH1688">
        <v>9.1</v>
      </c>
      <c r="BI1688">
        <v>9.1999999999999993</v>
      </c>
      <c r="BJ1688">
        <v>18.3</v>
      </c>
      <c r="BK1688">
        <v>0.34</v>
      </c>
      <c r="BL1688">
        <v>7.3</v>
      </c>
      <c r="BM1688">
        <v>0.9</v>
      </c>
      <c r="BN1688">
        <v>7.5</v>
      </c>
      <c r="BO1688">
        <v>2.9</v>
      </c>
      <c r="BP1688">
        <f t="shared" si="52"/>
        <v>1.9924910060667922</v>
      </c>
      <c r="BQ1688">
        <f t="shared" si="53"/>
        <v>9.959637453201319</v>
      </c>
    </row>
    <row r="1689" spans="1:69" hidden="1" x14ac:dyDescent="0.2">
      <c r="A1689" t="s">
        <v>1089</v>
      </c>
      <c r="B1689" t="s">
        <v>68</v>
      </c>
      <c r="C1689" t="s">
        <v>69</v>
      </c>
      <c r="D1689" t="s">
        <v>70</v>
      </c>
      <c r="E1689" t="s">
        <v>313</v>
      </c>
      <c r="F1689">
        <v>5</v>
      </c>
      <c r="G1689">
        <v>97</v>
      </c>
      <c r="H1689">
        <v>3</v>
      </c>
      <c r="I1689">
        <v>3</v>
      </c>
      <c r="J1689">
        <v>2</v>
      </c>
      <c r="K1689" t="s">
        <v>110</v>
      </c>
      <c r="L1689" t="s">
        <v>162</v>
      </c>
      <c r="M1689" s="4">
        <v>600000000</v>
      </c>
      <c r="N1689">
        <v>0</v>
      </c>
      <c r="O1689">
        <v>4.7085800000000004</v>
      </c>
      <c r="P1689">
        <v>-74.05959</v>
      </c>
      <c r="Q1689" t="s">
        <v>1090</v>
      </c>
      <c r="R1689">
        <v>6185567.0099999998</v>
      </c>
      <c r="S1689">
        <v>0</v>
      </c>
      <c r="T1689" t="s">
        <v>104</v>
      </c>
      <c r="U1689" t="s">
        <v>105</v>
      </c>
      <c r="V1689" t="s">
        <v>77</v>
      </c>
      <c r="W1689" t="s">
        <v>104</v>
      </c>
      <c r="X1689" t="s">
        <v>106</v>
      </c>
      <c r="Y1689">
        <v>3.2425882740217702</v>
      </c>
      <c r="Z1689">
        <v>3242.5882740217698</v>
      </c>
      <c r="AA1689">
        <v>4.71035</v>
      </c>
      <c r="AB1689">
        <v>-74.030416666666696</v>
      </c>
      <c r="AC1689">
        <v>2570</v>
      </c>
      <c r="AD1689">
        <v>10</v>
      </c>
      <c r="AE1689" t="s">
        <v>80</v>
      </c>
      <c r="AF1689" t="s">
        <v>107</v>
      </c>
      <c r="AG1689" t="s">
        <v>82</v>
      </c>
      <c r="AH1689" t="s">
        <v>83</v>
      </c>
      <c r="AI1689" t="s">
        <v>121</v>
      </c>
      <c r="AJ1689">
        <v>0.73719241671226798</v>
      </c>
      <c r="AK1689">
        <v>3.82771339301615</v>
      </c>
      <c r="AL1689">
        <v>1.5984722732427099</v>
      </c>
      <c r="AM1689">
        <v>0.20215635399665299</v>
      </c>
      <c r="AN1689">
        <v>4.5674542444511799</v>
      </c>
      <c r="AO1689">
        <v>7.8543799073214106E-3</v>
      </c>
      <c r="AP1689">
        <v>7.8543799073214106E-3</v>
      </c>
      <c r="AQ1689">
        <v>0</v>
      </c>
      <c r="AR1689">
        <v>1</v>
      </c>
      <c r="AS1689">
        <v>0</v>
      </c>
      <c r="AT1689">
        <v>0</v>
      </c>
      <c r="AU1689">
        <v>0</v>
      </c>
      <c r="AV1689">
        <v>65</v>
      </c>
      <c r="AW1689">
        <v>0</v>
      </c>
      <c r="AX1689">
        <v>0</v>
      </c>
      <c r="AY1689">
        <v>15.5</v>
      </c>
      <c r="AZ1689">
        <v>2.4</v>
      </c>
      <c r="BA1689">
        <v>10.9</v>
      </c>
      <c r="BB1689">
        <v>564</v>
      </c>
      <c r="BC1689">
        <v>68</v>
      </c>
      <c r="BD1689">
        <v>1.5</v>
      </c>
      <c r="BE1689">
        <v>135</v>
      </c>
      <c r="BF1689">
        <v>0</v>
      </c>
      <c r="BG1689">
        <v>162</v>
      </c>
      <c r="BH1689">
        <v>9.1</v>
      </c>
      <c r="BI1689">
        <v>9.1999999999999993</v>
      </c>
      <c r="BJ1689">
        <v>18.3</v>
      </c>
      <c r="BK1689">
        <v>0.34</v>
      </c>
      <c r="BL1689">
        <v>7.3</v>
      </c>
      <c r="BM1689">
        <v>0.9</v>
      </c>
      <c r="BN1689">
        <v>7.5</v>
      </c>
      <c r="BO1689">
        <v>2.9</v>
      </c>
      <c r="BP1689">
        <f t="shared" si="52"/>
        <v>2.044106179254197</v>
      </c>
      <c r="BQ1689">
        <f t="shared" si="53"/>
        <v>10.083905829320701</v>
      </c>
    </row>
    <row r="1690" spans="1:69" hidden="1" x14ac:dyDescent="0.2">
      <c r="A1690" t="s">
        <v>2868</v>
      </c>
      <c r="B1690" t="s">
        <v>68</v>
      </c>
      <c r="C1690" t="s">
        <v>1956</v>
      </c>
      <c r="D1690" t="s">
        <v>70</v>
      </c>
      <c r="E1690" t="s">
        <v>360</v>
      </c>
      <c r="F1690">
        <v>4</v>
      </c>
      <c r="G1690">
        <v>94.2</v>
      </c>
      <c r="H1690">
        <v>4</v>
      </c>
      <c r="I1690">
        <v>3</v>
      </c>
      <c r="J1690">
        <v>1</v>
      </c>
      <c r="K1690" t="s">
        <v>110</v>
      </c>
      <c r="L1690" t="s">
        <v>162</v>
      </c>
      <c r="M1690" s="4">
        <v>480000000</v>
      </c>
      <c r="N1690">
        <v>0</v>
      </c>
      <c r="O1690">
        <v>4.7400900000000004</v>
      </c>
      <c r="P1690">
        <v>-74.034130000000005</v>
      </c>
      <c r="Q1690" t="s">
        <v>2869</v>
      </c>
      <c r="R1690">
        <v>5095541.4009999996</v>
      </c>
      <c r="S1690">
        <v>0</v>
      </c>
      <c r="T1690" t="s">
        <v>104</v>
      </c>
      <c r="U1690" t="s">
        <v>105</v>
      </c>
      <c r="V1690" t="s">
        <v>77</v>
      </c>
      <c r="W1690" t="s">
        <v>104</v>
      </c>
      <c r="X1690" t="s">
        <v>106</v>
      </c>
      <c r="Y1690">
        <v>3.33617451527829</v>
      </c>
      <c r="Z1690">
        <v>3336.1745152782901</v>
      </c>
      <c r="AA1690">
        <v>4.71035</v>
      </c>
      <c r="AB1690">
        <v>-74.030416666666696</v>
      </c>
      <c r="AC1690">
        <v>2570</v>
      </c>
      <c r="AD1690">
        <v>10</v>
      </c>
      <c r="AE1690" t="s">
        <v>80</v>
      </c>
      <c r="AF1690" t="s">
        <v>107</v>
      </c>
      <c r="AG1690" t="s">
        <v>82</v>
      </c>
      <c r="AH1690" t="s">
        <v>83</v>
      </c>
      <c r="AI1690" t="s">
        <v>108</v>
      </c>
      <c r="AJ1690">
        <v>1.55098853459456</v>
      </c>
      <c r="AK1690">
        <v>1.56325738566957</v>
      </c>
      <c r="AL1690">
        <v>0.96533079388390097</v>
      </c>
      <c r="AM1690">
        <v>0.12776147242418501</v>
      </c>
      <c r="AN1690">
        <v>0.83566580693665204</v>
      </c>
      <c r="AO1690">
        <v>0.115523698598506</v>
      </c>
      <c r="AP1690">
        <v>0.115523698598506</v>
      </c>
      <c r="AQ1690">
        <v>0</v>
      </c>
      <c r="AR1690">
        <v>0</v>
      </c>
      <c r="AS1690">
        <v>0</v>
      </c>
      <c r="AT1690">
        <v>0</v>
      </c>
      <c r="AU1690">
        <v>1</v>
      </c>
      <c r="AV1690">
        <v>18</v>
      </c>
      <c r="AW1690">
        <v>1</v>
      </c>
      <c r="AX1690">
        <v>0</v>
      </c>
      <c r="AY1690">
        <v>15.5</v>
      </c>
      <c r="AZ1690">
        <v>2.4</v>
      </c>
      <c r="BA1690">
        <v>10.9</v>
      </c>
      <c r="BB1690">
        <v>564</v>
      </c>
      <c r="BC1690">
        <v>68</v>
      </c>
      <c r="BD1690">
        <v>1.5</v>
      </c>
      <c r="BE1690">
        <v>135</v>
      </c>
      <c r="BF1690">
        <v>0</v>
      </c>
      <c r="BG1690">
        <v>162</v>
      </c>
      <c r="BH1690">
        <v>9.1</v>
      </c>
      <c r="BI1690">
        <v>9.1999999999999993</v>
      </c>
      <c r="BJ1690">
        <v>18.3</v>
      </c>
      <c r="BK1690">
        <v>0.34</v>
      </c>
      <c r="BL1690">
        <v>7.3</v>
      </c>
      <c r="BM1690">
        <v>0.9</v>
      </c>
      <c r="BN1690">
        <v>7.5</v>
      </c>
      <c r="BO1690">
        <v>2.9</v>
      </c>
      <c r="BP1690">
        <f t="shared" si="52"/>
        <v>2.0346587183251792</v>
      </c>
      <c r="BQ1690">
        <f t="shared" si="53"/>
        <v>10.061282089830659</v>
      </c>
    </row>
    <row r="1691" spans="1:69" hidden="1" x14ac:dyDescent="0.2">
      <c r="A1691" t="s">
        <v>808</v>
      </c>
      <c r="B1691" t="s">
        <v>68</v>
      </c>
      <c r="C1691" t="s">
        <v>69</v>
      </c>
      <c r="D1691" t="s">
        <v>70</v>
      </c>
      <c r="E1691" t="s">
        <v>283</v>
      </c>
      <c r="F1691">
        <v>4</v>
      </c>
      <c r="G1691">
        <v>94</v>
      </c>
      <c r="H1691">
        <v>3</v>
      </c>
      <c r="I1691">
        <v>3</v>
      </c>
      <c r="J1691">
        <v>2</v>
      </c>
      <c r="K1691" t="s">
        <v>110</v>
      </c>
      <c r="L1691" t="s">
        <v>162</v>
      </c>
      <c r="M1691" s="4">
        <v>650000000</v>
      </c>
      <c r="N1691">
        <v>0</v>
      </c>
      <c r="O1691">
        <v>4.729341507</v>
      </c>
      <c r="P1691">
        <v>-74.038398740000005</v>
      </c>
      <c r="Q1691" t="s">
        <v>809</v>
      </c>
      <c r="R1691">
        <v>6914893.6169999996</v>
      </c>
      <c r="S1691">
        <v>0</v>
      </c>
      <c r="T1691" t="s">
        <v>104</v>
      </c>
      <c r="U1691" t="s">
        <v>105</v>
      </c>
      <c r="V1691" t="s">
        <v>77</v>
      </c>
      <c r="W1691" t="s">
        <v>104</v>
      </c>
      <c r="X1691" t="s">
        <v>106</v>
      </c>
      <c r="Y1691">
        <v>2.2920990052736401</v>
      </c>
      <c r="Z1691">
        <v>2292.0990052736402</v>
      </c>
      <c r="AA1691">
        <v>4.71035</v>
      </c>
      <c r="AB1691">
        <v>-74.030416666666696</v>
      </c>
      <c r="AC1691">
        <v>2570</v>
      </c>
      <c r="AD1691">
        <v>10</v>
      </c>
      <c r="AE1691" t="s">
        <v>80</v>
      </c>
      <c r="AF1691" t="s">
        <v>107</v>
      </c>
      <c r="AG1691" t="s">
        <v>82</v>
      </c>
      <c r="AH1691" t="s">
        <v>83</v>
      </c>
      <c r="AI1691" t="s">
        <v>108</v>
      </c>
      <c r="AJ1691">
        <v>1.2768666486771101</v>
      </c>
      <c r="AK1691">
        <v>1.85559323409378</v>
      </c>
      <c r="AL1691">
        <v>0.42861155244016302</v>
      </c>
      <c r="AM1691">
        <v>0.46230157606439198</v>
      </c>
      <c r="AN1691">
        <v>1.8680635946089801</v>
      </c>
      <c r="AO1691">
        <v>0.17451109012848601</v>
      </c>
      <c r="AP1691">
        <v>0.17451109012848601</v>
      </c>
      <c r="AQ1691">
        <v>0</v>
      </c>
      <c r="AR1691">
        <v>0</v>
      </c>
      <c r="AS1691">
        <v>0</v>
      </c>
      <c r="AT1691">
        <v>0</v>
      </c>
      <c r="AU1691">
        <v>1</v>
      </c>
      <c r="AV1691">
        <v>13</v>
      </c>
      <c r="AW1691">
        <v>0</v>
      </c>
      <c r="AX1691">
        <v>0</v>
      </c>
      <c r="AY1691">
        <v>15.5</v>
      </c>
      <c r="AZ1691">
        <v>2.4</v>
      </c>
      <c r="BA1691">
        <v>10.9</v>
      </c>
      <c r="BB1691">
        <v>564</v>
      </c>
      <c r="BC1691">
        <v>68</v>
      </c>
      <c r="BD1691">
        <v>1.5</v>
      </c>
      <c r="BE1691">
        <v>135</v>
      </c>
      <c r="BF1691">
        <v>0</v>
      </c>
      <c r="BG1691">
        <v>162</v>
      </c>
      <c r="BH1691">
        <v>9.1</v>
      </c>
      <c r="BI1691">
        <v>9.1999999999999993</v>
      </c>
      <c r="BJ1691">
        <v>18.3</v>
      </c>
      <c r="BK1691">
        <v>0.34</v>
      </c>
      <c r="BL1691">
        <v>7.3</v>
      </c>
      <c r="BM1691">
        <v>0.9</v>
      </c>
      <c r="BN1691">
        <v>7.5</v>
      </c>
      <c r="BO1691">
        <v>2.9</v>
      </c>
      <c r="BP1691">
        <f t="shared" si="52"/>
        <v>2.142578127907762</v>
      </c>
      <c r="BQ1691">
        <f t="shared" si="53"/>
        <v>10.316581065986727</v>
      </c>
    </row>
    <row r="1692" spans="1:69" hidden="1" x14ac:dyDescent="0.2">
      <c r="A1692" t="s">
        <v>1407</v>
      </c>
      <c r="B1692" t="s">
        <v>68</v>
      </c>
      <c r="C1692" t="s">
        <v>69</v>
      </c>
      <c r="D1692" t="s">
        <v>70</v>
      </c>
      <c r="E1692" t="s">
        <v>262</v>
      </c>
      <c r="F1692">
        <v>5</v>
      </c>
      <c r="G1692">
        <v>94</v>
      </c>
      <c r="H1692">
        <v>3</v>
      </c>
      <c r="I1692">
        <v>3</v>
      </c>
      <c r="J1692">
        <v>2</v>
      </c>
      <c r="K1692" t="s">
        <v>110</v>
      </c>
      <c r="L1692" t="s">
        <v>162</v>
      </c>
      <c r="M1692" s="4">
        <v>550000000</v>
      </c>
      <c r="N1692">
        <v>0</v>
      </c>
      <c r="O1692">
        <v>4.7046720000000004</v>
      </c>
      <c r="P1692">
        <v>-74.029655000000005</v>
      </c>
      <c r="Q1692" t="s">
        <v>1408</v>
      </c>
      <c r="R1692">
        <v>5851063.8300000001</v>
      </c>
      <c r="S1692">
        <v>0</v>
      </c>
      <c r="T1692" t="s">
        <v>104</v>
      </c>
      <c r="U1692" t="s">
        <v>105</v>
      </c>
      <c r="V1692" t="s">
        <v>77</v>
      </c>
      <c r="W1692" t="s">
        <v>104</v>
      </c>
      <c r="X1692" t="s">
        <v>106</v>
      </c>
      <c r="Y1692">
        <v>0.63769565056488997</v>
      </c>
      <c r="Z1692">
        <v>637.69565056489</v>
      </c>
      <c r="AA1692">
        <v>4.71035</v>
      </c>
      <c r="AB1692">
        <v>-74.030416666666696</v>
      </c>
      <c r="AC1692">
        <v>2570</v>
      </c>
      <c r="AD1692">
        <v>10</v>
      </c>
      <c r="AE1692" t="s">
        <v>80</v>
      </c>
      <c r="AF1692" t="s">
        <v>107</v>
      </c>
      <c r="AG1692" t="s">
        <v>82</v>
      </c>
      <c r="AH1692" t="s">
        <v>83</v>
      </c>
      <c r="AI1692" t="s">
        <v>108</v>
      </c>
      <c r="AJ1692">
        <v>2.7242560904000901</v>
      </c>
      <c r="AK1692">
        <v>0.51828406031892804</v>
      </c>
      <c r="AL1692">
        <v>0.48283456476326803</v>
      </c>
      <c r="AM1692">
        <v>0.14551589765912901</v>
      </c>
      <c r="AN1692">
        <v>4.0869025196401001</v>
      </c>
      <c r="AO1692">
        <v>0.177741297243901</v>
      </c>
      <c r="AP1692">
        <v>0.177741297243901</v>
      </c>
      <c r="AQ1692">
        <v>0</v>
      </c>
      <c r="AR1692">
        <v>0</v>
      </c>
      <c r="AS1692">
        <v>0</v>
      </c>
      <c r="AT1692">
        <v>28</v>
      </c>
      <c r="AU1692">
        <v>2</v>
      </c>
      <c r="AV1692">
        <v>109</v>
      </c>
      <c r="AW1692">
        <v>0</v>
      </c>
      <c r="AX1692">
        <v>0</v>
      </c>
      <c r="AY1692">
        <v>15.5</v>
      </c>
      <c r="AZ1692">
        <v>2.4</v>
      </c>
      <c r="BA1692">
        <v>10.9</v>
      </c>
      <c r="BB1692">
        <v>564</v>
      </c>
      <c r="BC1692">
        <v>68</v>
      </c>
      <c r="BD1692">
        <v>1.5</v>
      </c>
      <c r="BE1692">
        <v>135</v>
      </c>
      <c r="BF1692">
        <v>0</v>
      </c>
      <c r="BG1692">
        <v>162</v>
      </c>
      <c r="BH1692">
        <v>9.1</v>
      </c>
      <c r="BI1692">
        <v>9.1999999999999993</v>
      </c>
      <c r="BJ1692">
        <v>18.3</v>
      </c>
      <c r="BK1692">
        <v>0.34</v>
      </c>
      <c r="BL1692">
        <v>7.3</v>
      </c>
      <c r="BM1692">
        <v>0.9</v>
      </c>
      <c r="BN1692">
        <v>7.5</v>
      </c>
      <c r="BO1692">
        <v>2.9</v>
      </c>
      <c r="BP1692">
        <f t="shared" si="52"/>
        <v>2.3254249642298284</v>
      </c>
      <c r="BQ1692">
        <f t="shared" si="53"/>
        <v>10.734448903837826</v>
      </c>
    </row>
    <row r="1693" spans="1:69" hidden="1" x14ac:dyDescent="0.2">
      <c r="A1693" t="s">
        <v>1796</v>
      </c>
      <c r="B1693" t="s">
        <v>68</v>
      </c>
      <c r="C1693" t="s">
        <v>69</v>
      </c>
      <c r="D1693" t="s">
        <v>70</v>
      </c>
      <c r="E1693" t="s">
        <v>982</v>
      </c>
      <c r="F1693">
        <v>5</v>
      </c>
      <c r="G1693">
        <v>92</v>
      </c>
      <c r="H1693">
        <v>3</v>
      </c>
      <c r="I1693">
        <v>2</v>
      </c>
      <c r="J1693">
        <v>2</v>
      </c>
      <c r="K1693" t="s">
        <v>110</v>
      </c>
      <c r="L1693" t="s">
        <v>124</v>
      </c>
      <c r="M1693" s="4">
        <v>840000000</v>
      </c>
      <c r="N1693">
        <v>0</v>
      </c>
      <c r="O1693">
        <v>4.7109699999999997</v>
      </c>
      <c r="P1693">
        <v>-74.049890000000005</v>
      </c>
      <c r="Q1693" t="s">
        <v>1797</v>
      </c>
      <c r="R1693">
        <v>9130434.7829999998</v>
      </c>
      <c r="S1693">
        <v>0</v>
      </c>
      <c r="T1693" t="s">
        <v>104</v>
      </c>
      <c r="U1693" t="s">
        <v>105</v>
      </c>
      <c r="V1693" t="s">
        <v>77</v>
      </c>
      <c r="W1693" t="s">
        <v>104</v>
      </c>
      <c r="X1693" t="s">
        <v>106</v>
      </c>
      <c r="Y1693">
        <v>2.1615412783610299</v>
      </c>
      <c r="Z1693">
        <v>2161.54127836103</v>
      </c>
      <c r="AA1693">
        <v>4.71035</v>
      </c>
      <c r="AB1693">
        <v>-74.030416666666696</v>
      </c>
      <c r="AC1693">
        <v>2570</v>
      </c>
      <c r="AD1693">
        <v>10</v>
      </c>
      <c r="AE1693" t="s">
        <v>80</v>
      </c>
      <c r="AF1693" t="s">
        <v>107</v>
      </c>
      <c r="AG1693" t="s">
        <v>82</v>
      </c>
      <c r="AH1693" t="s">
        <v>83</v>
      </c>
      <c r="AI1693" t="s">
        <v>108</v>
      </c>
      <c r="AJ1693">
        <v>0.494761637570869</v>
      </c>
      <c r="AK1693">
        <v>2.7583143461591901</v>
      </c>
      <c r="AL1693">
        <v>1.8974189356953399</v>
      </c>
      <c r="AM1693">
        <v>0.26379814586926698</v>
      </c>
      <c r="AN1693">
        <v>4.24307881856042</v>
      </c>
      <c r="AO1693">
        <v>0.231732283736588</v>
      </c>
      <c r="AP1693">
        <v>0.231732283736588</v>
      </c>
      <c r="AQ1693">
        <v>1</v>
      </c>
      <c r="AR1693">
        <v>2</v>
      </c>
      <c r="AS1693">
        <v>0</v>
      </c>
      <c r="AT1693">
        <v>0</v>
      </c>
      <c r="AU1693">
        <v>0</v>
      </c>
      <c r="AV1693">
        <v>99</v>
      </c>
      <c r="AW1693">
        <v>0</v>
      </c>
      <c r="AX1693">
        <v>0</v>
      </c>
      <c r="AY1693">
        <v>15.5</v>
      </c>
      <c r="AZ1693">
        <v>2.4</v>
      </c>
      <c r="BA1693">
        <v>10.9</v>
      </c>
      <c r="BB1693">
        <v>564</v>
      </c>
      <c r="BC1693">
        <v>68</v>
      </c>
      <c r="BD1693">
        <v>1.5</v>
      </c>
      <c r="BE1693">
        <v>135</v>
      </c>
      <c r="BF1693">
        <v>0</v>
      </c>
      <c r="BG1693">
        <v>162</v>
      </c>
      <c r="BH1693">
        <v>9.1</v>
      </c>
      <c r="BI1693">
        <v>9.1999999999999993</v>
      </c>
      <c r="BJ1693">
        <v>18.3</v>
      </c>
      <c r="BK1693">
        <v>0.34</v>
      </c>
      <c r="BL1693">
        <v>7.3</v>
      </c>
      <c r="BM1693">
        <v>0.9</v>
      </c>
      <c r="BN1693">
        <v>7.5</v>
      </c>
      <c r="BO1693">
        <v>2.9</v>
      </c>
      <c r="BP1693">
        <f t="shared" si="52"/>
        <v>2.1564696085933805</v>
      </c>
      <c r="BQ1693">
        <f t="shared" si="53"/>
        <v>10.348957588522948</v>
      </c>
    </row>
    <row r="1694" spans="1:69" hidden="1" x14ac:dyDescent="0.2">
      <c r="A1694" t="s">
        <v>3809</v>
      </c>
      <c r="B1694" t="s">
        <v>68</v>
      </c>
      <c r="C1694" t="s">
        <v>3294</v>
      </c>
      <c r="D1694" t="s">
        <v>70</v>
      </c>
      <c r="E1694" t="s">
        <v>193</v>
      </c>
      <c r="F1694">
        <v>4</v>
      </c>
      <c r="G1694">
        <v>92</v>
      </c>
      <c r="H1694">
        <v>1</v>
      </c>
      <c r="I1694">
        <v>1</v>
      </c>
      <c r="J1694">
        <v>1</v>
      </c>
      <c r="K1694" t="s">
        <v>110</v>
      </c>
      <c r="L1694" t="s">
        <v>133</v>
      </c>
      <c r="M1694" s="4">
        <v>627000000</v>
      </c>
      <c r="N1694">
        <v>0</v>
      </c>
      <c r="O1694">
        <v>4.6987533570000002</v>
      </c>
      <c r="P1694">
        <v>-74.032218929999999</v>
      </c>
      <c r="Q1694" t="s">
        <v>3810</v>
      </c>
      <c r="R1694">
        <v>6815217.3909999998</v>
      </c>
      <c r="S1694">
        <v>0</v>
      </c>
      <c r="T1694" t="s">
        <v>104</v>
      </c>
      <c r="U1694" t="s">
        <v>105</v>
      </c>
      <c r="V1694" t="s">
        <v>77</v>
      </c>
      <c r="W1694" t="s">
        <v>104</v>
      </c>
      <c r="X1694" t="s">
        <v>106</v>
      </c>
      <c r="Y1694">
        <v>1.30632572003283</v>
      </c>
      <c r="Z1694">
        <v>1306.3257200328301</v>
      </c>
      <c r="AA1694">
        <v>4.71035</v>
      </c>
      <c r="AB1694">
        <v>-74.030416666666696</v>
      </c>
      <c r="AC1694">
        <v>2570</v>
      </c>
      <c r="AD1694">
        <v>10</v>
      </c>
      <c r="AE1694" t="s">
        <v>80</v>
      </c>
      <c r="AF1694" t="s">
        <v>107</v>
      </c>
      <c r="AG1694" t="s">
        <v>82</v>
      </c>
      <c r="AH1694" t="s">
        <v>83</v>
      </c>
      <c r="AI1694" t="s">
        <v>108</v>
      </c>
      <c r="AJ1694">
        <v>2.5252092959047499</v>
      </c>
      <c r="AK1694">
        <v>0.70370445637411205</v>
      </c>
      <c r="AL1694">
        <v>0.286438128333806</v>
      </c>
      <c r="AM1694">
        <v>2.5201622992472299E-2</v>
      </c>
      <c r="AN1694">
        <v>4.7670872857819004</v>
      </c>
      <c r="AO1694">
        <v>0.26291458158591502</v>
      </c>
      <c r="AP1694">
        <v>0.26291458158591502</v>
      </c>
      <c r="AQ1694">
        <v>0</v>
      </c>
      <c r="AR1694">
        <v>0</v>
      </c>
      <c r="AS1694">
        <v>0</v>
      </c>
      <c r="AT1694">
        <v>20</v>
      </c>
      <c r="AU1694">
        <v>2</v>
      </c>
      <c r="AV1694">
        <v>135</v>
      </c>
      <c r="AW1694">
        <v>0</v>
      </c>
      <c r="AX1694">
        <v>0</v>
      </c>
      <c r="AY1694">
        <v>15.5</v>
      </c>
      <c r="AZ1694">
        <v>2.4</v>
      </c>
      <c r="BA1694">
        <v>10.9</v>
      </c>
      <c r="BB1694">
        <v>564</v>
      </c>
      <c r="BC1694">
        <v>68</v>
      </c>
      <c r="BD1694">
        <v>1.5</v>
      </c>
      <c r="BE1694">
        <v>135</v>
      </c>
      <c r="BF1694">
        <v>0</v>
      </c>
      <c r="BG1694">
        <v>162</v>
      </c>
      <c r="BH1694">
        <v>9.1</v>
      </c>
      <c r="BI1694">
        <v>9.1999999999999993</v>
      </c>
      <c r="BJ1694">
        <v>18.3</v>
      </c>
      <c r="BK1694">
        <v>0.34</v>
      </c>
      <c r="BL1694">
        <v>7.3</v>
      </c>
      <c r="BM1694">
        <v>0.9</v>
      </c>
      <c r="BN1694">
        <v>7.5</v>
      </c>
      <c r="BO1694">
        <v>2.9</v>
      </c>
      <c r="BP1694">
        <f t="shared" si="52"/>
        <v>2.2497196629565197</v>
      </c>
      <c r="BQ1694">
        <f t="shared" si="53"/>
        <v>10.563566647403858</v>
      </c>
    </row>
    <row r="1695" spans="1:69" hidden="1" x14ac:dyDescent="0.2">
      <c r="A1695" t="s">
        <v>1676</v>
      </c>
      <c r="B1695" t="s">
        <v>68</v>
      </c>
      <c r="C1695" t="s">
        <v>69</v>
      </c>
      <c r="D1695" t="s">
        <v>70</v>
      </c>
      <c r="E1695" t="s">
        <v>1677</v>
      </c>
      <c r="F1695">
        <v>6</v>
      </c>
      <c r="G1695">
        <v>92</v>
      </c>
      <c r="H1695">
        <v>2</v>
      </c>
      <c r="I1695">
        <v>2</v>
      </c>
      <c r="J1695">
        <v>2</v>
      </c>
      <c r="K1695" t="s">
        <v>110</v>
      </c>
      <c r="L1695" t="s">
        <v>124</v>
      </c>
      <c r="M1695" s="4">
        <v>830000000</v>
      </c>
      <c r="N1695">
        <v>0</v>
      </c>
      <c r="O1695">
        <v>4.7113377720000003</v>
      </c>
      <c r="P1695">
        <v>-74.025934199999995</v>
      </c>
      <c r="Q1695" t="s">
        <v>1678</v>
      </c>
      <c r="R1695">
        <v>9021739.1300000008</v>
      </c>
      <c r="S1695">
        <v>0</v>
      </c>
      <c r="T1695" t="s">
        <v>104</v>
      </c>
      <c r="U1695" t="s">
        <v>105</v>
      </c>
      <c r="V1695" t="s">
        <v>77</v>
      </c>
      <c r="W1695" t="s">
        <v>104</v>
      </c>
      <c r="X1695" t="s">
        <v>106</v>
      </c>
      <c r="Y1695">
        <v>0.50931166706250597</v>
      </c>
      <c r="Z1695">
        <v>509.31166706250599</v>
      </c>
      <c r="AA1695">
        <v>4.71035</v>
      </c>
      <c r="AB1695">
        <v>-74.030416666666696</v>
      </c>
      <c r="AC1695">
        <v>2570</v>
      </c>
      <c r="AD1695">
        <v>10</v>
      </c>
      <c r="AE1695" t="s">
        <v>80</v>
      </c>
      <c r="AF1695" t="s">
        <v>107</v>
      </c>
      <c r="AG1695" t="s">
        <v>82</v>
      </c>
      <c r="AH1695" t="s">
        <v>83</v>
      </c>
      <c r="AI1695" t="s">
        <v>108</v>
      </c>
      <c r="AJ1695">
        <v>2.9733279671530002</v>
      </c>
      <c r="AK1695">
        <v>0.16587112673862101</v>
      </c>
      <c r="AL1695">
        <v>0.76171098314437902</v>
      </c>
      <c r="AM1695">
        <v>0.43632623761595501</v>
      </c>
      <c r="AN1695">
        <v>3.3385614968454602</v>
      </c>
      <c r="AO1695">
        <v>0.65405382815919699</v>
      </c>
      <c r="AP1695">
        <v>0.65405382815919699</v>
      </c>
      <c r="AQ1695">
        <v>0</v>
      </c>
      <c r="AR1695">
        <v>0</v>
      </c>
      <c r="AS1695">
        <v>16</v>
      </c>
      <c r="AT1695">
        <v>45</v>
      </c>
      <c r="AU1695">
        <v>1</v>
      </c>
      <c r="AV1695">
        <v>80</v>
      </c>
      <c r="AW1695">
        <v>0</v>
      </c>
      <c r="AX1695">
        <v>0</v>
      </c>
      <c r="AY1695">
        <v>15.5</v>
      </c>
      <c r="AZ1695">
        <v>2.4</v>
      </c>
      <c r="BA1695">
        <v>10.9</v>
      </c>
      <c r="BB1695">
        <v>564</v>
      </c>
      <c r="BC1695">
        <v>68</v>
      </c>
      <c r="BD1695">
        <v>1.5</v>
      </c>
      <c r="BE1695">
        <v>135</v>
      </c>
      <c r="BF1695">
        <v>0</v>
      </c>
      <c r="BG1695">
        <v>162</v>
      </c>
      <c r="BH1695">
        <v>9.1</v>
      </c>
      <c r="BI1695">
        <v>9.1999999999999993</v>
      </c>
      <c r="BJ1695">
        <v>18.3</v>
      </c>
      <c r="BK1695">
        <v>0.34</v>
      </c>
      <c r="BL1695">
        <v>7.3</v>
      </c>
      <c r="BM1695">
        <v>0.9</v>
      </c>
      <c r="BN1695">
        <v>7.5</v>
      </c>
      <c r="BO1695">
        <v>2.9</v>
      </c>
      <c r="BP1695">
        <f t="shared" si="52"/>
        <v>2.3402501136532821</v>
      </c>
      <c r="BQ1695">
        <f t="shared" si="53"/>
        <v>10.76757506351333</v>
      </c>
    </row>
    <row r="1696" spans="1:69" hidden="1" x14ac:dyDescent="0.2">
      <c r="A1696" t="s">
        <v>1978</v>
      </c>
      <c r="B1696" t="s">
        <v>68</v>
      </c>
      <c r="C1696" t="s">
        <v>1956</v>
      </c>
      <c r="D1696" t="s">
        <v>70</v>
      </c>
      <c r="E1696" t="s">
        <v>1603</v>
      </c>
      <c r="F1696">
        <v>4</v>
      </c>
      <c r="G1696">
        <v>91.93</v>
      </c>
      <c r="H1696">
        <v>3</v>
      </c>
      <c r="I1696">
        <v>3</v>
      </c>
      <c r="J1696">
        <v>1</v>
      </c>
      <c r="K1696" t="s">
        <v>110</v>
      </c>
      <c r="L1696" t="s">
        <v>162</v>
      </c>
      <c r="M1696" s="4">
        <v>560000000</v>
      </c>
      <c r="N1696">
        <v>0</v>
      </c>
      <c r="O1696">
        <v>4.7313790320000004</v>
      </c>
      <c r="P1696">
        <v>-74.039558409999998</v>
      </c>
      <c r="Q1696" t="s">
        <v>1979</v>
      </c>
      <c r="R1696">
        <v>6091591.4280000003</v>
      </c>
      <c r="S1696">
        <v>0</v>
      </c>
      <c r="T1696" t="s">
        <v>104</v>
      </c>
      <c r="U1696" t="s">
        <v>105</v>
      </c>
      <c r="V1696" t="s">
        <v>77</v>
      </c>
      <c r="W1696" t="s">
        <v>104</v>
      </c>
      <c r="X1696" t="s">
        <v>106</v>
      </c>
      <c r="Y1696">
        <v>2.5511978909781901</v>
      </c>
      <c r="Z1696">
        <v>2551.1978909781901</v>
      </c>
      <c r="AA1696">
        <v>4.71035</v>
      </c>
      <c r="AB1696">
        <v>-74.030416666666696</v>
      </c>
      <c r="AC1696">
        <v>2570</v>
      </c>
      <c r="AD1696">
        <v>10</v>
      </c>
      <c r="AE1696" t="s">
        <v>80</v>
      </c>
      <c r="AF1696" t="s">
        <v>107</v>
      </c>
      <c r="AG1696" t="s">
        <v>82</v>
      </c>
      <c r="AH1696" t="s">
        <v>83</v>
      </c>
      <c r="AI1696" t="s">
        <v>108</v>
      </c>
      <c r="AJ1696">
        <v>1.12905161143192</v>
      </c>
      <c r="AK1696">
        <v>1.9524515506883899</v>
      </c>
      <c r="AL1696">
        <v>0.172539588753198</v>
      </c>
      <c r="AM1696">
        <v>0.282685925108772</v>
      </c>
      <c r="AN1696">
        <v>1.8117818071544001</v>
      </c>
      <c r="AO1696">
        <v>2.2890102199437701E-2</v>
      </c>
      <c r="AP1696">
        <v>2.2890102199437701E-2</v>
      </c>
      <c r="AQ1696">
        <v>0</v>
      </c>
      <c r="AR1696">
        <v>0</v>
      </c>
      <c r="AS1696">
        <v>0</v>
      </c>
      <c r="AT1696">
        <v>0</v>
      </c>
      <c r="AU1696">
        <v>1</v>
      </c>
      <c r="AV1696">
        <v>14</v>
      </c>
      <c r="AW1696">
        <v>0</v>
      </c>
      <c r="AX1696">
        <v>0</v>
      </c>
      <c r="AY1696">
        <v>15.5</v>
      </c>
      <c r="AZ1696">
        <v>2.4</v>
      </c>
      <c r="BA1696">
        <v>10.9</v>
      </c>
      <c r="BB1696">
        <v>564</v>
      </c>
      <c r="BC1696">
        <v>68</v>
      </c>
      <c r="BD1696">
        <v>1.5</v>
      </c>
      <c r="BE1696">
        <v>135</v>
      </c>
      <c r="BF1696">
        <v>0</v>
      </c>
      <c r="BG1696">
        <v>162</v>
      </c>
      <c r="BH1696">
        <v>9.1</v>
      </c>
      <c r="BI1696">
        <v>9.1999999999999993</v>
      </c>
      <c r="BJ1696">
        <v>18.3</v>
      </c>
      <c r="BK1696">
        <v>0.34</v>
      </c>
      <c r="BL1696">
        <v>7.3</v>
      </c>
      <c r="BM1696">
        <v>0.9</v>
      </c>
      <c r="BN1696">
        <v>7.5</v>
      </c>
      <c r="BO1696">
        <v>2.9</v>
      </c>
      <c r="BP1696">
        <f t="shared" si="52"/>
        <v>2.1152741836392099</v>
      </c>
      <c r="BQ1696">
        <f t="shared" si="53"/>
        <v>10.25262776301731</v>
      </c>
    </row>
    <row r="1697" spans="1:69" hidden="1" x14ac:dyDescent="0.2">
      <c r="A1697" t="s">
        <v>828</v>
      </c>
      <c r="B1697" t="s">
        <v>68</v>
      </c>
      <c r="C1697" t="s">
        <v>69</v>
      </c>
      <c r="D1697" t="s">
        <v>70</v>
      </c>
      <c r="E1697" t="s">
        <v>190</v>
      </c>
      <c r="F1697">
        <v>5</v>
      </c>
      <c r="G1697">
        <v>91</v>
      </c>
      <c r="H1697">
        <v>2</v>
      </c>
      <c r="I1697">
        <v>3</v>
      </c>
      <c r="J1697">
        <v>2</v>
      </c>
      <c r="K1697" t="s">
        <v>110</v>
      </c>
      <c r="L1697" t="s">
        <v>124</v>
      </c>
      <c r="M1697" s="4">
        <v>670000000</v>
      </c>
      <c r="N1697">
        <v>0</v>
      </c>
      <c r="O1697">
        <v>4.6881620000000002</v>
      </c>
      <c r="P1697">
        <v>-74.045339999999996</v>
      </c>
      <c r="Q1697" t="s">
        <v>829</v>
      </c>
      <c r="R1697">
        <v>7362637.3629999999</v>
      </c>
      <c r="S1697">
        <v>0</v>
      </c>
      <c r="T1697" t="s">
        <v>104</v>
      </c>
      <c r="U1697" t="s">
        <v>105</v>
      </c>
      <c r="V1697" t="s">
        <v>77</v>
      </c>
      <c r="W1697" t="s">
        <v>104</v>
      </c>
      <c r="X1697" t="s">
        <v>106</v>
      </c>
      <c r="Y1697">
        <v>2.9735402291617699</v>
      </c>
      <c r="Z1697">
        <v>2973.5402291617702</v>
      </c>
      <c r="AA1697">
        <v>4.71035</v>
      </c>
      <c r="AB1697">
        <v>-74.030416666666696</v>
      </c>
      <c r="AC1697">
        <v>2570</v>
      </c>
      <c r="AD1697">
        <v>10</v>
      </c>
      <c r="AE1697" t="s">
        <v>80</v>
      </c>
      <c r="AF1697" t="s">
        <v>107</v>
      </c>
      <c r="AG1697" t="s">
        <v>82</v>
      </c>
      <c r="AH1697" t="s">
        <v>83</v>
      </c>
      <c r="AI1697" t="s">
        <v>108</v>
      </c>
      <c r="AJ1697">
        <v>1.3149471680911899</v>
      </c>
      <c r="AK1697">
        <v>1.4611229972614901</v>
      </c>
      <c r="AL1697">
        <v>0.60268167499648895</v>
      </c>
      <c r="AM1697">
        <v>0.18496556124862201</v>
      </c>
      <c r="AN1697">
        <v>4.3490178553549903</v>
      </c>
      <c r="AO1697">
        <v>0.19833208148665399</v>
      </c>
      <c r="AP1697">
        <v>0.19833208148665399</v>
      </c>
      <c r="AQ1697">
        <v>0</v>
      </c>
      <c r="AR1697">
        <v>0</v>
      </c>
      <c r="AS1697">
        <v>0</v>
      </c>
      <c r="AT1697">
        <v>0</v>
      </c>
      <c r="AU1697">
        <v>6</v>
      </c>
      <c r="AV1697">
        <v>123</v>
      </c>
      <c r="AW1697">
        <v>0</v>
      </c>
      <c r="AX1697">
        <v>0</v>
      </c>
      <c r="AY1697">
        <v>15.5</v>
      </c>
      <c r="AZ1697">
        <v>2.4</v>
      </c>
      <c r="BA1697">
        <v>10.9</v>
      </c>
      <c r="BB1697">
        <v>564</v>
      </c>
      <c r="BC1697">
        <v>68</v>
      </c>
      <c r="BD1697">
        <v>1.5</v>
      </c>
      <c r="BE1697">
        <v>135</v>
      </c>
      <c r="BF1697">
        <v>0</v>
      </c>
      <c r="BG1697">
        <v>162</v>
      </c>
      <c r="BH1697">
        <v>9.1</v>
      </c>
      <c r="BI1697">
        <v>9.1999999999999993</v>
      </c>
      <c r="BJ1697">
        <v>18.3</v>
      </c>
      <c r="BK1697">
        <v>0.34</v>
      </c>
      <c r="BL1697">
        <v>7.3</v>
      </c>
      <c r="BM1697">
        <v>0.9</v>
      </c>
      <c r="BN1697">
        <v>7.5</v>
      </c>
      <c r="BO1697">
        <v>2.9</v>
      </c>
      <c r="BP1697">
        <f t="shared" si="52"/>
        <v>2.0715114211950985</v>
      </c>
      <c r="BQ1697">
        <f t="shared" si="53"/>
        <v>10.149229829432622</v>
      </c>
    </row>
    <row r="1698" spans="1:69" hidden="1" x14ac:dyDescent="0.2">
      <c r="A1698" t="s">
        <v>610</v>
      </c>
      <c r="B1698" t="s">
        <v>68</v>
      </c>
      <c r="C1698" t="s">
        <v>69</v>
      </c>
      <c r="D1698" t="s">
        <v>70</v>
      </c>
      <c r="E1698" t="s">
        <v>611</v>
      </c>
      <c r="F1698">
        <v>4</v>
      </c>
      <c r="G1698">
        <v>91</v>
      </c>
      <c r="H1698">
        <v>3</v>
      </c>
      <c r="I1698">
        <v>3</v>
      </c>
      <c r="J1698">
        <v>1</v>
      </c>
      <c r="K1698" t="s">
        <v>110</v>
      </c>
      <c r="L1698" t="s">
        <v>124</v>
      </c>
      <c r="M1698" s="4">
        <v>600000000</v>
      </c>
      <c r="N1698">
        <v>0</v>
      </c>
      <c r="O1698">
        <v>4.7219734190000002</v>
      </c>
      <c r="P1698">
        <v>-74.029907230000006</v>
      </c>
      <c r="Q1698" t="s">
        <v>612</v>
      </c>
      <c r="R1698">
        <v>6593406.5930000003</v>
      </c>
      <c r="S1698">
        <v>0</v>
      </c>
      <c r="T1698" t="s">
        <v>104</v>
      </c>
      <c r="U1698" t="s">
        <v>105</v>
      </c>
      <c r="V1698" t="s">
        <v>77</v>
      </c>
      <c r="W1698" t="s">
        <v>104</v>
      </c>
      <c r="X1698" t="s">
        <v>106</v>
      </c>
      <c r="Y1698">
        <v>1.2951468562925099</v>
      </c>
      <c r="Z1698">
        <v>1295.1468562925099</v>
      </c>
      <c r="AA1698">
        <v>4.71035</v>
      </c>
      <c r="AB1698">
        <v>-74.030416666666696</v>
      </c>
      <c r="AC1698">
        <v>2570</v>
      </c>
      <c r="AD1698">
        <v>10</v>
      </c>
      <c r="AE1698" t="s">
        <v>80</v>
      </c>
      <c r="AF1698" t="s">
        <v>107</v>
      </c>
      <c r="AG1698" t="s">
        <v>82</v>
      </c>
      <c r="AH1698" t="s">
        <v>83</v>
      </c>
      <c r="AI1698" t="s">
        <v>108</v>
      </c>
      <c r="AJ1698">
        <v>2.3462907734795699</v>
      </c>
      <c r="AK1698">
        <v>0.74656682268929198</v>
      </c>
      <c r="AL1698">
        <v>1.28140845133659</v>
      </c>
      <c r="AM1698">
        <v>0.11986290568389001</v>
      </c>
      <c r="AN1698">
        <v>2.1905077668312298</v>
      </c>
      <c r="AO1698">
        <v>5.6969461721709497E-2</v>
      </c>
      <c r="AP1698">
        <v>5.6969461721709497E-2</v>
      </c>
      <c r="AQ1698">
        <v>0</v>
      </c>
      <c r="AR1698">
        <v>0</v>
      </c>
      <c r="AS1698">
        <v>0</v>
      </c>
      <c r="AT1698">
        <v>7</v>
      </c>
      <c r="AU1698">
        <v>0</v>
      </c>
      <c r="AV1698">
        <v>43</v>
      </c>
      <c r="AW1698">
        <v>0</v>
      </c>
      <c r="AX1698">
        <v>0</v>
      </c>
      <c r="AY1698">
        <v>15.5</v>
      </c>
      <c r="AZ1698">
        <v>2.4</v>
      </c>
      <c r="BA1698">
        <v>10.9</v>
      </c>
      <c r="BB1698">
        <v>564</v>
      </c>
      <c r="BC1698">
        <v>68</v>
      </c>
      <c r="BD1698">
        <v>1.5</v>
      </c>
      <c r="BE1698">
        <v>135</v>
      </c>
      <c r="BF1698">
        <v>0</v>
      </c>
      <c r="BG1698">
        <v>162</v>
      </c>
      <c r="BH1698">
        <v>9.1</v>
      </c>
      <c r="BI1698">
        <v>9.1999999999999993</v>
      </c>
      <c r="BJ1698">
        <v>18.3</v>
      </c>
      <c r="BK1698">
        <v>0.34</v>
      </c>
      <c r="BL1698">
        <v>7.3</v>
      </c>
      <c r="BM1698">
        <v>0.9</v>
      </c>
      <c r="BN1698">
        <v>7.5</v>
      </c>
      <c r="BO1698">
        <v>2.9</v>
      </c>
      <c r="BP1698">
        <f t="shared" si="52"/>
        <v>2.2509648982760884</v>
      </c>
      <c r="BQ1698">
        <f t="shared" si="53"/>
        <v>10.566401155757763</v>
      </c>
    </row>
    <row r="1699" spans="1:69" hidden="1" x14ac:dyDescent="0.2">
      <c r="A1699" t="s">
        <v>3395</v>
      </c>
      <c r="B1699" t="s">
        <v>68</v>
      </c>
      <c r="C1699" t="s">
        <v>3294</v>
      </c>
      <c r="D1699" t="s">
        <v>70</v>
      </c>
      <c r="E1699" t="s">
        <v>205</v>
      </c>
      <c r="F1699">
        <v>4</v>
      </c>
      <c r="G1699">
        <v>91</v>
      </c>
      <c r="H1699">
        <v>1</v>
      </c>
      <c r="I1699">
        <v>2</v>
      </c>
      <c r="J1699">
        <v>1</v>
      </c>
      <c r="K1699" t="s">
        <v>110</v>
      </c>
      <c r="L1699" t="s">
        <v>111</v>
      </c>
      <c r="M1699" s="4">
        <v>560000000</v>
      </c>
      <c r="N1699">
        <v>0</v>
      </c>
      <c r="O1699">
        <v>4.7176451679999998</v>
      </c>
      <c r="P1699">
        <v>-74.036926269999995</v>
      </c>
      <c r="Q1699" t="s">
        <v>3396</v>
      </c>
      <c r="R1699">
        <v>6153846.1540000001</v>
      </c>
      <c r="S1699">
        <v>0</v>
      </c>
      <c r="T1699" t="s">
        <v>104</v>
      </c>
      <c r="U1699" t="s">
        <v>105</v>
      </c>
      <c r="V1699" t="s">
        <v>77</v>
      </c>
      <c r="W1699" t="s">
        <v>104</v>
      </c>
      <c r="X1699" t="s">
        <v>106</v>
      </c>
      <c r="Y1699">
        <v>1.0867668494572</v>
      </c>
      <c r="Z1699">
        <v>1086.7668494571999</v>
      </c>
      <c r="AA1699">
        <v>4.71035</v>
      </c>
      <c r="AB1699">
        <v>-74.030416666666696</v>
      </c>
      <c r="AC1699">
        <v>2570</v>
      </c>
      <c r="AD1699">
        <v>10</v>
      </c>
      <c r="AE1699" t="s">
        <v>80</v>
      </c>
      <c r="AF1699" t="s">
        <v>107</v>
      </c>
      <c r="AG1699" t="s">
        <v>82</v>
      </c>
      <c r="AH1699" t="s">
        <v>83</v>
      </c>
      <c r="AI1699" t="s">
        <v>108</v>
      </c>
      <c r="AJ1699">
        <v>1.65743369980202</v>
      </c>
      <c r="AK1699">
        <v>1.4644461662877</v>
      </c>
      <c r="AL1699">
        <v>0.89080691719389005</v>
      </c>
      <c r="AM1699">
        <v>8.7107609948819401E-2</v>
      </c>
      <c r="AN1699">
        <v>2.8721016174218201</v>
      </c>
      <c r="AO1699">
        <v>0.19445734076288601</v>
      </c>
      <c r="AP1699">
        <v>0.19445734076288601</v>
      </c>
      <c r="AQ1699">
        <v>0</v>
      </c>
      <c r="AR1699">
        <v>0</v>
      </c>
      <c r="AS1699">
        <v>0</v>
      </c>
      <c r="AT1699">
        <v>0</v>
      </c>
      <c r="AU1699">
        <v>1</v>
      </c>
      <c r="AV1699">
        <v>63</v>
      </c>
      <c r="AW1699">
        <v>0</v>
      </c>
      <c r="AX1699">
        <v>0</v>
      </c>
      <c r="AY1699">
        <v>15.5</v>
      </c>
      <c r="AZ1699">
        <v>2.4</v>
      </c>
      <c r="BA1699">
        <v>10.9</v>
      </c>
      <c r="BB1699">
        <v>564</v>
      </c>
      <c r="BC1699">
        <v>68</v>
      </c>
      <c r="BD1699">
        <v>1.5</v>
      </c>
      <c r="BE1699">
        <v>135</v>
      </c>
      <c r="BF1699">
        <v>0</v>
      </c>
      <c r="BG1699">
        <v>162</v>
      </c>
      <c r="BH1699">
        <v>9.1</v>
      </c>
      <c r="BI1699">
        <v>9.1999999999999993</v>
      </c>
      <c r="BJ1699">
        <v>18.3</v>
      </c>
      <c r="BK1699">
        <v>0.34</v>
      </c>
      <c r="BL1699">
        <v>7.3</v>
      </c>
      <c r="BM1699">
        <v>0.9</v>
      </c>
      <c r="BN1699">
        <v>7.5</v>
      </c>
      <c r="BO1699">
        <v>2.9</v>
      </c>
      <c r="BP1699">
        <f t="shared" si="52"/>
        <v>2.27430333311995</v>
      </c>
      <c r="BQ1699">
        <f t="shared" si="53"/>
        <v>10.619377357397859</v>
      </c>
    </row>
    <row r="1700" spans="1:69" hidden="1" x14ac:dyDescent="0.2">
      <c r="A1700" t="s">
        <v>425</v>
      </c>
      <c r="B1700" t="s">
        <v>68</v>
      </c>
      <c r="C1700" t="s">
        <v>69</v>
      </c>
      <c r="D1700" t="s">
        <v>70</v>
      </c>
      <c r="E1700" t="s">
        <v>426</v>
      </c>
      <c r="F1700">
        <v>6</v>
      </c>
      <c r="G1700">
        <v>90</v>
      </c>
      <c r="H1700">
        <v>3</v>
      </c>
      <c r="I1700">
        <v>3</v>
      </c>
      <c r="J1700">
        <v>2</v>
      </c>
      <c r="K1700" t="s">
        <v>110</v>
      </c>
      <c r="L1700" t="s">
        <v>111</v>
      </c>
      <c r="M1700" s="4">
        <v>870000000</v>
      </c>
      <c r="N1700">
        <v>0</v>
      </c>
      <c r="O1700">
        <v>4.7022523879999998</v>
      </c>
      <c r="P1700">
        <v>-74.046173100000004</v>
      </c>
      <c r="Q1700" t="s">
        <v>427</v>
      </c>
      <c r="R1700">
        <v>9666666.6669999994</v>
      </c>
      <c r="S1700">
        <v>0</v>
      </c>
      <c r="T1700" t="s">
        <v>104</v>
      </c>
      <c r="U1700" t="s">
        <v>105</v>
      </c>
      <c r="V1700" t="s">
        <v>77</v>
      </c>
      <c r="W1700" t="s">
        <v>104</v>
      </c>
      <c r="X1700" t="s">
        <v>106</v>
      </c>
      <c r="Y1700">
        <v>1.9668147912065601</v>
      </c>
      <c r="Z1700">
        <v>1966.8147912065599</v>
      </c>
      <c r="AA1700">
        <v>4.71035</v>
      </c>
      <c r="AB1700">
        <v>-74.030416666666696</v>
      </c>
      <c r="AC1700">
        <v>2570</v>
      </c>
      <c r="AD1700">
        <v>10</v>
      </c>
      <c r="AE1700" t="s">
        <v>80</v>
      </c>
      <c r="AF1700" t="s">
        <v>107</v>
      </c>
      <c r="AG1700" t="s">
        <v>82</v>
      </c>
      <c r="AH1700" t="s">
        <v>83</v>
      </c>
      <c r="AI1700" t="s">
        <v>108</v>
      </c>
      <c r="AJ1700">
        <v>0.93095218106422495</v>
      </c>
      <c r="AK1700">
        <v>2.2759698984261298</v>
      </c>
      <c r="AL1700">
        <v>1.07075409128418</v>
      </c>
      <c r="AM1700">
        <v>9.36421651773678E-2</v>
      </c>
      <c r="AN1700">
        <v>4.8470887611183899</v>
      </c>
      <c r="AO1700">
        <v>0.10632650898627</v>
      </c>
      <c r="AP1700">
        <v>0.10632650898627</v>
      </c>
      <c r="AQ1700">
        <v>0</v>
      </c>
      <c r="AR1700">
        <v>1</v>
      </c>
      <c r="AS1700">
        <v>0</v>
      </c>
      <c r="AT1700">
        <v>0</v>
      </c>
      <c r="AU1700">
        <v>0</v>
      </c>
      <c r="AV1700">
        <v>178</v>
      </c>
      <c r="AW1700">
        <v>0</v>
      </c>
      <c r="AX1700">
        <v>0</v>
      </c>
      <c r="AY1700">
        <v>15.5</v>
      </c>
      <c r="AZ1700">
        <v>2.4</v>
      </c>
      <c r="BA1700">
        <v>10.9</v>
      </c>
      <c r="BB1700">
        <v>564</v>
      </c>
      <c r="BC1700">
        <v>68</v>
      </c>
      <c r="BD1700">
        <v>1.5</v>
      </c>
      <c r="BE1700">
        <v>135</v>
      </c>
      <c r="BF1700">
        <v>0</v>
      </c>
      <c r="BG1700">
        <v>162</v>
      </c>
      <c r="BH1700">
        <v>9.1</v>
      </c>
      <c r="BI1700">
        <v>9.1999999999999993</v>
      </c>
      <c r="BJ1700">
        <v>18.3</v>
      </c>
      <c r="BK1700">
        <v>0.34</v>
      </c>
      <c r="BL1700">
        <v>7.3</v>
      </c>
      <c r="BM1700">
        <v>0.9</v>
      </c>
      <c r="BN1700">
        <v>7.5</v>
      </c>
      <c r="BO1700">
        <v>2.9</v>
      </c>
      <c r="BP1700">
        <f t="shared" si="52"/>
        <v>2.1773562362767551</v>
      </c>
      <c r="BQ1700">
        <f t="shared" si="53"/>
        <v>10.397435968349733</v>
      </c>
    </row>
    <row r="1701" spans="1:69" hidden="1" x14ac:dyDescent="0.2">
      <c r="A1701" t="s">
        <v>1412</v>
      </c>
      <c r="B1701" t="s">
        <v>68</v>
      </c>
      <c r="C1701" t="s">
        <v>69</v>
      </c>
      <c r="D1701" t="s">
        <v>70</v>
      </c>
      <c r="E1701" t="s">
        <v>332</v>
      </c>
      <c r="F1701">
        <v>4</v>
      </c>
      <c r="G1701">
        <v>90</v>
      </c>
      <c r="H1701">
        <v>3</v>
      </c>
      <c r="I1701">
        <v>2</v>
      </c>
      <c r="J1701">
        <v>1</v>
      </c>
      <c r="K1701" t="s">
        <v>110</v>
      </c>
      <c r="L1701" t="s">
        <v>162</v>
      </c>
      <c r="M1701" s="4">
        <v>390000000</v>
      </c>
      <c r="N1701">
        <v>0</v>
      </c>
      <c r="O1701">
        <v>4.7271447000000002</v>
      </c>
      <c r="P1701">
        <v>-74.026880000000006</v>
      </c>
      <c r="Q1701" t="s">
        <v>1413</v>
      </c>
      <c r="R1701">
        <v>4333333.3329999996</v>
      </c>
      <c r="S1701">
        <v>0</v>
      </c>
      <c r="T1701" t="s">
        <v>104</v>
      </c>
      <c r="U1701" t="s">
        <v>105</v>
      </c>
      <c r="V1701" t="s">
        <v>77</v>
      </c>
      <c r="W1701" t="s">
        <v>104</v>
      </c>
      <c r="X1701" t="s">
        <v>106</v>
      </c>
      <c r="Y1701">
        <v>1.91030639691557</v>
      </c>
      <c r="Z1701">
        <v>1910.3063969155701</v>
      </c>
      <c r="AA1701">
        <v>4.71035</v>
      </c>
      <c r="AB1701">
        <v>-74.030416666666696</v>
      </c>
      <c r="AC1701">
        <v>2570</v>
      </c>
      <c r="AD1701">
        <v>10</v>
      </c>
      <c r="AE1701" t="s">
        <v>80</v>
      </c>
      <c r="AF1701" t="s">
        <v>107</v>
      </c>
      <c r="AG1701" t="s">
        <v>82</v>
      </c>
      <c r="AH1701" t="s">
        <v>83</v>
      </c>
      <c r="AI1701" t="s">
        <v>108</v>
      </c>
      <c r="AJ1701">
        <v>2.57593183963272</v>
      </c>
      <c r="AK1701">
        <v>0.62372757205412599</v>
      </c>
      <c r="AL1701">
        <v>1.58410374087373</v>
      </c>
      <c r="AM1701">
        <v>0.266367804276612</v>
      </c>
      <c r="AN1701">
        <v>1.5906339863554699</v>
      </c>
      <c r="AO1701">
        <v>0.34495876452316099</v>
      </c>
      <c r="AP1701">
        <v>0.34495876452316099</v>
      </c>
      <c r="AQ1701">
        <v>0</v>
      </c>
      <c r="AR1701">
        <v>0</v>
      </c>
      <c r="AS1701">
        <v>0</v>
      </c>
      <c r="AT1701">
        <v>28</v>
      </c>
      <c r="AU1701">
        <v>0</v>
      </c>
      <c r="AV1701">
        <v>8</v>
      </c>
      <c r="AW1701">
        <v>0</v>
      </c>
      <c r="AX1701">
        <v>0</v>
      </c>
      <c r="AY1701">
        <v>15.5</v>
      </c>
      <c r="AZ1701">
        <v>2.4</v>
      </c>
      <c r="BA1701">
        <v>10.9</v>
      </c>
      <c r="BB1701">
        <v>564</v>
      </c>
      <c r="BC1701">
        <v>68</v>
      </c>
      <c r="BD1701">
        <v>1.5</v>
      </c>
      <c r="BE1701">
        <v>135</v>
      </c>
      <c r="BF1701">
        <v>0</v>
      </c>
      <c r="BG1701">
        <v>162</v>
      </c>
      <c r="BH1701">
        <v>9.1</v>
      </c>
      <c r="BI1701">
        <v>9.1999999999999993</v>
      </c>
      <c r="BJ1701">
        <v>18.3</v>
      </c>
      <c r="BK1701">
        <v>0.34</v>
      </c>
      <c r="BL1701">
        <v>7.3</v>
      </c>
      <c r="BM1701">
        <v>0.9</v>
      </c>
      <c r="BN1701">
        <v>7.5</v>
      </c>
      <c r="BO1701">
        <v>2.9</v>
      </c>
      <c r="BP1701">
        <f t="shared" si="52"/>
        <v>2.1834551879720756</v>
      </c>
      <c r="BQ1701">
        <f t="shared" si="53"/>
        <v>10.411546552455912</v>
      </c>
    </row>
    <row r="1702" spans="1:69" hidden="1" x14ac:dyDescent="0.2">
      <c r="A1702" t="s">
        <v>822</v>
      </c>
      <c r="B1702" t="s">
        <v>68</v>
      </c>
      <c r="C1702" t="s">
        <v>69</v>
      </c>
      <c r="D1702" t="s">
        <v>70</v>
      </c>
      <c r="E1702" t="s">
        <v>560</v>
      </c>
      <c r="F1702">
        <v>5</v>
      </c>
      <c r="G1702">
        <v>90</v>
      </c>
      <c r="H1702">
        <v>1</v>
      </c>
      <c r="I1702">
        <v>2</v>
      </c>
      <c r="J1702">
        <v>2</v>
      </c>
      <c r="K1702" t="s">
        <v>110</v>
      </c>
      <c r="L1702" t="s">
        <v>111</v>
      </c>
      <c r="M1702" s="4">
        <v>890000000</v>
      </c>
      <c r="N1702">
        <v>0</v>
      </c>
      <c r="O1702">
        <v>4.7145090100000004</v>
      </c>
      <c r="P1702">
        <v>-74.037246699999997</v>
      </c>
      <c r="Q1702" t="s">
        <v>823</v>
      </c>
      <c r="R1702">
        <v>9888888.8890000004</v>
      </c>
      <c r="S1702">
        <v>0</v>
      </c>
      <c r="T1702" t="s">
        <v>104</v>
      </c>
      <c r="U1702" t="s">
        <v>105</v>
      </c>
      <c r="V1702" t="s">
        <v>77</v>
      </c>
      <c r="W1702" t="s">
        <v>104</v>
      </c>
      <c r="X1702" t="s">
        <v>106</v>
      </c>
      <c r="Y1702">
        <v>0.88799094134168699</v>
      </c>
      <c r="Z1702">
        <v>887.99094134168695</v>
      </c>
      <c r="AA1702">
        <v>4.71035</v>
      </c>
      <c r="AB1702">
        <v>-74.030416666666696</v>
      </c>
      <c r="AC1702">
        <v>2570</v>
      </c>
      <c r="AD1702">
        <v>10</v>
      </c>
      <c r="AE1702" t="s">
        <v>80</v>
      </c>
      <c r="AF1702" t="s">
        <v>107</v>
      </c>
      <c r="AG1702" t="s">
        <v>82</v>
      </c>
      <c r="AH1702" t="s">
        <v>83</v>
      </c>
      <c r="AI1702" t="s">
        <v>108</v>
      </c>
      <c r="AJ1702">
        <v>1.6976821403512701</v>
      </c>
      <c r="AK1702">
        <v>1.4086573649943499</v>
      </c>
      <c r="AL1702">
        <v>0.64712604886780201</v>
      </c>
      <c r="AM1702">
        <v>0.27023566560201701</v>
      </c>
      <c r="AN1702">
        <v>3.20637763844412</v>
      </c>
      <c r="AO1702">
        <v>0.28404166913471501</v>
      </c>
      <c r="AP1702">
        <v>0.28404166913471501</v>
      </c>
      <c r="AQ1702">
        <v>0</v>
      </c>
      <c r="AR1702">
        <v>0</v>
      </c>
      <c r="AS1702">
        <v>0</v>
      </c>
      <c r="AT1702">
        <v>0</v>
      </c>
      <c r="AU1702">
        <v>1</v>
      </c>
      <c r="AV1702">
        <v>77</v>
      </c>
      <c r="AW1702">
        <v>0</v>
      </c>
      <c r="AX1702">
        <v>0</v>
      </c>
      <c r="AY1702">
        <v>15.5</v>
      </c>
      <c r="AZ1702">
        <v>2.4</v>
      </c>
      <c r="BA1702">
        <v>10.9</v>
      </c>
      <c r="BB1702">
        <v>564</v>
      </c>
      <c r="BC1702">
        <v>68</v>
      </c>
      <c r="BD1702">
        <v>1.5</v>
      </c>
      <c r="BE1702">
        <v>135</v>
      </c>
      <c r="BF1702">
        <v>0</v>
      </c>
      <c r="BG1702">
        <v>162</v>
      </c>
      <c r="BH1702">
        <v>9.1</v>
      </c>
      <c r="BI1702">
        <v>9.1999999999999993</v>
      </c>
      <c r="BJ1702">
        <v>18.3</v>
      </c>
      <c r="BK1702">
        <v>0.34</v>
      </c>
      <c r="BL1702">
        <v>7.3</v>
      </c>
      <c r="BM1702">
        <v>0.9</v>
      </c>
      <c r="BN1702">
        <v>7.5</v>
      </c>
      <c r="BO1702">
        <v>2.9</v>
      </c>
      <c r="BP1702">
        <f t="shared" si="52"/>
        <v>2.2967915843858022</v>
      </c>
      <c r="BQ1702">
        <f t="shared" si="53"/>
        <v>10.670159425173953</v>
      </c>
    </row>
    <row r="1703" spans="1:69" hidden="1" x14ac:dyDescent="0.2">
      <c r="A1703" t="s">
        <v>259</v>
      </c>
      <c r="B1703" t="s">
        <v>68</v>
      </c>
      <c r="C1703" t="s">
        <v>69</v>
      </c>
      <c r="D1703" t="s">
        <v>70</v>
      </c>
      <c r="E1703" t="s">
        <v>205</v>
      </c>
      <c r="F1703">
        <v>4</v>
      </c>
      <c r="G1703">
        <v>89.5</v>
      </c>
      <c r="H1703">
        <v>3</v>
      </c>
      <c r="I1703">
        <v>2</v>
      </c>
      <c r="J1703">
        <v>2</v>
      </c>
      <c r="K1703" t="s">
        <v>110</v>
      </c>
      <c r="L1703" t="s">
        <v>162</v>
      </c>
      <c r="M1703" s="4">
        <v>455000000</v>
      </c>
      <c r="N1703">
        <v>0</v>
      </c>
      <c r="O1703">
        <v>4.7178544999999996</v>
      </c>
      <c r="P1703">
        <v>-74.029747009999994</v>
      </c>
      <c r="Q1703" t="s">
        <v>260</v>
      </c>
      <c r="R1703">
        <v>5083798.8830000004</v>
      </c>
      <c r="S1703">
        <v>0</v>
      </c>
      <c r="T1703" t="s">
        <v>104</v>
      </c>
      <c r="U1703" t="s">
        <v>105</v>
      </c>
      <c r="V1703" t="s">
        <v>77</v>
      </c>
      <c r="W1703" t="s">
        <v>104</v>
      </c>
      <c r="X1703" t="s">
        <v>106</v>
      </c>
      <c r="Y1703">
        <v>0.83869416026502397</v>
      </c>
      <c r="Z1703">
        <v>838.69416026502404</v>
      </c>
      <c r="AA1703">
        <v>4.71035</v>
      </c>
      <c r="AB1703">
        <v>-74.030416666666696</v>
      </c>
      <c r="AC1703">
        <v>2570</v>
      </c>
      <c r="AD1703">
        <v>10</v>
      </c>
      <c r="AE1703" t="s">
        <v>80</v>
      </c>
      <c r="AF1703" t="s">
        <v>107</v>
      </c>
      <c r="AG1703" t="s">
        <v>82</v>
      </c>
      <c r="AH1703" t="s">
        <v>83</v>
      </c>
      <c r="AI1703" t="s">
        <v>108</v>
      </c>
      <c r="AJ1703">
        <v>2.43484350642332</v>
      </c>
      <c r="AK1703">
        <v>0.71263369252854603</v>
      </c>
      <c r="AL1703">
        <v>0.85489277087020699</v>
      </c>
      <c r="AM1703">
        <v>0.15914262422064401</v>
      </c>
      <c r="AN1703">
        <v>2.6384815113903399</v>
      </c>
      <c r="AO1703">
        <v>0.132634814564317</v>
      </c>
      <c r="AP1703">
        <v>0.132634814564317</v>
      </c>
      <c r="AQ1703">
        <v>0</v>
      </c>
      <c r="AR1703">
        <v>0</v>
      </c>
      <c r="AS1703">
        <v>0</v>
      </c>
      <c r="AT1703">
        <v>30</v>
      </c>
      <c r="AU1703">
        <v>1</v>
      </c>
      <c r="AV1703">
        <v>74</v>
      </c>
      <c r="AW1703">
        <v>0</v>
      </c>
      <c r="AX1703">
        <v>0</v>
      </c>
      <c r="AY1703">
        <v>15.5</v>
      </c>
      <c r="AZ1703">
        <v>2.4</v>
      </c>
      <c r="BA1703">
        <v>10.9</v>
      </c>
      <c r="BB1703">
        <v>564</v>
      </c>
      <c r="BC1703">
        <v>68</v>
      </c>
      <c r="BD1703">
        <v>1.5</v>
      </c>
      <c r="BE1703">
        <v>135</v>
      </c>
      <c r="BF1703">
        <v>0</v>
      </c>
      <c r="BG1703">
        <v>162</v>
      </c>
      <c r="BH1703">
        <v>9.1</v>
      </c>
      <c r="BI1703">
        <v>9.1999999999999993</v>
      </c>
      <c r="BJ1703">
        <v>18.3</v>
      </c>
      <c r="BK1703">
        <v>0.34</v>
      </c>
      <c r="BL1703">
        <v>7.3</v>
      </c>
      <c r="BM1703">
        <v>0.9</v>
      </c>
      <c r="BN1703">
        <v>7.5</v>
      </c>
      <c r="BO1703">
        <v>2.9</v>
      </c>
      <c r="BP1703">
        <f t="shared" si="52"/>
        <v>2.3024030374888254</v>
      </c>
      <c r="BQ1703">
        <f t="shared" si="53"/>
        <v>10.682791004372495</v>
      </c>
    </row>
    <row r="1704" spans="1:69" hidden="1" x14ac:dyDescent="0.2">
      <c r="A1704" t="s">
        <v>777</v>
      </c>
      <c r="B1704" t="s">
        <v>68</v>
      </c>
      <c r="C1704" t="s">
        <v>69</v>
      </c>
      <c r="D1704" t="s">
        <v>70</v>
      </c>
      <c r="E1704" t="s">
        <v>283</v>
      </c>
      <c r="F1704">
        <v>4</v>
      </c>
      <c r="G1704">
        <v>89</v>
      </c>
      <c r="H1704">
        <v>3</v>
      </c>
      <c r="I1704">
        <v>3</v>
      </c>
      <c r="J1704">
        <v>2</v>
      </c>
      <c r="K1704" t="s">
        <v>110</v>
      </c>
      <c r="L1704" t="s">
        <v>124</v>
      </c>
      <c r="M1704" s="4">
        <v>630000000</v>
      </c>
      <c r="N1704">
        <v>0</v>
      </c>
      <c r="O1704">
        <v>4.7302474999999999</v>
      </c>
      <c r="P1704">
        <v>-74.033709999999999</v>
      </c>
      <c r="Q1704" t="s">
        <v>778</v>
      </c>
      <c r="R1704">
        <v>7078651.6849999996</v>
      </c>
      <c r="S1704">
        <v>0</v>
      </c>
      <c r="T1704" t="s">
        <v>104</v>
      </c>
      <c r="U1704" t="s">
        <v>105</v>
      </c>
      <c r="V1704" t="s">
        <v>77</v>
      </c>
      <c r="W1704" t="s">
        <v>104</v>
      </c>
      <c r="X1704" t="s">
        <v>106</v>
      </c>
      <c r="Y1704">
        <v>2.2449117596306198</v>
      </c>
      <c r="Z1704">
        <v>2244.9117596306201</v>
      </c>
      <c r="AA1704">
        <v>4.71035</v>
      </c>
      <c r="AB1704">
        <v>-74.030416666666696</v>
      </c>
      <c r="AC1704">
        <v>2570</v>
      </c>
      <c r="AD1704">
        <v>10</v>
      </c>
      <c r="AE1704" t="s">
        <v>80</v>
      </c>
      <c r="AF1704" t="s">
        <v>107</v>
      </c>
      <c r="AG1704" t="s">
        <v>82</v>
      </c>
      <c r="AH1704" t="s">
        <v>83</v>
      </c>
      <c r="AI1704" t="s">
        <v>108</v>
      </c>
      <c r="AJ1704">
        <v>1.7859561065551901</v>
      </c>
      <c r="AK1704">
        <v>1.3262231808373199</v>
      </c>
      <c r="AL1704">
        <v>0.75298353011663699</v>
      </c>
      <c r="AM1704">
        <v>0.327733752967169</v>
      </c>
      <c r="AN1704">
        <v>1.46805660417537</v>
      </c>
      <c r="AO1704">
        <v>0.116670323085942</v>
      </c>
      <c r="AP1704">
        <v>0.116670323085942</v>
      </c>
      <c r="AQ1704">
        <v>0</v>
      </c>
      <c r="AR1704">
        <v>0</v>
      </c>
      <c r="AS1704">
        <v>0</v>
      </c>
      <c r="AT1704">
        <v>0</v>
      </c>
      <c r="AU1704">
        <v>1</v>
      </c>
      <c r="AV1704">
        <v>8</v>
      </c>
      <c r="AW1704">
        <v>0</v>
      </c>
      <c r="AX1704">
        <v>0</v>
      </c>
      <c r="AY1704">
        <v>15.5</v>
      </c>
      <c r="AZ1704">
        <v>2.4</v>
      </c>
      <c r="BA1704">
        <v>10.9</v>
      </c>
      <c r="BB1704">
        <v>564</v>
      </c>
      <c r="BC1704">
        <v>68</v>
      </c>
      <c r="BD1704">
        <v>1.5</v>
      </c>
      <c r="BE1704">
        <v>135</v>
      </c>
      <c r="BF1704">
        <v>0</v>
      </c>
      <c r="BG1704">
        <v>162</v>
      </c>
      <c r="BH1704">
        <v>9.1</v>
      </c>
      <c r="BI1704">
        <v>9.1999999999999993</v>
      </c>
      <c r="BJ1704">
        <v>18.3</v>
      </c>
      <c r="BK1704">
        <v>0.34</v>
      </c>
      <c r="BL1704">
        <v>7.3</v>
      </c>
      <c r="BM1704">
        <v>0.9</v>
      </c>
      <c r="BN1704">
        <v>7.5</v>
      </c>
      <c r="BO1704">
        <v>2.9</v>
      </c>
      <c r="BP1704">
        <f t="shared" si="52"/>
        <v>2.1475885440576081</v>
      </c>
      <c r="BQ1704">
        <f t="shared" si="53"/>
        <v>10.328271149290261</v>
      </c>
    </row>
    <row r="1705" spans="1:69" hidden="1" x14ac:dyDescent="0.2">
      <c r="A1705" t="s">
        <v>1816</v>
      </c>
      <c r="B1705" t="s">
        <v>68</v>
      </c>
      <c r="C1705" t="s">
        <v>69</v>
      </c>
      <c r="D1705" t="s">
        <v>70</v>
      </c>
      <c r="E1705" t="s">
        <v>193</v>
      </c>
      <c r="F1705">
        <v>5</v>
      </c>
      <c r="G1705">
        <v>89</v>
      </c>
      <c r="H1705">
        <v>2</v>
      </c>
      <c r="I1705">
        <v>3</v>
      </c>
      <c r="J1705">
        <v>2</v>
      </c>
      <c r="K1705" t="s">
        <v>110</v>
      </c>
      <c r="L1705" t="s">
        <v>111</v>
      </c>
      <c r="M1705" s="4">
        <v>870000000</v>
      </c>
      <c r="N1705">
        <v>0</v>
      </c>
      <c r="O1705">
        <v>4.7017321589999996</v>
      </c>
      <c r="P1705">
        <v>-74.031417849999997</v>
      </c>
      <c r="Q1705" t="s">
        <v>1817</v>
      </c>
      <c r="R1705">
        <v>9775280.8990000002</v>
      </c>
      <c r="S1705">
        <v>0</v>
      </c>
      <c r="T1705" t="s">
        <v>104</v>
      </c>
      <c r="U1705" t="s">
        <v>105</v>
      </c>
      <c r="V1705" t="s">
        <v>77</v>
      </c>
      <c r="W1705" t="s">
        <v>104</v>
      </c>
      <c r="X1705" t="s">
        <v>106</v>
      </c>
      <c r="Y1705">
        <v>0.96574264583204406</v>
      </c>
      <c r="Z1705">
        <v>965.74264583204399</v>
      </c>
      <c r="AA1705">
        <v>4.71035</v>
      </c>
      <c r="AB1705">
        <v>-74.030416666666696</v>
      </c>
      <c r="AC1705">
        <v>2570</v>
      </c>
      <c r="AD1705">
        <v>10</v>
      </c>
      <c r="AE1705" t="s">
        <v>80</v>
      </c>
      <c r="AF1705" t="s">
        <v>107</v>
      </c>
      <c r="AG1705" t="s">
        <v>82</v>
      </c>
      <c r="AH1705" t="s">
        <v>83</v>
      </c>
      <c r="AI1705" t="s">
        <v>108</v>
      </c>
      <c r="AJ1705">
        <v>2.5491322364014</v>
      </c>
      <c r="AK1705">
        <v>0.65119484680859396</v>
      </c>
      <c r="AL1705">
        <v>0.124099189631749</v>
      </c>
      <c r="AM1705">
        <v>8.2289613709770199E-2</v>
      </c>
      <c r="AN1705">
        <v>4.4294925654663198</v>
      </c>
      <c r="AO1705">
        <v>0.401798976017961</v>
      </c>
      <c r="AP1705">
        <v>0.401798976017961</v>
      </c>
      <c r="AQ1705">
        <v>0</v>
      </c>
      <c r="AR1705">
        <v>0</v>
      </c>
      <c r="AS1705">
        <v>0</v>
      </c>
      <c r="AT1705">
        <v>21</v>
      </c>
      <c r="AU1705">
        <v>2</v>
      </c>
      <c r="AV1705">
        <v>117</v>
      </c>
      <c r="AW1705">
        <v>0</v>
      </c>
      <c r="AX1705">
        <v>0</v>
      </c>
      <c r="AY1705">
        <v>15.5</v>
      </c>
      <c r="AZ1705">
        <v>2.4</v>
      </c>
      <c r="BA1705">
        <v>10.9</v>
      </c>
      <c r="BB1705">
        <v>564</v>
      </c>
      <c r="BC1705">
        <v>68</v>
      </c>
      <c r="BD1705">
        <v>1.5</v>
      </c>
      <c r="BE1705">
        <v>135</v>
      </c>
      <c r="BF1705">
        <v>0</v>
      </c>
      <c r="BG1705">
        <v>162</v>
      </c>
      <c r="BH1705">
        <v>9.1</v>
      </c>
      <c r="BI1705">
        <v>9.1999999999999993</v>
      </c>
      <c r="BJ1705">
        <v>18.3</v>
      </c>
      <c r="BK1705">
        <v>0.34</v>
      </c>
      <c r="BL1705">
        <v>7.3</v>
      </c>
      <c r="BM1705">
        <v>0.9</v>
      </c>
      <c r="BN1705">
        <v>7.5</v>
      </c>
      <c r="BO1705">
        <v>2.9</v>
      </c>
      <c r="BP1705">
        <f t="shared" si="52"/>
        <v>2.2879688899727153</v>
      </c>
      <c r="BQ1705">
        <f t="shared" si="53"/>
        <v>10.650267036971522</v>
      </c>
    </row>
    <row r="1706" spans="1:69" hidden="1" x14ac:dyDescent="0.2">
      <c r="A1706" t="s">
        <v>215</v>
      </c>
      <c r="B1706" t="s">
        <v>68</v>
      </c>
      <c r="C1706" t="s">
        <v>69</v>
      </c>
      <c r="D1706" t="s">
        <v>70</v>
      </c>
      <c r="E1706" t="s">
        <v>216</v>
      </c>
      <c r="F1706">
        <v>6</v>
      </c>
      <c r="G1706">
        <v>88.9</v>
      </c>
      <c r="H1706">
        <v>2</v>
      </c>
      <c r="I1706">
        <v>2</v>
      </c>
      <c r="J1706">
        <v>1</v>
      </c>
      <c r="K1706" t="s">
        <v>110</v>
      </c>
      <c r="L1706" t="s">
        <v>162</v>
      </c>
      <c r="M1706" s="4">
        <v>560000000</v>
      </c>
      <c r="N1706">
        <v>0</v>
      </c>
      <c r="O1706">
        <v>4.6956429479999997</v>
      </c>
      <c r="P1706">
        <v>-74.037605290000002</v>
      </c>
      <c r="Q1706" t="s">
        <v>217</v>
      </c>
      <c r="R1706">
        <v>6299212.5980000002</v>
      </c>
      <c r="S1706">
        <v>0</v>
      </c>
      <c r="T1706" t="s">
        <v>104</v>
      </c>
      <c r="U1706" t="s">
        <v>105</v>
      </c>
      <c r="V1706" t="s">
        <v>77</v>
      </c>
      <c r="W1706" t="s">
        <v>104</v>
      </c>
      <c r="X1706" t="s">
        <v>106</v>
      </c>
      <c r="Y1706">
        <v>1.8211075681322</v>
      </c>
      <c r="Z1706">
        <v>1821.1075681322</v>
      </c>
      <c r="AA1706">
        <v>4.71035</v>
      </c>
      <c r="AB1706">
        <v>-74.030416666666696</v>
      </c>
      <c r="AC1706">
        <v>2570</v>
      </c>
      <c r="AD1706">
        <v>10</v>
      </c>
      <c r="AE1706" t="s">
        <v>80</v>
      </c>
      <c r="AF1706" t="s">
        <v>107</v>
      </c>
      <c r="AG1706" t="s">
        <v>82</v>
      </c>
      <c r="AH1706" t="s">
        <v>83</v>
      </c>
      <c r="AI1706" t="s">
        <v>108</v>
      </c>
      <c r="AJ1706">
        <v>1.98202877768904</v>
      </c>
      <c r="AK1706">
        <v>1.2946440845227301</v>
      </c>
      <c r="AL1706">
        <v>0.84877524909145896</v>
      </c>
      <c r="AM1706">
        <v>3.2917575812414501E-2</v>
      </c>
      <c r="AN1706">
        <v>5.2131597611898499</v>
      </c>
      <c r="AO1706">
        <v>0.26586862287462099</v>
      </c>
      <c r="AP1706">
        <v>0.26586862287462099</v>
      </c>
      <c r="AQ1706">
        <v>0</v>
      </c>
      <c r="AR1706">
        <v>0</v>
      </c>
      <c r="AS1706">
        <v>0</v>
      </c>
      <c r="AT1706">
        <v>0</v>
      </c>
      <c r="AU1706">
        <v>2</v>
      </c>
      <c r="AV1706">
        <v>147</v>
      </c>
      <c r="AW1706">
        <v>0</v>
      </c>
      <c r="AX1706">
        <v>0</v>
      </c>
      <c r="AY1706">
        <v>15.5</v>
      </c>
      <c r="AZ1706">
        <v>2.4</v>
      </c>
      <c r="BA1706">
        <v>10.9</v>
      </c>
      <c r="BB1706">
        <v>564</v>
      </c>
      <c r="BC1706">
        <v>68</v>
      </c>
      <c r="BD1706">
        <v>1.5</v>
      </c>
      <c r="BE1706">
        <v>135</v>
      </c>
      <c r="BF1706">
        <v>0</v>
      </c>
      <c r="BG1706">
        <v>162</v>
      </c>
      <c r="BH1706">
        <v>9.1</v>
      </c>
      <c r="BI1706">
        <v>9.1999999999999993</v>
      </c>
      <c r="BJ1706">
        <v>18.3</v>
      </c>
      <c r="BK1706">
        <v>0.34</v>
      </c>
      <c r="BL1706">
        <v>7.3</v>
      </c>
      <c r="BM1706">
        <v>0.9</v>
      </c>
      <c r="BN1706">
        <v>7.5</v>
      </c>
      <c r="BO1706">
        <v>2.9</v>
      </c>
      <c r="BP1706">
        <f t="shared" si="52"/>
        <v>2.1931172042791252</v>
      </c>
      <c r="BQ1706">
        <f t="shared" si="53"/>
        <v>10.433859173249495</v>
      </c>
    </row>
    <row r="1707" spans="1:69" hidden="1" x14ac:dyDescent="0.2">
      <c r="A1707" t="s">
        <v>1462</v>
      </c>
      <c r="B1707" t="s">
        <v>68</v>
      </c>
      <c r="C1707" t="s">
        <v>69</v>
      </c>
      <c r="D1707" t="s">
        <v>70</v>
      </c>
      <c r="E1707" t="s">
        <v>283</v>
      </c>
      <c r="F1707">
        <v>4</v>
      </c>
      <c r="G1707">
        <v>88</v>
      </c>
      <c r="H1707">
        <v>2</v>
      </c>
      <c r="I1707">
        <v>2</v>
      </c>
      <c r="J1707">
        <v>2</v>
      </c>
      <c r="K1707" t="s">
        <v>110</v>
      </c>
      <c r="L1707" t="s">
        <v>124</v>
      </c>
      <c r="M1707" s="4">
        <v>650000000</v>
      </c>
      <c r="N1707">
        <v>0</v>
      </c>
      <c r="O1707">
        <v>4.7273464199999999</v>
      </c>
      <c r="P1707">
        <v>-74.038963319999993</v>
      </c>
      <c r="Q1707" t="s">
        <v>1463</v>
      </c>
      <c r="R1707">
        <v>7386363.6359999999</v>
      </c>
      <c r="S1707">
        <v>0</v>
      </c>
      <c r="T1707" t="s">
        <v>104</v>
      </c>
      <c r="U1707" t="s">
        <v>105</v>
      </c>
      <c r="V1707" t="s">
        <v>77</v>
      </c>
      <c r="W1707" t="s">
        <v>104</v>
      </c>
      <c r="X1707" t="s">
        <v>106</v>
      </c>
      <c r="Y1707">
        <v>2.11632734312448</v>
      </c>
      <c r="Z1707">
        <v>2116.3273431244802</v>
      </c>
      <c r="AA1707">
        <v>4.71035</v>
      </c>
      <c r="AB1707">
        <v>-74.030416666666696</v>
      </c>
      <c r="AC1707">
        <v>2570</v>
      </c>
      <c r="AD1707">
        <v>10</v>
      </c>
      <c r="AE1707" t="s">
        <v>80</v>
      </c>
      <c r="AF1707" t="s">
        <v>107</v>
      </c>
      <c r="AG1707" t="s">
        <v>82</v>
      </c>
      <c r="AH1707" t="s">
        <v>83</v>
      </c>
      <c r="AI1707" t="s">
        <v>108</v>
      </c>
      <c r="AJ1707">
        <v>1.2649207007518399</v>
      </c>
      <c r="AK1707">
        <v>1.9028758017684699</v>
      </c>
      <c r="AL1707">
        <v>0.62211506037911801</v>
      </c>
      <c r="AM1707">
        <v>0.47487930947010498</v>
      </c>
      <c r="AN1707">
        <v>2.0732700867279998</v>
      </c>
      <c r="AO1707">
        <v>0.19593186490197101</v>
      </c>
      <c r="AP1707">
        <v>0.19593186490197101</v>
      </c>
      <c r="AQ1707">
        <v>0</v>
      </c>
      <c r="AR1707">
        <v>0</v>
      </c>
      <c r="AS1707">
        <v>0</v>
      </c>
      <c r="AT1707">
        <v>0</v>
      </c>
      <c r="AU1707">
        <v>1</v>
      </c>
      <c r="AV1707">
        <v>24</v>
      </c>
      <c r="AW1707">
        <v>0</v>
      </c>
      <c r="AX1707">
        <v>0</v>
      </c>
      <c r="AY1707">
        <v>15.5</v>
      </c>
      <c r="AZ1707">
        <v>2.4</v>
      </c>
      <c r="BA1707">
        <v>10.9</v>
      </c>
      <c r="BB1707">
        <v>564</v>
      </c>
      <c r="BC1707">
        <v>68</v>
      </c>
      <c r="BD1707">
        <v>1.5</v>
      </c>
      <c r="BE1707">
        <v>135</v>
      </c>
      <c r="BF1707">
        <v>0</v>
      </c>
      <c r="BG1707">
        <v>162</v>
      </c>
      <c r="BH1707">
        <v>9.1</v>
      </c>
      <c r="BI1707">
        <v>9.1999999999999993</v>
      </c>
      <c r="BJ1707">
        <v>18.3</v>
      </c>
      <c r="BK1707">
        <v>0.34</v>
      </c>
      <c r="BL1707">
        <v>7.3</v>
      </c>
      <c r="BM1707">
        <v>0.9</v>
      </c>
      <c r="BN1707">
        <v>7.5</v>
      </c>
      <c r="BO1707">
        <v>2.9</v>
      </c>
      <c r="BP1707">
        <f t="shared" si="52"/>
        <v>2.1613013861750598</v>
      </c>
      <c r="BQ1707">
        <f t="shared" si="53"/>
        <v>10.360193694119157</v>
      </c>
    </row>
    <row r="1708" spans="1:69" hidden="1" x14ac:dyDescent="0.2">
      <c r="A1708" t="s">
        <v>1397</v>
      </c>
      <c r="B1708" t="s">
        <v>68</v>
      </c>
      <c r="C1708" t="s">
        <v>69</v>
      </c>
      <c r="D1708" t="s">
        <v>70</v>
      </c>
      <c r="E1708" t="s">
        <v>190</v>
      </c>
      <c r="F1708">
        <v>6</v>
      </c>
      <c r="G1708">
        <v>87</v>
      </c>
      <c r="H1708">
        <v>2</v>
      </c>
      <c r="I1708">
        <v>3</v>
      </c>
      <c r="J1708">
        <v>1</v>
      </c>
      <c r="K1708" t="s">
        <v>72</v>
      </c>
      <c r="L1708" t="s">
        <v>73</v>
      </c>
      <c r="M1708" s="4">
        <v>927000000</v>
      </c>
      <c r="N1708">
        <v>0</v>
      </c>
      <c r="O1708">
        <v>4.6849183999999999</v>
      </c>
      <c r="P1708">
        <v>-74.045360000000002</v>
      </c>
      <c r="Q1708" t="s">
        <v>1398</v>
      </c>
      <c r="R1708">
        <v>10655172.41</v>
      </c>
      <c r="S1708">
        <v>0</v>
      </c>
      <c r="T1708" t="s">
        <v>104</v>
      </c>
      <c r="U1708" t="s">
        <v>105</v>
      </c>
      <c r="V1708" t="s">
        <v>77</v>
      </c>
      <c r="W1708" t="s">
        <v>104</v>
      </c>
      <c r="X1708" t="s">
        <v>106</v>
      </c>
      <c r="Y1708">
        <v>3.2807569802126602</v>
      </c>
      <c r="Z1708">
        <v>3280.75698021266</v>
      </c>
      <c r="AA1708">
        <v>4.71035</v>
      </c>
      <c r="AB1708">
        <v>-74.030416666666696</v>
      </c>
      <c r="AC1708">
        <v>2570</v>
      </c>
      <c r="AD1708">
        <v>10</v>
      </c>
      <c r="AE1708" t="s">
        <v>80</v>
      </c>
      <c r="AF1708" t="s">
        <v>107</v>
      </c>
      <c r="AG1708" t="s">
        <v>82</v>
      </c>
      <c r="AH1708" t="s">
        <v>83</v>
      </c>
      <c r="AI1708" t="s">
        <v>108</v>
      </c>
      <c r="AJ1708">
        <v>1.37380277563854</v>
      </c>
      <c r="AK1708">
        <v>1.2243109840482</v>
      </c>
      <c r="AL1708">
        <v>0.64771334240354606</v>
      </c>
      <c r="AM1708">
        <v>0.13319029730864199</v>
      </c>
      <c r="AN1708">
        <v>4.2293790482367699</v>
      </c>
      <c r="AO1708">
        <v>0.50879496026064197</v>
      </c>
      <c r="AP1708">
        <v>0.50879496026064197</v>
      </c>
      <c r="AQ1708">
        <v>0</v>
      </c>
      <c r="AR1708">
        <v>0</v>
      </c>
      <c r="AS1708">
        <v>0</v>
      </c>
      <c r="AT1708">
        <v>0</v>
      </c>
      <c r="AU1708">
        <v>7</v>
      </c>
      <c r="AV1708">
        <v>122</v>
      </c>
      <c r="AW1708">
        <v>0</v>
      </c>
      <c r="AX1708">
        <v>0</v>
      </c>
      <c r="AY1708">
        <v>15.5</v>
      </c>
      <c r="AZ1708">
        <v>2.4</v>
      </c>
      <c r="BA1708">
        <v>10.9</v>
      </c>
      <c r="BB1708">
        <v>564</v>
      </c>
      <c r="BC1708">
        <v>68</v>
      </c>
      <c r="BD1708">
        <v>1.5</v>
      </c>
      <c r="BE1708">
        <v>135</v>
      </c>
      <c r="BF1708">
        <v>0</v>
      </c>
      <c r="BG1708">
        <v>162</v>
      </c>
      <c r="BH1708">
        <v>9.1</v>
      </c>
      <c r="BI1708">
        <v>9.1999999999999993</v>
      </c>
      <c r="BJ1708">
        <v>18.3</v>
      </c>
      <c r="BK1708">
        <v>0.34</v>
      </c>
      <c r="BL1708">
        <v>7.3</v>
      </c>
      <c r="BM1708">
        <v>0.9</v>
      </c>
      <c r="BN1708">
        <v>7.5</v>
      </c>
      <c r="BO1708">
        <v>2.9</v>
      </c>
      <c r="BP1708">
        <f t="shared" si="52"/>
        <v>2.0402477913615242</v>
      </c>
      <c r="BQ1708">
        <f t="shared" si="53"/>
        <v>10.074672707629528</v>
      </c>
    </row>
    <row r="1709" spans="1:69" hidden="1" x14ac:dyDescent="0.2">
      <c r="A1709" t="s">
        <v>651</v>
      </c>
      <c r="B1709" t="s">
        <v>68</v>
      </c>
      <c r="C1709" t="s">
        <v>69</v>
      </c>
      <c r="D1709" t="s">
        <v>70</v>
      </c>
      <c r="E1709" t="s">
        <v>210</v>
      </c>
      <c r="F1709">
        <v>6</v>
      </c>
      <c r="G1709">
        <v>87</v>
      </c>
      <c r="H1709">
        <v>2</v>
      </c>
      <c r="I1709">
        <v>2</v>
      </c>
      <c r="J1709">
        <v>2</v>
      </c>
      <c r="K1709" t="s">
        <v>110</v>
      </c>
      <c r="L1709" t="s">
        <v>162</v>
      </c>
      <c r="M1709" s="4">
        <v>590000000</v>
      </c>
      <c r="N1709">
        <v>0</v>
      </c>
      <c r="O1709">
        <v>4.6935469999999997</v>
      </c>
      <c r="P1709">
        <v>-74.044539999999998</v>
      </c>
      <c r="Q1709" t="s">
        <v>652</v>
      </c>
      <c r="R1709">
        <v>6781609.1950000003</v>
      </c>
      <c r="S1709">
        <v>0</v>
      </c>
      <c r="T1709" t="s">
        <v>104</v>
      </c>
      <c r="U1709" t="s">
        <v>105</v>
      </c>
      <c r="V1709" t="s">
        <v>77</v>
      </c>
      <c r="W1709" t="s">
        <v>104</v>
      </c>
      <c r="X1709" t="s">
        <v>106</v>
      </c>
      <c r="Y1709">
        <v>2.4400791268171602</v>
      </c>
      <c r="Z1709">
        <v>2440.0791268171602</v>
      </c>
      <c r="AA1709">
        <v>4.71035</v>
      </c>
      <c r="AB1709">
        <v>-74.030416666666696</v>
      </c>
      <c r="AC1709">
        <v>2570</v>
      </c>
      <c r="AD1709">
        <v>10</v>
      </c>
      <c r="AE1709" t="s">
        <v>80</v>
      </c>
      <c r="AF1709" t="s">
        <v>107</v>
      </c>
      <c r="AG1709" t="s">
        <v>82</v>
      </c>
      <c r="AH1709" t="s">
        <v>83</v>
      </c>
      <c r="AI1709" t="s">
        <v>108</v>
      </c>
      <c r="AJ1709">
        <v>1.29240259663572</v>
      </c>
      <c r="AK1709">
        <v>1.8838280519092501</v>
      </c>
      <c r="AL1709">
        <v>0.58949864151287001</v>
      </c>
      <c r="AM1709">
        <v>0.17497685415591299</v>
      </c>
      <c r="AN1709">
        <v>4.6777967754021796</v>
      </c>
      <c r="AO1709">
        <v>0.10712375108261001</v>
      </c>
      <c r="AP1709">
        <v>0.10712375108261001</v>
      </c>
      <c r="AQ1709">
        <v>0</v>
      </c>
      <c r="AR1709">
        <v>0</v>
      </c>
      <c r="AS1709">
        <v>0</v>
      </c>
      <c r="AT1709">
        <v>0</v>
      </c>
      <c r="AU1709">
        <v>3</v>
      </c>
      <c r="AV1709">
        <v>116</v>
      </c>
      <c r="AW1709">
        <v>0</v>
      </c>
      <c r="AX1709">
        <v>0</v>
      </c>
      <c r="AY1709">
        <v>15.5</v>
      </c>
      <c r="AZ1709">
        <v>2.4</v>
      </c>
      <c r="BA1709">
        <v>10.9</v>
      </c>
      <c r="BB1709">
        <v>564</v>
      </c>
      <c r="BC1709">
        <v>68</v>
      </c>
      <c r="BD1709">
        <v>1.5</v>
      </c>
      <c r="BE1709">
        <v>135</v>
      </c>
      <c r="BF1709">
        <v>0</v>
      </c>
      <c r="BG1709">
        <v>162</v>
      </c>
      <c r="BH1709">
        <v>9.1</v>
      </c>
      <c r="BI1709">
        <v>9.1999999999999993</v>
      </c>
      <c r="BJ1709">
        <v>18.3</v>
      </c>
      <c r="BK1709">
        <v>0.34</v>
      </c>
      <c r="BL1709">
        <v>7.3</v>
      </c>
      <c r="BM1709">
        <v>0.9</v>
      </c>
      <c r="BN1709">
        <v>7.5</v>
      </c>
      <c r="BO1709">
        <v>2.9</v>
      </c>
      <c r="BP1709">
        <f t="shared" si="52"/>
        <v>2.1269410496471384</v>
      </c>
      <c r="BQ1709">
        <f t="shared" si="53"/>
        <v>10.280006478092764</v>
      </c>
    </row>
    <row r="1710" spans="1:69" hidden="1" x14ac:dyDescent="0.2">
      <c r="A1710" t="s">
        <v>320</v>
      </c>
      <c r="B1710" t="s">
        <v>68</v>
      </c>
      <c r="C1710" t="s">
        <v>69</v>
      </c>
      <c r="D1710" t="s">
        <v>70</v>
      </c>
      <c r="E1710" t="s">
        <v>210</v>
      </c>
      <c r="F1710">
        <v>6</v>
      </c>
      <c r="G1710">
        <v>86</v>
      </c>
      <c r="H1710">
        <v>2</v>
      </c>
      <c r="I1710">
        <v>3</v>
      </c>
      <c r="J1710">
        <v>2</v>
      </c>
      <c r="K1710" t="s">
        <v>110</v>
      </c>
      <c r="L1710" t="s">
        <v>115</v>
      </c>
      <c r="M1710" s="4">
        <v>837600000</v>
      </c>
      <c r="N1710">
        <v>0</v>
      </c>
      <c r="O1710">
        <v>4.6926699999999997</v>
      </c>
      <c r="P1710">
        <v>-74.047219999999996</v>
      </c>
      <c r="Q1710" t="s">
        <v>321</v>
      </c>
      <c r="R1710">
        <v>9739534.8839999996</v>
      </c>
      <c r="S1710">
        <v>0</v>
      </c>
      <c r="T1710" t="s">
        <v>104</v>
      </c>
      <c r="U1710" t="s">
        <v>105</v>
      </c>
      <c r="V1710" t="s">
        <v>77</v>
      </c>
      <c r="W1710" t="s">
        <v>104</v>
      </c>
      <c r="X1710" t="s">
        <v>106</v>
      </c>
      <c r="Y1710">
        <v>2.7108924682444302</v>
      </c>
      <c r="Z1710">
        <v>2710.8924682444299</v>
      </c>
      <c r="AA1710">
        <v>4.71035</v>
      </c>
      <c r="AB1710">
        <v>-74.030416666666696</v>
      </c>
      <c r="AC1710">
        <v>2570</v>
      </c>
      <c r="AD1710">
        <v>10</v>
      </c>
      <c r="AE1710" t="s">
        <v>80</v>
      </c>
      <c r="AF1710" t="s">
        <v>107</v>
      </c>
      <c r="AG1710" t="s">
        <v>82</v>
      </c>
      <c r="AH1710" t="s">
        <v>83</v>
      </c>
      <c r="AI1710" t="s">
        <v>108</v>
      </c>
      <c r="AJ1710">
        <v>0.99434332851604501</v>
      </c>
      <c r="AK1710">
        <v>1.9720560251522301</v>
      </c>
      <c r="AL1710">
        <v>0.29970299232604197</v>
      </c>
      <c r="AM1710">
        <v>9.1590902442201402E-2</v>
      </c>
      <c r="AN1710">
        <v>4.3700469967671101</v>
      </c>
      <c r="AO1710">
        <v>0.101624842250298</v>
      </c>
      <c r="AP1710">
        <v>0.101624842250298</v>
      </c>
      <c r="AQ1710">
        <v>0</v>
      </c>
      <c r="AR1710">
        <v>1</v>
      </c>
      <c r="AS1710">
        <v>0</v>
      </c>
      <c r="AT1710">
        <v>0</v>
      </c>
      <c r="AU1710">
        <v>5</v>
      </c>
      <c r="AV1710">
        <v>122</v>
      </c>
      <c r="AW1710">
        <v>0</v>
      </c>
      <c r="AX1710">
        <v>0</v>
      </c>
      <c r="AY1710">
        <v>15.5</v>
      </c>
      <c r="AZ1710">
        <v>2.4</v>
      </c>
      <c r="BA1710">
        <v>10.9</v>
      </c>
      <c r="BB1710">
        <v>564</v>
      </c>
      <c r="BC1710">
        <v>68</v>
      </c>
      <c r="BD1710">
        <v>1.5</v>
      </c>
      <c r="BE1710">
        <v>135</v>
      </c>
      <c r="BF1710">
        <v>0</v>
      </c>
      <c r="BG1710">
        <v>162</v>
      </c>
      <c r="BH1710">
        <v>9.1</v>
      </c>
      <c r="BI1710">
        <v>9.1999999999999993</v>
      </c>
      <c r="BJ1710">
        <v>18.3</v>
      </c>
      <c r="BK1710">
        <v>0.34</v>
      </c>
      <c r="BL1710">
        <v>7.3</v>
      </c>
      <c r="BM1710">
        <v>0.9</v>
      </c>
      <c r="BN1710">
        <v>7.5</v>
      </c>
      <c r="BO1710">
        <v>2.9</v>
      </c>
      <c r="BP1710">
        <f t="shared" si="52"/>
        <v>2.0986191066524365</v>
      </c>
      <c r="BQ1710">
        <f t="shared" si="53"/>
        <v>10.213408031811836</v>
      </c>
    </row>
    <row r="1711" spans="1:69" hidden="1" x14ac:dyDescent="0.2">
      <c r="A1711" t="s">
        <v>3964</v>
      </c>
      <c r="B1711" t="s">
        <v>68</v>
      </c>
      <c r="C1711" t="s">
        <v>3294</v>
      </c>
      <c r="D1711" t="s">
        <v>70</v>
      </c>
      <c r="E1711" t="s">
        <v>213</v>
      </c>
      <c r="F1711">
        <v>6</v>
      </c>
      <c r="G1711">
        <v>85</v>
      </c>
      <c r="H1711">
        <v>1</v>
      </c>
      <c r="I1711">
        <v>2</v>
      </c>
      <c r="J1711">
        <v>1</v>
      </c>
      <c r="K1711" t="s">
        <v>110</v>
      </c>
      <c r="L1711" t="s">
        <v>133</v>
      </c>
      <c r="M1711" s="4">
        <v>550000000</v>
      </c>
      <c r="N1711">
        <v>0</v>
      </c>
      <c r="O1711">
        <v>4.69956</v>
      </c>
      <c r="P1711">
        <v>-74.037490000000005</v>
      </c>
      <c r="Q1711" t="s">
        <v>3965</v>
      </c>
      <c r="R1711">
        <v>6470588.2350000003</v>
      </c>
      <c r="S1711">
        <v>0</v>
      </c>
      <c r="T1711" t="s">
        <v>104</v>
      </c>
      <c r="U1711" t="s">
        <v>105</v>
      </c>
      <c r="V1711" t="s">
        <v>77</v>
      </c>
      <c r="W1711" t="s">
        <v>104</v>
      </c>
      <c r="X1711" t="s">
        <v>106</v>
      </c>
      <c r="Y1711">
        <v>1.4347675736646499</v>
      </c>
      <c r="Z1711">
        <v>1434.7675736646499</v>
      </c>
      <c r="AA1711">
        <v>4.71035</v>
      </c>
      <c r="AB1711">
        <v>-74.030416666666696</v>
      </c>
      <c r="AC1711">
        <v>2570</v>
      </c>
      <c r="AD1711">
        <v>10</v>
      </c>
      <c r="AE1711" t="s">
        <v>80</v>
      </c>
      <c r="AF1711" t="s">
        <v>107</v>
      </c>
      <c r="AG1711" t="s">
        <v>82</v>
      </c>
      <c r="AH1711" t="s">
        <v>83</v>
      </c>
      <c r="AI1711" t="s">
        <v>108</v>
      </c>
      <c r="AJ1711">
        <v>1.9386007931873701</v>
      </c>
      <c r="AK1711">
        <v>1.28950681704543</v>
      </c>
      <c r="AL1711">
        <v>0.59070699828860396</v>
      </c>
      <c r="AM1711">
        <v>0.14832403792936399</v>
      </c>
      <c r="AN1711">
        <v>4.7898608866097403</v>
      </c>
      <c r="AO1711">
        <v>0.116356760124915</v>
      </c>
      <c r="AP1711">
        <v>0.116356760124915</v>
      </c>
      <c r="AQ1711">
        <v>0</v>
      </c>
      <c r="AR1711">
        <v>0</v>
      </c>
      <c r="AS1711">
        <v>0</v>
      </c>
      <c r="AT1711">
        <v>0</v>
      </c>
      <c r="AU1711">
        <v>1</v>
      </c>
      <c r="AV1711">
        <v>171</v>
      </c>
      <c r="AW1711">
        <v>0</v>
      </c>
      <c r="AX1711">
        <v>0</v>
      </c>
      <c r="AY1711">
        <v>15.5</v>
      </c>
      <c r="AZ1711">
        <v>2.4</v>
      </c>
      <c r="BA1711">
        <v>10.9</v>
      </c>
      <c r="BB1711">
        <v>564</v>
      </c>
      <c r="BC1711">
        <v>68</v>
      </c>
      <c r="BD1711">
        <v>1.5</v>
      </c>
      <c r="BE1711">
        <v>135</v>
      </c>
      <c r="BF1711">
        <v>0</v>
      </c>
      <c r="BG1711">
        <v>162</v>
      </c>
      <c r="BH1711">
        <v>9.1</v>
      </c>
      <c r="BI1711">
        <v>9.1999999999999993</v>
      </c>
      <c r="BJ1711">
        <v>18.3</v>
      </c>
      <c r="BK1711">
        <v>0.34</v>
      </c>
      <c r="BL1711">
        <v>7.3</v>
      </c>
      <c r="BM1711">
        <v>0.9</v>
      </c>
      <c r="BN1711">
        <v>7.5</v>
      </c>
      <c r="BO1711">
        <v>2.9</v>
      </c>
      <c r="BP1711">
        <f t="shared" si="52"/>
        <v>2.2354616073286855</v>
      </c>
      <c r="BQ1711">
        <f t="shared" si="53"/>
        <v>10.531053487808169</v>
      </c>
    </row>
    <row r="1712" spans="1:69" hidden="1" x14ac:dyDescent="0.2">
      <c r="A1712" t="s">
        <v>1657</v>
      </c>
      <c r="B1712" t="s">
        <v>68</v>
      </c>
      <c r="C1712" t="s">
        <v>69</v>
      </c>
      <c r="D1712" t="s">
        <v>70</v>
      </c>
      <c r="E1712" t="s">
        <v>1658</v>
      </c>
      <c r="F1712">
        <v>6</v>
      </c>
      <c r="G1712">
        <v>84</v>
      </c>
      <c r="H1712">
        <v>2</v>
      </c>
      <c r="I1712">
        <v>2</v>
      </c>
      <c r="J1712">
        <v>1</v>
      </c>
      <c r="K1712" t="s">
        <v>110</v>
      </c>
      <c r="L1712" t="s">
        <v>124</v>
      </c>
      <c r="M1712" s="4">
        <v>752000000</v>
      </c>
      <c r="N1712">
        <v>0</v>
      </c>
      <c r="O1712">
        <v>4.6820199999999996</v>
      </c>
      <c r="P1712">
        <v>-74.054860000000005</v>
      </c>
      <c r="Q1712" t="s">
        <v>1659</v>
      </c>
      <c r="R1712">
        <v>8952380.9519999996</v>
      </c>
      <c r="S1712">
        <v>0</v>
      </c>
      <c r="T1712" t="s">
        <v>104</v>
      </c>
      <c r="U1712" t="s">
        <v>105</v>
      </c>
      <c r="V1712" t="s">
        <v>77</v>
      </c>
      <c r="W1712" t="s">
        <v>104</v>
      </c>
      <c r="X1712" t="s">
        <v>106</v>
      </c>
      <c r="Y1712">
        <v>4.1593295690382801</v>
      </c>
      <c r="Z1712">
        <v>4159.3295690382802</v>
      </c>
      <c r="AA1712">
        <v>4.71035</v>
      </c>
      <c r="AB1712">
        <v>-74.030416666666696</v>
      </c>
      <c r="AC1712">
        <v>2570</v>
      </c>
      <c r="AD1712">
        <v>10</v>
      </c>
      <c r="AE1712" t="s">
        <v>80</v>
      </c>
      <c r="AF1712" t="s">
        <v>107</v>
      </c>
      <c r="AG1712" t="s">
        <v>82</v>
      </c>
      <c r="AH1712" t="s">
        <v>83</v>
      </c>
      <c r="AI1712" t="s">
        <v>130</v>
      </c>
      <c r="AJ1712">
        <v>0.38142919751562199</v>
      </c>
      <c r="AK1712">
        <v>1.91966394936149</v>
      </c>
      <c r="AL1712">
        <v>0.47171644105293897</v>
      </c>
      <c r="AM1712">
        <v>9.8080810734689203E-2</v>
      </c>
      <c r="AN1712">
        <v>3.1283950681299899</v>
      </c>
      <c r="AO1712">
        <v>0.41143055006240298</v>
      </c>
      <c r="AP1712">
        <v>0.41143055006240298</v>
      </c>
      <c r="AQ1712">
        <v>1</v>
      </c>
      <c r="AR1712">
        <v>3</v>
      </c>
      <c r="AS1712">
        <v>0</v>
      </c>
      <c r="AT1712">
        <v>0</v>
      </c>
      <c r="AU1712">
        <v>5</v>
      </c>
      <c r="AV1712">
        <v>240</v>
      </c>
      <c r="AW1712">
        <v>0</v>
      </c>
      <c r="AX1712">
        <v>0</v>
      </c>
      <c r="AY1712">
        <v>15.5</v>
      </c>
      <c r="AZ1712">
        <v>2.4</v>
      </c>
      <c r="BA1712">
        <v>10.9</v>
      </c>
      <c r="BB1712">
        <v>564</v>
      </c>
      <c r="BC1712">
        <v>68</v>
      </c>
      <c r="BD1712">
        <v>1.5</v>
      </c>
      <c r="BE1712">
        <v>135</v>
      </c>
      <c r="BF1712">
        <v>0</v>
      </c>
      <c r="BG1712">
        <v>162</v>
      </c>
      <c r="BH1712">
        <v>9.1</v>
      </c>
      <c r="BI1712">
        <v>9.1999999999999993</v>
      </c>
      <c r="BJ1712">
        <v>18.3</v>
      </c>
      <c r="BK1712">
        <v>0.34</v>
      </c>
      <c r="BL1712">
        <v>7.3</v>
      </c>
      <c r="BM1712">
        <v>0.9</v>
      </c>
      <c r="BN1712">
        <v>7.5</v>
      </c>
      <c r="BO1712">
        <v>2.9</v>
      </c>
      <c r="BP1712">
        <f t="shared" si="52"/>
        <v>1.95342047106586</v>
      </c>
      <c r="BQ1712">
        <f t="shared" si="53"/>
        <v>9.8644647406437098</v>
      </c>
    </row>
    <row r="1713" spans="1:69" hidden="1" x14ac:dyDescent="0.2">
      <c r="A1713" t="s">
        <v>1872</v>
      </c>
      <c r="B1713" t="s">
        <v>68</v>
      </c>
      <c r="C1713" t="s">
        <v>69</v>
      </c>
      <c r="D1713" t="s">
        <v>70</v>
      </c>
      <c r="E1713" t="s">
        <v>283</v>
      </c>
      <c r="F1713">
        <v>4</v>
      </c>
      <c r="G1713">
        <v>84</v>
      </c>
      <c r="H1713">
        <v>2</v>
      </c>
      <c r="I1713">
        <v>3</v>
      </c>
      <c r="J1713">
        <v>0</v>
      </c>
      <c r="K1713" t="s">
        <v>110</v>
      </c>
      <c r="L1713" t="s">
        <v>162</v>
      </c>
      <c r="M1713" s="4">
        <v>395000000</v>
      </c>
      <c r="N1713">
        <v>0</v>
      </c>
      <c r="O1713">
        <v>4.729478877</v>
      </c>
      <c r="P1713">
        <v>-74.036237049999997</v>
      </c>
      <c r="Q1713" t="s">
        <v>1873</v>
      </c>
      <c r="R1713">
        <v>4702380.9519999996</v>
      </c>
      <c r="S1713">
        <v>0</v>
      </c>
      <c r="T1713" t="s">
        <v>104</v>
      </c>
      <c r="U1713" t="s">
        <v>105</v>
      </c>
      <c r="V1713" t="s">
        <v>77</v>
      </c>
      <c r="W1713" t="s">
        <v>104</v>
      </c>
      <c r="X1713" t="s">
        <v>106</v>
      </c>
      <c r="Y1713">
        <v>2.2251689281535199</v>
      </c>
      <c r="Z1713">
        <v>2225.16892815352</v>
      </c>
      <c r="AA1713">
        <v>4.71035</v>
      </c>
      <c r="AB1713">
        <v>-74.030416666666696</v>
      </c>
      <c r="AC1713">
        <v>2570</v>
      </c>
      <c r="AD1713">
        <v>10</v>
      </c>
      <c r="AE1713" t="s">
        <v>80</v>
      </c>
      <c r="AF1713" t="s">
        <v>107</v>
      </c>
      <c r="AG1713" t="s">
        <v>82</v>
      </c>
      <c r="AH1713" t="s">
        <v>83</v>
      </c>
      <c r="AI1713" t="s">
        <v>108</v>
      </c>
      <c r="AJ1713">
        <v>1.51307285134285</v>
      </c>
      <c r="AK1713">
        <v>1.6180152980431399</v>
      </c>
      <c r="AL1713">
        <v>0.55957807723693498</v>
      </c>
      <c r="AM1713">
        <v>0.28317972052481499</v>
      </c>
      <c r="AN1713">
        <v>1.69893617206664</v>
      </c>
      <c r="AO1713">
        <v>6.4073812474183894E-2</v>
      </c>
      <c r="AP1713">
        <v>6.4073812474183894E-2</v>
      </c>
      <c r="AQ1713">
        <v>0</v>
      </c>
      <c r="AR1713">
        <v>0</v>
      </c>
      <c r="AS1713">
        <v>0</v>
      </c>
      <c r="AT1713">
        <v>0</v>
      </c>
      <c r="AU1713">
        <v>1</v>
      </c>
      <c r="AV1713">
        <v>7</v>
      </c>
      <c r="AW1713">
        <v>0</v>
      </c>
      <c r="AX1713">
        <v>0</v>
      </c>
      <c r="AY1713">
        <v>15.5</v>
      </c>
      <c r="AZ1713">
        <v>2.4</v>
      </c>
      <c r="BA1713">
        <v>10.9</v>
      </c>
      <c r="BB1713">
        <v>564</v>
      </c>
      <c r="BC1713">
        <v>68</v>
      </c>
      <c r="BD1713">
        <v>1.5</v>
      </c>
      <c r="BE1713">
        <v>135</v>
      </c>
      <c r="BF1713">
        <v>0</v>
      </c>
      <c r="BG1713">
        <v>162</v>
      </c>
      <c r="BH1713">
        <v>9.1</v>
      </c>
      <c r="BI1713">
        <v>9.1999999999999993</v>
      </c>
      <c r="BJ1713">
        <v>18.3</v>
      </c>
      <c r="BK1713">
        <v>0.34</v>
      </c>
      <c r="BL1713">
        <v>7.3</v>
      </c>
      <c r="BM1713">
        <v>0.9</v>
      </c>
      <c r="BN1713">
        <v>7.5</v>
      </c>
      <c r="BO1713">
        <v>2.9</v>
      </c>
      <c r="BP1713">
        <f t="shared" si="52"/>
        <v>2.1496883441224801</v>
      </c>
      <c r="BQ1713">
        <f t="shared" si="53"/>
        <v>10.333166132490625</v>
      </c>
    </row>
    <row r="1714" spans="1:69" hidden="1" x14ac:dyDescent="0.2">
      <c r="A1714" t="s">
        <v>207</v>
      </c>
      <c r="B1714" t="s">
        <v>68</v>
      </c>
      <c r="C1714" t="s">
        <v>69</v>
      </c>
      <c r="D1714" t="s">
        <v>70</v>
      </c>
      <c r="E1714" t="s">
        <v>73</v>
      </c>
      <c r="F1714">
        <v>5</v>
      </c>
      <c r="G1714">
        <v>83.9</v>
      </c>
      <c r="H1714">
        <v>2</v>
      </c>
      <c r="I1714">
        <v>2</v>
      </c>
      <c r="J1714">
        <v>2</v>
      </c>
      <c r="K1714" t="s">
        <v>110</v>
      </c>
      <c r="L1714" t="s">
        <v>124</v>
      </c>
      <c r="M1714" s="4">
        <v>850000000</v>
      </c>
      <c r="N1714">
        <v>0</v>
      </c>
      <c r="O1714">
        <v>4.7104086880000002</v>
      </c>
      <c r="P1714">
        <v>-74.049835209999998</v>
      </c>
      <c r="Q1714" t="s">
        <v>208</v>
      </c>
      <c r="R1714">
        <v>10131108.460000001</v>
      </c>
      <c r="S1714">
        <v>0</v>
      </c>
      <c r="T1714" t="s">
        <v>104</v>
      </c>
      <c r="U1714" t="s">
        <v>105</v>
      </c>
      <c r="V1714" t="s">
        <v>77</v>
      </c>
      <c r="W1714" t="s">
        <v>104</v>
      </c>
      <c r="X1714" t="s">
        <v>106</v>
      </c>
      <c r="Y1714">
        <v>2.1543713053432101</v>
      </c>
      <c r="Z1714">
        <v>2154.3713053432102</v>
      </c>
      <c r="AA1714">
        <v>4.71035</v>
      </c>
      <c r="AB1714">
        <v>-74.030416666666696</v>
      </c>
      <c r="AC1714">
        <v>2570</v>
      </c>
      <c r="AD1714">
        <v>10</v>
      </c>
      <c r="AE1714" t="s">
        <v>80</v>
      </c>
      <c r="AF1714" t="s">
        <v>107</v>
      </c>
      <c r="AG1714" t="s">
        <v>82</v>
      </c>
      <c r="AH1714" t="s">
        <v>83</v>
      </c>
      <c r="AI1714" t="s">
        <v>108</v>
      </c>
      <c r="AJ1714">
        <v>0.54906053604962701</v>
      </c>
      <c r="AK1714">
        <v>2.74860068256534</v>
      </c>
      <c r="AL1714">
        <v>1.8914453331297101</v>
      </c>
      <c r="AM1714">
        <v>0.20344870071073301</v>
      </c>
      <c r="AN1714">
        <v>4.2889978414835896</v>
      </c>
      <c r="AO1714">
        <v>0.196661375402607</v>
      </c>
      <c r="AP1714">
        <v>0.196661375402607</v>
      </c>
      <c r="AQ1714">
        <v>0</v>
      </c>
      <c r="AR1714">
        <v>2</v>
      </c>
      <c r="AS1714">
        <v>0</v>
      </c>
      <c r="AT1714">
        <v>0</v>
      </c>
      <c r="AU1714">
        <v>0</v>
      </c>
      <c r="AV1714">
        <v>100</v>
      </c>
      <c r="AW1714">
        <v>0</v>
      </c>
      <c r="AX1714">
        <v>0</v>
      </c>
      <c r="AY1714">
        <v>15.5</v>
      </c>
      <c r="AZ1714">
        <v>2.4</v>
      </c>
      <c r="BA1714">
        <v>10.9</v>
      </c>
      <c r="BB1714">
        <v>564</v>
      </c>
      <c r="BC1714">
        <v>68</v>
      </c>
      <c r="BD1714">
        <v>1.5</v>
      </c>
      <c r="BE1714">
        <v>135</v>
      </c>
      <c r="BF1714">
        <v>0</v>
      </c>
      <c r="BG1714">
        <v>162</v>
      </c>
      <c r="BH1714">
        <v>9.1</v>
      </c>
      <c r="BI1714">
        <v>9.1999999999999993</v>
      </c>
      <c r="BJ1714">
        <v>18.3</v>
      </c>
      <c r="BK1714">
        <v>0.34</v>
      </c>
      <c r="BL1714">
        <v>7.3</v>
      </c>
      <c r="BM1714">
        <v>0.9</v>
      </c>
      <c r="BN1714">
        <v>7.5</v>
      </c>
      <c r="BO1714">
        <v>2.9</v>
      </c>
      <c r="BP1714">
        <f t="shared" si="52"/>
        <v>2.1572351049588199</v>
      </c>
      <c r="BQ1714">
        <f t="shared" si="53"/>
        <v>10.350738583674934</v>
      </c>
    </row>
    <row r="1715" spans="1:69" hidden="1" x14ac:dyDescent="0.2">
      <c r="A1715" t="s">
        <v>771</v>
      </c>
      <c r="B1715" t="s">
        <v>68</v>
      </c>
      <c r="C1715" t="s">
        <v>69</v>
      </c>
      <c r="D1715" t="s">
        <v>70</v>
      </c>
      <c r="E1715" t="s">
        <v>772</v>
      </c>
      <c r="F1715">
        <v>4</v>
      </c>
      <c r="G1715">
        <v>83</v>
      </c>
      <c r="H1715">
        <v>2</v>
      </c>
      <c r="I1715">
        <v>2</v>
      </c>
      <c r="J1715">
        <v>1</v>
      </c>
      <c r="K1715" t="s">
        <v>110</v>
      </c>
      <c r="L1715" t="s">
        <v>162</v>
      </c>
      <c r="M1715" s="4">
        <v>430000000</v>
      </c>
      <c r="N1715">
        <v>0</v>
      </c>
      <c r="O1715">
        <v>4.7206463809999999</v>
      </c>
      <c r="P1715">
        <v>-74.034042360000001</v>
      </c>
      <c r="Q1715" t="s">
        <v>773</v>
      </c>
      <c r="R1715">
        <v>5180722.892</v>
      </c>
      <c r="S1715">
        <v>0</v>
      </c>
      <c r="T1715" t="s">
        <v>104</v>
      </c>
      <c r="U1715" t="s">
        <v>105</v>
      </c>
      <c r="V1715" t="s">
        <v>77</v>
      </c>
      <c r="W1715" t="s">
        <v>104</v>
      </c>
      <c r="X1715" t="s">
        <v>106</v>
      </c>
      <c r="Y1715">
        <v>1.21472098314703</v>
      </c>
      <c r="Z1715">
        <v>1214.72098314703</v>
      </c>
      <c r="AA1715">
        <v>4.71035</v>
      </c>
      <c r="AB1715">
        <v>-74.030416666666696</v>
      </c>
      <c r="AC1715">
        <v>2570</v>
      </c>
      <c r="AD1715">
        <v>10</v>
      </c>
      <c r="AE1715" t="s">
        <v>80</v>
      </c>
      <c r="AF1715" t="s">
        <v>107</v>
      </c>
      <c r="AG1715" t="s">
        <v>82</v>
      </c>
      <c r="AH1715" t="s">
        <v>83</v>
      </c>
      <c r="AI1715" t="s">
        <v>108</v>
      </c>
      <c r="AJ1715">
        <v>1.9318979393339399</v>
      </c>
      <c r="AK1715">
        <v>1.16734783633649</v>
      </c>
      <c r="AL1715">
        <v>1.10351702467297</v>
      </c>
      <c r="AM1715">
        <v>0.19590994815735699</v>
      </c>
      <c r="AN1715">
        <v>2.44682815067193</v>
      </c>
      <c r="AO1715">
        <v>9.8374094684001503E-3</v>
      </c>
      <c r="AP1715">
        <v>9.8374094684001503E-3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45</v>
      </c>
      <c r="AW1715">
        <v>0</v>
      </c>
      <c r="AX1715">
        <v>0</v>
      </c>
      <c r="AY1715">
        <v>15.5</v>
      </c>
      <c r="AZ1715">
        <v>2.4</v>
      </c>
      <c r="BA1715">
        <v>10.9</v>
      </c>
      <c r="BB1715">
        <v>564</v>
      </c>
      <c r="BC1715">
        <v>68</v>
      </c>
      <c r="BD1715">
        <v>1.5</v>
      </c>
      <c r="BE1715">
        <v>135</v>
      </c>
      <c r="BF1715">
        <v>0</v>
      </c>
      <c r="BG1715">
        <v>162</v>
      </c>
      <c r="BH1715">
        <v>9.1</v>
      </c>
      <c r="BI1715">
        <v>9.1999999999999993</v>
      </c>
      <c r="BJ1715">
        <v>18.3</v>
      </c>
      <c r="BK1715">
        <v>0.34</v>
      </c>
      <c r="BL1715">
        <v>7.3</v>
      </c>
      <c r="BM1715">
        <v>0.9</v>
      </c>
      <c r="BN1715">
        <v>7.5</v>
      </c>
      <c r="BO1715">
        <v>2.9</v>
      </c>
      <c r="BP1715">
        <f t="shared" si="52"/>
        <v>2.2599440327058824</v>
      </c>
      <c r="BQ1715">
        <f t="shared" si="53"/>
        <v>10.586816341263679</v>
      </c>
    </row>
    <row r="1716" spans="1:69" hidden="1" x14ac:dyDescent="0.2">
      <c r="A1716" t="s">
        <v>1076</v>
      </c>
      <c r="B1716" t="s">
        <v>68</v>
      </c>
      <c r="C1716" t="s">
        <v>69</v>
      </c>
      <c r="D1716" t="s">
        <v>70</v>
      </c>
      <c r="E1716" t="s">
        <v>187</v>
      </c>
      <c r="F1716">
        <v>6</v>
      </c>
      <c r="G1716">
        <v>82.53</v>
      </c>
      <c r="H1716">
        <v>2</v>
      </c>
      <c r="I1716">
        <v>2</v>
      </c>
      <c r="J1716">
        <v>2</v>
      </c>
      <c r="K1716" t="s">
        <v>110</v>
      </c>
      <c r="L1716" t="s">
        <v>115</v>
      </c>
      <c r="M1716" s="4">
        <v>920000000</v>
      </c>
      <c r="N1716">
        <v>0</v>
      </c>
      <c r="O1716">
        <v>4.6721930499999997</v>
      </c>
      <c r="P1716">
        <v>-74.043189999999996</v>
      </c>
      <c r="Q1716" t="s">
        <v>1077</v>
      </c>
      <c r="R1716">
        <v>11147461.529999999</v>
      </c>
      <c r="S1716">
        <v>0</v>
      </c>
      <c r="T1716" t="s">
        <v>104</v>
      </c>
      <c r="U1716" t="s">
        <v>105</v>
      </c>
      <c r="V1716" t="s">
        <v>77</v>
      </c>
      <c r="W1716" t="s">
        <v>104</v>
      </c>
      <c r="X1716" t="s">
        <v>106</v>
      </c>
      <c r="Y1716">
        <v>4.4777834455575096</v>
      </c>
      <c r="Z1716">
        <v>4477.7834455575103</v>
      </c>
      <c r="AA1716">
        <v>4.71035</v>
      </c>
      <c r="AB1716">
        <v>-74.030416666666696</v>
      </c>
      <c r="AC1716">
        <v>2570</v>
      </c>
      <c r="AD1716">
        <v>10</v>
      </c>
      <c r="AE1716" t="s">
        <v>80</v>
      </c>
      <c r="AF1716" t="s">
        <v>107</v>
      </c>
      <c r="AG1716" t="s">
        <v>82</v>
      </c>
      <c r="AH1716" t="s">
        <v>83</v>
      </c>
      <c r="AI1716" t="s">
        <v>130</v>
      </c>
      <c r="AJ1716">
        <v>1.8048523301614501</v>
      </c>
      <c r="AK1716">
        <v>0.395130297236577</v>
      </c>
      <c r="AL1716">
        <v>1.20676835615079</v>
      </c>
      <c r="AM1716">
        <v>0.40002901448099998</v>
      </c>
      <c r="AN1716">
        <v>3.7764751986199898</v>
      </c>
      <c r="AO1716">
        <v>0.90959075573493198</v>
      </c>
      <c r="AP1716">
        <v>0.90959075573493198</v>
      </c>
      <c r="AQ1716">
        <v>0</v>
      </c>
      <c r="AR1716">
        <v>0</v>
      </c>
      <c r="AS1716">
        <v>12</v>
      </c>
      <c r="AT1716">
        <v>30</v>
      </c>
      <c r="AU1716">
        <v>0</v>
      </c>
      <c r="AV1716">
        <v>38</v>
      </c>
      <c r="AW1716">
        <v>0</v>
      </c>
      <c r="AX1716">
        <v>0</v>
      </c>
      <c r="AY1716">
        <v>15.5</v>
      </c>
      <c r="AZ1716">
        <v>2.4</v>
      </c>
      <c r="BA1716">
        <v>10.9</v>
      </c>
      <c r="BB1716">
        <v>564</v>
      </c>
      <c r="BC1716">
        <v>68</v>
      </c>
      <c r="BD1716">
        <v>1.5</v>
      </c>
      <c r="BE1716">
        <v>135</v>
      </c>
      <c r="BF1716">
        <v>0</v>
      </c>
      <c r="BG1716">
        <v>162</v>
      </c>
      <c r="BH1716">
        <v>9.1</v>
      </c>
      <c r="BI1716">
        <v>9.1999999999999993</v>
      </c>
      <c r="BJ1716">
        <v>18.3</v>
      </c>
      <c r="BK1716">
        <v>0.34</v>
      </c>
      <c r="BL1716">
        <v>7.3</v>
      </c>
      <c r="BM1716">
        <v>0.9</v>
      </c>
      <c r="BN1716">
        <v>7.5</v>
      </c>
      <c r="BO1716">
        <v>2.9</v>
      </c>
      <c r="BP1716">
        <f t="shared" si="52"/>
        <v>1.9228692215866823</v>
      </c>
      <c r="BQ1716">
        <f t="shared" si="53"/>
        <v>9.7893590696742194</v>
      </c>
    </row>
    <row r="1717" spans="1:69" hidden="1" x14ac:dyDescent="0.2">
      <c r="A1717" t="s">
        <v>4091</v>
      </c>
      <c r="B1717" t="s">
        <v>68</v>
      </c>
      <c r="C1717" t="s">
        <v>3294</v>
      </c>
      <c r="D1717" t="s">
        <v>70</v>
      </c>
      <c r="E1717" t="s">
        <v>132</v>
      </c>
      <c r="F1717">
        <v>6</v>
      </c>
      <c r="G1717">
        <v>82</v>
      </c>
      <c r="H1717">
        <v>2</v>
      </c>
      <c r="I1717">
        <v>2</v>
      </c>
      <c r="J1717">
        <v>2</v>
      </c>
      <c r="K1717" t="s">
        <v>110</v>
      </c>
      <c r="L1717" t="s">
        <v>162</v>
      </c>
      <c r="M1717" s="4">
        <v>890000000</v>
      </c>
      <c r="N1717">
        <v>0</v>
      </c>
      <c r="O1717">
        <v>4.6721931000000003</v>
      </c>
      <c r="P1717">
        <v>-74.043192599999998</v>
      </c>
      <c r="Q1717" t="s">
        <v>4092</v>
      </c>
      <c r="R1717">
        <v>10853658.539999999</v>
      </c>
      <c r="S1717">
        <v>0</v>
      </c>
      <c r="T1717" t="s">
        <v>104</v>
      </c>
      <c r="U1717" t="s">
        <v>105</v>
      </c>
      <c r="V1717" t="s">
        <v>77</v>
      </c>
      <c r="W1717" t="s">
        <v>104</v>
      </c>
      <c r="X1717" t="s">
        <v>106</v>
      </c>
      <c r="Y1717">
        <v>4.4778694681211402</v>
      </c>
      <c r="Z1717">
        <v>4477.86946812114</v>
      </c>
      <c r="AA1717">
        <v>4.71035</v>
      </c>
      <c r="AB1717">
        <v>-74.030416666666696</v>
      </c>
      <c r="AC1717">
        <v>2570</v>
      </c>
      <c r="AD1717">
        <v>10</v>
      </c>
      <c r="AE1717" t="s">
        <v>80</v>
      </c>
      <c r="AF1717" t="s">
        <v>107</v>
      </c>
      <c r="AG1717" t="s">
        <v>82</v>
      </c>
      <c r="AH1717" t="s">
        <v>83</v>
      </c>
      <c r="AI1717" t="s">
        <v>130</v>
      </c>
      <c r="AJ1717">
        <v>1.80457068310657</v>
      </c>
      <c r="AK1717">
        <v>0.39517305639239098</v>
      </c>
      <c r="AL1717">
        <v>1.20691208619532</v>
      </c>
      <c r="AM1717">
        <v>0.40016226560937901</v>
      </c>
      <c r="AN1717">
        <v>3.7763514832080598</v>
      </c>
      <c r="AO1717">
        <v>0.90938528985109801</v>
      </c>
      <c r="AP1717">
        <v>0.90938528985109801</v>
      </c>
      <c r="AQ1717">
        <v>0</v>
      </c>
      <c r="AR1717">
        <v>0</v>
      </c>
      <c r="AS1717">
        <v>12</v>
      </c>
      <c r="AT1717">
        <v>30</v>
      </c>
      <c r="AU1717">
        <v>0</v>
      </c>
      <c r="AV1717">
        <v>38</v>
      </c>
      <c r="AW1717">
        <v>0</v>
      </c>
      <c r="AX1717">
        <v>0</v>
      </c>
      <c r="AY1717">
        <v>15.5</v>
      </c>
      <c r="AZ1717">
        <v>2.4</v>
      </c>
      <c r="BA1717">
        <v>10.9</v>
      </c>
      <c r="BB1717">
        <v>564</v>
      </c>
      <c r="BC1717">
        <v>68</v>
      </c>
      <c r="BD1717">
        <v>1.5</v>
      </c>
      <c r="BE1717">
        <v>135</v>
      </c>
      <c r="BF1717">
        <v>0</v>
      </c>
      <c r="BG1717">
        <v>162</v>
      </c>
      <c r="BH1717">
        <v>9.1</v>
      </c>
      <c r="BI1717">
        <v>9.1999999999999993</v>
      </c>
      <c r="BJ1717">
        <v>18.3</v>
      </c>
      <c r="BK1717">
        <v>0.34</v>
      </c>
      <c r="BL1717">
        <v>7.3</v>
      </c>
      <c r="BM1717">
        <v>0.9</v>
      </c>
      <c r="BN1717">
        <v>7.5</v>
      </c>
      <c r="BO1717">
        <v>2.9</v>
      </c>
      <c r="BP1717">
        <f t="shared" si="52"/>
        <v>1.9228610338021863</v>
      </c>
      <c r="BQ1717">
        <f t="shared" si="53"/>
        <v>9.7893388591567589</v>
      </c>
    </row>
    <row r="1718" spans="1:69" hidden="1" x14ac:dyDescent="0.2">
      <c r="A1718" t="s">
        <v>922</v>
      </c>
      <c r="B1718" t="s">
        <v>68</v>
      </c>
      <c r="C1718" t="s">
        <v>69</v>
      </c>
      <c r="D1718" t="s">
        <v>70</v>
      </c>
      <c r="E1718" t="s">
        <v>923</v>
      </c>
      <c r="F1718">
        <v>4</v>
      </c>
      <c r="G1718">
        <v>82</v>
      </c>
      <c r="H1718">
        <v>3</v>
      </c>
      <c r="I1718">
        <v>2</v>
      </c>
      <c r="J1718">
        <v>1</v>
      </c>
      <c r="K1718" t="s">
        <v>110</v>
      </c>
      <c r="L1718" t="s">
        <v>124</v>
      </c>
      <c r="M1718" s="4">
        <v>610000000</v>
      </c>
      <c r="N1718">
        <v>0</v>
      </c>
      <c r="O1718">
        <v>4.7333100000000004</v>
      </c>
      <c r="P1718">
        <v>-74.038444999999996</v>
      </c>
      <c r="Q1718" t="s">
        <v>924</v>
      </c>
      <c r="R1718">
        <v>7439024.3899999997</v>
      </c>
      <c r="S1718">
        <v>0</v>
      </c>
      <c r="T1718" t="s">
        <v>104</v>
      </c>
      <c r="U1718" t="s">
        <v>105</v>
      </c>
      <c r="V1718" t="s">
        <v>77</v>
      </c>
      <c r="W1718" t="s">
        <v>104</v>
      </c>
      <c r="X1718" t="s">
        <v>106</v>
      </c>
      <c r="Y1718">
        <v>2.7066412809916001</v>
      </c>
      <c r="Z1718">
        <v>2706.6412809916001</v>
      </c>
      <c r="AA1718">
        <v>4.71035</v>
      </c>
      <c r="AB1718">
        <v>-74.030416666666696</v>
      </c>
      <c r="AC1718">
        <v>2570</v>
      </c>
      <c r="AD1718">
        <v>10</v>
      </c>
      <c r="AE1718" t="s">
        <v>80</v>
      </c>
      <c r="AF1718" t="s">
        <v>107</v>
      </c>
      <c r="AG1718" t="s">
        <v>82</v>
      </c>
      <c r="AH1718" t="s">
        <v>83</v>
      </c>
      <c r="AI1718" t="s">
        <v>108</v>
      </c>
      <c r="AJ1718">
        <v>1.2036582747678199</v>
      </c>
      <c r="AK1718">
        <v>1.8250592975445601</v>
      </c>
      <c r="AL1718">
        <v>0.175766767817122</v>
      </c>
      <c r="AM1718">
        <v>0.37513594120706001</v>
      </c>
      <c r="AN1718">
        <v>1.5852793394915701</v>
      </c>
      <c r="AO1718">
        <v>0.20925653368352401</v>
      </c>
      <c r="AP1718">
        <v>0.20925653368352401</v>
      </c>
      <c r="AQ1718">
        <v>0</v>
      </c>
      <c r="AR1718">
        <v>0</v>
      </c>
      <c r="AS1718">
        <v>0</v>
      </c>
      <c r="AT1718">
        <v>0</v>
      </c>
      <c r="AU1718">
        <v>1</v>
      </c>
      <c r="AV1718">
        <v>19</v>
      </c>
      <c r="AW1718">
        <v>0</v>
      </c>
      <c r="AX1718">
        <v>0</v>
      </c>
      <c r="AY1718">
        <v>15.5</v>
      </c>
      <c r="AZ1718">
        <v>2.4</v>
      </c>
      <c r="BA1718">
        <v>10.9</v>
      </c>
      <c r="BB1718">
        <v>564</v>
      </c>
      <c r="BC1718">
        <v>68</v>
      </c>
      <c r="BD1718">
        <v>1.5</v>
      </c>
      <c r="BE1718">
        <v>135</v>
      </c>
      <c r="BF1718">
        <v>0</v>
      </c>
      <c r="BG1718">
        <v>162</v>
      </c>
      <c r="BH1718">
        <v>9.1</v>
      </c>
      <c r="BI1718">
        <v>9.1999999999999993</v>
      </c>
      <c r="BJ1718">
        <v>18.3</v>
      </c>
      <c r="BK1718">
        <v>0.34</v>
      </c>
      <c r="BL1718">
        <v>7.3</v>
      </c>
      <c r="BM1718">
        <v>0.9</v>
      </c>
      <c r="BN1718">
        <v>7.5</v>
      </c>
      <c r="BO1718">
        <v>2.9</v>
      </c>
      <c r="BP1718">
        <f t="shared" si="52"/>
        <v>2.0990607734499509</v>
      </c>
      <c r="BQ1718">
        <f t="shared" si="53"/>
        <v>10.214450143614268</v>
      </c>
    </row>
    <row r="1719" spans="1:69" hidden="1" x14ac:dyDescent="0.2">
      <c r="A1719" t="s">
        <v>767</v>
      </c>
      <c r="B1719" t="s">
        <v>68</v>
      </c>
      <c r="C1719" t="s">
        <v>69</v>
      </c>
      <c r="D1719" t="s">
        <v>70</v>
      </c>
      <c r="E1719" t="s">
        <v>468</v>
      </c>
      <c r="F1719">
        <v>6</v>
      </c>
      <c r="G1719">
        <v>81.66</v>
      </c>
      <c r="H1719">
        <v>2</v>
      </c>
      <c r="I1719">
        <v>3</v>
      </c>
      <c r="J1719">
        <v>2</v>
      </c>
      <c r="K1719" t="s">
        <v>110</v>
      </c>
      <c r="L1719" t="s">
        <v>124</v>
      </c>
      <c r="M1719" s="4">
        <v>800000000</v>
      </c>
      <c r="N1719">
        <v>0</v>
      </c>
      <c r="O1719">
        <v>4.6903347970000002</v>
      </c>
      <c r="P1719">
        <v>-74.049911499999993</v>
      </c>
      <c r="Q1719" t="s">
        <v>768</v>
      </c>
      <c r="R1719">
        <v>9796718.0989999995</v>
      </c>
      <c r="S1719">
        <v>0</v>
      </c>
      <c r="T1719" t="s">
        <v>104</v>
      </c>
      <c r="U1719" t="s">
        <v>105</v>
      </c>
      <c r="V1719" t="s">
        <v>77</v>
      </c>
      <c r="W1719" t="s">
        <v>104</v>
      </c>
      <c r="X1719" t="s">
        <v>106</v>
      </c>
      <c r="Y1719">
        <v>3.1052050429505602</v>
      </c>
      <c r="Z1719">
        <v>3105.2050429505598</v>
      </c>
      <c r="AA1719">
        <v>4.71035</v>
      </c>
      <c r="AB1719">
        <v>-74.030416666666696</v>
      </c>
      <c r="AC1719">
        <v>2570</v>
      </c>
      <c r="AD1719">
        <v>10</v>
      </c>
      <c r="AE1719" t="s">
        <v>80</v>
      </c>
      <c r="AF1719" t="s">
        <v>107</v>
      </c>
      <c r="AG1719" t="s">
        <v>82</v>
      </c>
      <c r="AH1719" t="s">
        <v>83</v>
      </c>
      <c r="AI1719" t="s">
        <v>108</v>
      </c>
      <c r="AJ1719">
        <v>0.75437722868725099</v>
      </c>
      <c r="AK1719">
        <v>1.9956067403818101</v>
      </c>
      <c r="AL1719">
        <v>0.262708504998036</v>
      </c>
      <c r="AM1719">
        <v>0.15001771543525499</v>
      </c>
      <c r="AN1719">
        <v>3.9855658379896801</v>
      </c>
      <c r="AO1719">
        <v>0.19916123768553701</v>
      </c>
      <c r="AP1719">
        <v>0.19916123768553701</v>
      </c>
      <c r="AQ1719">
        <v>0</v>
      </c>
      <c r="AR1719">
        <v>1</v>
      </c>
      <c r="AS1719">
        <v>0</v>
      </c>
      <c r="AT1719">
        <v>0</v>
      </c>
      <c r="AU1719">
        <v>5</v>
      </c>
      <c r="AV1719">
        <v>167</v>
      </c>
      <c r="AW1719">
        <v>0</v>
      </c>
      <c r="AX1719">
        <v>0</v>
      </c>
      <c r="AY1719">
        <v>15.5</v>
      </c>
      <c r="AZ1719">
        <v>2.4</v>
      </c>
      <c r="BA1719">
        <v>10.9</v>
      </c>
      <c r="BB1719">
        <v>564</v>
      </c>
      <c r="BC1719">
        <v>68</v>
      </c>
      <c r="BD1719">
        <v>1.5</v>
      </c>
      <c r="BE1719">
        <v>135</v>
      </c>
      <c r="BF1719">
        <v>0</v>
      </c>
      <c r="BG1719">
        <v>162</v>
      </c>
      <c r="BH1719">
        <v>9.1</v>
      </c>
      <c r="BI1719">
        <v>9.1999999999999993</v>
      </c>
      <c r="BJ1719">
        <v>18.3</v>
      </c>
      <c r="BK1719">
        <v>0.34</v>
      </c>
      <c r="BL1719">
        <v>7.3</v>
      </c>
      <c r="BM1719">
        <v>0.9</v>
      </c>
      <c r="BN1719">
        <v>7.5</v>
      </c>
      <c r="BO1719">
        <v>2.9</v>
      </c>
      <c r="BP1719">
        <f t="shared" si="52"/>
        <v>2.0580544354702206</v>
      </c>
      <c r="BQ1719">
        <f t="shared" si="53"/>
        <v>10.117209332815678</v>
      </c>
    </row>
    <row r="1720" spans="1:69" hidden="1" x14ac:dyDescent="0.2">
      <c r="A1720" t="s">
        <v>4398</v>
      </c>
      <c r="B1720" t="s">
        <v>68</v>
      </c>
      <c r="C1720" t="s">
        <v>3294</v>
      </c>
      <c r="D1720" t="s">
        <v>70</v>
      </c>
      <c r="E1720" t="s">
        <v>229</v>
      </c>
      <c r="F1720">
        <v>6</v>
      </c>
      <c r="G1720">
        <v>81.56</v>
      </c>
      <c r="H1720">
        <v>1</v>
      </c>
      <c r="I1720">
        <v>1</v>
      </c>
      <c r="J1720">
        <v>2</v>
      </c>
      <c r="K1720" t="s">
        <v>110</v>
      </c>
      <c r="L1720" t="s">
        <v>162</v>
      </c>
      <c r="M1720" s="4">
        <v>660000000</v>
      </c>
      <c r="N1720">
        <v>0</v>
      </c>
      <c r="O1720">
        <v>4.6760858179999998</v>
      </c>
      <c r="P1720">
        <v>-74.048690429999994</v>
      </c>
      <c r="Q1720" t="s">
        <v>4399</v>
      </c>
      <c r="R1720">
        <v>8092202.0599999996</v>
      </c>
      <c r="S1720">
        <v>0</v>
      </c>
      <c r="T1720" t="s">
        <v>104</v>
      </c>
      <c r="U1720" t="s">
        <v>105</v>
      </c>
      <c r="V1720" t="s">
        <v>77</v>
      </c>
      <c r="W1720" t="s">
        <v>104</v>
      </c>
      <c r="X1720" t="s">
        <v>106</v>
      </c>
      <c r="Y1720">
        <v>4.3196108789472101</v>
      </c>
      <c r="Z1720">
        <v>4319.61087894721</v>
      </c>
      <c r="AA1720">
        <v>4.71035</v>
      </c>
      <c r="AB1720">
        <v>-74.030416666666696</v>
      </c>
      <c r="AC1720">
        <v>2570</v>
      </c>
      <c r="AD1720">
        <v>10</v>
      </c>
      <c r="AE1720" t="s">
        <v>80</v>
      </c>
      <c r="AF1720" t="s">
        <v>107</v>
      </c>
      <c r="AG1720" t="s">
        <v>82</v>
      </c>
      <c r="AH1720" t="s">
        <v>83</v>
      </c>
      <c r="AI1720" t="s">
        <v>130</v>
      </c>
      <c r="AJ1720">
        <v>1.1453456949590499</v>
      </c>
      <c r="AK1720">
        <v>1.03816565238674</v>
      </c>
      <c r="AL1720">
        <v>1.12983192355895</v>
      </c>
      <c r="AM1720">
        <v>0.10367604174046099</v>
      </c>
      <c r="AN1720">
        <v>3.68668017820145</v>
      </c>
      <c r="AO1720">
        <v>1.0569623305118301</v>
      </c>
      <c r="AP1720">
        <v>1.0569623305118301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121</v>
      </c>
      <c r="AW1720">
        <v>0</v>
      </c>
      <c r="AX1720">
        <v>0</v>
      </c>
      <c r="AY1720">
        <v>15.5</v>
      </c>
      <c r="AZ1720">
        <v>2.4</v>
      </c>
      <c r="BA1720">
        <v>10.9</v>
      </c>
      <c r="BB1720">
        <v>564</v>
      </c>
      <c r="BC1720">
        <v>68</v>
      </c>
      <c r="BD1720">
        <v>1.5</v>
      </c>
      <c r="BE1720">
        <v>135</v>
      </c>
      <c r="BF1720">
        <v>0</v>
      </c>
      <c r="BG1720">
        <v>162</v>
      </c>
      <c r="BH1720">
        <v>9.1</v>
      </c>
      <c r="BI1720">
        <v>9.1999999999999993</v>
      </c>
      <c r="BJ1720">
        <v>18.3</v>
      </c>
      <c r="BK1720">
        <v>0.34</v>
      </c>
      <c r="BL1720">
        <v>7.3</v>
      </c>
      <c r="BM1720">
        <v>0.9</v>
      </c>
      <c r="BN1720">
        <v>7.5</v>
      </c>
      <c r="BO1720">
        <v>2.9</v>
      </c>
      <c r="BP1720">
        <f t="shared" si="52"/>
        <v>1.937983498731727</v>
      </c>
      <c r="BQ1720">
        <f t="shared" si="53"/>
        <v>9.8265914879164953</v>
      </c>
    </row>
    <row r="1721" spans="1:69" hidden="1" x14ac:dyDescent="0.2">
      <c r="A1721" t="s">
        <v>1917</v>
      </c>
      <c r="B1721" t="s">
        <v>68</v>
      </c>
      <c r="C1721" t="s">
        <v>69</v>
      </c>
      <c r="D1721" t="s">
        <v>70</v>
      </c>
      <c r="E1721" t="s">
        <v>468</v>
      </c>
      <c r="F1721">
        <v>6</v>
      </c>
      <c r="G1721">
        <v>80</v>
      </c>
      <c r="H1721">
        <v>2</v>
      </c>
      <c r="I1721">
        <v>3</v>
      </c>
      <c r="J1721">
        <v>2</v>
      </c>
      <c r="K1721" t="s">
        <v>110</v>
      </c>
      <c r="L1721" t="s">
        <v>133</v>
      </c>
      <c r="M1721" s="4">
        <v>790000000</v>
      </c>
      <c r="N1721">
        <v>0</v>
      </c>
      <c r="O1721">
        <v>4.688467503</v>
      </c>
      <c r="P1721">
        <v>-74.047592159999994</v>
      </c>
      <c r="Q1721" t="s">
        <v>1918</v>
      </c>
      <c r="R1721">
        <v>9875000</v>
      </c>
      <c r="S1721">
        <v>0</v>
      </c>
      <c r="T1721" t="s">
        <v>104</v>
      </c>
      <c r="U1721" t="s">
        <v>105</v>
      </c>
      <c r="V1721" t="s">
        <v>77</v>
      </c>
      <c r="W1721" t="s">
        <v>104</v>
      </c>
      <c r="X1721" t="s">
        <v>106</v>
      </c>
      <c r="Y1721">
        <v>3.0927214191458101</v>
      </c>
      <c r="Z1721">
        <v>3092.7214191458102</v>
      </c>
      <c r="AA1721">
        <v>4.71035</v>
      </c>
      <c r="AB1721">
        <v>-74.030416666666696</v>
      </c>
      <c r="AC1721">
        <v>2570</v>
      </c>
      <c r="AD1721">
        <v>10</v>
      </c>
      <c r="AE1721" t="s">
        <v>80</v>
      </c>
      <c r="AF1721" t="s">
        <v>107</v>
      </c>
      <c r="AG1721" t="s">
        <v>82</v>
      </c>
      <c r="AH1721" t="s">
        <v>83</v>
      </c>
      <c r="AI1721" t="s">
        <v>108</v>
      </c>
      <c r="AJ1721">
        <v>1.07526440315779</v>
      </c>
      <c r="AK1721">
        <v>1.6662068080055401</v>
      </c>
      <c r="AL1721">
        <v>0.35501544528700302</v>
      </c>
      <c r="AM1721">
        <v>8.1231071843779392E-3</v>
      </c>
      <c r="AN1721">
        <v>4.1306189886603901</v>
      </c>
      <c r="AO1721">
        <v>0.28060741260778299</v>
      </c>
      <c r="AP1721">
        <v>0.28060741260778299</v>
      </c>
      <c r="AQ1721">
        <v>0</v>
      </c>
      <c r="AR1721">
        <v>0</v>
      </c>
      <c r="AS1721">
        <v>0</v>
      </c>
      <c r="AT1721">
        <v>0</v>
      </c>
      <c r="AU1721">
        <v>5</v>
      </c>
      <c r="AV1721">
        <v>126</v>
      </c>
      <c r="AW1721">
        <v>0</v>
      </c>
      <c r="AX1721">
        <v>0</v>
      </c>
      <c r="AY1721">
        <v>15.5</v>
      </c>
      <c r="AZ1721">
        <v>2.4</v>
      </c>
      <c r="BA1721">
        <v>10.9</v>
      </c>
      <c r="BB1721">
        <v>564</v>
      </c>
      <c r="BC1721">
        <v>68</v>
      </c>
      <c r="BD1721">
        <v>1.5</v>
      </c>
      <c r="BE1721">
        <v>135</v>
      </c>
      <c r="BF1721">
        <v>0</v>
      </c>
      <c r="BG1721">
        <v>162</v>
      </c>
      <c r="BH1721">
        <v>9.1</v>
      </c>
      <c r="BI1721">
        <v>9.1999999999999993</v>
      </c>
      <c r="BJ1721">
        <v>18.3</v>
      </c>
      <c r="BK1721">
        <v>0.34</v>
      </c>
      <c r="BL1721">
        <v>7.3</v>
      </c>
      <c r="BM1721">
        <v>0.9</v>
      </c>
      <c r="BN1721">
        <v>7.5</v>
      </c>
      <c r="BO1721">
        <v>2.9</v>
      </c>
      <c r="BP1721">
        <f t="shared" si="52"/>
        <v>2.0593265813626953</v>
      </c>
      <c r="BQ1721">
        <f t="shared" si="53"/>
        <v>10.120240973389681</v>
      </c>
    </row>
    <row r="1722" spans="1:69" hidden="1" x14ac:dyDescent="0.2">
      <c r="A1722" t="s">
        <v>1903</v>
      </c>
      <c r="B1722" t="s">
        <v>68</v>
      </c>
      <c r="C1722" t="s">
        <v>69</v>
      </c>
      <c r="D1722" t="s">
        <v>70</v>
      </c>
      <c r="E1722" t="s">
        <v>102</v>
      </c>
      <c r="F1722">
        <v>6</v>
      </c>
      <c r="G1722">
        <v>80</v>
      </c>
      <c r="H1722">
        <v>2</v>
      </c>
      <c r="I1722">
        <v>3</v>
      </c>
      <c r="J1722">
        <v>1</v>
      </c>
      <c r="K1722" t="s">
        <v>110</v>
      </c>
      <c r="L1722" t="s">
        <v>111</v>
      </c>
      <c r="M1722" s="4">
        <v>928000000</v>
      </c>
      <c r="N1722">
        <v>0</v>
      </c>
      <c r="O1722">
        <v>4.7008565999999998</v>
      </c>
      <c r="P1722">
        <v>-74.046896899999993</v>
      </c>
      <c r="Q1722" t="s">
        <v>1904</v>
      </c>
      <c r="R1722">
        <v>11600000</v>
      </c>
      <c r="S1722">
        <v>0</v>
      </c>
      <c r="T1722" t="s">
        <v>104</v>
      </c>
      <c r="U1722" t="s">
        <v>105</v>
      </c>
      <c r="V1722" t="s">
        <v>77</v>
      </c>
      <c r="W1722" t="s">
        <v>104</v>
      </c>
      <c r="X1722" t="s">
        <v>106</v>
      </c>
      <c r="Y1722">
        <v>2.1118305127202999</v>
      </c>
      <c r="Z1722">
        <v>2111.8305127202998</v>
      </c>
      <c r="AA1722">
        <v>4.71035</v>
      </c>
      <c r="AB1722">
        <v>-74.030416666666696</v>
      </c>
      <c r="AC1722">
        <v>2570</v>
      </c>
      <c r="AD1722">
        <v>10</v>
      </c>
      <c r="AE1722" t="s">
        <v>80</v>
      </c>
      <c r="AF1722" t="s">
        <v>107</v>
      </c>
      <c r="AG1722" t="s">
        <v>82</v>
      </c>
      <c r="AH1722" t="s">
        <v>83</v>
      </c>
      <c r="AI1722" t="s">
        <v>108</v>
      </c>
      <c r="AJ1722">
        <v>0.91378262870558002</v>
      </c>
      <c r="AK1722">
        <v>2.33999377711873</v>
      </c>
      <c r="AL1722">
        <v>0.89769759461134202</v>
      </c>
      <c r="AM1722">
        <v>0.11936753501660601</v>
      </c>
      <c r="AN1722">
        <v>4.8952122557690698</v>
      </c>
      <c r="AO1722">
        <v>5.9118437846452002E-2</v>
      </c>
      <c r="AP1722">
        <v>5.9118437846452002E-2</v>
      </c>
      <c r="AQ1722">
        <v>0</v>
      </c>
      <c r="AR1722">
        <v>2</v>
      </c>
      <c r="AS1722">
        <v>0</v>
      </c>
      <c r="AT1722">
        <v>0</v>
      </c>
      <c r="AU1722">
        <v>1</v>
      </c>
      <c r="AV1722">
        <v>187</v>
      </c>
      <c r="AW1722">
        <v>0</v>
      </c>
      <c r="AX1722">
        <v>0</v>
      </c>
      <c r="AY1722">
        <v>15.5</v>
      </c>
      <c r="AZ1722">
        <v>2.4</v>
      </c>
      <c r="BA1722">
        <v>10.9</v>
      </c>
      <c r="BB1722">
        <v>564</v>
      </c>
      <c r="BC1722">
        <v>68</v>
      </c>
      <c r="BD1722">
        <v>1.5</v>
      </c>
      <c r="BE1722">
        <v>135</v>
      </c>
      <c r="BF1722">
        <v>0</v>
      </c>
      <c r="BG1722">
        <v>162</v>
      </c>
      <c r="BH1722">
        <v>9.1</v>
      </c>
      <c r="BI1722">
        <v>9.1999999999999993</v>
      </c>
      <c r="BJ1722">
        <v>18.3</v>
      </c>
      <c r="BK1722">
        <v>0.34</v>
      </c>
      <c r="BL1722">
        <v>7.3</v>
      </c>
      <c r="BM1722">
        <v>0.9</v>
      </c>
      <c r="BN1722">
        <v>7.5</v>
      </c>
      <c r="BO1722">
        <v>2.9</v>
      </c>
      <c r="BP1722">
        <f t="shared" si="52"/>
        <v>2.1617825305091833</v>
      </c>
      <c r="BQ1722">
        <f t="shared" si="53"/>
        <v>10.361311867272818</v>
      </c>
    </row>
    <row r="1723" spans="1:69" hidden="1" x14ac:dyDescent="0.2">
      <c r="A1723" t="s">
        <v>470</v>
      </c>
      <c r="B1723" t="s">
        <v>68</v>
      </c>
      <c r="C1723" t="s">
        <v>69</v>
      </c>
      <c r="D1723" t="s">
        <v>70</v>
      </c>
      <c r="E1723" t="s">
        <v>471</v>
      </c>
      <c r="F1723">
        <v>5</v>
      </c>
      <c r="G1723">
        <v>79</v>
      </c>
      <c r="H1723">
        <v>2</v>
      </c>
      <c r="I1723">
        <v>1</v>
      </c>
      <c r="J1723">
        <v>1</v>
      </c>
      <c r="K1723" t="s">
        <v>110</v>
      </c>
      <c r="L1723" t="s">
        <v>162</v>
      </c>
      <c r="M1723" s="4">
        <v>380000000</v>
      </c>
      <c r="N1723">
        <v>0</v>
      </c>
      <c r="O1723">
        <v>4.7004967000000004</v>
      </c>
      <c r="P1723">
        <v>-74.061719999999994</v>
      </c>
      <c r="Q1723" t="s">
        <v>472</v>
      </c>
      <c r="R1723">
        <v>4810126.5820000004</v>
      </c>
      <c r="S1723">
        <v>0</v>
      </c>
      <c r="T1723" t="s">
        <v>104</v>
      </c>
      <c r="U1723" t="s">
        <v>105</v>
      </c>
      <c r="V1723" t="s">
        <v>77</v>
      </c>
      <c r="W1723" t="s">
        <v>104</v>
      </c>
      <c r="X1723" t="s">
        <v>106</v>
      </c>
      <c r="Y1723">
        <v>3.6420227489458301</v>
      </c>
      <c r="Z1723">
        <v>3642.0227489458298</v>
      </c>
      <c r="AA1723">
        <v>4.71035</v>
      </c>
      <c r="AB1723">
        <v>-74.030416666666696</v>
      </c>
      <c r="AC1723">
        <v>2570</v>
      </c>
      <c r="AD1723">
        <v>10</v>
      </c>
      <c r="AE1723" t="s">
        <v>80</v>
      </c>
      <c r="AF1723" t="s">
        <v>107</v>
      </c>
      <c r="AG1723" t="s">
        <v>82</v>
      </c>
      <c r="AH1723" t="s">
        <v>83</v>
      </c>
      <c r="AI1723" t="s">
        <v>121</v>
      </c>
      <c r="AJ1723">
        <v>0.75756888975998804</v>
      </c>
      <c r="AK1723">
        <v>3.7202487128067099</v>
      </c>
      <c r="AL1723">
        <v>0.92340850872952396</v>
      </c>
      <c r="AM1723">
        <v>0.307749617967711</v>
      </c>
      <c r="AN1723">
        <v>3.6992325887858302</v>
      </c>
      <c r="AO1723">
        <v>5.18520084881786E-2</v>
      </c>
      <c r="AP1723">
        <v>5.18520084881786E-2</v>
      </c>
      <c r="AQ1723">
        <v>0</v>
      </c>
      <c r="AR1723">
        <v>4</v>
      </c>
      <c r="AS1723">
        <v>0</v>
      </c>
      <c r="AT1723">
        <v>0</v>
      </c>
      <c r="AU1723">
        <v>1</v>
      </c>
      <c r="AV1723">
        <v>61</v>
      </c>
      <c r="AW1723">
        <v>0</v>
      </c>
      <c r="AX1723">
        <v>0</v>
      </c>
      <c r="AY1723">
        <v>15.5</v>
      </c>
      <c r="AZ1723">
        <v>2.4</v>
      </c>
      <c r="BA1723">
        <v>10.9</v>
      </c>
      <c r="BB1723">
        <v>564</v>
      </c>
      <c r="BC1723">
        <v>68</v>
      </c>
      <c r="BD1723">
        <v>1.5</v>
      </c>
      <c r="BE1723">
        <v>135</v>
      </c>
      <c r="BF1723">
        <v>0</v>
      </c>
      <c r="BG1723">
        <v>162</v>
      </c>
      <c r="BH1723">
        <v>9.1</v>
      </c>
      <c r="BI1723">
        <v>9.1999999999999993</v>
      </c>
      <c r="BJ1723">
        <v>18.3</v>
      </c>
      <c r="BK1723">
        <v>0.34</v>
      </c>
      <c r="BL1723">
        <v>7.3</v>
      </c>
      <c r="BM1723">
        <v>0.9</v>
      </c>
      <c r="BN1723">
        <v>7.5</v>
      </c>
      <c r="BO1723">
        <v>2.9</v>
      </c>
      <c r="BP1723">
        <f t="shared" si="52"/>
        <v>2.0040870317189552</v>
      </c>
      <c r="BQ1723">
        <f t="shared" si="53"/>
        <v>9.9876990745119372</v>
      </c>
    </row>
    <row r="1724" spans="1:69" hidden="1" x14ac:dyDescent="0.2">
      <c r="A1724" t="s">
        <v>3322</v>
      </c>
      <c r="B1724" t="s">
        <v>68</v>
      </c>
      <c r="C1724" t="s">
        <v>3294</v>
      </c>
      <c r="D1724" t="s">
        <v>70</v>
      </c>
      <c r="E1724" t="s">
        <v>132</v>
      </c>
      <c r="F1724">
        <v>6</v>
      </c>
      <c r="G1724">
        <v>78</v>
      </c>
      <c r="H1724">
        <v>1</v>
      </c>
      <c r="I1724">
        <v>2</v>
      </c>
      <c r="J1724">
        <v>1</v>
      </c>
      <c r="K1724" t="s">
        <v>110</v>
      </c>
      <c r="L1724" t="s">
        <v>111</v>
      </c>
      <c r="M1724" s="4">
        <v>1180000000</v>
      </c>
      <c r="N1724">
        <v>0</v>
      </c>
      <c r="O1724">
        <v>4.6843132350000003</v>
      </c>
      <c r="P1724">
        <v>-74.054000740000006</v>
      </c>
      <c r="Q1724" t="s">
        <v>3323</v>
      </c>
      <c r="R1724">
        <v>15128205.130000001</v>
      </c>
      <c r="S1724">
        <v>0</v>
      </c>
      <c r="T1724" t="s">
        <v>104</v>
      </c>
      <c r="U1724" t="s">
        <v>105</v>
      </c>
      <c r="V1724" t="s">
        <v>77</v>
      </c>
      <c r="W1724" t="s">
        <v>104</v>
      </c>
      <c r="X1724" t="s">
        <v>106</v>
      </c>
      <c r="Y1724">
        <v>3.9047467942215799</v>
      </c>
      <c r="Z1724">
        <v>3904.7467942215799</v>
      </c>
      <c r="AA1724">
        <v>4.71035</v>
      </c>
      <c r="AB1724">
        <v>-74.030416666666696</v>
      </c>
      <c r="AC1724">
        <v>2570</v>
      </c>
      <c r="AD1724">
        <v>10</v>
      </c>
      <c r="AE1724" t="s">
        <v>80</v>
      </c>
      <c r="AF1724" t="s">
        <v>107</v>
      </c>
      <c r="AG1724" t="s">
        <v>82</v>
      </c>
      <c r="AH1724" t="s">
        <v>83</v>
      </c>
      <c r="AI1724" t="s">
        <v>130</v>
      </c>
      <c r="AJ1724">
        <v>0.413497516819401</v>
      </c>
      <c r="AK1724">
        <v>1.97054084136958</v>
      </c>
      <c r="AL1724">
        <v>0.20741324272460401</v>
      </c>
      <c r="AM1724">
        <v>0.137227636179684</v>
      </c>
      <c r="AN1724">
        <v>3.3000618224040301</v>
      </c>
      <c r="AO1724">
        <v>0.47280760637686697</v>
      </c>
      <c r="AP1724">
        <v>0.47280760637686697</v>
      </c>
      <c r="AQ1724">
        <v>1</v>
      </c>
      <c r="AR1724">
        <v>2</v>
      </c>
      <c r="AS1724">
        <v>0</v>
      </c>
      <c r="AT1724">
        <v>0</v>
      </c>
      <c r="AU1724">
        <v>4</v>
      </c>
      <c r="AV1724">
        <v>261</v>
      </c>
      <c r="AW1724">
        <v>0</v>
      </c>
      <c r="AX1724">
        <v>0</v>
      </c>
      <c r="AY1724">
        <v>15.5</v>
      </c>
      <c r="AZ1724">
        <v>2.4</v>
      </c>
      <c r="BA1724">
        <v>10.9</v>
      </c>
      <c r="BB1724">
        <v>564</v>
      </c>
      <c r="BC1724">
        <v>68</v>
      </c>
      <c r="BD1724">
        <v>1.5</v>
      </c>
      <c r="BE1724">
        <v>135</v>
      </c>
      <c r="BF1724">
        <v>0</v>
      </c>
      <c r="BG1724">
        <v>162</v>
      </c>
      <c r="BH1724">
        <v>9.1</v>
      </c>
      <c r="BI1724">
        <v>9.1999999999999993</v>
      </c>
      <c r="BJ1724">
        <v>18.3</v>
      </c>
      <c r="BK1724">
        <v>0.34</v>
      </c>
      <c r="BL1724">
        <v>7.3</v>
      </c>
      <c r="BM1724">
        <v>0.9</v>
      </c>
      <c r="BN1724">
        <v>7.5</v>
      </c>
      <c r="BO1724">
        <v>2.9</v>
      </c>
      <c r="BP1724">
        <f t="shared" si="52"/>
        <v>1.9781929392556417</v>
      </c>
      <c r="BQ1724">
        <f t="shared" si="53"/>
        <v>9.9249209933496836</v>
      </c>
    </row>
    <row r="1725" spans="1:69" hidden="1" x14ac:dyDescent="0.2">
      <c r="A1725" t="s">
        <v>4279</v>
      </c>
      <c r="B1725" t="s">
        <v>68</v>
      </c>
      <c r="C1725" t="s">
        <v>3294</v>
      </c>
      <c r="D1725" t="s">
        <v>70</v>
      </c>
      <c r="E1725" t="s">
        <v>213</v>
      </c>
      <c r="F1725">
        <v>6</v>
      </c>
      <c r="G1725">
        <v>78</v>
      </c>
      <c r="H1725">
        <v>1</v>
      </c>
      <c r="I1725">
        <v>2</v>
      </c>
      <c r="J1725">
        <v>1</v>
      </c>
      <c r="K1725" t="s">
        <v>110</v>
      </c>
      <c r="L1725" t="s">
        <v>124</v>
      </c>
      <c r="M1725" s="4">
        <v>700000000</v>
      </c>
      <c r="N1725">
        <v>0</v>
      </c>
      <c r="O1725">
        <v>4.6976771350000002</v>
      </c>
      <c r="P1725">
        <v>-74.039558409999998</v>
      </c>
      <c r="Q1725" t="s">
        <v>4280</v>
      </c>
      <c r="R1725">
        <v>8974358.9739999995</v>
      </c>
      <c r="S1725">
        <v>0</v>
      </c>
      <c r="T1725" t="s">
        <v>104</v>
      </c>
      <c r="U1725" t="s">
        <v>105</v>
      </c>
      <c r="V1725" t="s">
        <v>77</v>
      </c>
      <c r="W1725" t="s">
        <v>104</v>
      </c>
      <c r="X1725" t="s">
        <v>106</v>
      </c>
      <c r="Y1725">
        <v>1.73747912514823</v>
      </c>
      <c r="Z1725">
        <v>1737.47912514823</v>
      </c>
      <c r="AA1725">
        <v>4.71035</v>
      </c>
      <c r="AB1725">
        <v>-74.030416666666696</v>
      </c>
      <c r="AC1725">
        <v>2570</v>
      </c>
      <c r="AD1725">
        <v>10</v>
      </c>
      <c r="AE1725" t="s">
        <v>80</v>
      </c>
      <c r="AF1725" t="s">
        <v>107</v>
      </c>
      <c r="AG1725" t="s">
        <v>82</v>
      </c>
      <c r="AH1725" t="s">
        <v>83</v>
      </c>
      <c r="AI1725" t="s">
        <v>108</v>
      </c>
      <c r="AJ1725">
        <v>1.7470750877980601</v>
      </c>
      <c r="AK1725">
        <v>1.5177654035499</v>
      </c>
      <c r="AL1725">
        <v>0.88430257242613197</v>
      </c>
      <c r="AM1725">
        <v>2.5822837559881E-2</v>
      </c>
      <c r="AN1725">
        <v>5.0513656312494204</v>
      </c>
      <c r="AO1725">
        <v>3.8004743448727903E-2</v>
      </c>
      <c r="AP1725">
        <v>3.8004743448727903E-2</v>
      </c>
      <c r="AQ1725">
        <v>0</v>
      </c>
      <c r="AR1725">
        <v>0</v>
      </c>
      <c r="AS1725">
        <v>0</v>
      </c>
      <c r="AT1725">
        <v>0</v>
      </c>
      <c r="AU1725">
        <v>1</v>
      </c>
      <c r="AV1725">
        <v>155</v>
      </c>
      <c r="AW1725">
        <v>0</v>
      </c>
      <c r="AX1725">
        <v>0</v>
      </c>
      <c r="AY1725">
        <v>15.5</v>
      </c>
      <c r="AZ1725">
        <v>2.4</v>
      </c>
      <c r="BA1725">
        <v>10.9</v>
      </c>
      <c r="BB1725">
        <v>564</v>
      </c>
      <c r="BC1725">
        <v>68</v>
      </c>
      <c r="BD1725">
        <v>1.5</v>
      </c>
      <c r="BE1725">
        <v>135</v>
      </c>
      <c r="BF1725">
        <v>0</v>
      </c>
      <c r="BG1725">
        <v>162</v>
      </c>
      <c r="BH1725">
        <v>9.1</v>
      </c>
      <c r="BI1725">
        <v>9.1999999999999993</v>
      </c>
      <c r="BJ1725">
        <v>18.3</v>
      </c>
      <c r="BK1725">
        <v>0.34</v>
      </c>
      <c r="BL1725">
        <v>7.3</v>
      </c>
      <c r="BM1725">
        <v>0.9</v>
      </c>
      <c r="BN1725">
        <v>7.5</v>
      </c>
      <c r="BO1725">
        <v>2.9</v>
      </c>
      <c r="BP1725">
        <f t="shared" si="52"/>
        <v>2.2022146666165145</v>
      </c>
      <c r="BQ1725">
        <f t="shared" si="53"/>
        <v>10.454821820622444</v>
      </c>
    </row>
    <row r="1726" spans="1:69" hidden="1" x14ac:dyDescent="0.2">
      <c r="A1726" t="s">
        <v>2620</v>
      </c>
      <c r="B1726" t="s">
        <v>68</v>
      </c>
      <c r="C1726" t="s">
        <v>1956</v>
      </c>
      <c r="D1726" t="s">
        <v>70</v>
      </c>
      <c r="E1726" t="s">
        <v>205</v>
      </c>
      <c r="F1726">
        <v>4</v>
      </c>
      <c r="G1726">
        <v>75.349999999999994</v>
      </c>
      <c r="H1726">
        <v>3</v>
      </c>
      <c r="I1726">
        <v>2</v>
      </c>
      <c r="J1726">
        <v>2</v>
      </c>
      <c r="K1726" t="s">
        <v>110</v>
      </c>
      <c r="L1726" t="s">
        <v>162</v>
      </c>
      <c r="M1726" s="4">
        <v>550000000</v>
      </c>
      <c r="N1726">
        <v>0</v>
      </c>
      <c r="O1726">
        <v>4.7213700000000003</v>
      </c>
      <c r="P1726">
        <v>-74.034480000000002</v>
      </c>
      <c r="Q1726" t="s">
        <v>2621</v>
      </c>
      <c r="R1726">
        <v>7299270.0729999999</v>
      </c>
      <c r="S1726">
        <v>0</v>
      </c>
      <c r="T1726" t="s">
        <v>104</v>
      </c>
      <c r="U1726" t="s">
        <v>105</v>
      </c>
      <c r="V1726" t="s">
        <v>77</v>
      </c>
      <c r="W1726" t="s">
        <v>104</v>
      </c>
      <c r="X1726" t="s">
        <v>106</v>
      </c>
      <c r="Y1726">
        <v>1.3069471378923301</v>
      </c>
      <c r="Z1726">
        <v>1306.9471378923299</v>
      </c>
      <c r="AA1726">
        <v>4.71035</v>
      </c>
      <c r="AB1726">
        <v>-74.030416666666696</v>
      </c>
      <c r="AC1726">
        <v>2570</v>
      </c>
      <c r="AD1726">
        <v>10</v>
      </c>
      <c r="AE1726" t="s">
        <v>80</v>
      </c>
      <c r="AF1726" t="s">
        <v>107</v>
      </c>
      <c r="AG1726" t="s">
        <v>82</v>
      </c>
      <c r="AH1726" t="s">
        <v>83</v>
      </c>
      <c r="AI1726" t="s">
        <v>108</v>
      </c>
      <c r="AJ1726">
        <v>1.87694957910909</v>
      </c>
      <c r="AK1726">
        <v>1.2249210093904399</v>
      </c>
      <c r="AL1726">
        <v>1.18960595646759</v>
      </c>
      <c r="AM1726">
        <v>0.27125593277607102</v>
      </c>
      <c r="AN1726">
        <v>2.3885413955565902</v>
      </c>
      <c r="AO1726">
        <v>6.3080856097725305E-2</v>
      </c>
      <c r="AP1726">
        <v>6.3080856097725305E-2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45</v>
      </c>
      <c r="AW1726">
        <v>0</v>
      </c>
      <c r="AX1726">
        <v>0</v>
      </c>
      <c r="AY1726">
        <v>15.5</v>
      </c>
      <c r="AZ1726">
        <v>2.4</v>
      </c>
      <c r="BA1726">
        <v>10.9</v>
      </c>
      <c r="BB1726">
        <v>564</v>
      </c>
      <c r="BC1726">
        <v>68</v>
      </c>
      <c r="BD1726">
        <v>1.5</v>
      </c>
      <c r="BE1726">
        <v>135</v>
      </c>
      <c r="BF1726">
        <v>0</v>
      </c>
      <c r="BG1726">
        <v>162</v>
      </c>
      <c r="BH1726">
        <v>9.1</v>
      </c>
      <c r="BI1726">
        <v>9.1999999999999993</v>
      </c>
      <c r="BJ1726">
        <v>18.3</v>
      </c>
      <c r="BK1726">
        <v>0.34</v>
      </c>
      <c r="BL1726">
        <v>7.3</v>
      </c>
      <c r="BM1726">
        <v>0.9</v>
      </c>
      <c r="BN1726">
        <v>7.5</v>
      </c>
      <c r="BO1726">
        <v>2.9</v>
      </c>
      <c r="BP1726">
        <f t="shared" si="52"/>
        <v>2.249650462229956</v>
      </c>
      <c r="BQ1726">
        <f t="shared" si="53"/>
        <v>10.563409103243279</v>
      </c>
    </row>
    <row r="1727" spans="1:69" hidden="1" x14ac:dyDescent="0.2">
      <c r="A1727" t="s">
        <v>1261</v>
      </c>
      <c r="B1727" t="s">
        <v>68</v>
      </c>
      <c r="C1727" t="s">
        <v>69</v>
      </c>
      <c r="D1727" t="s">
        <v>70</v>
      </c>
      <c r="E1727" t="s">
        <v>1262</v>
      </c>
      <c r="F1727">
        <v>4</v>
      </c>
      <c r="G1727">
        <v>75</v>
      </c>
      <c r="H1727">
        <v>3</v>
      </c>
      <c r="I1727">
        <v>3</v>
      </c>
      <c r="J1727">
        <v>2</v>
      </c>
      <c r="K1727" t="s">
        <v>110</v>
      </c>
      <c r="L1727" t="s">
        <v>162</v>
      </c>
      <c r="M1727" s="4">
        <v>510000000</v>
      </c>
      <c r="N1727">
        <v>0</v>
      </c>
      <c r="O1727">
        <v>4.7342579999999996</v>
      </c>
      <c r="P1727">
        <v>-74.036779999999993</v>
      </c>
      <c r="Q1727" t="s">
        <v>1263</v>
      </c>
      <c r="R1727">
        <v>6800000</v>
      </c>
      <c r="S1727">
        <v>0</v>
      </c>
      <c r="T1727" t="s">
        <v>104</v>
      </c>
      <c r="U1727" t="s">
        <v>105</v>
      </c>
      <c r="V1727" t="s">
        <v>77</v>
      </c>
      <c r="W1727" t="s">
        <v>104</v>
      </c>
      <c r="X1727" t="s">
        <v>106</v>
      </c>
      <c r="Y1727">
        <v>2.7534646722752099</v>
      </c>
      <c r="Z1727">
        <v>2753.46467227521</v>
      </c>
      <c r="AA1727">
        <v>4.71035</v>
      </c>
      <c r="AB1727">
        <v>-74.030416666666696</v>
      </c>
      <c r="AC1727">
        <v>2570</v>
      </c>
      <c r="AD1727">
        <v>10</v>
      </c>
      <c r="AE1727" t="s">
        <v>80</v>
      </c>
      <c r="AF1727" t="s">
        <v>107</v>
      </c>
      <c r="AG1727" t="s">
        <v>82</v>
      </c>
      <c r="AH1727" t="s">
        <v>83</v>
      </c>
      <c r="AI1727" t="s">
        <v>108</v>
      </c>
      <c r="AJ1727">
        <v>1.3804201810441801</v>
      </c>
      <c r="AK1727">
        <v>1.64839574587613</v>
      </c>
      <c r="AL1727">
        <v>0.38514079960139902</v>
      </c>
      <c r="AM1727">
        <v>0.57548988742636598</v>
      </c>
      <c r="AN1727">
        <v>1.3741175726967301</v>
      </c>
      <c r="AO1727">
        <v>0.38249973547104898</v>
      </c>
      <c r="AP1727">
        <v>0.38249973547104898</v>
      </c>
      <c r="AQ1727">
        <v>0</v>
      </c>
      <c r="AR1727">
        <v>0</v>
      </c>
      <c r="AS1727">
        <v>0</v>
      </c>
      <c r="AT1727">
        <v>0</v>
      </c>
      <c r="AU1727">
        <v>1</v>
      </c>
      <c r="AV1727">
        <v>19</v>
      </c>
      <c r="AW1727">
        <v>0</v>
      </c>
      <c r="AX1727">
        <v>0</v>
      </c>
      <c r="AY1727">
        <v>15.5</v>
      </c>
      <c r="AZ1727">
        <v>2.4</v>
      </c>
      <c r="BA1727">
        <v>10.9</v>
      </c>
      <c r="BB1727">
        <v>564</v>
      </c>
      <c r="BC1727">
        <v>68</v>
      </c>
      <c r="BD1727">
        <v>1.5</v>
      </c>
      <c r="BE1727">
        <v>135</v>
      </c>
      <c r="BF1727">
        <v>0</v>
      </c>
      <c r="BG1727">
        <v>162</v>
      </c>
      <c r="BH1727">
        <v>9.1</v>
      </c>
      <c r="BI1727">
        <v>9.1999999999999993</v>
      </c>
      <c r="BJ1727">
        <v>18.3</v>
      </c>
      <c r="BK1727">
        <v>0.34</v>
      </c>
      <c r="BL1727">
        <v>7.3</v>
      </c>
      <c r="BM1727">
        <v>0.9</v>
      </c>
      <c r="BN1727">
        <v>7.5</v>
      </c>
      <c r="BO1727">
        <v>2.9</v>
      </c>
      <c r="BP1727">
        <f t="shared" si="52"/>
        <v>2.0942012925512197</v>
      </c>
      <c r="BQ1727">
        <f t="shared" si="53"/>
        <v>10.202977986105685</v>
      </c>
    </row>
    <row r="1728" spans="1:69" hidden="1" x14ac:dyDescent="0.2">
      <c r="A1728" t="s">
        <v>3864</v>
      </c>
      <c r="B1728" t="s">
        <v>68</v>
      </c>
      <c r="C1728" t="s">
        <v>3294</v>
      </c>
      <c r="D1728" t="s">
        <v>70</v>
      </c>
      <c r="E1728" t="s">
        <v>891</v>
      </c>
      <c r="F1728">
        <v>6</v>
      </c>
      <c r="G1728">
        <v>74.569999999999993</v>
      </c>
      <c r="H1728">
        <v>1</v>
      </c>
      <c r="I1728">
        <v>1</v>
      </c>
      <c r="J1728">
        <v>2</v>
      </c>
      <c r="K1728" t="s">
        <v>110</v>
      </c>
      <c r="L1728" t="s">
        <v>124</v>
      </c>
      <c r="M1728" s="4">
        <v>880000000</v>
      </c>
      <c r="N1728">
        <v>0</v>
      </c>
      <c r="O1728">
        <v>4.6778523999999999</v>
      </c>
      <c r="P1728">
        <v>-74.042402499999994</v>
      </c>
      <c r="Q1728" t="s">
        <v>3865</v>
      </c>
      <c r="R1728">
        <v>11800992.359999999</v>
      </c>
      <c r="S1728">
        <v>0</v>
      </c>
      <c r="T1728" t="s">
        <v>104</v>
      </c>
      <c r="U1728" t="s">
        <v>105</v>
      </c>
      <c r="V1728" t="s">
        <v>77</v>
      </c>
      <c r="W1728" t="s">
        <v>104</v>
      </c>
      <c r="X1728" t="s">
        <v>106</v>
      </c>
      <c r="Y1728">
        <v>3.85427897624806</v>
      </c>
      <c r="Z1728">
        <v>3854.2789762480602</v>
      </c>
      <c r="AA1728">
        <v>4.71035</v>
      </c>
      <c r="AB1728">
        <v>-74.030416666666696</v>
      </c>
      <c r="AC1728">
        <v>2570</v>
      </c>
      <c r="AD1728">
        <v>10</v>
      </c>
      <c r="AE1728" t="s">
        <v>80</v>
      </c>
      <c r="AF1728" t="s">
        <v>107</v>
      </c>
      <c r="AG1728" t="s">
        <v>82</v>
      </c>
      <c r="AH1728" t="s">
        <v>83</v>
      </c>
      <c r="AI1728" t="s">
        <v>130</v>
      </c>
      <c r="AJ1728">
        <v>1.8263909464158401</v>
      </c>
      <c r="AK1728">
        <v>0.521924925078871</v>
      </c>
      <c r="AL1728">
        <v>0.61338488226806398</v>
      </c>
      <c r="AM1728">
        <v>0.17738460847531901</v>
      </c>
      <c r="AN1728">
        <v>4.3797377516993903</v>
      </c>
      <c r="AO1728">
        <v>1.05281598216896</v>
      </c>
      <c r="AP1728">
        <v>1.05281598216896</v>
      </c>
      <c r="AQ1728">
        <v>0</v>
      </c>
      <c r="AR1728">
        <v>0</v>
      </c>
      <c r="AS1728">
        <v>0</v>
      </c>
      <c r="AT1728">
        <v>8</v>
      </c>
      <c r="AU1728">
        <v>3</v>
      </c>
      <c r="AV1728">
        <v>73</v>
      </c>
      <c r="AW1728">
        <v>0</v>
      </c>
      <c r="AX1728">
        <v>0</v>
      </c>
      <c r="AY1728">
        <v>15.5</v>
      </c>
      <c r="AZ1728">
        <v>2.4</v>
      </c>
      <c r="BA1728">
        <v>10.9</v>
      </c>
      <c r="BB1728">
        <v>564</v>
      </c>
      <c r="BC1728">
        <v>68</v>
      </c>
      <c r="BD1728">
        <v>1.5</v>
      </c>
      <c r="BE1728">
        <v>135</v>
      </c>
      <c r="BF1728">
        <v>0</v>
      </c>
      <c r="BG1728">
        <v>162</v>
      </c>
      <c r="BH1728">
        <v>9.1</v>
      </c>
      <c r="BI1728">
        <v>9.1999999999999993</v>
      </c>
      <c r="BJ1728">
        <v>18.3</v>
      </c>
      <c r="BK1728">
        <v>0.34</v>
      </c>
      <c r="BL1728">
        <v>7.3</v>
      </c>
      <c r="BM1728">
        <v>0.9</v>
      </c>
      <c r="BN1728">
        <v>7.5</v>
      </c>
      <c r="BO1728">
        <v>2.9</v>
      </c>
      <c r="BP1728">
        <f t="shared" si="52"/>
        <v>1.983140953658888</v>
      </c>
      <c r="BQ1728">
        <f t="shared" si="53"/>
        <v>9.9369496151248971</v>
      </c>
    </row>
    <row r="1729" spans="1:69" hidden="1" x14ac:dyDescent="0.2">
      <c r="A1729" t="s">
        <v>1095</v>
      </c>
      <c r="B1729" t="s">
        <v>68</v>
      </c>
      <c r="C1729" t="s">
        <v>69</v>
      </c>
      <c r="D1729" t="s">
        <v>70</v>
      </c>
      <c r="E1729" t="s">
        <v>210</v>
      </c>
      <c r="F1729">
        <v>6</v>
      </c>
      <c r="G1729">
        <v>73.319999999999993</v>
      </c>
      <c r="H1729">
        <v>2</v>
      </c>
      <c r="I1729">
        <v>3</v>
      </c>
      <c r="J1729">
        <v>2</v>
      </c>
      <c r="K1729" t="s">
        <v>72</v>
      </c>
      <c r="L1729" t="s">
        <v>73</v>
      </c>
      <c r="M1729" s="4">
        <v>1394143400</v>
      </c>
      <c r="N1729">
        <v>0</v>
      </c>
      <c r="O1729">
        <v>4.6971930000000004</v>
      </c>
      <c r="P1729">
        <v>-74.052099999999996</v>
      </c>
      <c r="Q1729" t="s">
        <v>1096</v>
      </c>
      <c r="R1729">
        <v>19014503.550000001</v>
      </c>
      <c r="S1729">
        <v>0</v>
      </c>
      <c r="T1729" t="s">
        <v>104</v>
      </c>
      <c r="U1729" t="s">
        <v>105</v>
      </c>
      <c r="V1729" t="s">
        <v>77</v>
      </c>
      <c r="W1729" t="s">
        <v>104</v>
      </c>
      <c r="X1729" t="s">
        <v>106</v>
      </c>
      <c r="Y1729">
        <v>2.8164312341552802</v>
      </c>
      <c r="Z1729">
        <v>2816.43123415528</v>
      </c>
      <c r="AA1729">
        <v>4.71035</v>
      </c>
      <c r="AB1729">
        <v>-74.030416666666696</v>
      </c>
      <c r="AC1729">
        <v>2570</v>
      </c>
      <c r="AD1729">
        <v>10</v>
      </c>
      <c r="AE1729" t="s">
        <v>80</v>
      </c>
      <c r="AF1729" t="s">
        <v>107</v>
      </c>
      <c r="AG1729" t="s">
        <v>82</v>
      </c>
      <c r="AH1729" t="s">
        <v>83</v>
      </c>
      <c r="AI1729" t="s">
        <v>108</v>
      </c>
      <c r="AJ1729">
        <v>0.3704520231708</v>
      </c>
      <c r="AK1729">
        <v>2.7029258595346799</v>
      </c>
      <c r="AL1729">
        <v>0.497922585731226</v>
      </c>
      <c r="AM1729">
        <v>0.183439943781117</v>
      </c>
      <c r="AN1729">
        <v>4.1912385891044197</v>
      </c>
      <c r="AO1729">
        <v>0.29890318697298801</v>
      </c>
      <c r="AP1729">
        <v>0.29890318697298801</v>
      </c>
      <c r="AQ1729">
        <v>1</v>
      </c>
      <c r="AR1729">
        <v>3</v>
      </c>
      <c r="AS1729">
        <v>0</v>
      </c>
      <c r="AT1729">
        <v>0</v>
      </c>
      <c r="AU1729">
        <v>1</v>
      </c>
      <c r="AV1729">
        <v>157</v>
      </c>
      <c r="AW1729">
        <v>0</v>
      </c>
      <c r="AX1729">
        <v>0</v>
      </c>
      <c r="AY1729">
        <v>15.5</v>
      </c>
      <c r="AZ1729">
        <v>2.4</v>
      </c>
      <c r="BA1729">
        <v>10.9</v>
      </c>
      <c r="BB1729">
        <v>564</v>
      </c>
      <c r="BC1729">
        <v>68</v>
      </c>
      <c r="BD1729">
        <v>1.5</v>
      </c>
      <c r="BE1729">
        <v>135</v>
      </c>
      <c r="BF1729">
        <v>0</v>
      </c>
      <c r="BG1729">
        <v>162</v>
      </c>
      <c r="BH1729">
        <v>9.1</v>
      </c>
      <c r="BI1729">
        <v>9.1999999999999993</v>
      </c>
      <c r="BJ1729">
        <v>18.3</v>
      </c>
      <c r="BK1729">
        <v>0.34</v>
      </c>
      <c r="BL1729">
        <v>7.3</v>
      </c>
      <c r="BM1729">
        <v>0.9</v>
      </c>
      <c r="BN1729">
        <v>7.5</v>
      </c>
      <c r="BO1729">
        <v>2.9</v>
      </c>
      <c r="BP1729">
        <f t="shared" si="52"/>
        <v>2.0876841538460198</v>
      </c>
      <c r="BQ1729">
        <f t="shared" si="53"/>
        <v>10.187570915927299</v>
      </c>
    </row>
    <row r="1730" spans="1:69" hidden="1" x14ac:dyDescent="0.2">
      <c r="A1730" t="s">
        <v>1602</v>
      </c>
      <c r="B1730" t="s">
        <v>68</v>
      </c>
      <c r="C1730" t="s">
        <v>69</v>
      </c>
      <c r="D1730" t="s">
        <v>70</v>
      </c>
      <c r="E1730" t="s">
        <v>1603</v>
      </c>
      <c r="F1730">
        <v>4</v>
      </c>
      <c r="G1730">
        <v>72.099999999999994</v>
      </c>
      <c r="H1730">
        <v>3</v>
      </c>
      <c r="I1730">
        <v>2</v>
      </c>
      <c r="J1730">
        <v>1</v>
      </c>
      <c r="K1730" t="s">
        <v>110</v>
      </c>
      <c r="L1730" t="s">
        <v>162</v>
      </c>
      <c r="M1730" s="4">
        <v>480000000</v>
      </c>
      <c r="N1730">
        <v>0</v>
      </c>
      <c r="O1730">
        <v>4.7312500000000002</v>
      </c>
      <c r="P1730">
        <v>-74.037360000000007</v>
      </c>
      <c r="Q1730" t="s">
        <v>1604</v>
      </c>
      <c r="R1730">
        <v>6657420.25</v>
      </c>
      <c r="S1730">
        <v>0</v>
      </c>
      <c r="T1730" t="s">
        <v>104</v>
      </c>
      <c r="U1730" t="s">
        <v>105</v>
      </c>
      <c r="V1730" t="s">
        <v>77</v>
      </c>
      <c r="W1730" t="s">
        <v>104</v>
      </c>
      <c r="X1730" t="s">
        <v>106</v>
      </c>
      <c r="Y1730">
        <v>2.4507822999455602</v>
      </c>
      <c r="Z1730">
        <v>2450.7822999455602</v>
      </c>
      <c r="AA1730">
        <v>4.71035</v>
      </c>
      <c r="AB1730">
        <v>-74.030416666666696</v>
      </c>
      <c r="AC1730">
        <v>2570</v>
      </c>
      <c r="AD1730">
        <v>10</v>
      </c>
      <c r="AE1730" t="s">
        <v>80</v>
      </c>
      <c r="AF1730" t="s">
        <v>107</v>
      </c>
      <c r="AG1730" t="s">
        <v>82</v>
      </c>
      <c r="AH1730" t="s">
        <v>83</v>
      </c>
      <c r="AI1730" t="s">
        <v>108</v>
      </c>
      <c r="AJ1730">
        <v>1.3663881364033601</v>
      </c>
      <c r="AK1730">
        <v>1.7107189569304799</v>
      </c>
      <c r="AL1730">
        <v>0.34132476541290901</v>
      </c>
      <c r="AM1730">
        <v>0.51465440535250895</v>
      </c>
      <c r="AN1730">
        <v>1.6373595223902799</v>
      </c>
      <c r="AO1730">
        <v>5.2260444008099899E-2</v>
      </c>
      <c r="AP1730">
        <v>5.2260444008099899E-2</v>
      </c>
      <c r="AQ1730">
        <v>0</v>
      </c>
      <c r="AR1730">
        <v>0</v>
      </c>
      <c r="AS1730">
        <v>0</v>
      </c>
      <c r="AT1730">
        <v>0</v>
      </c>
      <c r="AU1730">
        <v>1</v>
      </c>
      <c r="AV1730">
        <v>13</v>
      </c>
      <c r="AW1730">
        <v>0</v>
      </c>
      <c r="AX1730">
        <v>0</v>
      </c>
      <c r="AY1730">
        <v>15.5</v>
      </c>
      <c r="AZ1730">
        <v>2.4</v>
      </c>
      <c r="BA1730">
        <v>10.9</v>
      </c>
      <c r="BB1730">
        <v>564</v>
      </c>
      <c r="BC1730">
        <v>68</v>
      </c>
      <c r="BD1730">
        <v>1.5</v>
      </c>
      <c r="BE1730">
        <v>135</v>
      </c>
      <c r="BF1730">
        <v>0</v>
      </c>
      <c r="BG1730">
        <v>162</v>
      </c>
      <c r="BH1730">
        <v>9.1</v>
      </c>
      <c r="BI1730">
        <v>9.1999999999999993</v>
      </c>
      <c r="BJ1730">
        <v>18.3</v>
      </c>
      <c r="BK1730">
        <v>0.34</v>
      </c>
      <c r="BL1730">
        <v>7.3</v>
      </c>
      <c r="BM1730">
        <v>0.9</v>
      </c>
      <c r="BN1730">
        <v>7.5</v>
      </c>
      <c r="BO1730">
        <v>2.9</v>
      </c>
      <c r="BP1730">
        <f t="shared" ref="BP1730:BP1793" si="54">+AZ1730*EXP(-0.0495*Y1730)</f>
        <v>2.1258144797005816</v>
      </c>
      <c r="BQ1730">
        <f t="shared" ref="BQ1730:BQ1793" si="55">+BA1730*EXP(-0.024*Y1730)</f>
        <v>10.277366128690376</v>
      </c>
    </row>
    <row r="1731" spans="1:69" hidden="1" x14ac:dyDescent="0.2">
      <c r="A1731" t="s">
        <v>3126</v>
      </c>
      <c r="B1731" t="s">
        <v>68</v>
      </c>
      <c r="C1731" t="s">
        <v>1956</v>
      </c>
      <c r="D1731" t="s">
        <v>70</v>
      </c>
      <c r="E1731" t="s">
        <v>1564</v>
      </c>
      <c r="F1731">
        <v>3</v>
      </c>
      <c r="G1731">
        <v>72</v>
      </c>
      <c r="H1731">
        <v>5</v>
      </c>
      <c r="I1731">
        <v>3</v>
      </c>
      <c r="J1731">
        <v>1</v>
      </c>
      <c r="K1731" t="s">
        <v>110</v>
      </c>
      <c r="L1731" t="s">
        <v>133</v>
      </c>
      <c r="M1731" s="4">
        <v>600000000</v>
      </c>
      <c r="N1731">
        <v>0</v>
      </c>
      <c r="O1731">
        <v>4.7353100000000001</v>
      </c>
      <c r="P1731">
        <v>-74.027199999999993</v>
      </c>
      <c r="Q1731" t="s">
        <v>3127</v>
      </c>
      <c r="R1731">
        <v>8333333.3329999996</v>
      </c>
      <c r="S1731">
        <v>0</v>
      </c>
      <c r="T1731" t="s">
        <v>104</v>
      </c>
      <c r="U1731" t="s">
        <v>105</v>
      </c>
      <c r="V1731" t="s">
        <v>77</v>
      </c>
      <c r="W1731" t="s">
        <v>104</v>
      </c>
      <c r="X1731" t="s">
        <v>106</v>
      </c>
      <c r="Y1731">
        <v>2.80135758631247</v>
      </c>
      <c r="Z1731">
        <v>2801.3575863124702</v>
      </c>
      <c r="AA1731">
        <v>4.71035</v>
      </c>
      <c r="AB1731">
        <v>-74.030416666666696</v>
      </c>
      <c r="AC1731">
        <v>2570</v>
      </c>
      <c r="AD1731">
        <v>10</v>
      </c>
      <c r="AE1731" t="s">
        <v>80</v>
      </c>
      <c r="AF1731" t="s">
        <v>107</v>
      </c>
      <c r="AG1731" t="s">
        <v>82</v>
      </c>
      <c r="AH1731" t="s">
        <v>83</v>
      </c>
      <c r="AI1731" t="s">
        <v>108</v>
      </c>
      <c r="AJ1731">
        <v>2.41892388082056</v>
      </c>
      <c r="AK1731">
        <v>0.64615338548579904</v>
      </c>
      <c r="AL1731">
        <v>1.3220921752402099</v>
      </c>
      <c r="AM1731">
        <v>0.26642327471710697</v>
      </c>
      <c r="AN1731">
        <v>0.69014610800879705</v>
      </c>
      <c r="AO1731">
        <v>4.4920693773464998E-2</v>
      </c>
      <c r="AP1731">
        <v>4.4920693773464998E-2</v>
      </c>
      <c r="AQ1731">
        <v>0</v>
      </c>
      <c r="AR1731">
        <v>0</v>
      </c>
      <c r="AS1731">
        <v>0</v>
      </c>
      <c r="AT1731">
        <v>10</v>
      </c>
      <c r="AU1731">
        <v>0</v>
      </c>
      <c r="AV1731">
        <v>12</v>
      </c>
      <c r="AW1731">
        <v>1</v>
      </c>
      <c r="AX1731">
        <v>0</v>
      </c>
      <c r="AY1731">
        <v>15.5</v>
      </c>
      <c r="AZ1731">
        <v>2.4</v>
      </c>
      <c r="BA1731">
        <v>10.9</v>
      </c>
      <c r="BB1731">
        <v>564</v>
      </c>
      <c r="BC1731">
        <v>68</v>
      </c>
      <c r="BD1731">
        <v>1.5</v>
      </c>
      <c r="BE1731">
        <v>135</v>
      </c>
      <c r="BF1731">
        <v>0</v>
      </c>
      <c r="BG1731">
        <v>162</v>
      </c>
      <c r="BH1731">
        <v>9.1</v>
      </c>
      <c r="BI1731">
        <v>9.1999999999999993</v>
      </c>
      <c r="BJ1731">
        <v>18.3</v>
      </c>
      <c r="BK1731">
        <v>0.34</v>
      </c>
      <c r="BL1731">
        <v>7.3</v>
      </c>
      <c r="BM1731">
        <v>0.9</v>
      </c>
      <c r="BN1731">
        <v>7.5</v>
      </c>
      <c r="BO1731">
        <v>2.9</v>
      </c>
      <c r="BP1731">
        <f t="shared" si="54"/>
        <v>2.0892424514113679</v>
      </c>
      <c r="BQ1731">
        <f t="shared" si="55"/>
        <v>10.191257115213384</v>
      </c>
    </row>
    <row r="1732" spans="1:69" hidden="1" x14ac:dyDescent="0.2">
      <c r="A1732" t="s">
        <v>1233</v>
      </c>
      <c r="B1732" t="s">
        <v>68</v>
      </c>
      <c r="C1732" t="s">
        <v>69</v>
      </c>
      <c r="D1732" t="s">
        <v>70</v>
      </c>
      <c r="E1732" t="s">
        <v>283</v>
      </c>
      <c r="F1732">
        <v>4</v>
      </c>
      <c r="G1732">
        <v>72</v>
      </c>
      <c r="H1732">
        <v>3</v>
      </c>
      <c r="I1732">
        <v>3</v>
      </c>
      <c r="J1732">
        <v>1</v>
      </c>
      <c r="K1732" t="s">
        <v>110</v>
      </c>
      <c r="L1732" t="s">
        <v>162</v>
      </c>
      <c r="M1732" s="4">
        <v>390000000</v>
      </c>
      <c r="N1732">
        <v>0</v>
      </c>
      <c r="O1732">
        <v>4.7259187699999998</v>
      </c>
      <c r="P1732">
        <v>-74.034790040000004</v>
      </c>
      <c r="Q1732" t="s">
        <v>1234</v>
      </c>
      <c r="R1732">
        <v>5416666.6670000004</v>
      </c>
      <c r="S1732">
        <v>0</v>
      </c>
      <c r="T1732" t="s">
        <v>104</v>
      </c>
      <c r="U1732" t="s">
        <v>105</v>
      </c>
      <c r="V1732" t="s">
        <v>77</v>
      </c>
      <c r="W1732" t="s">
        <v>104</v>
      </c>
      <c r="X1732" t="s">
        <v>106</v>
      </c>
      <c r="Y1732">
        <v>1.7997424908579001</v>
      </c>
      <c r="Z1732">
        <v>1799.7424908579001</v>
      </c>
      <c r="AA1732">
        <v>4.71035</v>
      </c>
      <c r="AB1732">
        <v>-74.030416666666696</v>
      </c>
      <c r="AC1732">
        <v>2570</v>
      </c>
      <c r="AD1732">
        <v>10</v>
      </c>
      <c r="AE1732" t="s">
        <v>80</v>
      </c>
      <c r="AF1732" t="s">
        <v>107</v>
      </c>
      <c r="AG1732" t="s">
        <v>82</v>
      </c>
      <c r="AH1732" t="s">
        <v>83</v>
      </c>
      <c r="AI1732" t="s">
        <v>108</v>
      </c>
      <c r="AJ1732">
        <v>1.74521847645453</v>
      </c>
      <c r="AK1732">
        <v>1.4189637426474699</v>
      </c>
      <c r="AL1732">
        <v>0.96054613443186998</v>
      </c>
      <c r="AM1732">
        <v>0.169270743703125</v>
      </c>
      <c r="AN1732">
        <v>1.94354075349366</v>
      </c>
      <c r="AO1732">
        <v>2.7045982394045501E-2</v>
      </c>
      <c r="AP1732">
        <v>2.7045982394045501E-2</v>
      </c>
      <c r="AQ1732">
        <v>0</v>
      </c>
      <c r="AR1732">
        <v>0</v>
      </c>
      <c r="AS1732">
        <v>0</v>
      </c>
      <c r="AT1732">
        <v>0</v>
      </c>
      <c r="AU1732">
        <v>1</v>
      </c>
      <c r="AV1732">
        <v>11</v>
      </c>
      <c r="AW1732">
        <v>0</v>
      </c>
      <c r="AX1732">
        <v>0</v>
      </c>
      <c r="AY1732">
        <v>15.5</v>
      </c>
      <c r="AZ1732">
        <v>2.4</v>
      </c>
      <c r="BA1732">
        <v>10.9</v>
      </c>
      <c r="BB1732">
        <v>564</v>
      </c>
      <c r="BC1732">
        <v>68</v>
      </c>
      <c r="BD1732">
        <v>1.5</v>
      </c>
      <c r="BE1732">
        <v>135</v>
      </c>
      <c r="BF1732">
        <v>0</v>
      </c>
      <c r="BG1732">
        <v>162</v>
      </c>
      <c r="BH1732">
        <v>9.1</v>
      </c>
      <c r="BI1732">
        <v>9.1999999999999993</v>
      </c>
      <c r="BJ1732">
        <v>18.3</v>
      </c>
      <c r="BK1732">
        <v>0.34</v>
      </c>
      <c r="BL1732">
        <v>7.3</v>
      </c>
      <c r="BM1732">
        <v>0.9</v>
      </c>
      <c r="BN1732">
        <v>7.5</v>
      </c>
      <c r="BO1732">
        <v>2.9</v>
      </c>
      <c r="BP1732">
        <f t="shared" si="54"/>
        <v>2.1954378090331366</v>
      </c>
      <c r="BQ1732">
        <f t="shared" si="55"/>
        <v>10.439210630123853</v>
      </c>
    </row>
    <row r="1733" spans="1:69" hidden="1" x14ac:dyDescent="0.2">
      <c r="A1733" t="s">
        <v>3416</v>
      </c>
      <c r="B1733" t="s">
        <v>68</v>
      </c>
      <c r="C1733" t="s">
        <v>3294</v>
      </c>
      <c r="D1733" t="s">
        <v>70</v>
      </c>
      <c r="E1733" t="s">
        <v>442</v>
      </c>
      <c r="F1733">
        <v>5</v>
      </c>
      <c r="G1733">
        <v>72</v>
      </c>
      <c r="H1733">
        <v>1</v>
      </c>
      <c r="I1733">
        <v>2</v>
      </c>
      <c r="J1733">
        <v>1</v>
      </c>
      <c r="K1733" t="s">
        <v>110</v>
      </c>
      <c r="L1733" t="s">
        <v>111</v>
      </c>
      <c r="M1733" s="4">
        <v>635000000</v>
      </c>
      <c r="N1733">
        <v>0</v>
      </c>
      <c r="O1733">
        <v>4.7178244999999999</v>
      </c>
      <c r="P1733">
        <v>-74.042205999999993</v>
      </c>
      <c r="Q1733" t="s">
        <v>3417</v>
      </c>
      <c r="R1733">
        <v>8819444.4440000001</v>
      </c>
      <c r="S1733">
        <v>0</v>
      </c>
      <c r="T1733" t="s">
        <v>104</v>
      </c>
      <c r="U1733" t="s">
        <v>105</v>
      </c>
      <c r="V1733" t="s">
        <v>77</v>
      </c>
      <c r="W1733" t="s">
        <v>104</v>
      </c>
      <c r="X1733" t="s">
        <v>106</v>
      </c>
      <c r="Y1733">
        <v>1.5501725098713299</v>
      </c>
      <c r="Z1733">
        <v>1550.17250987133</v>
      </c>
      <c r="AA1733">
        <v>4.71035</v>
      </c>
      <c r="AB1733">
        <v>-74.030416666666696</v>
      </c>
      <c r="AC1733">
        <v>2570</v>
      </c>
      <c r="AD1733">
        <v>10</v>
      </c>
      <c r="AE1733" t="s">
        <v>80</v>
      </c>
      <c r="AF1733" t="s">
        <v>107</v>
      </c>
      <c r="AG1733" t="s">
        <v>82</v>
      </c>
      <c r="AH1733" t="s">
        <v>83</v>
      </c>
      <c r="AI1733" t="s">
        <v>108</v>
      </c>
      <c r="AJ1733">
        <v>1.09008123382068</v>
      </c>
      <c r="AK1733">
        <v>2.0257726136212102</v>
      </c>
      <c r="AL1733">
        <v>1.3058629073512</v>
      </c>
      <c r="AM1733">
        <v>0.110950991271987</v>
      </c>
      <c r="AN1733">
        <v>3.1321933887218099</v>
      </c>
      <c r="AO1733">
        <v>0.40065625403189897</v>
      </c>
      <c r="AP1733">
        <v>0.40065625403189897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35</v>
      </c>
      <c r="AW1733">
        <v>0</v>
      </c>
      <c r="AX1733">
        <v>0</v>
      </c>
      <c r="AY1733">
        <v>15.5</v>
      </c>
      <c r="AZ1733">
        <v>2.4</v>
      </c>
      <c r="BA1733">
        <v>10.9</v>
      </c>
      <c r="BB1733">
        <v>564</v>
      </c>
      <c r="BC1733">
        <v>68</v>
      </c>
      <c r="BD1733">
        <v>1.5</v>
      </c>
      <c r="BE1733">
        <v>135</v>
      </c>
      <c r="BF1733">
        <v>0</v>
      </c>
      <c r="BG1733">
        <v>162</v>
      </c>
      <c r="BH1733">
        <v>9.1</v>
      </c>
      <c r="BI1733">
        <v>9.1999999999999993</v>
      </c>
      <c r="BJ1733">
        <v>18.3</v>
      </c>
      <c r="BK1733">
        <v>0.34</v>
      </c>
      <c r="BL1733">
        <v>7.3</v>
      </c>
      <c r="BM1733">
        <v>0.9</v>
      </c>
      <c r="BN1733">
        <v>7.5</v>
      </c>
      <c r="BO1733">
        <v>2.9</v>
      </c>
      <c r="BP1733">
        <f t="shared" si="54"/>
        <v>2.2227278395067036</v>
      </c>
      <c r="BQ1733">
        <f t="shared" si="55"/>
        <v>10.501925790846199</v>
      </c>
    </row>
    <row r="1734" spans="1:69" hidden="1" x14ac:dyDescent="0.2">
      <c r="A1734" t="s">
        <v>406</v>
      </c>
      <c r="B1734" t="s">
        <v>68</v>
      </c>
      <c r="C1734" t="s">
        <v>69</v>
      </c>
      <c r="D1734" t="s">
        <v>70</v>
      </c>
      <c r="E1734" t="s">
        <v>407</v>
      </c>
      <c r="F1734">
        <v>4</v>
      </c>
      <c r="G1734">
        <v>71.25</v>
      </c>
      <c r="H1734">
        <v>3</v>
      </c>
      <c r="I1734">
        <v>2</v>
      </c>
      <c r="J1734">
        <v>1</v>
      </c>
      <c r="K1734" t="s">
        <v>110</v>
      </c>
      <c r="L1734" t="s">
        <v>162</v>
      </c>
      <c r="M1734" s="4">
        <v>370000000</v>
      </c>
      <c r="N1734">
        <v>0</v>
      </c>
      <c r="O1734">
        <v>4.7316431999999997</v>
      </c>
      <c r="P1734">
        <v>-74.034103389999999</v>
      </c>
      <c r="Q1734" t="s">
        <v>408</v>
      </c>
      <c r="R1734">
        <v>5192982.4560000002</v>
      </c>
      <c r="S1734">
        <v>0</v>
      </c>
      <c r="T1734" t="s">
        <v>104</v>
      </c>
      <c r="U1734" t="s">
        <v>105</v>
      </c>
      <c r="V1734" t="s">
        <v>77</v>
      </c>
      <c r="W1734" t="s">
        <v>104</v>
      </c>
      <c r="X1734" t="s">
        <v>106</v>
      </c>
      <c r="Y1734">
        <v>2.40537754573299</v>
      </c>
      <c r="Z1734">
        <v>2405.3775457329898</v>
      </c>
      <c r="AA1734">
        <v>4.71035</v>
      </c>
      <c r="AB1734">
        <v>-74.030416666666696</v>
      </c>
      <c r="AC1734">
        <v>2570</v>
      </c>
      <c r="AD1734">
        <v>10</v>
      </c>
      <c r="AE1734" t="s">
        <v>80</v>
      </c>
      <c r="AF1734" t="s">
        <v>107</v>
      </c>
      <c r="AG1734" t="s">
        <v>82</v>
      </c>
      <c r="AH1734" t="s">
        <v>83</v>
      </c>
      <c r="AI1734" t="s">
        <v>108</v>
      </c>
      <c r="AJ1734">
        <v>1.70800167669043</v>
      </c>
      <c r="AK1734">
        <v>1.3472200689554099</v>
      </c>
      <c r="AL1734">
        <v>0.66500117734785802</v>
      </c>
      <c r="AM1734">
        <v>0.4681795969368</v>
      </c>
      <c r="AN1734">
        <v>1.36509703912242</v>
      </c>
      <c r="AO1734">
        <v>0.23914461847830801</v>
      </c>
      <c r="AP1734">
        <v>0.23914461847830801</v>
      </c>
      <c r="AQ1734">
        <v>0</v>
      </c>
      <c r="AR1734">
        <v>0</v>
      </c>
      <c r="AS1734">
        <v>0</v>
      </c>
      <c r="AT1734">
        <v>0</v>
      </c>
      <c r="AU1734">
        <v>1</v>
      </c>
      <c r="AV1734">
        <v>9</v>
      </c>
      <c r="AW1734">
        <v>0</v>
      </c>
      <c r="AX1734">
        <v>0</v>
      </c>
      <c r="AY1734">
        <v>15.5</v>
      </c>
      <c r="AZ1734">
        <v>2.4</v>
      </c>
      <c r="BA1734">
        <v>10.9</v>
      </c>
      <c r="BB1734">
        <v>564</v>
      </c>
      <c r="BC1734">
        <v>68</v>
      </c>
      <c r="BD1734">
        <v>1.5</v>
      </c>
      <c r="BE1734">
        <v>135</v>
      </c>
      <c r="BF1734">
        <v>0</v>
      </c>
      <c r="BG1734">
        <v>162</v>
      </c>
      <c r="BH1734">
        <v>9.1</v>
      </c>
      <c r="BI1734">
        <v>9.1999999999999993</v>
      </c>
      <c r="BJ1734">
        <v>18.3</v>
      </c>
      <c r="BK1734">
        <v>0.34</v>
      </c>
      <c r="BL1734">
        <v>7.3</v>
      </c>
      <c r="BM1734">
        <v>0.9</v>
      </c>
      <c r="BN1734">
        <v>7.5</v>
      </c>
      <c r="BO1734">
        <v>2.9</v>
      </c>
      <c r="BP1734">
        <f t="shared" si="54"/>
        <v>2.1305976960666166</v>
      </c>
      <c r="BQ1734">
        <f t="shared" si="55"/>
        <v>10.288571623767139</v>
      </c>
    </row>
    <row r="1735" spans="1:69" hidden="1" x14ac:dyDescent="0.2">
      <c r="A1735" t="s">
        <v>653</v>
      </c>
      <c r="B1735" t="s">
        <v>68</v>
      </c>
      <c r="C1735" t="s">
        <v>69</v>
      </c>
      <c r="D1735" t="s">
        <v>70</v>
      </c>
      <c r="E1735" t="s">
        <v>654</v>
      </c>
      <c r="F1735">
        <v>5</v>
      </c>
      <c r="G1735">
        <v>70.66</v>
      </c>
      <c r="H1735">
        <v>2</v>
      </c>
      <c r="I1735">
        <v>3</v>
      </c>
      <c r="J1735">
        <v>2</v>
      </c>
      <c r="K1735" t="s">
        <v>110</v>
      </c>
      <c r="L1735" t="s">
        <v>111</v>
      </c>
      <c r="M1735" s="4">
        <v>690000000</v>
      </c>
      <c r="N1735">
        <v>0</v>
      </c>
      <c r="O1735">
        <v>4.7023169999999999</v>
      </c>
      <c r="P1735">
        <v>-74.031943999999996</v>
      </c>
      <c r="Q1735" t="s">
        <v>655</v>
      </c>
      <c r="R1735">
        <v>9765072.1769999992</v>
      </c>
      <c r="S1735">
        <v>0</v>
      </c>
      <c r="T1735" t="s">
        <v>104</v>
      </c>
      <c r="U1735" t="s">
        <v>105</v>
      </c>
      <c r="V1735" t="s">
        <v>77</v>
      </c>
      <c r="W1735" t="s">
        <v>104</v>
      </c>
      <c r="X1735" t="s">
        <v>106</v>
      </c>
      <c r="Y1735">
        <v>0.91014241160763598</v>
      </c>
      <c r="Z1735">
        <v>910.14241160763595</v>
      </c>
      <c r="AA1735">
        <v>4.71035</v>
      </c>
      <c r="AB1735">
        <v>-74.030416666666696</v>
      </c>
      <c r="AC1735">
        <v>2570</v>
      </c>
      <c r="AD1735">
        <v>10</v>
      </c>
      <c r="AE1735" t="s">
        <v>80</v>
      </c>
      <c r="AF1735" t="s">
        <v>107</v>
      </c>
      <c r="AG1735" t="s">
        <v>82</v>
      </c>
      <c r="AH1735" t="s">
        <v>83</v>
      </c>
      <c r="AI1735" t="s">
        <v>108</v>
      </c>
      <c r="AJ1735">
        <v>2.4837609804411298</v>
      </c>
      <c r="AK1735">
        <v>0.70687567813085705</v>
      </c>
      <c r="AL1735">
        <v>0.123037313107957</v>
      </c>
      <c r="AM1735">
        <v>0.1129704373448</v>
      </c>
      <c r="AN1735">
        <v>4.37264058617155</v>
      </c>
      <c r="AO1735">
        <v>0.42451931823592198</v>
      </c>
      <c r="AP1735">
        <v>0.42451931823592198</v>
      </c>
      <c r="AQ1735">
        <v>0</v>
      </c>
      <c r="AR1735">
        <v>0</v>
      </c>
      <c r="AS1735">
        <v>0</v>
      </c>
      <c r="AT1735">
        <v>17</v>
      </c>
      <c r="AU1735">
        <v>3</v>
      </c>
      <c r="AV1735">
        <v>140</v>
      </c>
      <c r="AW1735">
        <v>0</v>
      </c>
      <c r="AX1735">
        <v>0</v>
      </c>
      <c r="AY1735">
        <v>15.5</v>
      </c>
      <c r="AZ1735">
        <v>2.4</v>
      </c>
      <c r="BA1735">
        <v>10.9</v>
      </c>
      <c r="BB1735">
        <v>564</v>
      </c>
      <c r="BC1735">
        <v>68</v>
      </c>
      <c r="BD1735">
        <v>1.5</v>
      </c>
      <c r="BE1735">
        <v>135</v>
      </c>
      <c r="BF1735">
        <v>0</v>
      </c>
      <c r="BG1735">
        <v>162</v>
      </c>
      <c r="BH1735">
        <v>9.1</v>
      </c>
      <c r="BI1735">
        <v>9.1999999999999993</v>
      </c>
      <c r="BJ1735">
        <v>18.3</v>
      </c>
      <c r="BK1735">
        <v>0.34</v>
      </c>
      <c r="BL1735">
        <v>7.3</v>
      </c>
      <c r="BM1735">
        <v>0.9</v>
      </c>
      <c r="BN1735">
        <v>7.5</v>
      </c>
      <c r="BO1735">
        <v>2.9</v>
      </c>
      <c r="BP1735">
        <f t="shared" si="54"/>
        <v>2.2942745377368339</v>
      </c>
      <c r="BQ1735">
        <f t="shared" si="55"/>
        <v>10.664488299531024</v>
      </c>
    </row>
    <row r="1736" spans="1:69" hidden="1" x14ac:dyDescent="0.2">
      <c r="A1736" t="s">
        <v>1264</v>
      </c>
      <c r="B1736" t="s">
        <v>68</v>
      </c>
      <c r="C1736" t="s">
        <v>69</v>
      </c>
      <c r="D1736" t="s">
        <v>70</v>
      </c>
      <c r="E1736" t="s">
        <v>226</v>
      </c>
      <c r="F1736">
        <v>6</v>
      </c>
      <c r="G1736">
        <v>70</v>
      </c>
      <c r="H1736">
        <v>2</v>
      </c>
      <c r="I1736">
        <v>2</v>
      </c>
      <c r="J1736">
        <v>1</v>
      </c>
      <c r="K1736" t="s">
        <v>110</v>
      </c>
      <c r="L1736" t="s">
        <v>133</v>
      </c>
      <c r="M1736" s="4">
        <v>690000000</v>
      </c>
      <c r="N1736">
        <v>0</v>
      </c>
      <c r="O1736">
        <v>4.6909890000000001</v>
      </c>
      <c r="P1736">
        <v>-74.04365</v>
      </c>
      <c r="Q1736" t="s">
        <v>1265</v>
      </c>
      <c r="R1736">
        <v>9857142.8570000008</v>
      </c>
      <c r="S1736">
        <v>0</v>
      </c>
      <c r="T1736" t="s">
        <v>104</v>
      </c>
      <c r="U1736" t="s">
        <v>105</v>
      </c>
      <c r="V1736" t="s">
        <v>77</v>
      </c>
      <c r="W1736" t="s">
        <v>104</v>
      </c>
      <c r="X1736" t="s">
        <v>106</v>
      </c>
      <c r="Y1736">
        <v>2.6078081007118099</v>
      </c>
      <c r="Z1736">
        <v>2607.8081007118099</v>
      </c>
      <c r="AA1736">
        <v>4.71035</v>
      </c>
      <c r="AB1736">
        <v>-74.030416666666696</v>
      </c>
      <c r="AC1736">
        <v>2570</v>
      </c>
      <c r="AD1736">
        <v>10</v>
      </c>
      <c r="AE1736" t="s">
        <v>80</v>
      </c>
      <c r="AF1736" t="s">
        <v>107</v>
      </c>
      <c r="AG1736" t="s">
        <v>82</v>
      </c>
      <c r="AH1736" t="s">
        <v>83</v>
      </c>
      <c r="AI1736" t="s">
        <v>108</v>
      </c>
      <c r="AJ1736">
        <v>1.40693795339193</v>
      </c>
      <c r="AK1736">
        <v>1.5905931700017899</v>
      </c>
      <c r="AL1736">
        <v>0.733163402484585</v>
      </c>
      <c r="AM1736">
        <v>4.7622235811161803E-2</v>
      </c>
      <c r="AN1736">
        <v>4.64275557344261</v>
      </c>
      <c r="AO1736">
        <v>0.15666174552138701</v>
      </c>
      <c r="AP1736">
        <v>0.15666174552138701</v>
      </c>
      <c r="AQ1736">
        <v>0</v>
      </c>
      <c r="AR1736">
        <v>0</v>
      </c>
      <c r="AS1736">
        <v>0</v>
      </c>
      <c r="AT1736">
        <v>0</v>
      </c>
      <c r="AU1736">
        <v>4</v>
      </c>
      <c r="AV1736">
        <v>105</v>
      </c>
      <c r="AW1736">
        <v>0</v>
      </c>
      <c r="AX1736">
        <v>0</v>
      </c>
      <c r="AY1736">
        <v>15.5</v>
      </c>
      <c r="AZ1736">
        <v>2.4</v>
      </c>
      <c r="BA1736">
        <v>10.9</v>
      </c>
      <c r="BB1736">
        <v>564</v>
      </c>
      <c r="BC1736">
        <v>68</v>
      </c>
      <c r="BD1736">
        <v>1.5</v>
      </c>
      <c r="BE1736">
        <v>135</v>
      </c>
      <c r="BF1736">
        <v>0</v>
      </c>
      <c r="BG1736">
        <v>162</v>
      </c>
      <c r="BH1736">
        <v>9.1</v>
      </c>
      <c r="BI1736">
        <v>9.1999999999999993</v>
      </c>
      <c r="BJ1736">
        <v>18.3</v>
      </c>
      <c r="BK1736">
        <v>0.34</v>
      </c>
      <c r="BL1736">
        <v>7.3</v>
      </c>
      <c r="BM1736">
        <v>0.9</v>
      </c>
      <c r="BN1736">
        <v>7.5</v>
      </c>
      <c r="BO1736">
        <v>2.9</v>
      </c>
      <c r="BP1736">
        <f t="shared" si="54"/>
        <v>2.1093550481277585</v>
      </c>
      <c r="BQ1736">
        <f t="shared" si="55"/>
        <v>10.238707539688109</v>
      </c>
    </row>
    <row r="1737" spans="1:69" hidden="1" x14ac:dyDescent="0.2">
      <c r="A1737" t="s">
        <v>4609</v>
      </c>
      <c r="B1737" t="s">
        <v>68</v>
      </c>
      <c r="C1737" t="s">
        <v>3294</v>
      </c>
      <c r="D1737" t="s">
        <v>70</v>
      </c>
      <c r="E1737" t="s">
        <v>193</v>
      </c>
      <c r="F1737">
        <v>5</v>
      </c>
      <c r="G1737">
        <v>69</v>
      </c>
      <c r="H1737">
        <v>1</v>
      </c>
      <c r="I1737">
        <v>2</v>
      </c>
      <c r="J1737">
        <v>1</v>
      </c>
      <c r="K1737" t="s">
        <v>110</v>
      </c>
      <c r="L1737" t="s">
        <v>111</v>
      </c>
      <c r="M1737" s="4">
        <v>650000000</v>
      </c>
      <c r="N1737">
        <v>0</v>
      </c>
      <c r="O1737">
        <v>4.7001295089999999</v>
      </c>
      <c r="P1737">
        <v>-74.031204220000006</v>
      </c>
      <c r="Q1737" t="s">
        <v>4610</v>
      </c>
      <c r="R1737">
        <v>9420289.8550000004</v>
      </c>
      <c r="S1737">
        <v>0</v>
      </c>
      <c r="T1737" t="s">
        <v>104</v>
      </c>
      <c r="U1737" t="s">
        <v>105</v>
      </c>
      <c r="V1737" t="s">
        <v>77</v>
      </c>
      <c r="W1737" t="s">
        <v>104</v>
      </c>
      <c r="X1737" t="s">
        <v>106</v>
      </c>
      <c r="Y1737">
        <v>1.1410899577981799</v>
      </c>
      <c r="Z1737">
        <v>1141.08995779818</v>
      </c>
      <c r="AA1737">
        <v>4.71035</v>
      </c>
      <c r="AB1737">
        <v>-74.030416666666696</v>
      </c>
      <c r="AC1737">
        <v>2570</v>
      </c>
      <c r="AD1737">
        <v>10</v>
      </c>
      <c r="AE1737" t="s">
        <v>80</v>
      </c>
      <c r="AF1737" t="s">
        <v>107</v>
      </c>
      <c r="AG1737" t="s">
        <v>82</v>
      </c>
      <c r="AH1737" t="s">
        <v>83</v>
      </c>
      <c r="AI1737" t="s">
        <v>108</v>
      </c>
      <c r="AJ1737">
        <v>2.6006983265293999</v>
      </c>
      <c r="AK1737">
        <v>0.60001674882111</v>
      </c>
      <c r="AL1737">
        <v>0.19293446033520401</v>
      </c>
      <c r="AM1737">
        <v>2.3457528056725602E-2</v>
      </c>
      <c r="AN1737">
        <v>4.6028156615021798</v>
      </c>
      <c r="AO1737">
        <v>0.45199537179007498</v>
      </c>
      <c r="AP1737">
        <v>0.45199537179007498</v>
      </c>
      <c r="AQ1737">
        <v>0</v>
      </c>
      <c r="AR1737">
        <v>0</v>
      </c>
      <c r="AS1737">
        <v>0</v>
      </c>
      <c r="AT1737">
        <v>22</v>
      </c>
      <c r="AU1737">
        <v>2</v>
      </c>
      <c r="AV1737">
        <v>127</v>
      </c>
      <c r="AW1737">
        <v>0</v>
      </c>
      <c r="AX1737">
        <v>0</v>
      </c>
      <c r="AY1737">
        <v>15.5</v>
      </c>
      <c r="AZ1737">
        <v>2.4</v>
      </c>
      <c r="BA1737">
        <v>10.9</v>
      </c>
      <c r="BB1737">
        <v>564</v>
      </c>
      <c r="BC1737">
        <v>68</v>
      </c>
      <c r="BD1737">
        <v>1.5</v>
      </c>
      <c r="BE1737">
        <v>135</v>
      </c>
      <c r="BF1737">
        <v>0</v>
      </c>
      <c r="BG1737">
        <v>162</v>
      </c>
      <c r="BH1737">
        <v>9.1</v>
      </c>
      <c r="BI1737">
        <v>9.1999999999999993</v>
      </c>
      <c r="BJ1737">
        <v>18.3</v>
      </c>
      <c r="BK1737">
        <v>0.34</v>
      </c>
      <c r="BL1737">
        <v>7.3</v>
      </c>
      <c r="BM1737">
        <v>0.9</v>
      </c>
      <c r="BN1737">
        <v>7.5</v>
      </c>
      <c r="BO1737">
        <v>2.9</v>
      </c>
      <c r="BP1737">
        <f t="shared" si="54"/>
        <v>2.2681959604387374</v>
      </c>
      <c r="BQ1737">
        <f t="shared" si="55"/>
        <v>10.605541316677781</v>
      </c>
    </row>
    <row r="1738" spans="1:69" hidden="1" x14ac:dyDescent="0.2">
      <c r="A1738" t="s">
        <v>4061</v>
      </c>
      <c r="B1738" t="s">
        <v>68</v>
      </c>
      <c r="C1738" t="s">
        <v>3294</v>
      </c>
      <c r="D1738" t="s">
        <v>70</v>
      </c>
      <c r="E1738" t="s">
        <v>196</v>
      </c>
      <c r="F1738">
        <v>6</v>
      </c>
      <c r="G1738">
        <v>68</v>
      </c>
      <c r="H1738">
        <v>1</v>
      </c>
      <c r="I1738">
        <v>1</v>
      </c>
      <c r="J1738">
        <v>2</v>
      </c>
      <c r="K1738" t="s">
        <v>110</v>
      </c>
      <c r="L1738" t="s">
        <v>124</v>
      </c>
      <c r="M1738" s="4">
        <v>780000000</v>
      </c>
      <c r="N1738">
        <v>0</v>
      </c>
      <c r="O1738">
        <v>4.6814017300000001</v>
      </c>
      <c r="P1738">
        <v>-74.04263306</v>
      </c>
      <c r="Q1738" t="s">
        <v>4062</v>
      </c>
      <c r="R1738">
        <v>11470588.24</v>
      </c>
      <c r="S1738">
        <v>0</v>
      </c>
      <c r="T1738" t="s">
        <v>104</v>
      </c>
      <c r="U1738" t="s">
        <v>105</v>
      </c>
      <c r="V1738" t="s">
        <v>77</v>
      </c>
      <c r="W1738" t="s">
        <v>104</v>
      </c>
      <c r="X1738" t="s">
        <v>106</v>
      </c>
      <c r="Y1738">
        <v>3.4959324970911898</v>
      </c>
      <c r="Z1738">
        <v>3495.9324970911898</v>
      </c>
      <c r="AA1738">
        <v>4.71035</v>
      </c>
      <c r="AB1738">
        <v>-74.030416666666696</v>
      </c>
      <c r="AC1738">
        <v>2570</v>
      </c>
      <c r="AD1738">
        <v>10</v>
      </c>
      <c r="AE1738" t="s">
        <v>80</v>
      </c>
      <c r="AF1738" t="s">
        <v>107</v>
      </c>
      <c r="AG1738" t="s">
        <v>82</v>
      </c>
      <c r="AH1738" t="s">
        <v>83</v>
      </c>
      <c r="AI1738" t="s">
        <v>130</v>
      </c>
      <c r="AJ1738">
        <v>1.69552976259352</v>
      </c>
      <c r="AK1738">
        <v>0.75843293498101105</v>
      </c>
      <c r="AL1738">
        <v>0.39205278633423302</v>
      </c>
      <c r="AM1738">
        <v>7.0116424271965697E-2</v>
      </c>
      <c r="AN1738">
        <v>4.4298696837898701</v>
      </c>
      <c r="AO1738">
        <v>0.71412153392205202</v>
      </c>
      <c r="AP1738">
        <v>0.71412153392205202</v>
      </c>
      <c r="AQ1738">
        <v>0</v>
      </c>
      <c r="AR1738">
        <v>0</v>
      </c>
      <c r="AS1738">
        <v>0</v>
      </c>
      <c r="AT1738">
        <v>1</v>
      </c>
      <c r="AU1738">
        <v>3</v>
      </c>
      <c r="AV1738">
        <v>84</v>
      </c>
      <c r="AW1738">
        <v>0</v>
      </c>
      <c r="AX1738">
        <v>0</v>
      </c>
      <c r="AY1738">
        <v>15.5</v>
      </c>
      <c r="AZ1738">
        <v>2.4</v>
      </c>
      <c r="BA1738">
        <v>10.9</v>
      </c>
      <c r="BB1738">
        <v>564</v>
      </c>
      <c r="BC1738">
        <v>68</v>
      </c>
      <c r="BD1738">
        <v>1.5</v>
      </c>
      <c r="BE1738">
        <v>135</v>
      </c>
      <c r="BF1738">
        <v>0</v>
      </c>
      <c r="BG1738">
        <v>162</v>
      </c>
      <c r="BH1738">
        <v>9.1</v>
      </c>
      <c r="BI1738">
        <v>9.1999999999999993</v>
      </c>
      <c r="BJ1738">
        <v>18.3</v>
      </c>
      <c r="BK1738">
        <v>0.34</v>
      </c>
      <c r="BL1738">
        <v>7.3</v>
      </c>
      <c r="BM1738">
        <v>0.9</v>
      </c>
      <c r="BN1738">
        <v>7.5</v>
      </c>
      <c r="BO1738">
        <v>2.9</v>
      </c>
      <c r="BP1738">
        <f t="shared" si="54"/>
        <v>2.0186320494157601</v>
      </c>
      <c r="BQ1738">
        <f t="shared" si="55"/>
        <v>10.022779068073815</v>
      </c>
    </row>
    <row r="1739" spans="1:69" hidden="1" x14ac:dyDescent="0.2">
      <c r="A1739" t="s">
        <v>658</v>
      </c>
      <c r="B1739" t="s">
        <v>68</v>
      </c>
      <c r="C1739" t="s">
        <v>69</v>
      </c>
      <c r="D1739" t="s">
        <v>70</v>
      </c>
      <c r="E1739" t="s">
        <v>179</v>
      </c>
      <c r="F1739">
        <v>6</v>
      </c>
      <c r="G1739">
        <v>67.58</v>
      </c>
      <c r="H1739">
        <v>1</v>
      </c>
      <c r="I1739">
        <v>2</v>
      </c>
      <c r="J1739">
        <v>2</v>
      </c>
      <c r="K1739" t="s">
        <v>110</v>
      </c>
      <c r="L1739" t="s">
        <v>124</v>
      </c>
      <c r="M1739" s="4">
        <v>940000000</v>
      </c>
      <c r="N1739">
        <v>0</v>
      </c>
      <c r="O1739">
        <v>4.6786265</v>
      </c>
      <c r="P1739">
        <v>-74.040390000000002</v>
      </c>
      <c r="Q1739" t="s">
        <v>659</v>
      </c>
      <c r="R1739">
        <v>13909440.66</v>
      </c>
      <c r="S1739">
        <v>0</v>
      </c>
      <c r="T1739" t="s">
        <v>104</v>
      </c>
      <c r="U1739" t="s">
        <v>105</v>
      </c>
      <c r="V1739" t="s">
        <v>77</v>
      </c>
      <c r="W1739" t="s">
        <v>104</v>
      </c>
      <c r="X1739" t="s">
        <v>106</v>
      </c>
      <c r="Y1739">
        <v>3.7007353514620598</v>
      </c>
      <c r="Z1739">
        <v>3700.73535146206</v>
      </c>
      <c r="AA1739">
        <v>4.71035</v>
      </c>
      <c r="AB1739">
        <v>-74.030416666666696</v>
      </c>
      <c r="AC1739">
        <v>2570</v>
      </c>
      <c r="AD1739">
        <v>10</v>
      </c>
      <c r="AE1739" t="s">
        <v>80</v>
      </c>
      <c r="AF1739" t="s">
        <v>107</v>
      </c>
      <c r="AG1739" t="s">
        <v>82</v>
      </c>
      <c r="AH1739" t="s">
        <v>83</v>
      </c>
      <c r="AI1739" t="s">
        <v>130</v>
      </c>
      <c r="AJ1739">
        <v>2.0087653542858801</v>
      </c>
      <c r="AK1739">
        <v>0.39594206325509501</v>
      </c>
      <c r="AL1739">
        <v>0.43685361322014798</v>
      </c>
      <c r="AM1739">
        <v>7.9160411310383705E-2</v>
      </c>
      <c r="AN1739">
        <v>4.5514424609485102</v>
      </c>
      <c r="AO1739">
        <v>0.87628157374841897</v>
      </c>
      <c r="AP1739">
        <v>0.87628157374841897</v>
      </c>
      <c r="AQ1739">
        <v>0</v>
      </c>
      <c r="AR1739">
        <v>0</v>
      </c>
      <c r="AS1739">
        <v>1</v>
      </c>
      <c r="AT1739">
        <v>8</v>
      </c>
      <c r="AU1739">
        <v>3</v>
      </c>
      <c r="AV1739">
        <v>47</v>
      </c>
      <c r="AW1739">
        <v>0</v>
      </c>
      <c r="AX1739">
        <v>0</v>
      </c>
      <c r="AY1739">
        <v>15.5</v>
      </c>
      <c r="AZ1739">
        <v>2.4</v>
      </c>
      <c r="BA1739">
        <v>10.9</v>
      </c>
      <c r="BB1739">
        <v>564</v>
      </c>
      <c r="BC1739">
        <v>68</v>
      </c>
      <c r="BD1739">
        <v>1.5</v>
      </c>
      <c r="BE1739">
        <v>135</v>
      </c>
      <c r="BF1739">
        <v>0</v>
      </c>
      <c r="BG1739">
        <v>162</v>
      </c>
      <c r="BH1739">
        <v>9.1</v>
      </c>
      <c r="BI1739">
        <v>9.1999999999999993</v>
      </c>
      <c r="BJ1739">
        <v>18.3</v>
      </c>
      <c r="BK1739">
        <v>0.34</v>
      </c>
      <c r="BL1739">
        <v>7.3</v>
      </c>
      <c r="BM1739">
        <v>0.9</v>
      </c>
      <c r="BN1739">
        <v>7.5</v>
      </c>
      <c r="BO1739">
        <v>2.9</v>
      </c>
      <c r="BP1739">
        <f t="shared" si="54"/>
        <v>1.9982710615311847</v>
      </c>
      <c r="BQ1739">
        <f t="shared" si="55"/>
        <v>9.9736352941532171</v>
      </c>
    </row>
    <row r="1740" spans="1:69" hidden="1" x14ac:dyDescent="0.2">
      <c r="A1740" t="s">
        <v>4634</v>
      </c>
      <c r="B1740" t="s">
        <v>68</v>
      </c>
      <c r="C1740" t="s">
        <v>3294</v>
      </c>
      <c r="D1740" t="s">
        <v>70</v>
      </c>
      <c r="E1740" t="s">
        <v>210</v>
      </c>
      <c r="F1740">
        <v>6</v>
      </c>
      <c r="G1740">
        <v>67</v>
      </c>
      <c r="H1740">
        <v>1</v>
      </c>
      <c r="I1740">
        <v>2</v>
      </c>
      <c r="J1740">
        <v>1</v>
      </c>
      <c r="K1740" t="s">
        <v>110</v>
      </c>
      <c r="L1740" t="s">
        <v>124</v>
      </c>
      <c r="M1740" s="4">
        <v>550000000</v>
      </c>
      <c r="N1740">
        <v>0</v>
      </c>
      <c r="O1740">
        <v>4.6922845840000003</v>
      </c>
      <c r="P1740">
        <v>-74.049102779999998</v>
      </c>
      <c r="Q1740" t="s">
        <v>4635</v>
      </c>
      <c r="R1740">
        <v>8208955.2240000004</v>
      </c>
      <c r="S1740">
        <v>0</v>
      </c>
      <c r="T1740" t="s">
        <v>104</v>
      </c>
      <c r="U1740" t="s">
        <v>105</v>
      </c>
      <c r="V1740" t="s">
        <v>77</v>
      </c>
      <c r="W1740" t="s">
        <v>104</v>
      </c>
      <c r="X1740" t="s">
        <v>106</v>
      </c>
      <c r="Y1740">
        <v>2.8882730942418502</v>
      </c>
      <c r="Z1740">
        <v>2888.2730942418498</v>
      </c>
      <c r="AA1740">
        <v>4.71035</v>
      </c>
      <c r="AB1740">
        <v>-74.030416666666696</v>
      </c>
      <c r="AC1740">
        <v>2570</v>
      </c>
      <c r="AD1740">
        <v>10</v>
      </c>
      <c r="AE1740" t="s">
        <v>80</v>
      </c>
      <c r="AF1740" t="s">
        <v>107</v>
      </c>
      <c r="AG1740" t="s">
        <v>82</v>
      </c>
      <c r="AH1740" t="s">
        <v>83</v>
      </c>
      <c r="AI1740" t="s">
        <v>108</v>
      </c>
      <c r="AJ1740">
        <v>0.78876433369708698</v>
      </c>
      <c r="AK1740">
        <v>2.07853900495379</v>
      </c>
      <c r="AL1740">
        <v>0.138938450766359</v>
      </c>
      <c r="AM1740">
        <v>3.8534205259644197E-2</v>
      </c>
      <c r="AN1740">
        <v>4.16670432297198</v>
      </c>
      <c r="AO1740">
        <v>3.2435433803562001E-2</v>
      </c>
      <c r="AP1740">
        <v>3.2435433803562001E-2</v>
      </c>
      <c r="AQ1740">
        <v>0</v>
      </c>
      <c r="AR1740">
        <v>2</v>
      </c>
      <c r="AS1740">
        <v>0</v>
      </c>
      <c r="AT1740">
        <v>0</v>
      </c>
      <c r="AU1740">
        <v>5</v>
      </c>
      <c r="AV1740">
        <v>158</v>
      </c>
      <c r="AW1740">
        <v>0</v>
      </c>
      <c r="AX1740">
        <v>0</v>
      </c>
      <c r="AY1740">
        <v>15.5</v>
      </c>
      <c r="AZ1740">
        <v>2.4</v>
      </c>
      <c r="BA1740">
        <v>10.9</v>
      </c>
      <c r="BB1740">
        <v>564</v>
      </c>
      <c r="BC1740">
        <v>68</v>
      </c>
      <c r="BD1740">
        <v>1.5</v>
      </c>
      <c r="BE1740">
        <v>135</v>
      </c>
      <c r="BF1740">
        <v>0</v>
      </c>
      <c r="BG1740">
        <v>162</v>
      </c>
      <c r="BH1740">
        <v>9.1</v>
      </c>
      <c r="BI1740">
        <v>9.1999999999999993</v>
      </c>
      <c r="BJ1740">
        <v>18.3</v>
      </c>
      <c r="BK1740">
        <v>0.34</v>
      </c>
      <c r="BL1740">
        <v>7.3</v>
      </c>
      <c r="BM1740">
        <v>0.9</v>
      </c>
      <c r="BN1740">
        <v>7.5</v>
      </c>
      <c r="BO1740">
        <v>2.9</v>
      </c>
      <c r="BP1740">
        <f t="shared" si="54"/>
        <v>2.0802731749264805</v>
      </c>
      <c r="BQ1740">
        <f t="shared" si="55"/>
        <v>10.17002059338428</v>
      </c>
    </row>
    <row r="1741" spans="1:69" hidden="1" x14ac:dyDescent="0.2">
      <c r="A1741" t="s">
        <v>3946</v>
      </c>
      <c r="B1741" t="s">
        <v>68</v>
      </c>
      <c r="C1741" t="s">
        <v>3294</v>
      </c>
      <c r="D1741" t="s">
        <v>70</v>
      </c>
      <c r="E1741" t="s">
        <v>193</v>
      </c>
      <c r="F1741">
        <v>5</v>
      </c>
      <c r="G1741">
        <v>67</v>
      </c>
      <c r="H1741">
        <v>1</v>
      </c>
      <c r="I1741">
        <v>2</v>
      </c>
      <c r="J1741">
        <v>1</v>
      </c>
      <c r="K1741" t="s">
        <v>110</v>
      </c>
      <c r="L1741" t="s">
        <v>133</v>
      </c>
      <c r="M1741" s="4">
        <v>600000000</v>
      </c>
      <c r="N1741">
        <v>0</v>
      </c>
      <c r="O1741">
        <v>4.7000026999999998</v>
      </c>
      <c r="P1741">
        <v>-74.030709999999999</v>
      </c>
      <c r="Q1741" t="s">
        <v>3947</v>
      </c>
      <c r="R1741">
        <v>8955223.8809999991</v>
      </c>
      <c r="S1741">
        <v>0</v>
      </c>
      <c r="T1741" t="s">
        <v>104</v>
      </c>
      <c r="U1741" t="s">
        <v>105</v>
      </c>
      <c r="V1741" t="s">
        <v>77</v>
      </c>
      <c r="W1741" t="s">
        <v>104</v>
      </c>
      <c r="X1741" t="s">
        <v>106</v>
      </c>
      <c r="Y1741">
        <v>1.15231580755547</v>
      </c>
      <c r="Z1741">
        <v>1152.31580755547</v>
      </c>
      <c r="AA1741">
        <v>4.71035</v>
      </c>
      <c r="AB1741">
        <v>-74.030416666666696</v>
      </c>
      <c r="AC1741">
        <v>2570</v>
      </c>
      <c r="AD1741">
        <v>10</v>
      </c>
      <c r="AE1741" t="s">
        <v>80</v>
      </c>
      <c r="AF1741" t="s">
        <v>107</v>
      </c>
      <c r="AG1741" t="s">
        <v>82</v>
      </c>
      <c r="AH1741" t="s">
        <v>83</v>
      </c>
      <c r="AI1741" t="s">
        <v>108</v>
      </c>
      <c r="AJ1741">
        <v>2.6571679032110298</v>
      </c>
      <c r="AK1741">
        <v>0.54409728465528395</v>
      </c>
      <c r="AL1741">
        <v>0.243851179917209</v>
      </c>
      <c r="AM1741">
        <v>6.3976932393585801E-3</v>
      </c>
      <c r="AN1741">
        <v>4.6111844563104301</v>
      </c>
      <c r="AO1741">
        <v>0.475018715437038</v>
      </c>
      <c r="AP1741">
        <v>0.475018715437038</v>
      </c>
      <c r="AQ1741">
        <v>0</v>
      </c>
      <c r="AR1741">
        <v>0</v>
      </c>
      <c r="AS1741">
        <v>0</v>
      </c>
      <c r="AT1741">
        <v>22</v>
      </c>
      <c r="AU1741">
        <v>2</v>
      </c>
      <c r="AV1741">
        <v>125</v>
      </c>
      <c r="AW1741">
        <v>0</v>
      </c>
      <c r="AX1741">
        <v>0</v>
      </c>
      <c r="AY1741">
        <v>15.5</v>
      </c>
      <c r="AZ1741">
        <v>2.4</v>
      </c>
      <c r="BA1741">
        <v>10.9</v>
      </c>
      <c r="BB1741">
        <v>564</v>
      </c>
      <c r="BC1741">
        <v>68</v>
      </c>
      <c r="BD1741">
        <v>1.5</v>
      </c>
      <c r="BE1741">
        <v>135</v>
      </c>
      <c r="BF1741">
        <v>0</v>
      </c>
      <c r="BG1741">
        <v>162</v>
      </c>
      <c r="BH1741">
        <v>9.1</v>
      </c>
      <c r="BI1741">
        <v>9.1999999999999993</v>
      </c>
      <c r="BJ1741">
        <v>18.3</v>
      </c>
      <c r="BK1741">
        <v>0.34</v>
      </c>
      <c r="BL1741">
        <v>7.3</v>
      </c>
      <c r="BM1741">
        <v>0.9</v>
      </c>
      <c r="BN1741">
        <v>7.5</v>
      </c>
      <c r="BO1741">
        <v>2.9</v>
      </c>
      <c r="BP1741">
        <f t="shared" si="54"/>
        <v>2.266935920420341</v>
      </c>
      <c r="BQ1741">
        <f t="shared" si="55"/>
        <v>10.602684352435302</v>
      </c>
    </row>
    <row r="1742" spans="1:69" hidden="1" x14ac:dyDescent="0.2">
      <c r="A1742" t="s">
        <v>4378</v>
      </c>
      <c r="B1742" t="s">
        <v>68</v>
      </c>
      <c r="C1742" t="s">
        <v>3294</v>
      </c>
      <c r="D1742" t="s">
        <v>70</v>
      </c>
      <c r="E1742" t="s">
        <v>560</v>
      </c>
      <c r="F1742">
        <v>5</v>
      </c>
      <c r="G1742">
        <v>67</v>
      </c>
      <c r="H1742">
        <v>1</v>
      </c>
      <c r="I1742">
        <v>2</v>
      </c>
      <c r="J1742">
        <v>1</v>
      </c>
      <c r="K1742" t="s">
        <v>110</v>
      </c>
      <c r="L1742" t="s">
        <v>133</v>
      </c>
      <c r="M1742" s="4">
        <v>520000000</v>
      </c>
      <c r="N1742">
        <v>0</v>
      </c>
      <c r="O1742">
        <v>4.7140070999999999</v>
      </c>
      <c r="P1742">
        <v>-74.035749899999999</v>
      </c>
      <c r="Q1742" t="s">
        <v>4379</v>
      </c>
      <c r="R1742">
        <v>7761194.0300000003</v>
      </c>
      <c r="S1742">
        <v>0</v>
      </c>
      <c r="T1742" t="s">
        <v>104</v>
      </c>
      <c r="U1742" t="s">
        <v>105</v>
      </c>
      <c r="V1742" t="s">
        <v>77</v>
      </c>
      <c r="W1742" t="s">
        <v>104</v>
      </c>
      <c r="X1742" t="s">
        <v>106</v>
      </c>
      <c r="Y1742">
        <v>0.71821177829871996</v>
      </c>
      <c r="Z1742">
        <v>718.21177829871999</v>
      </c>
      <c r="AA1742">
        <v>4.71035</v>
      </c>
      <c r="AB1742">
        <v>-74.030416666666696</v>
      </c>
      <c r="AC1742">
        <v>2570</v>
      </c>
      <c r="AD1742">
        <v>10</v>
      </c>
      <c r="AE1742" t="s">
        <v>80</v>
      </c>
      <c r="AF1742" t="s">
        <v>107</v>
      </c>
      <c r="AG1742" t="s">
        <v>82</v>
      </c>
      <c r="AH1742" t="s">
        <v>83</v>
      </c>
      <c r="AI1742" t="s">
        <v>108</v>
      </c>
      <c r="AJ1742">
        <v>1.86462703552869</v>
      </c>
      <c r="AK1742">
        <v>1.2366562386327999</v>
      </c>
      <c r="AL1742">
        <v>0.48863967474381798</v>
      </c>
      <c r="AM1742">
        <v>9.5902332109238805E-2</v>
      </c>
      <c r="AN1742">
        <v>3.20248155313292</v>
      </c>
      <c r="AO1742">
        <v>0.12524929220726599</v>
      </c>
      <c r="AP1742">
        <v>0.12524929220726599</v>
      </c>
      <c r="AQ1742">
        <v>0</v>
      </c>
      <c r="AR1742">
        <v>0</v>
      </c>
      <c r="AS1742">
        <v>0</v>
      </c>
      <c r="AT1742">
        <v>0</v>
      </c>
      <c r="AU1742">
        <v>1</v>
      </c>
      <c r="AV1742">
        <v>75</v>
      </c>
      <c r="AW1742">
        <v>0</v>
      </c>
      <c r="AX1742">
        <v>0</v>
      </c>
      <c r="AY1742">
        <v>15.5</v>
      </c>
      <c r="AZ1742">
        <v>2.4</v>
      </c>
      <c r="BA1742">
        <v>10.9</v>
      </c>
      <c r="BB1742">
        <v>564</v>
      </c>
      <c r="BC1742">
        <v>68</v>
      </c>
      <c r="BD1742">
        <v>1.5</v>
      </c>
      <c r="BE1742">
        <v>135</v>
      </c>
      <c r="BF1742">
        <v>0</v>
      </c>
      <c r="BG1742">
        <v>162</v>
      </c>
      <c r="BH1742">
        <v>9.1</v>
      </c>
      <c r="BI1742">
        <v>9.1999999999999993</v>
      </c>
      <c r="BJ1742">
        <v>18.3</v>
      </c>
      <c r="BK1742">
        <v>0.34</v>
      </c>
      <c r="BL1742">
        <v>7.3</v>
      </c>
      <c r="BM1742">
        <v>0.9</v>
      </c>
      <c r="BN1742">
        <v>7.5</v>
      </c>
      <c r="BO1742">
        <v>2.9</v>
      </c>
      <c r="BP1742">
        <f t="shared" si="54"/>
        <v>2.3161753153689473</v>
      </c>
      <c r="BQ1742">
        <f t="shared" si="55"/>
        <v>10.713725822575213</v>
      </c>
    </row>
    <row r="1743" spans="1:69" hidden="1" x14ac:dyDescent="0.2">
      <c r="A1743" t="s">
        <v>991</v>
      </c>
      <c r="B1743" t="s">
        <v>68</v>
      </c>
      <c r="C1743" t="s">
        <v>69</v>
      </c>
      <c r="D1743" t="s">
        <v>70</v>
      </c>
      <c r="E1743" t="s">
        <v>992</v>
      </c>
      <c r="F1743">
        <v>5</v>
      </c>
      <c r="G1743">
        <v>67</v>
      </c>
      <c r="H1743">
        <v>1</v>
      </c>
      <c r="I1743">
        <v>2</v>
      </c>
      <c r="J1743">
        <v>1</v>
      </c>
      <c r="K1743" t="s">
        <v>110</v>
      </c>
      <c r="L1743" t="s">
        <v>133</v>
      </c>
      <c r="M1743" s="4">
        <v>535000000</v>
      </c>
      <c r="N1743">
        <v>0</v>
      </c>
      <c r="O1743">
        <v>4.7082352639999998</v>
      </c>
      <c r="P1743">
        <v>-74.029983520000002</v>
      </c>
      <c r="Q1743" t="s">
        <v>993</v>
      </c>
      <c r="R1743">
        <v>7985074.6270000003</v>
      </c>
      <c r="S1743">
        <v>0</v>
      </c>
      <c r="T1743" t="s">
        <v>104</v>
      </c>
      <c r="U1743" t="s">
        <v>105</v>
      </c>
      <c r="V1743" t="s">
        <v>77</v>
      </c>
      <c r="W1743" t="s">
        <v>104</v>
      </c>
      <c r="X1743" t="s">
        <v>106</v>
      </c>
      <c r="Y1743">
        <v>0.24026603738066099</v>
      </c>
      <c r="Z1743">
        <v>240.266037380661</v>
      </c>
      <c r="AA1743">
        <v>4.71035</v>
      </c>
      <c r="AB1743">
        <v>-74.030416666666696</v>
      </c>
      <c r="AC1743">
        <v>2570</v>
      </c>
      <c r="AD1743">
        <v>10</v>
      </c>
      <c r="AE1743" t="s">
        <v>80</v>
      </c>
      <c r="AF1743" t="s">
        <v>107</v>
      </c>
      <c r="AG1743" t="s">
        <v>82</v>
      </c>
      <c r="AH1743" t="s">
        <v>83</v>
      </c>
      <c r="AI1743" t="s">
        <v>108</v>
      </c>
      <c r="AJ1743">
        <v>2.5986998823663701</v>
      </c>
      <c r="AK1743">
        <v>0.55524256855285403</v>
      </c>
      <c r="AL1743">
        <v>0.41563471778544198</v>
      </c>
      <c r="AM1743">
        <v>0.31783408245766298</v>
      </c>
      <c r="AN1743">
        <v>3.6978675335583899</v>
      </c>
      <c r="AO1743">
        <v>0.35232688347004998</v>
      </c>
      <c r="AP1743">
        <v>0.35232688347004998</v>
      </c>
      <c r="AQ1743">
        <v>0</v>
      </c>
      <c r="AR1743">
        <v>0</v>
      </c>
      <c r="AS1743">
        <v>0</v>
      </c>
      <c r="AT1743">
        <v>29</v>
      </c>
      <c r="AU1743">
        <v>2</v>
      </c>
      <c r="AV1743">
        <v>101</v>
      </c>
      <c r="AW1743">
        <v>0</v>
      </c>
      <c r="AX1743">
        <v>0</v>
      </c>
      <c r="AY1743">
        <v>15.5</v>
      </c>
      <c r="AZ1743">
        <v>2.4</v>
      </c>
      <c r="BA1743">
        <v>10.9</v>
      </c>
      <c r="BB1743">
        <v>564</v>
      </c>
      <c r="BC1743">
        <v>68</v>
      </c>
      <c r="BD1743">
        <v>1.5</v>
      </c>
      <c r="BE1743">
        <v>135</v>
      </c>
      <c r="BF1743">
        <v>0</v>
      </c>
      <c r="BG1743">
        <v>162</v>
      </c>
      <c r="BH1743">
        <v>9.1</v>
      </c>
      <c r="BI1743">
        <v>9.1999999999999993</v>
      </c>
      <c r="BJ1743">
        <v>18.3</v>
      </c>
      <c r="BK1743">
        <v>0.34</v>
      </c>
      <c r="BL1743">
        <v>7.3</v>
      </c>
      <c r="BM1743">
        <v>0.9</v>
      </c>
      <c r="BN1743">
        <v>7.5</v>
      </c>
      <c r="BO1743">
        <v>2.9</v>
      </c>
      <c r="BP1743">
        <f t="shared" si="54"/>
        <v>2.3716254608100944</v>
      </c>
      <c r="BQ1743">
        <f t="shared" si="55"/>
        <v>10.837327275808159</v>
      </c>
    </row>
    <row r="1744" spans="1:69" hidden="1" x14ac:dyDescent="0.2">
      <c r="A1744" t="s">
        <v>3706</v>
      </c>
      <c r="B1744" t="s">
        <v>68</v>
      </c>
      <c r="C1744" t="s">
        <v>3294</v>
      </c>
      <c r="D1744" t="s">
        <v>70</v>
      </c>
      <c r="E1744" t="s">
        <v>337</v>
      </c>
      <c r="F1744">
        <v>5</v>
      </c>
      <c r="G1744">
        <v>66</v>
      </c>
      <c r="H1744">
        <v>1</v>
      </c>
      <c r="I1744">
        <v>2</v>
      </c>
      <c r="J1744">
        <v>2</v>
      </c>
      <c r="K1744" t="s">
        <v>110</v>
      </c>
      <c r="L1744" t="s">
        <v>133</v>
      </c>
      <c r="M1744" s="4">
        <v>643438000</v>
      </c>
      <c r="N1744">
        <v>0</v>
      </c>
      <c r="O1744">
        <v>4.7021989819999996</v>
      </c>
      <c r="P1744">
        <v>-74.046165470000005</v>
      </c>
      <c r="Q1744" t="s">
        <v>3707</v>
      </c>
      <c r="R1744">
        <v>9749060.6060000006</v>
      </c>
      <c r="S1744">
        <v>0</v>
      </c>
      <c r="T1744" t="s">
        <v>104</v>
      </c>
      <c r="U1744" t="s">
        <v>105</v>
      </c>
      <c r="V1744" t="s">
        <v>77</v>
      </c>
      <c r="W1744" t="s">
        <v>104</v>
      </c>
      <c r="X1744" t="s">
        <v>106</v>
      </c>
      <c r="Y1744">
        <v>1.9687954027387899</v>
      </c>
      <c r="Z1744">
        <v>1968.79540273879</v>
      </c>
      <c r="AA1744">
        <v>4.71035</v>
      </c>
      <c r="AB1744">
        <v>-74.030416666666696</v>
      </c>
      <c r="AC1744">
        <v>2570</v>
      </c>
      <c r="AD1744">
        <v>10</v>
      </c>
      <c r="AE1744" t="s">
        <v>80</v>
      </c>
      <c r="AF1744" t="s">
        <v>107</v>
      </c>
      <c r="AG1744" t="s">
        <v>82</v>
      </c>
      <c r="AH1744" t="s">
        <v>83</v>
      </c>
      <c r="AI1744" t="s">
        <v>108</v>
      </c>
      <c r="AJ1744">
        <v>0.93345180573924602</v>
      </c>
      <c r="AK1744">
        <v>2.27436423353865</v>
      </c>
      <c r="AL1744">
        <v>1.0656232721188601</v>
      </c>
      <c r="AM1744">
        <v>8.8323844737440496E-2</v>
      </c>
      <c r="AN1744">
        <v>4.8520000430376404</v>
      </c>
      <c r="AO1744">
        <v>0.10064725515641</v>
      </c>
      <c r="AP1744">
        <v>0.10064725515641</v>
      </c>
      <c r="AQ1744">
        <v>0</v>
      </c>
      <c r="AR1744">
        <v>1</v>
      </c>
      <c r="AS1744">
        <v>0</v>
      </c>
      <c r="AT1744">
        <v>0</v>
      </c>
      <c r="AU1744">
        <v>0</v>
      </c>
      <c r="AV1744">
        <v>178</v>
      </c>
      <c r="AW1744">
        <v>0</v>
      </c>
      <c r="AX1744">
        <v>0</v>
      </c>
      <c r="AY1744">
        <v>15.5</v>
      </c>
      <c r="AZ1744">
        <v>2.4</v>
      </c>
      <c r="BA1744">
        <v>10.9</v>
      </c>
      <c r="BB1744">
        <v>564</v>
      </c>
      <c r="BC1744">
        <v>68</v>
      </c>
      <c r="BD1744">
        <v>1.5</v>
      </c>
      <c r="BE1744">
        <v>135</v>
      </c>
      <c r="BF1744">
        <v>0</v>
      </c>
      <c r="BG1744">
        <v>162</v>
      </c>
      <c r="BH1744">
        <v>9.1</v>
      </c>
      <c r="BI1744">
        <v>9.1999999999999993</v>
      </c>
      <c r="BJ1744">
        <v>18.3</v>
      </c>
      <c r="BK1744">
        <v>0.34</v>
      </c>
      <c r="BL1744">
        <v>7.3</v>
      </c>
      <c r="BM1744">
        <v>0.9</v>
      </c>
      <c r="BN1744">
        <v>7.5</v>
      </c>
      <c r="BO1744">
        <v>2.9</v>
      </c>
      <c r="BP1744">
        <f t="shared" si="54"/>
        <v>2.1771427781455412</v>
      </c>
      <c r="BQ1744">
        <f t="shared" si="55"/>
        <v>10.396941741338257</v>
      </c>
    </row>
    <row r="1745" spans="1:69" hidden="1" x14ac:dyDescent="0.2">
      <c r="A1745" t="s">
        <v>4068</v>
      </c>
      <c r="B1745" t="s">
        <v>68</v>
      </c>
      <c r="C1745" t="s">
        <v>3294</v>
      </c>
      <c r="D1745" t="s">
        <v>70</v>
      </c>
      <c r="E1745" t="s">
        <v>213</v>
      </c>
      <c r="F1745">
        <v>6</v>
      </c>
      <c r="G1745">
        <v>66</v>
      </c>
      <c r="H1745">
        <v>1</v>
      </c>
      <c r="I1745">
        <v>2</v>
      </c>
      <c r="J1745">
        <v>2</v>
      </c>
      <c r="K1745" t="s">
        <v>110</v>
      </c>
      <c r="L1745" t="s">
        <v>124</v>
      </c>
      <c r="M1745" s="4">
        <v>533000000</v>
      </c>
      <c r="N1745">
        <v>0</v>
      </c>
      <c r="O1745">
        <v>4.6963505740000002</v>
      </c>
      <c r="P1745">
        <v>-74.037864690000006</v>
      </c>
      <c r="Q1745" t="s">
        <v>4069</v>
      </c>
      <c r="R1745">
        <v>8075757.5760000004</v>
      </c>
      <c r="S1745">
        <v>0</v>
      </c>
      <c r="T1745" t="s">
        <v>104</v>
      </c>
      <c r="U1745" t="s">
        <v>105</v>
      </c>
      <c r="V1745" t="s">
        <v>77</v>
      </c>
      <c r="W1745" t="s">
        <v>104</v>
      </c>
      <c r="X1745" t="s">
        <v>106</v>
      </c>
      <c r="Y1745">
        <v>1.76392752602729</v>
      </c>
      <c r="Z1745">
        <v>1763.92752602729</v>
      </c>
      <c r="AA1745">
        <v>4.71035</v>
      </c>
      <c r="AB1745">
        <v>-74.030416666666696</v>
      </c>
      <c r="AC1745">
        <v>2570</v>
      </c>
      <c r="AD1745">
        <v>10</v>
      </c>
      <c r="AE1745" t="s">
        <v>80</v>
      </c>
      <c r="AF1745" t="s">
        <v>107</v>
      </c>
      <c r="AG1745" t="s">
        <v>82</v>
      </c>
      <c r="AH1745" t="s">
        <v>83</v>
      </c>
      <c r="AI1745" t="s">
        <v>108</v>
      </c>
      <c r="AJ1745">
        <v>1.9441012921835701</v>
      </c>
      <c r="AK1745">
        <v>1.3366211406371</v>
      </c>
      <c r="AL1745">
        <v>0.81350709715824299</v>
      </c>
      <c r="AM1745">
        <v>6.0867358754098697E-2</v>
      </c>
      <c r="AN1745">
        <v>5.1439362534745499</v>
      </c>
      <c r="AO1745">
        <v>0.23312500943747999</v>
      </c>
      <c r="AP1745">
        <v>0.23312500943747999</v>
      </c>
      <c r="AQ1745">
        <v>0</v>
      </c>
      <c r="AR1745">
        <v>0</v>
      </c>
      <c r="AS1745">
        <v>0</v>
      </c>
      <c r="AT1745">
        <v>0</v>
      </c>
      <c r="AU1745">
        <v>2</v>
      </c>
      <c r="AV1745">
        <v>158</v>
      </c>
      <c r="AW1745">
        <v>0</v>
      </c>
      <c r="AX1745">
        <v>0</v>
      </c>
      <c r="AY1745">
        <v>15.5</v>
      </c>
      <c r="AZ1745">
        <v>2.4</v>
      </c>
      <c r="BA1745">
        <v>10.9</v>
      </c>
      <c r="BB1745">
        <v>564</v>
      </c>
      <c r="BC1745">
        <v>68</v>
      </c>
      <c r="BD1745">
        <v>1.5</v>
      </c>
      <c r="BE1745">
        <v>135</v>
      </c>
      <c r="BF1745">
        <v>0</v>
      </c>
      <c r="BG1745">
        <v>162</v>
      </c>
      <c r="BH1745">
        <v>9.1</v>
      </c>
      <c r="BI1745">
        <v>9.1999999999999993</v>
      </c>
      <c r="BJ1745">
        <v>18.3</v>
      </c>
      <c r="BK1745">
        <v>0.34</v>
      </c>
      <c r="BL1745">
        <v>7.3</v>
      </c>
      <c r="BM1745">
        <v>0.9</v>
      </c>
      <c r="BN1745">
        <v>7.5</v>
      </c>
      <c r="BO1745">
        <v>2.9</v>
      </c>
      <c r="BP1745">
        <f t="shared" si="54"/>
        <v>2.1993334227962089</v>
      </c>
      <c r="BQ1745">
        <f t="shared" si="55"/>
        <v>10.448187606770226</v>
      </c>
    </row>
    <row r="1746" spans="1:69" hidden="1" x14ac:dyDescent="0.2">
      <c r="A1746" t="s">
        <v>3872</v>
      </c>
      <c r="B1746" t="s">
        <v>68</v>
      </c>
      <c r="C1746" t="s">
        <v>3294</v>
      </c>
      <c r="D1746" t="s">
        <v>70</v>
      </c>
      <c r="E1746" t="s">
        <v>213</v>
      </c>
      <c r="F1746">
        <v>6</v>
      </c>
      <c r="G1746">
        <v>66</v>
      </c>
      <c r="H1746">
        <v>1</v>
      </c>
      <c r="I1746">
        <v>2</v>
      </c>
      <c r="J1746">
        <v>2</v>
      </c>
      <c r="K1746" t="s">
        <v>110</v>
      </c>
      <c r="L1746" t="s">
        <v>124</v>
      </c>
      <c r="M1746" s="4">
        <v>533000000</v>
      </c>
      <c r="N1746">
        <v>0</v>
      </c>
      <c r="O1746">
        <v>4.6963507</v>
      </c>
      <c r="P1746">
        <v>-74.037861300000003</v>
      </c>
      <c r="Q1746" t="s">
        <v>3873</v>
      </c>
      <c r="R1746">
        <v>8075757.5760000004</v>
      </c>
      <c r="S1746">
        <v>0</v>
      </c>
      <c r="T1746" t="s">
        <v>104</v>
      </c>
      <c r="U1746" t="s">
        <v>105</v>
      </c>
      <c r="V1746" t="s">
        <v>77</v>
      </c>
      <c r="W1746" t="s">
        <v>104</v>
      </c>
      <c r="X1746" t="s">
        <v>106</v>
      </c>
      <c r="Y1746">
        <v>1.7637389775560599</v>
      </c>
      <c r="Z1746">
        <v>1763.73897755606</v>
      </c>
      <c r="AA1746">
        <v>4.71035</v>
      </c>
      <c r="AB1746">
        <v>-74.030416666666696</v>
      </c>
      <c r="AC1746">
        <v>2570</v>
      </c>
      <c r="AD1746">
        <v>10</v>
      </c>
      <c r="AE1746" t="s">
        <v>80</v>
      </c>
      <c r="AF1746" t="s">
        <v>107</v>
      </c>
      <c r="AG1746" t="s">
        <v>82</v>
      </c>
      <c r="AH1746" t="s">
        <v>83</v>
      </c>
      <c r="AI1746" t="s">
        <v>108</v>
      </c>
      <c r="AJ1746">
        <v>1.94447384042542</v>
      </c>
      <c r="AK1746">
        <v>1.3362457420078999</v>
      </c>
      <c r="AL1746">
        <v>0.81322104319488797</v>
      </c>
      <c r="AM1746">
        <v>6.0877623542385503E-2</v>
      </c>
      <c r="AN1746">
        <v>5.1438325551473998</v>
      </c>
      <c r="AO1746">
        <v>0.23349968541764901</v>
      </c>
      <c r="AP1746">
        <v>0.23349968541764901</v>
      </c>
      <c r="AQ1746">
        <v>0</v>
      </c>
      <c r="AR1746">
        <v>0</v>
      </c>
      <c r="AS1746">
        <v>0</v>
      </c>
      <c r="AT1746">
        <v>0</v>
      </c>
      <c r="AU1746">
        <v>2</v>
      </c>
      <c r="AV1746">
        <v>158</v>
      </c>
      <c r="AW1746">
        <v>0</v>
      </c>
      <c r="AX1746">
        <v>0</v>
      </c>
      <c r="AY1746">
        <v>15.5</v>
      </c>
      <c r="AZ1746">
        <v>2.4</v>
      </c>
      <c r="BA1746">
        <v>10.9</v>
      </c>
      <c r="BB1746">
        <v>564</v>
      </c>
      <c r="BC1746">
        <v>68</v>
      </c>
      <c r="BD1746">
        <v>1.5</v>
      </c>
      <c r="BE1746">
        <v>135</v>
      </c>
      <c r="BF1746">
        <v>0</v>
      </c>
      <c r="BG1746">
        <v>162</v>
      </c>
      <c r="BH1746">
        <v>9.1</v>
      </c>
      <c r="BI1746">
        <v>9.1999999999999993</v>
      </c>
      <c r="BJ1746">
        <v>18.3</v>
      </c>
      <c r="BK1746">
        <v>0.34</v>
      </c>
      <c r="BL1746">
        <v>7.3</v>
      </c>
      <c r="BM1746">
        <v>0.9</v>
      </c>
      <c r="BN1746">
        <v>7.5</v>
      </c>
      <c r="BO1746">
        <v>2.9</v>
      </c>
      <c r="BP1746">
        <f t="shared" si="54"/>
        <v>2.1993539495992511</v>
      </c>
      <c r="BQ1746">
        <f t="shared" si="55"/>
        <v>10.448234886632411</v>
      </c>
    </row>
    <row r="1747" spans="1:69" hidden="1" x14ac:dyDescent="0.2">
      <c r="A1747" t="s">
        <v>3878</v>
      </c>
      <c r="B1747" t="s">
        <v>68</v>
      </c>
      <c r="C1747" t="s">
        <v>3294</v>
      </c>
      <c r="D1747" t="s">
        <v>70</v>
      </c>
      <c r="E1747" t="s">
        <v>205</v>
      </c>
      <c r="F1747">
        <v>5</v>
      </c>
      <c r="G1747">
        <v>66</v>
      </c>
      <c r="H1747">
        <v>1</v>
      </c>
      <c r="I1747">
        <v>2</v>
      </c>
      <c r="J1747">
        <v>1</v>
      </c>
      <c r="K1747" t="s">
        <v>110</v>
      </c>
      <c r="L1747" t="s">
        <v>111</v>
      </c>
      <c r="M1747" s="4">
        <v>635000000</v>
      </c>
      <c r="N1747">
        <v>0</v>
      </c>
      <c r="O1747">
        <v>4.7199823299999997</v>
      </c>
      <c r="P1747">
        <v>-74.040250439999994</v>
      </c>
      <c r="Q1747" t="s">
        <v>3879</v>
      </c>
      <c r="R1747">
        <v>9621212.1209999993</v>
      </c>
      <c r="S1747">
        <v>0</v>
      </c>
      <c r="T1747" t="s">
        <v>104</v>
      </c>
      <c r="U1747" t="s">
        <v>105</v>
      </c>
      <c r="V1747" t="s">
        <v>77</v>
      </c>
      <c r="W1747" t="s">
        <v>104</v>
      </c>
      <c r="X1747" t="s">
        <v>106</v>
      </c>
      <c r="Y1747">
        <v>1.5297073647939501</v>
      </c>
      <c r="Z1747">
        <v>1529.7073647939501</v>
      </c>
      <c r="AA1747">
        <v>4.71035</v>
      </c>
      <c r="AB1747">
        <v>-74.030416666666696</v>
      </c>
      <c r="AC1747">
        <v>2570</v>
      </c>
      <c r="AD1747">
        <v>10</v>
      </c>
      <c r="AE1747" t="s">
        <v>80</v>
      </c>
      <c r="AF1747" t="s">
        <v>107</v>
      </c>
      <c r="AG1747" t="s">
        <v>82</v>
      </c>
      <c r="AH1747" t="s">
        <v>83</v>
      </c>
      <c r="AI1747" t="s">
        <v>108</v>
      </c>
      <c r="AJ1747">
        <v>1.24953262448724</v>
      </c>
      <c r="AK1747">
        <v>1.8511674586558</v>
      </c>
      <c r="AL1747">
        <v>1.3149838317954099</v>
      </c>
      <c r="AM1747">
        <v>8.6400997184623393E-2</v>
      </c>
      <c r="AN1747">
        <v>2.81437867601035</v>
      </c>
      <c r="AO1747">
        <v>9.7196787423361505E-2</v>
      </c>
      <c r="AP1747">
        <v>9.7196787423361505E-2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33</v>
      </c>
      <c r="AW1747">
        <v>0</v>
      </c>
      <c r="AX1747">
        <v>0</v>
      </c>
      <c r="AY1747">
        <v>15.5</v>
      </c>
      <c r="AZ1747">
        <v>2.4</v>
      </c>
      <c r="BA1747">
        <v>10.9</v>
      </c>
      <c r="BB1747">
        <v>564</v>
      </c>
      <c r="BC1747">
        <v>68</v>
      </c>
      <c r="BD1747">
        <v>1.5</v>
      </c>
      <c r="BE1747">
        <v>135</v>
      </c>
      <c r="BF1747">
        <v>0</v>
      </c>
      <c r="BG1747">
        <v>162</v>
      </c>
      <c r="BH1747">
        <v>9.1</v>
      </c>
      <c r="BI1747">
        <v>9.1999999999999993</v>
      </c>
      <c r="BJ1747">
        <v>18.3</v>
      </c>
      <c r="BK1747">
        <v>0.34</v>
      </c>
      <c r="BL1747">
        <v>7.3</v>
      </c>
      <c r="BM1747">
        <v>0.9</v>
      </c>
      <c r="BN1747">
        <v>7.5</v>
      </c>
      <c r="BO1747">
        <v>2.9</v>
      </c>
      <c r="BP1747">
        <f t="shared" si="54"/>
        <v>2.2249806585559968</v>
      </c>
      <c r="BQ1747">
        <f t="shared" si="55"/>
        <v>10.507085220241768</v>
      </c>
    </row>
    <row r="1748" spans="1:69" hidden="1" x14ac:dyDescent="0.2">
      <c r="A1748" t="s">
        <v>4027</v>
      </c>
      <c r="B1748" t="s">
        <v>68</v>
      </c>
      <c r="C1748" t="s">
        <v>3294</v>
      </c>
      <c r="D1748" t="s">
        <v>70</v>
      </c>
      <c r="E1748" t="s">
        <v>102</v>
      </c>
      <c r="F1748">
        <v>6</v>
      </c>
      <c r="G1748">
        <v>65</v>
      </c>
      <c r="H1748">
        <v>1</v>
      </c>
      <c r="I1748">
        <v>2</v>
      </c>
      <c r="J1748">
        <v>2</v>
      </c>
      <c r="K1748" t="s">
        <v>110</v>
      </c>
      <c r="L1748" t="s">
        <v>124</v>
      </c>
      <c r="M1748" s="4">
        <v>739000000</v>
      </c>
      <c r="N1748">
        <v>0</v>
      </c>
      <c r="O1748">
        <v>4.7035334860000004</v>
      </c>
      <c r="P1748">
        <v>-74.052582979999997</v>
      </c>
      <c r="Q1748" t="s">
        <v>4028</v>
      </c>
      <c r="R1748">
        <v>11369230.77</v>
      </c>
      <c r="S1748">
        <v>0</v>
      </c>
      <c r="T1748" t="s">
        <v>104</v>
      </c>
      <c r="U1748" t="s">
        <v>105</v>
      </c>
      <c r="V1748" t="s">
        <v>77</v>
      </c>
      <c r="W1748" t="s">
        <v>104</v>
      </c>
      <c r="X1748" t="s">
        <v>106</v>
      </c>
      <c r="Y1748">
        <v>2.57362796515454</v>
      </c>
      <c r="Z1748">
        <v>2573.6279651545401</v>
      </c>
      <c r="AA1748">
        <v>4.71035</v>
      </c>
      <c r="AB1748">
        <v>-74.030416666666696</v>
      </c>
      <c r="AC1748">
        <v>2570</v>
      </c>
      <c r="AD1748">
        <v>10</v>
      </c>
      <c r="AE1748" t="s">
        <v>80</v>
      </c>
      <c r="AF1748" t="s">
        <v>107</v>
      </c>
      <c r="AG1748" t="s">
        <v>82</v>
      </c>
      <c r="AH1748" t="s">
        <v>83</v>
      </c>
      <c r="AI1748" t="s">
        <v>108</v>
      </c>
      <c r="AJ1748">
        <v>0.219309359001226</v>
      </c>
      <c r="AK1748">
        <v>2.9985093506326899</v>
      </c>
      <c r="AL1748">
        <v>1.1715054106638001</v>
      </c>
      <c r="AM1748">
        <v>0.111010394283763</v>
      </c>
      <c r="AN1748">
        <v>4.6182104897953504</v>
      </c>
      <c r="AO1748">
        <v>0.128236234686469</v>
      </c>
      <c r="AP1748">
        <v>0.128236234686469</v>
      </c>
      <c r="AQ1748">
        <v>1</v>
      </c>
      <c r="AR1748">
        <v>2</v>
      </c>
      <c r="AS1748">
        <v>0</v>
      </c>
      <c r="AT1748">
        <v>0</v>
      </c>
      <c r="AU1748">
        <v>0</v>
      </c>
      <c r="AV1748">
        <v>145</v>
      </c>
      <c r="AW1748">
        <v>0</v>
      </c>
      <c r="AX1748">
        <v>0</v>
      </c>
      <c r="AY1748">
        <v>15.5</v>
      </c>
      <c r="AZ1748">
        <v>2.4</v>
      </c>
      <c r="BA1748">
        <v>10.9</v>
      </c>
      <c r="BB1748">
        <v>564</v>
      </c>
      <c r="BC1748">
        <v>68</v>
      </c>
      <c r="BD1748">
        <v>1.5</v>
      </c>
      <c r="BE1748">
        <v>135</v>
      </c>
      <c r="BF1748">
        <v>0</v>
      </c>
      <c r="BG1748">
        <v>162</v>
      </c>
      <c r="BH1748">
        <v>9.1</v>
      </c>
      <c r="BI1748">
        <v>9.1999999999999993</v>
      </c>
      <c r="BJ1748">
        <v>18.3</v>
      </c>
      <c r="BK1748">
        <v>0.34</v>
      </c>
      <c r="BL1748">
        <v>7.3</v>
      </c>
      <c r="BM1748">
        <v>0.9</v>
      </c>
      <c r="BN1748">
        <v>7.5</v>
      </c>
      <c r="BO1748">
        <v>2.9</v>
      </c>
      <c r="BP1748">
        <f t="shared" si="54"/>
        <v>2.1129269219856561</v>
      </c>
      <c r="BQ1748">
        <f t="shared" si="55"/>
        <v>10.247110035477567</v>
      </c>
    </row>
    <row r="1749" spans="1:69" hidden="1" x14ac:dyDescent="0.2">
      <c r="A1749" t="s">
        <v>4314</v>
      </c>
      <c r="B1749" t="s">
        <v>68</v>
      </c>
      <c r="C1749" t="s">
        <v>3294</v>
      </c>
      <c r="D1749" t="s">
        <v>70</v>
      </c>
      <c r="E1749" t="s">
        <v>102</v>
      </c>
      <c r="F1749">
        <v>6</v>
      </c>
      <c r="G1749">
        <v>65</v>
      </c>
      <c r="H1749">
        <v>1</v>
      </c>
      <c r="I1749">
        <v>2</v>
      </c>
      <c r="J1749">
        <v>2</v>
      </c>
      <c r="K1749" t="s">
        <v>110</v>
      </c>
      <c r="L1749" t="s">
        <v>162</v>
      </c>
      <c r="M1749" s="4">
        <v>460000000</v>
      </c>
      <c r="N1749">
        <v>0</v>
      </c>
      <c r="O1749">
        <v>4.6965453000000004</v>
      </c>
      <c r="P1749">
        <v>-74.036391499999993</v>
      </c>
      <c r="Q1749" t="s">
        <v>4315</v>
      </c>
      <c r="R1749">
        <v>7076923.0769999996</v>
      </c>
      <c r="S1749">
        <v>0</v>
      </c>
      <c r="T1749" t="s">
        <v>104</v>
      </c>
      <c r="U1749" t="s">
        <v>105</v>
      </c>
      <c r="V1749" t="s">
        <v>77</v>
      </c>
      <c r="W1749" t="s">
        <v>104</v>
      </c>
      <c r="X1749" t="s">
        <v>106</v>
      </c>
      <c r="Y1749">
        <v>1.6736038457183999</v>
      </c>
      <c r="Z1749">
        <v>1673.6038457184</v>
      </c>
      <c r="AA1749">
        <v>4.71035</v>
      </c>
      <c r="AB1749">
        <v>-74.030416666666696</v>
      </c>
      <c r="AC1749">
        <v>2570</v>
      </c>
      <c r="AD1749">
        <v>10</v>
      </c>
      <c r="AE1749" t="s">
        <v>80</v>
      </c>
      <c r="AF1749" t="s">
        <v>107</v>
      </c>
      <c r="AG1749" t="s">
        <v>82</v>
      </c>
      <c r="AH1749" t="s">
        <v>83</v>
      </c>
      <c r="AI1749" t="s">
        <v>108</v>
      </c>
      <c r="AJ1749">
        <v>2.1047781836941102</v>
      </c>
      <c r="AK1749">
        <v>1.1719589284048899</v>
      </c>
      <c r="AL1749">
        <v>0.68528921011659805</v>
      </c>
      <c r="AM1749">
        <v>0.165946810946942</v>
      </c>
      <c r="AN1749">
        <v>5.0861641515978198</v>
      </c>
      <c r="AO1749">
        <v>0.15993812693321199</v>
      </c>
      <c r="AP1749">
        <v>0.15993812693321199</v>
      </c>
      <c r="AQ1749">
        <v>0</v>
      </c>
      <c r="AR1749">
        <v>0</v>
      </c>
      <c r="AS1749">
        <v>0</v>
      </c>
      <c r="AT1749">
        <v>0</v>
      </c>
      <c r="AU1749">
        <v>2</v>
      </c>
      <c r="AV1749">
        <v>150</v>
      </c>
      <c r="AW1749">
        <v>0</v>
      </c>
      <c r="AX1749">
        <v>0</v>
      </c>
      <c r="AY1749">
        <v>15.5</v>
      </c>
      <c r="AZ1749">
        <v>2.4</v>
      </c>
      <c r="BA1749">
        <v>10.9</v>
      </c>
      <c r="BB1749">
        <v>564</v>
      </c>
      <c r="BC1749">
        <v>68</v>
      </c>
      <c r="BD1749">
        <v>1.5</v>
      </c>
      <c r="BE1749">
        <v>135</v>
      </c>
      <c r="BF1749">
        <v>0</v>
      </c>
      <c r="BG1749">
        <v>162</v>
      </c>
      <c r="BH1749">
        <v>9.1</v>
      </c>
      <c r="BI1749">
        <v>9.1999999999999993</v>
      </c>
      <c r="BJ1749">
        <v>18.3</v>
      </c>
      <c r="BK1749">
        <v>0.34</v>
      </c>
      <c r="BL1749">
        <v>7.3</v>
      </c>
      <c r="BM1749">
        <v>0.9</v>
      </c>
      <c r="BN1749">
        <v>7.5</v>
      </c>
      <c r="BO1749">
        <v>2.9</v>
      </c>
      <c r="BP1749">
        <f t="shared" si="54"/>
        <v>2.2091887064790452</v>
      </c>
      <c r="BQ1749">
        <f t="shared" si="55"/>
        <v>10.470861423855222</v>
      </c>
    </row>
    <row r="1750" spans="1:69" hidden="1" x14ac:dyDescent="0.2">
      <c r="A1750" t="s">
        <v>393</v>
      </c>
      <c r="B1750" t="s">
        <v>68</v>
      </c>
      <c r="C1750" t="s">
        <v>69</v>
      </c>
      <c r="D1750" t="s">
        <v>70</v>
      </c>
      <c r="E1750" t="s">
        <v>394</v>
      </c>
      <c r="F1750">
        <v>4</v>
      </c>
      <c r="G1750">
        <v>64.349999999999994</v>
      </c>
      <c r="H1750">
        <v>2</v>
      </c>
      <c r="I1750">
        <v>2</v>
      </c>
      <c r="J1750">
        <v>1</v>
      </c>
      <c r="K1750" t="s">
        <v>110</v>
      </c>
      <c r="L1750" t="s">
        <v>133</v>
      </c>
      <c r="M1750" s="4">
        <v>625000000</v>
      </c>
      <c r="N1750">
        <v>0</v>
      </c>
      <c r="O1750">
        <v>4.7227100120000003</v>
      </c>
      <c r="P1750">
        <v>-74.032938869999995</v>
      </c>
      <c r="Q1750" t="s">
        <v>395</v>
      </c>
      <c r="R1750">
        <v>9712509.7129999995</v>
      </c>
      <c r="S1750">
        <v>0</v>
      </c>
      <c r="T1750" t="s">
        <v>104</v>
      </c>
      <c r="U1750" t="s">
        <v>105</v>
      </c>
      <c r="V1750" t="s">
        <v>77</v>
      </c>
      <c r="W1750" t="s">
        <v>104</v>
      </c>
      <c r="X1750" t="s">
        <v>106</v>
      </c>
      <c r="Y1750">
        <v>1.40407550130124</v>
      </c>
      <c r="Z1750">
        <v>1404.0755013012399</v>
      </c>
      <c r="AA1750">
        <v>4.71035</v>
      </c>
      <c r="AB1750">
        <v>-74.030416666666696</v>
      </c>
      <c r="AC1750">
        <v>2570</v>
      </c>
      <c r="AD1750">
        <v>10</v>
      </c>
      <c r="AE1750" t="s">
        <v>80</v>
      </c>
      <c r="AF1750" t="s">
        <v>107</v>
      </c>
      <c r="AG1750" t="s">
        <v>82</v>
      </c>
      <c r="AH1750" t="s">
        <v>83</v>
      </c>
      <c r="AI1750" t="s">
        <v>108</v>
      </c>
      <c r="AJ1750">
        <v>2.0004533369717401</v>
      </c>
      <c r="AK1750">
        <v>1.09136033558659</v>
      </c>
      <c r="AL1750">
        <v>1.32275695328287</v>
      </c>
      <c r="AM1750">
        <v>0.23642437616838499</v>
      </c>
      <c r="AN1750">
        <v>2.1914844582696298</v>
      </c>
      <c r="AO1750">
        <v>9.7099978888481701E-3</v>
      </c>
      <c r="AP1750">
        <v>9.7099978888481701E-3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43</v>
      </c>
      <c r="AW1750">
        <v>0</v>
      </c>
      <c r="AX1750">
        <v>0</v>
      </c>
      <c r="AY1750">
        <v>15.5</v>
      </c>
      <c r="AZ1750">
        <v>2.4</v>
      </c>
      <c r="BA1750">
        <v>10.9</v>
      </c>
      <c r="BB1750">
        <v>564</v>
      </c>
      <c r="BC1750">
        <v>68</v>
      </c>
      <c r="BD1750">
        <v>1.5</v>
      </c>
      <c r="BE1750">
        <v>135</v>
      </c>
      <c r="BF1750">
        <v>0</v>
      </c>
      <c r="BG1750">
        <v>162</v>
      </c>
      <c r="BH1750">
        <v>9.1</v>
      </c>
      <c r="BI1750">
        <v>9.1999999999999993</v>
      </c>
      <c r="BJ1750">
        <v>18.3</v>
      </c>
      <c r="BK1750">
        <v>0.34</v>
      </c>
      <c r="BL1750">
        <v>7.3</v>
      </c>
      <c r="BM1750">
        <v>0.9</v>
      </c>
      <c r="BN1750">
        <v>7.5</v>
      </c>
      <c r="BO1750">
        <v>2.9</v>
      </c>
      <c r="BP1750">
        <f t="shared" si="54"/>
        <v>2.2388604305150648</v>
      </c>
      <c r="BQ1750">
        <f t="shared" si="55"/>
        <v>10.538813622089579</v>
      </c>
    </row>
    <row r="1751" spans="1:69" hidden="1" x14ac:dyDescent="0.2">
      <c r="A1751" t="s">
        <v>3829</v>
      </c>
      <c r="B1751" t="s">
        <v>68</v>
      </c>
      <c r="C1751" t="s">
        <v>3294</v>
      </c>
      <c r="D1751" t="s">
        <v>70</v>
      </c>
      <c r="E1751" t="s">
        <v>468</v>
      </c>
      <c r="F1751">
        <v>6</v>
      </c>
      <c r="G1751">
        <v>64</v>
      </c>
      <c r="H1751">
        <v>1</v>
      </c>
      <c r="I1751">
        <v>2</v>
      </c>
      <c r="J1751">
        <v>2</v>
      </c>
      <c r="K1751" t="s">
        <v>110</v>
      </c>
      <c r="L1751" t="s">
        <v>133</v>
      </c>
      <c r="M1751" s="4">
        <v>650000000</v>
      </c>
      <c r="N1751">
        <v>0</v>
      </c>
      <c r="O1751">
        <v>4.6882853510000002</v>
      </c>
      <c r="P1751">
        <v>-74.056343080000005</v>
      </c>
      <c r="Q1751" t="s">
        <v>3830</v>
      </c>
      <c r="R1751">
        <v>10156250</v>
      </c>
      <c r="S1751">
        <v>0</v>
      </c>
      <c r="T1751" t="s">
        <v>104</v>
      </c>
      <c r="U1751" t="s">
        <v>105</v>
      </c>
      <c r="V1751" t="s">
        <v>77</v>
      </c>
      <c r="W1751" t="s">
        <v>104</v>
      </c>
      <c r="X1751" t="s">
        <v>106</v>
      </c>
      <c r="Y1751">
        <v>3.78243250256349</v>
      </c>
      <c r="Z1751">
        <v>3782.4325025634898</v>
      </c>
      <c r="AA1751">
        <v>4.71035</v>
      </c>
      <c r="AB1751">
        <v>-74.030416666666696</v>
      </c>
      <c r="AC1751">
        <v>2570</v>
      </c>
      <c r="AD1751">
        <v>10</v>
      </c>
      <c r="AE1751" t="s">
        <v>80</v>
      </c>
      <c r="AF1751" t="s">
        <v>107</v>
      </c>
      <c r="AG1751" t="s">
        <v>82</v>
      </c>
      <c r="AH1751" t="s">
        <v>83</v>
      </c>
      <c r="AI1751" t="s">
        <v>108</v>
      </c>
      <c r="AJ1751">
        <v>0.50264639446748405</v>
      </c>
      <c r="AK1751">
        <v>2.44251531614182</v>
      </c>
      <c r="AL1751">
        <v>0.481202234828355</v>
      </c>
      <c r="AM1751">
        <v>9.3501132057014005E-3</v>
      </c>
      <c r="AN1751">
        <v>3.2503345256038201</v>
      </c>
      <c r="AO1751">
        <v>0.55523347444754301</v>
      </c>
      <c r="AP1751">
        <v>0.55523347444754301</v>
      </c>
      <c r="AQ1751">
        <v>0</v>
      </c>
      <c r="AR1751">
        <v>4</v>
      </c>
      <c r="AS1751">
        <v>0</v>
      </c>
      <c r="AT1751">
        <v>0</v>
      </c>
      <c r="AU1751">
        <v>5</v>
      </c>
      <c r="AV1751">
        <v>207</v>
      </c>
      <c r="AW1751">
        <v>0</v>
      </c>
      <c r="AX1751">
        <v>0</v>
      </c>
      <c r="AY1751">
        <v>15.5</v>
      </c>
      <c r="AZ1751">
        <v>2.4</v>
      </c>
      <c r="BA1751">
        <v>10.9</v>
      </c>
      <c r="BB1751">
        <v>564</v>
      </c>
      <c r="BC1751">
        <v>68</v>
      </c>
      <c r="BD1751">
        <v>1.5</v>
      </c>
      <c r="BE1751">
        <v>135</v>
      </c>
      <c r="BF1751">
        <v>0</v>
      </c>
      <c r="BG1751">
        <v>162</v>
      </c>
      <c r="BH1751">
        <v>9.1</v>
      </c>
      <c r="BI1751">
        <v>9.1999999999999993</v>
      </c>
      <c r="BJ1751">
        <v>18.3</v>
      </c>
      <c r="BK1751">
        <v>0.34</v>
      </c>
      <c r="BL1751">
        <v>7.3</v>
      </c>
      <c r="BM1751">
        <v>0.9</v>
      </c>
      <c r="BN1751">
        <v>7.5</v>
      </c>
      <c r="BO1751">
        <v>2.9</v>
      </c>
      <c r="BP1751">
        <f t="shared" si="54"/>
        <v>1.9902063532819803</v>
      </c>
      <c r="BQ1751">
        <f t="shared" si="55"/>
        <v>9.9540988311408398</v>
      </c>
    </row>
    <row r="1752" spans="1:69" hidden="1" x14ac:dyDescent="0.2">
      <c r="A1752" t="s">
        <v>3330</v>
      </c>
      <c r="B1752" t="s">
        <v>68</v>
      </c>
      <c r="C1752" t="s">
        <v>3294</v>
      </c>
      <c r="D1752" t="s">
        <v>70</v>
      </c>
      <c r="E1752" t="s">
        <v>468</v>
      </c>
      <c r="F1752">
        <v>6</v>
      </c>
      <c r="G1752">
        <v>64</v>
      </c>
      <c r="H1752">
        <v>1</v>
      </c>
      <c r="I1752">
        <v>2</v>
      </c>
      <c r="J1752">
        <v>2</v>
      </c>
      <c r="K1752" t="s">
        <v>110</v>
      </c>
      <c r="L1752" t="s">
        <v>124</v>
      </c>
      <c r="M1752" s="4">
        <v>640000000</v>
      </c>
      <c r="N1752">
        <v>0</v>
      </c>
      <c r="O1752">
        <v>4.6880545900000001</v>
      </c>
      <c r="P1752">
        <v>-74.053326510000005</v>
      </c>
      <c r="Q1752" t="s">
        <v>3331</v>
      </c>
      <c r="R1752">
        <v>10000000</v>
      </c>
      <c r="S1752">
        <v>0</v>
      </c>
      <c r="T1752" t="s">
        <v>104</v>
      </c>
      <c r="U1752" t="s">
        <v>105</v>
      </c>
      <c r="V1752" t="s">
        <v>77</v>
      </c>
      <c r="W1752" t="s">
        <v>104</v>
      </c>
      <c r="X1752" t="s">
        <v>106</v>
      </c>
      <c r="Y1752">
        <v>3.5525109557693102</v>
      </c>
      <c r="Z1752">
        <v>3552.5109557693099</v>
      </c>
      <c r="AA1752">
        <v>4.71035</v>
      </c>
      <c r="AB1752">
        <v>-74.030416666666696</v>
      </c>
      <c r="AC1752">
        <v>2570</v>
      </c>
      <c r="AD1752">
        <v>10</v>
      </c>
      <c r="AE1752" t="s">
        <v>80</v>
      </c>
      <c r="AF1752" t="s">
        <v>107</v>
      </c>
      <c r="AG1752" t="s">
        <v>82</v>
      </c>
      <c r="AH1752" t="s">
        <v>83</v>
      </c>
      <c r="AI1752" t="s">
        <v>108</v>
      </c>
      <c r="AJ1752">
        <v>0.62997516436339596</v>
      </c>
      <c r="AK1752">
        <v>2.1526907022691901</v>
      </c>
      <c r="AL1752">
        <v>0.26009314089255098</v>
      </c>
      <c r="AM1752">
        <v>7.8407789626115401E-2</v>
      </c>
      <c r="AN1752">
        <v>3.53390296401493</v>
      </c>
      <c r="AO1752">
        <v>0.56104207029264297</v>
      </c>
      <c r="AP1752">
        <v>0.56104207029264297</v>
      </c>
      <c r="AQ1752">
        <v>0</v>
      </c>
      <c r="AR1752">
        <v>2</v>
      </c>
      <c r="AS1752">
        <v>0</v>
      </c>
      <c r="AT1752">
        <v>0</v>
      </c>
      <c r="AU1752">
        <v>5</v>
      </c>
      <c r="AV1752">
        <v>229</v>
      </c>
      <c r="AW1752">
        <v>0</v>
      </c>
      <c r="AX1752">
        <v>0</v>
      </c>
      <c r="AY1752">
        <v>15.5</v>
      </c>
      <c r="AZ1752">
        <v>2.4</v>
      </c>
      <c r="BA1752">
        <v>10.9</v>
      </c>
      <c r="BB1752">
        <v>564</v>
      </c>
      <c r="BC1752">
        <v>68</v>
      </c>
      <c r="BD1752">
        <v>1.5</v>
      </c>
      <c r="BE1752">
        <v>135</v>
      </c>
      <c r="BF1752">
        <v>0</v>
      </c>
      <c r="BG1752">
        <v>162</v>
      </c>
      <c r="BH1752">
        <v>9.1</v>
      </c>
      <c r="BI1752">
        <v>9.1999999999999993</v>
      </c>
      <c r="BJ1752">
        <v>18.3</v>
      </c>
      <c r="BK1752">
        <v>0.34</v>
      </c>
      <c r="BL1752">
        <v>7.3</v>
      </c>
      <c r="BM1752">
        <v>0.9</v>
      </c>
      <c r="BN1752">
        <v>7.5</v>
      </c>
      <c r="BO1752">
        <v>2.9</v>
      </c>
      <c r="BP1752">
        <f t="shared" si="54"/>
        <v>2.0129865096955464</v>
      </c>
      <c r="BQ1752">
        <f t="shared" si="55"/>
        <v>10.009178542732489</v>
      </c>
    </row>
    <row r="1753" spans="1:69" hidden="1" x14ac:dyDescent="0.2">
      <c r="A1753" t="s">
        <v>4449</v>
      </c>
      <c r="B1753" t="s">
        <v>68</v>
      </c>
      <c r="C1753" t="s">
        <v>3294</v>
      </c>
      <c r="D1753" t="s">
        <v>70</v>
      </c>
      <c r="E1753" t="s">
        <v>1032</v>
      </c>
      <c r="F1753">
        <v>5</v>
      </c>
      <c r="G1753">
        <v>64</v>
      </c>
      <c r="H1753">
        <v>1</v>
      </c>
      <c r="I1753">
        <v>2</v>
      </c>
      <c r="J1753">
        <v>1</v>
      </c>
      <c r="K1753" t="s">
        <v>110</v>
      </c>
      <c r="L1753" t="s">
        <v>111</v>
      </c>
      <c r="M1753" s="4">
        <v>570000000</v>
      </c>
      <c r="N1753">
        <v>0</v>
      </c>
      <c r="O1753">
        <v>4.7239199999999997</v>
      </c>
      <c r="P1753">
        <v>-74.047669999999997</v>
      </c>
      <c r="Q1753" t="s">
        <v>4450</v>
      </c>
      <c r="R1753">
        <v>8906250</v>
      </c>
      <c r="S1753">
        <v>0</v>
      </c>
      <c r="T1753" t="s">
        <v>104</v>
      </c>
      <c r="U1753" t="s">
        <v>105</v>
      </c>
      <c r="V1753" t="s">
        <v>77</v>
      </c>
      <c r="W1753" t="s">
        <v>104</v>
      </c>
      <c r="X1753" t="s">
        <v>106</v>
      </c>
      <c r="Y1753">
        <v>2.4384032250499401</v>
      </c>
      <c r="Z1753">
        <v>2438.4032250499399</v>
      </c>
      <c r="AA1753">
        <v>4.71035</v>
      </c>
      <c r="AB1753">
        <v>-74.030416666666696</v>
      </c>
      <c r="AC1753">
        <v>2570</v>
      </c>
      <c r="AD1753">
        <v>10</v>
      </c>
      <c r="AE1753" t="s">
        <v>80</v>
      </c>
      <c r="AF1753" t="s">
        <v>107</v>
      </c>
      <c r="AG1753" t="s">
        <v>82</v>
      </c>
      <c r="AH1753" t="s">
        <v>83</v>
      </c>
      <c r="AI1753" t="s">
        <v>108</v>
      </c>
      <c r="AJ1753">
        <v>0.45115127747047001</v>
      </c>
      <c r="AK1753">
        <v>2.7136473914754502</v>
      </c>
      <c r="AL1753">
        <v>1.3075688856596901</v>
      </c>
      <c r="AM1753">
        <v>0.129621914528147</v>
      </c>
      <c r="AN1753">
        <v>3.0297767032846998</v>
      </c>
      <c r="AO1753">
        <v>5.00283951342059E-2</v>
      </c>
      <c r="AP1753">
        <v>5.00283951342059E-2</v>
      </c>
      <c r="AQ1753">
        <v>1</v>
      </c>
      <c r="AR1753">
        <v>3</v>
      </c>
      <c r="AS1753">
        <v>0</v>
      </c>
      <c r="AT1753">
        <v>0</v>
      </c>
      <c r="AU1753">
        <v>0</v>
      </c>
      <c r="AV1753">
        <v>43</v>
      </c>
      <c r="AW1753">
        <v>0</v>
      </c>
      <c r="AX1753">
        <v>0</v>
      </c>
      <c r="AY1753">
        <v>15.5</v>
      </c>
      <c r="AZ1753">
        <v>2.4</v>
      </c>
      <c r="BA1753">
        <v>10.9</v>
      </c>
      <c r="BB1753">
        <v>564</v>
      </c>
      <c r="BC1753">
        <v>68</v>
      </c>
      <c r="BD1753">
        <v>1.5</v>
      </c>
      <c r="BE1753">
        <v>135</v>
      </c>
      <c r="BF1753">
        <v>0</v>
      </c>
      <c r="BG1753">
        <v>162</v>
      </c>
      <c r="BH1753">
        <v>9.1</v>
      </c>
      <c r="BI1753">
        <v>9.1999999999999993</v>
      </c>
      <c r="BJ1753">
        <v>18.3</v>
      </c>
      <c r="BK1753">
        <v>0.34</v>
      </c>
      <c r="BL1753">
        <v>7.3</v>
      </c>
      <c r="BM1753">
        <v>0.9</v>
      </c>
      <c r="BN1753">
        <v>7.5</v>
      </c>
      <c r="BO1753">
        <v>2.9</v>
      </c>
      <c r="BP1753">
        <f t="shared" si="54"/>
        <v>2.1271175019070863</v>
      </c>
      <c r="BQ1753">
        <f t="shared" si="55"/>
        <v>10.28041996515284</v>
      </c>
    </row>
    <row r="1754" spans="1:69" hidden="1" x14ac:dyDescent="0.2">
      <c r="A1754" t="s">
        <v>813</v>
      </c>
      <c r="B1754" t="s">
        <v>68</v>
      </c>
      <c r="C1754" t="s">
        <v>69</v>
      </c>
      <c r="D1754" t="s">
        <v>70</v>
      </c>
      <c r="E1754" t="s">
        <v>332</v>
      </c>
      <c r="F1754">
        <v>4</v>
      </c>
      <c r="G1754">
        <v>64</v>
      </c>
      <c r="H1754">
        <v>2</v>
      </c>
      <c r="I1754">
        <v>2</v>
      </c>
      <c r="J1754">
        <v>1</v>
      </c>
      <c r="K1754" t="s">
        <v>110</v>
      </c>
      <c r="L1754" t="s">
        <v>124</v>
      </c>
      <c r="M1754" s="4">
        <v>395000000</v>
      </c>
      <c r="N1754">
        <v>0</v>
      </c>
      <c r="O1754">
        <v>4.7280530929999998</v>
      </c>
      <c r="P1754">
        <v>-74.027740480000006</v>
      </c>
      <c r="Q1754" t="s">
        <v>814</v>
      </c>
      <c r="R1754">
        <v>6171875</v>
      </c>
      <c r="S1754">
        <v>0</v>
      </c>
      <c r="T1754" t="s">
        <v>104</v>
      </c>
      <c r="U1754" t="s">
        <v>105</v>
      </c>
      <c r="V1754" t="s">
        <v>77</v>
      </c>
      <c r="W1754" t="s">
        <v>104</v>
      </c>
      <c r="X1754" t="s">
        <v>106</v>
      </c>
      <c r="Y1754">
        <v>1.9929391332712201</v>
      </c>
      <c r="Z1754">
        <v>1992.93913327122</v>
      </c>
      <c r="AA1754">
        <v>4.71035</v>
      </c>
      <c r="AB1754">
        <v>-74.030416666666696</v>
      </c>
      <c r="AC1754">
        <v>2570</v>
      </c>
      <c r="AD1754">
        <v>10</v>
      </c>
      <c r="AE1754" t="s">
        <v>80</v>
      </c>
      <c r="AF1754" t="s">
        <v>107</v>
      </c>
      <c r="AG1754" t="s">
        <v>82</v>
      </c>
      <c r="AH1754" t="s">
        <v>83</v>
      </c>
      <c r="AI1754" t="s">
        <v>108</v>
      </c>
      <c r="AJ1754">
        <v>2.4670544301298598</v>
      </c>
      <c r="AK1754">
        <v>0.70382183496654205</v>
      </c>
      <c r="AL1754">
        <v>1.4574793744129999</v>
      </c>
      <c r="AM1754">
        <v>0.35990075588348502</v>
      </c>
      <c r="AN1754">
        <v>1.49435070585066</v>
      </c>
      <c r="AO1754">
        <v>0.20911356941301701</v>
      </c>
      <c r="AP1754">
        <v>0.20911356941301701</v>
      </c>
      <c r="AQ1754">
        <v>0</v>
      </c>
      <c r="AR1754">
        <v>0</v>
      </c>
      <c r="AS1754">
        <v>0</v>
      </c>
      <c r="AT1754">
        <v>23</v>
      </c>
      <c r="AU1754">
        <v>0</v>
      </c>
      <c r="AV1754">
        <v>8</v>
      </c>
      <c r="AW1754">
        <v>0</v>
      </c>
      <c r="AX1754">
        <v>0</v>
      </c>
      <c r="AY1754">
        <v>15.5</v>
      </c>
      <c r="AZ1754">
        <v>2.4</v>
      </c>
      <c r="BA1754">
        <v>10.9</v>
      </c>
      <c r="BB1754">
        <v>564</v>
      </c>
      <c r="BC1754">
        <v>68</v>
      </c>
      <c r="BD1754">
        <v>1.5</v>
      </c>
      <c r="BE1754">
        <v>135</v>
      </c>
      <c r="BF1754">
        <v>0</v>
      </c>
      <c r="BG1754">
        <v>162</v>
      </c>
      <c r="BH1754">
        <v>9.1</v>
      </c>
      <c r="BI1754">
        <v>9.1999999999999993</v>
      </c>
      <c r="BJ1754">
        <v>18.3</v>
      </c>
      <c r="BK1754">
        <v>0.34</v>
      </c>
      <c r="BL1754">
        <v>7.3</v>
      </c>
      <c r="BM1754">
        <v>0.9</v>
      </c>
      <c r="BN1754">
        <v>7.5</v>
      </c>
      <c r="BO1754">
        <v>2.9</v>
      </c>
      <c r="BP1754">
        <f t="shared" si="54"/>
        <v>2.1745423970777953</v>
      </c>
      <c r="BQ1754">
        <f t="shared" si="55"/>
        <v>10.390918983414565</v>
      </c>
    </row>
    <row r="1755" spans="1:69" hidden="1" x14ac:dyDescent="0.2">
      <c r="A1755" t="s">
        <v>1915</v>
      </c>
      <c r="B1755" t="s">
        <v>68</v>
      </c>
      <c r="C1755" t="s">
        <v>69</v>
      </c>
      <c r="D1755" t="s">
        <v>70</v>
      </c>
      <c r="E1755" t="s">
        <v>992</v>
      </c>
      <c r="F1755">
        <v>5</v>
      </c>
      <c r="G1755">
        <v>64</v>
      </c>
      <c r="H1755">
        <v>2</v>
      </c>
      <c r="I1755">
        <v>2</v>
      </c>
      <c r="J1755">
        <v>1</v>
      </c>
      <c r="K1755" t="s">
        <v>110</v>
      </c>
      <c r="L1755" t="s">
        <v>162</v>
      </c>
      <c r="M1755" s="4">
        <v>418000000</v>
      </c>
      <c r="N1755">
        <v>0</v>
      </c>
      <c r="O1755">
        <v>4.7084350590000001</v>
      </c>
      <c r="P1755">
        <v>-74.032066349999994</v>
      </c>
      <c r="Q1755" t="s">
        <v>1916</v>
      </c>
      <c r="R1755">
        <v>6531250</v>
      </c>
      <c r="S1755">
        <v>0</v>
      </c>
      <c r="T1755" t="s">
        <v>104</v>
      </c>
      <c r="U1755" t="s">
        <v>105</v>
      </c>
      <c r="V1755" t="s">
        <v>77</v>
      </c>
      <c r="W1755" t="s">
        <v>104</v>
      </c>
      <c r="X1755" t="s">
        <v>106</v>
      </c>
      <c r="Y1755">
        <v>0.280960108704219</v>
      </c>
      <c r="Z1755">
        <v>280.96010870421901</v>
      </c>
      <c r="AA1755">
        <v>4.71035</v>
      </c>
      <c r="AB1755">
        <v>-74.030416666666696</v>
      </c>
      <c r="AC1755">
        <v>2570</v>
      </c>
      <c r="AD1755">
        <v>10</v>
      </c>
      <c r="AE1755" t="s">
        <v>80</v>
      </c>
      <c r="AF1755" t="s">
        <v>107</v>
      </c>
      <c r="AG1755" t="s">
        <v>82</v>
      </c>
      <c r="AH1755" t="s">
        <v>83</v>
      </c>
      <c r="AI1755" t="s">
        <v>108</v>
      </c>
      <c r="AJ1755">
        <v>2.3706857918812201</v>
      </c>
      <c r="AK1755">
        <v>0.780216593205453</v>
      </c>
      <c r="AL1755">
        <v>0.26685352829366299</v>
      </c>
      <c r="AM1755">
        <v>0.22316809955991401</v>
      </c>
      <c r="AN1755">
        <v>3.70567577957581</v>
      </c>
      <c r="AO1755">
        <v>0.174531668758103</v>
      </c>
      <c r="AP1755">
        <v>0.174531668758103</v>
      </c>
      <c r="AQ1755">
        <v>0</v>
      </c>
      <c r="AR1755">
        <v>0</v>
      </c>
      <c r="AS1755">
        <v>0</v>
      </c>
      <c r="AT1755">
        <v>15</v>
      </c>
      <c r="AU1755">
        <v>2</v>
      </c>
      <c r="AV1755">
        <v>104</v>
      </c>
      <c r="AW1755">
        <v>0</v>
      </c>
      <c r="AX1755">
        <v>0</v>
      </c>
      <c r="AY1755">
        <v>15.5</v>
      </c>
      <c r="AZ1755">
        <v>2.4</v>
      </c>
      <c r="BA1755">
        <v>10.9</v>
      </c>
      <c r="BB1755">
        <v>564</v>
      </c>
      <c r="BC1755">
        <v>68</v>
      </c>
      <c r="BD1755">
        <v>1.5</v>
      </c>
      <c r="BE1755">
        <v>135</v>
      </c>
      <c r="BF1755">
        <v>0</v>
      </c>
      <c r="BG1755">
        <v>162</v>
      </c>
      <c r="BH1755">
        <v>9.1</v>
      </c>
      <c r="BI1755">
        <v>9.1999999999999993</v>
      </c>
      <c r="BJ1755">
        <v>18.3</v>
      </c>
      <c r="BK1755">
        <v>0.34</v>
      </c>
      <c r="BL1755">
        <v>7.3</v>
      </c>
      <c r="BM1755">
        <v>0.9</v>
      </c>
      <c r="BN1755">
        <v>7.5</v>
      </c>
      <c r="BO1755">
        <v>2.9</v>
      </c>
      <c r="BP1755">
        <f t="shared" si="54"/>
        <v>2.3668529699380016</v>
      </c>
      <c r="BQ1755">
        <f t="shared" si="55"/>
        <v>10.826748083515106</v>
      </c>
    </row>
    <row r="1756" spans="1:69" hidden="1" x14ac:dyDescent="0.2">
      <c r="A1756" t="s">
        <v>441</v>
      </c>
      <c r="B1756" t="s">
        <v>68</v>
      </c>
      <c r="C1756" t="s">
        <v>69</v>
      </c>
      <c r="D1756" t="s">
        <v>70</v>
      </c>
      <c r="E1756" t="s">
        <v>442</v>
      </c>
      <c r="F1756">
        <v>5</v>
      </c>
      <c r="G1756">
        <v>63</v>
      </c>
      <c r="H1756">
        <v>2</v>
      </c>
      <c r="I1756">
        <v>2</v>
      </c>
      <c r="J1756">
        <v>1</v>
      </c>
      <c r="K1756" t="s">
        <v>110</v>
      </c>
      <c r="L1756" t="s">
        <v>133</v>
      </c>
      <c r="M1756" s="4">
        <v>560000000</v>
      </c>
      <c r="N1756">
        <v>0</v>
      </c>
      <c r="O1756">
        <v>4.7177457809999996</v>
      </c>
      <c r="P1756">
        <v>-74.040634159999996</v>
      </c>
      <c r="Q1756" t="s">
        <v>443</v>
      </c>
      <c r="R1756">
        <v>8888888.8890000004</v>
      </c>
      <c r="S1756">
        <v>0</v>
      </c>
      <c r="T1756" t="s">
        <v>104</v>
      </c>
      <c r="U1756" t="s">
        <v>105</v>
      </c>
      <c r="V1756" t="s">
        <v>77</v>
      </c>
      <c r="W1756" t="s">
        <v>104</v>
      </c>
      <c r="X1756" t="s">
        <v>106</v>
      </c>
      <c r="Y1756">
        <v>1.4009886102518501</v>
      </c>
      <c r="Z1756">
        <v>1400.9886102518501</v>
      </c>
      <c r="AA1756">
        <v>4.71035</v>
      </c>
      <c r="AB1756">
        <v>-74.030416666666696</v>
      </c>
      <c r="AC1756">
        <v>2570</v>
      </c>
      <c r="AD1756">
        <v>10</v>
      </c>
      <c r="AE1756" t="s">
        <v>80</v>
      </c>
      <c r="AF1756" t="s">
        <v>107</v>
      </c>
      <c r="AG1756" t="s">
        <v>82</v>
      </c>
      <c r="AH1756" t="s">
        <v>83</v>
      </c>
      <c r="AI1756" t="s">
        <v>108</v>
      </c>
      <c r="AJ1756">
        <v>1.2580654351190901</v>
      </c>
      <c r="AK1756">
        <v>1.8562545453772601</v>
      </c>
      <c r="AL1756">
        <v>1.1652340890930499</v>
      </c>
      <c r="AM1756">
        <v>0.24906873933819301</v>
      </c>
      <c r="AN1756">
        <v>3.0477357211354899</v>
      </c>
      <c r="AO1756">
        <v>0.34157867666839598</v>
      </c>
      <c r="AP1756">
        <v>0.34157867666839598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46</v>
      </c>
      <c r="AW1756">
        <v>0</v>
      </c>
      <c r="AX1756">
        <v>0</v>
      </c>
      <c r="AY1756">
        <v>15.5</v>
      </c>
      <c r="AZ1756">
        <v>2.4</v>
      </c>
      <c r="BA1756">
        <v>10.9</v>
      </c>
      <c r="BB1756">
        <v>564</v>
      </c>
      <c r="BC1756">
        <v>68</v>
      </c>
      <c r="BD1756">
        <v>1.5</v>
      </c>
      <c r="BE1756">
        <v>135</v>
      </c>
      <c r="BF1756">
        <v>0</v>
      </c>
      <c r="BG1756">
        <v>162</v>
      </c>
      <c r="BH1756">
        <v>9.1</v>
      </c>
      <c r="BI1756">
        <v>9.1999999999999993</v>
      </c>
      <c r="BJ1756">
        <v>18.3</v>
      </c>
      <c r="BK1756">
        <v>0.34</v>
      </c>
      <c r="BL1756">
        <v>7.3</v>
      </c>
      <c r="BM1756">
        <v>0.9</v>
      </c>
      <c r="BN1756">
        <v>7.5</v>
      </c>
      <c r="BO1756">
        <v>2.9</v>
      </c>
      <c r="BP1756">
        <f t="shared" si="54"/>
        <v>2.2392025570051297</v>
      </c>
      <c r="BQ1756">
        <f t="shared" si="55"/>
        <v>10.539594423078782</v>
      </c>
    </row>
    <row r="1757" spans="1:69" hidden="1" x14ac:dyDescent="0.2">
      <c r="A1757" t="s">
        <v>4305</v>
      </c>
      <c r="B1757" t="s">
        <v>68</v>
      </c>
      <c r="C1757" t="s">
        <v>3294</v>
      </c>
      <c r="D1757" t="s">
        <v>70</v>
      </c>
      <c r="E1757" t="s">
        <v>235</v>
      </c>
      <c r="F1757">
        <v>6</v>
      </c>
      <c r="G1757">
        <v>62</v>
      </c>
      <c r="H1757">
        <v>1</v>
      </c>
      <c r="I1757">
        <v>1</v>
      </c>
      <c r="J1757">
        <v>1</v>
      </c>
      <c r="K1757" t="s">
        <v>110</v>
      </c>
      <c r="L1757" t="s">
        <v>124</v>
      </c>
      <c r="M1757" s="4">
        <v>465000000</v>
      </c>
      <c r="N1757">
        <v>0</v>
      </c>
      <c r="O1757">
        <v>4.7064471240000003</v>
      </c>
      <c r="P1757">
        <v>-74.041030879999994</v>
      </c>
      <c r="Q1757" t="s">
        <v>4306</v>
      </c>
      <c r="R1757">
        <v>7500000</v>
      </c>
      <c r="S1757">
        <v>0</v>
      </c>
      <c r="T1757" t="s">
        <v>104</v>
      </c>
      <c r="U1757" t="s">
        <v>105</v>
      </c>
      <c r="V1757" t="s">
        <v>77</v>
      </c>
      <c r="W1757" t="s">
        <v>104</v>
      </c>
      <c r="X1757" t="s">
        <v>106</v>
      </c>
      <c r="Y1757">
        <v>1.25517287540246</v>
      </c>
      <c r="Z1757">
        <v>1255.17287540246</v>
      </c>
      <c r="AA1757">
        <v>4.71035</v>
      </c>
      <c r="AB1757">
        <v>-74.030416666666696</v>
      </c>
      <c r="AC1757">
        <v>2570</v>
      </c>
      <c r="AD1757">
        <v>10</v>
      </c>
      <c r="AE1757" t="s">
        <v>80</v>
      </c>
      <c r="AF1757" t="s">
        <v>107</v>
      </c>
      <c r="AG1757" t="s">
        <v>82</v>
      </c>
      <c r="AH1757" t="s">
        <v>83</v>
      </c>
      <c r="AI1757" t="s">
        <v>108</v>
      </c>
      <c r="AJ1757">
        <v>1.4765106054858399</v>
      </c>
      <c r="AK1757">
        <v>1.7755446049766199</v>
      </c>
      <c r="AL1757">
        <v>1.0307541173691099</v>
      </c>
      <c r="AM1757">
        <v>0.115674055818224</v>
      </c>
      <c r="AN1757">
        <v>4.1894188307290099</v>
      </c>
      <c r="AO1757">
        <v>0.22367940653292001</v>
      </c>
      <c r="AP1757">
        <v>0.22367940653292001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75</v>
      </c>
      <c r="AW1757">
        <v>0</v>
      </c>
      <c r="AX1757">
        <v>0</v>
      </c>
      <c r="AY1757">
        <v>15.5</v>
      </c>
      <c r="AZ1757">
        <v>2.4</v>
      </c>
      <c r="BA1757">
        <v>10.9</v>
      </c>
      <c r="BB1757">
        <v>564</v>
      </c>
      <c r="BC1757">
        <v>68</v>
      </c>
      <c r="BD1757">
        <v>1.5</v>
      </c>
      <c r="BE1757">
        <v>135</v>
      </c>
      <c r="BF1757">
        <v>0</v>
      </c>
      <c r="BG1757">
        <v>162</v>
      </c>
      <c r="BH1757">
        <v>9.1</v>
      </c>
      <c r="BI1757">
        <v>9.1999999999999993</v>
      </c>
      <c r="BJ1757">
        <v>18.3</v>
      </c>
      <c r="BK1757">
        <v>0.34</v>
      </c>
      <c r="BL1757">
        <v>7.3</v>
      </c>
      <c r="BM1757">
        <v>0.9</v>
      </c>
      <c r="BN1757">
        <v>7.5</v>
      </c>
      <c r="BO1757">
        <v>2.9</v>
      </c>
      <c r="BP1757">
        <f t="shared" si="54"/>
        <v>2.2554233191644726</v>
      </c>
      <c r="BQ1757">
        <f t="shared" si="55"/>
        <v>10.576543166807584</v>
      </c>
    </row>
    <row r="1758" spans="1:69" hidden="1" x14ac:dyDescent="0.2">
      <c r="A1758" t="s">
        <v>4301</v>
      </c>
      <c r="B1758" t="s">
        <v>68</v>
      </c>
      <c r="C1758" t="s">
        <v>3294</v>
      </c>
      <c r="D1758" t="s">
        <v>70</v>
      </c>
      <c r="E1758" t="s">
        <v>210</v>
      </c>
      <c r="F1758">
        <v>6</v>
      </c>
      <c r="G1758">
        <v>60</v>
      </c>
      <c r="H1758">
        <v>1</v>
      </c>
      <c r="I1758">
        <v>1</v>
      </c>
      <c r="J1758">
        <v>2</v>
      </c>
      <c r="K1758" t="s">
        <v>110</v>
      </c>
      <c r="L1758" t="s">
        <v>111</v>
      </c>
      <c r="M1758" s="4">
        <v>660000000</v>
      </c>
      <c r="N1758">
        <v>0</v>
      </c>
      <c r="O1758">
        <v>4.6972243000000002</v>
      </c>
      <c r="P1758">
        <v>-74.052445300000002</v>
      </c>
      <c r="Q1758" t="s">
        <v>4302</v>
      </c>
      <c r="R1758">
        <v>11000000</v>
      </c>
      <c r="S1758">
        <v>0</v>
      </c>
      <c r="T1758" t="s">
        <v>104</v>
      </c>
      <c r="U1758" t="s">
        <v>105</v>
      </c>
      <c r="V1758" t="s">
        <v>77</v>
      </c>
      <c r="W1758" t="s">
        <v>104</v>
      </c>
      <c r="X1758" t="s">
        <v>106</v>
      </c>
      <c r="Y1758">
        <v>2.8474329906596099</v>
      </c>
      <c r="Z1758">
        <v>2847.4329906596099</v>
      </c>
      <c r="AA1758">
        <v>4.71035</v>
      </c>
      <c r="AB1758">
        <v>-74.030416666666696</v>
      </c>
      <c r="AC1758">
        <v>2570</v>
      </c>
      <c r="AD1758">
        <v>10</v>
      </c>
      <c r="AE1758" t="s">
        <v>80</v>
      </c>
      <c r="AF1758" t="s">
        <v>107</v>
      </c>
      <c r="AG1758" t="s">
        <v>82</v>
      </c>
      <c r="AH1758" t="s">
        <v>83</v>
      </c>
      <c r="AI1758" t="s">
        <v>108</v>
      </c>
      <c r="AJ1758">
        <v>0.332799032929046</v>
      </c>
      <c r="AK1758">
        <v>2.73085405645431</v>
      </c>
      <c r="AL1758">
        <v>0.52104123698244398</v>
      </c>
      <c r="AM1758">
        <v>0.22187603289503299</v>
      </c>
      <c r="AN1758">
        <v>4.1633089769206304</v>
      </c>
      <c r="AO1758">
        <v>0.32687301100944799</v>
      </c>
      <c r="AP1758">
        <v>0.32687301100944799</v>
      </c>
      <c r="AQ1758">
        <v>1</v>
      </c>
      <c r="AR1758">
        <v>3</v>
      </c>
      <c r="AS1758">
        <v>0</v>
      </c>
      <c r="AT1758">
        <v>0</v>
      </c>
      <c r="AU1758">
        <v>1</v>
      </c>
      <c r="AV1758">
        <v>157</v>
      </c>
      <c r="AW1758">
        <v>0</v>
      </c>
      <c r="AX1758">
        <v>0</v>
      </c>
      <c r="AY1758">
        <v>15.5</v>
      </c>
      <c r="AZ1758">
        <v>2.4</v>
      </c>
      <c r="BA1758">
        <v>10.9</v>
      </c>
      <c r="BB1758">
        <v>564</v>
      </c>
      <c r="BC1758">
        <v>68</v>
      </c>
      <c r="BD1758">
        <v>1.5</v>
      </c>
      <c r="BE1758">
        <v>135</v>
      </c>
      <c r="BF1758">
        <v>0</v>
      </c>
      <c r="BG1758">
        <v>162</v>
      </c>
      <c r="BH1758">
        <v>9.1</v>
      </c>
      <c r="BI1758">
        <v>9.1999999999999993</v>
      </c>
      <c r="BJ1758">
        <v>18.3</v>
      </c>
      <c r="BK1758">
        <v>0.34</v>
      </c>
      <c r="BL1758">
        <v>7.3</v>
      </c>
      <c r="BM1758">
        <v>0.9</v>
      </c>
      <c r="BN1758">
        <v>7.5</v>
      </c>
      <c r="BO1758">
        <v>2.9</v>
      </c>
      <c r="BP1758">
        <f t="shared" si="54"/>
        <v>2.0844828779404914</v>
      </c>
      <c r="BQ1758">
        <f t="shared" si="55"/>
        <v>10.179993752911464</v>
      </c>
    </row>
    <row r="1759" spans="1:69" hidden="1" x14ac:dyDescent="0.2">
      <c r="A1759" t="s">
        <v>3751</v>
      </c>
      <c r="B1759" t="s">
        <v>68</v>
      </c>
      <c r="C1759" t="s">
        <v>3294</v>
      </c>
      <c r="D1759" t="s">
        <v>70</v>
      </c>
      <c r="E1759" t="s">
        <v>272</v>
      </c>
      <c r="F1759">
        <v>5</v>
      </c>
      <c r="G1759">
        <v>60</v>
      </c>
      <c r="H1759">
        <v>1</v>
      </c>
      <c r="I1759">
        <v>2</v>
      </c>
      <c r="J1759">
        <v>1</v>
      </c>
      <c r="K1759" t="s">
        <v>110</v>
      </c>
      <c r="L1759" t="s">
        <v>111</v>
      </c>
      <c r="M1759" s="4">
        <v>1121000000</v>
      </c>
      <c r="N1759">
        <v>0</v>
      </c>
      <c r="O1759">
        <v>4.6881442370000004</v>
      </c>
      <c r="P1759">
        <v>-74.033904559999996</v>
      </c>
      <c r="Q1759" t="s">
        <v>3752</v>
      </c>
      <c r="R1759">
        <v>18683333.329999998</v>
      </c>
      <c r="S1759">
        <v>0</v>
      </c>
      <c r="T1759" t="s">
        <v>104</v>
      </c>
      <c r="U1759" t="s">
        <v>105</v>
      </c>
      <c r="V1759" t="s">
        <v>77</v>
      </c>
      <c r="W1759" t="s">
        <v>104</v>
      </c>
      <c r="X1759" t="s">
        <v>106</v>
      </c>
      <c r="Y1759">
        <v>2.5020393675807799</v>
      </c>
      <c r="Z1759">
        <v>2502.03936758078</v>
      </c>
      <c r="AA1759">
        <v>4.71035</v>
      </c>
      <c r="AB1759">
        <v>-74.030416666666696</v>
      </c>
      <c r="AC1759">
        <v>2570</v>
      </c>
      <c r="AD1759">
        <v>10</v>
      </c>
      <c r="AE1759" t="s">
        <v>80</v>
      </c>
      <c r="AF1759" t="s">
        <v>107</v>
      </c>
      <c r="AG1759" t="s">
        <v>82</v>
      </c>
      <c r="AH1759" t="s">
        <v>83</v>
      </c>
      <c r="AI1759" t="s">
        <v>108</v>
      </c>
      <c r="AJ1759">
        <v>2.5273530526547798</v>
      </c>
      <c r="AK1759">
        <v>0.83064884828922003</v>
      </c>
      <c r="AL1759">
        <v>0.83488423526992495</v>
      </c>
      <c r="AM1759">
        <v>0.29053019912184902</v>
      </c>
      <c r="AN1759">
        <v>5.5484118290668896</v>
      </c>
      <c r="AO1759">
        <v>0.38616598419004899</v>
      </c>
      <c r="AP1759">
        <v>0.38616598419004899</v>
      </c>
      <c r="AQ1759">
        <v>0</v>
      </c>
      <c r="AR1759">
        <v>0</v>
      </c>
      <c r="AS1759">
        <v>0</v>
      </c>
      <c r="AT1759">
        <v>18</v>
      </c>
      <c r="AU1759">
        <v>4</v>
      </c>
      <c r="AV1759">
        <v>74</v>
      </c>
      <c r="AW1759">
        <v>0</v>
      </c>
      <c r="AX1759">
        <v>0</v>
      </c>
      <c r="AY1759">
        <v>15.5</v>
      </c>
      <c r="AZ1759">
        <v>2.4</v>
      </c>
      <c r="BA1759">
        <v>10.9</v>
      </c>
      <c r="BB1759">
        <v>564</v>
      </c>
      <c r="BC1759">
        <v>68</v>
      </c>
      <c r="BD1759">
        <v>1.5</v>
      </c>
      <c r="BE1759">
        <v>135</v>
      </c>
      <c r="BF1759">
        <v>0</v>
      </c>
      <c r="BG1759">
        <v>162</v>
      </c>
      <c r="BH1759">
        <v>9.1</v>
      </c>
      <c r="BI1759">
        <v>9.1999999999999993</v>
      </c>
      <c r="BJ1759">
        <v>18.3</v>
      </c>
      <c r="BK1759">
        <v>0.34</v>
      </c>
      <c r="BL1759">
        <v>7.3</v>
      </c>
      <c r="BM1759">
        <v>0.9</v>
      </c>
      <c r="BN1759">
        <v>7.5</v>
      </c>
      <c r="BO1759">
        <v>2.9</v>
      </c>
      <c r="BP1759">
        <f t="shared" si="54"/>
        <v>2.1204276470731802</v>
      </c>
      <c r="BQ1759">
        <f t="shared" si="55"/>
        <v>10.264730998342076</v>
      </c>
    </row>
    <row r="1760" spans="1:69" hidden="1" x14ac:dyDescent="0.2">
      <c r="A1760" t="s">
        <v>3556</v>
      </c>
      <c r="B1760" t="s">
        <v>68</v>
      </c>
      <c r="C1760" t="s">
        <v>3294</v>
      </c>
      <c r="D1760" t="s">
        <v>70</v>
      </c>
      <c r="E1760" t="s">
        <v>748</v>
      </c>
      <c r="F1760">
        <v>6</v>
      </c>
      <c r="G1760">
        <v>60</v>
      </c>
      <c r="H1760">
        <v>1</v>
      </c>
      <c r="I1760">
        <v>2</v>
      </c>
      <c r="J1760">
        <v>1</v>
      </c>
      <c r="K1760" t="s">
        <v>110</v>
      </c>
      <c r="L1760" t="s">
        <v>133</v>
      </c>
      <c r="M1760" s="4">
        <v>557300000</v>
      </c>
      <c r="N1760">
        <v>0</v>
      </c>
      <c r="O1760">
        <v>4.6941600000000001</v>
      </c>
      <c r="P1760">
        <v>-74.043109999999999</v>
      </c>
      <c r="Q1760" t="s">
        <v>3557</v>
      </c>
      <c r="R1760">
        <v>9288333.3330000006</v>
      </c>
      <c r="S1760">
        <v>0</v>
      </c>
      <c r="T1760" t="s">
        <v>104</v>
      </c>
      <c r="U1760" t="s">
        <v>105</v>
      </c>
      <c r="V1760" t="s">
        <v>77</v>
      </c>
      <c r="W1760" t="s">
        <v>104</v>
      </c>
      <c r="X1760" t="s">
        <v>106</v>
      </c>
      <c r="Y1760">
        <v>2.2872133490276298</v>
      </c>
      <c r="Z1760">
        <v>2287.2133490276301</v>
      </c>
      <c r="AA1760">
        <v>4.71035</v>
      </c>
      <c r="AB1760">
        <v>-74.030416666666696</v>
      </c>
      <c r="AC1760">
        <v>2570</v>
      </c>
      <c r="AD1760">
        <v>10</v>
      </c>
      <c r="AE1760" t="s">
        <v>80</v>
      </c>
      <c r="AF1760" t="s">
        <v>107</v>
      </c>
      <c r="AG1760" t="s">
        <v>82</v>
      </c>
      <c r="AH1760" t="s">
        <v>83</v>
      </c>
      <c r="AI1760" t="s">
        <v>108</v>
      </c>
      <c r="AJ1760">
        <v>1.4218495185350499</v>
      </c>
      <c r="AK1760">
        <v>1.84291297765823</v>
      </c>
      <c r="AL1760">
        <v>0.753498910489655</v>
      </c>
      <c r="AM1760">
        <v>0.194233346174919</v>
      </c>
      <c r="AN1760">
        <v>4.84966994222669</v>
      </c>
      <c r="AO1760">
        <v>0.25817009153130099</v>
      </c>
      <c r="AP1760">
        <v>0.25817009153130099</v>
      </c>
      <c r="AQ1760">
        <v>0</v>
      </c>
      <c r="AR1760">
        <v>0</v>
      </c>
      <c r="AS1760">
        <v>0</v>
      </c>
      <c r="AT1760">
        <v>0</v>
      </c>
      <c r="AU1760">
        <v>1</v>
      </c>
      <c r="AV1760">
        <v>122</v>
      </c>
      <c r="AW1760">
        <v>0</v>
      </c>
      <c r="AX1760">
        <v>0</v>
      </c>
      <c r="AY1760">
        <v>15.5</v>
      </c>
      <c r="AZ1760">
        <v>2.4</v>
      </c>
      <c r="BA1760">
        <v>10.9</v>
      </c>
      <c r="BB1760">
        <v>564</v>
      </c>
      <c r="BC1760">
        <v>68</v>
      </c>
      <c r="BD1760">
        <v>1.5</v>
      </c>
      <c r="BE1760">
        <v>135</v>
      </c>
      <c r="BF1760">
        <v>0</v>
      </c>
      <c r="BG1760">
        <v>162</v>
      </c>
      <c r="BH1760">
        <v>9.1</v>
      </c>
      <c r="BI1760">
        <v>9.1999999999999993</v>
      </c>
      <c r="BJ1760">
        <v>18.3</v>
      </c>
      <c r="BK1760">
        <v>0.34</v>
      </c>
      <c r="BL1760">
        <v>7.3</v>
      </c>
      <c r="BM1760">
        <v>0.9</v>
      </c>
      <c r="BN1760">
        <v>7.5</v>
      </c>
      <c r="BO1760">
        <v>2.9</v>
      </c>
      <c r="BP1760">
        <f t="shared" si="54"/>
        <v>2.1430963516293966</v>
      </c>
      <c r="BQ1760">
        <f t="shared" si="55"/>
        <v>10.317790815359716</v>
      </c>
    </row>
    <row r="1761" spans="1:69" hidden="1" x14ac:dyDescent="0.2">
      <c r="A1761" t="s">
        <v>4392</v>
      </c>
      <c r="B1761" t="s">
        <v>68</v>
      </c>
      <c r="C1761" t="s">
        <v>3294</v>
      </c>
      <c r="D1761" t="s">
        <v>70</v>
      </c>
      <c r="E1761" t="s">
        <v>337</v>
      </c>
      <c r="F1761">
        <v>6</v>
      </c>
      <c r="G1761">
        <v>60</v>
      </c>
      <c r="H1761">
        <v>1</v>
      </c>
      <c r="I1761">
        <v>1</v>
      </c>
      <c r="J1761">
        <v>1</v>
      </c>
      <c r="K1761" t="s">
        <v>110</v>
      </c>
      <c r="L1761" t="s">
        <v>111</v>
      </c>
      <c r="M1761" s="4">
        <v>620000000</v>
      </c>
      <c r="N1761">
        <v>0</v>
      </c>
      <c r="O1761">
        <v>4.7025270849999998</v>
      </c>
      <c r="P1761">
        <v>-74.043613149999999</v>
      </c>
      <c r="Q1761" t="s">
        <v>4393</v>
      </c>
      <c r="R1761">
        <v>10333333.33</v>
      </c>
      <c r="S1761">
        <v>0</v>
      </c>
      <c r="T1761" t="s">
        <v>104</v>
      </c>
      <c r="U1761" t="s">
        <v>105</v>
      </c>
      <c r="V1761" t="s">
        <v>77</v>
      </c>
      <c r="W1761" t="s">
        <v>104</v>
      </c>
      <c r="X1761" t="s">
        <v>106</v>
      </c>
      <c r="Y1761">
        <v>1.7034892644716999</v>
      </c>
      <c r="Z1761">
        <v>1703.4892644716999</v>
      </c>
      <c r="AA1761">
        <v>4.71035</v>
      </c>
      <c r="AB1761">
        <v>-74.030416666666696</v>
      </c>
      <c r="AC1761">
        <v>2570</v>
      </c>
      <c r="AD1761">
        <v>10</v>
      </c>
      <c r="AE1761" t="s">
        <v>80</v>
      </c>
      <c r="AF1761" t="s">
        <v>107</v>
      </c>
      <c r="AG1761" t="s">
        <v>82</v>
      </c>
      <c r="AH1761" t="s">
        <v>83</v>
      </c>
      <c r="AI1761" t="s">
        <v>108</v>
      </c>
      <c r="AJ1761">
        <v>1.1995650787648</v>
      </c>
      <c r="AK1761">
        <v>1.9996994467623299</v>
      </c>
      <c r="AL1761">
        <v>1.2327155257029101</v>
      </c>
      <c r="AM1761">
        <v>6.5673594944654107E-2</v>
      </c>
      <c r="AN1761">
        <v>4.6998456805268001</v>
      </c>
      <c r="AO1761">
        <v>0.18313005572417099</v>
      </c>
      <c r="AP1761">
        <v>0.18313005572417099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142</v>
      </c>
      <c r="AW1761">
        <v>0</v>
      </c>
      <c r="AX1761">
        <v>0</v>
      </c>
      <c r="AY1761">
        <v>15.5</v>
      </c>
      <c r="AZ1761">
        <v>2.4</v>
      </c>
      <c r="BA1761">
        <v>10.9</v>
      </c>
      <c r="BB1761">
        <v>564</v>
      </c>
      <c r="BC1761">
        <v>68</v>
      </c>
      <c r="BD1761">
        <v>1.5</v>
      </c>
      <c r="BE1761">
        <v>135</v>
      </c>
      <c r="BF1761">
        <v>0</v>
      </c>
      <c r="BG1761">
        <v>162</v>
      </c>
      <c r="BH1761">
        <v>9.1</v>
      </c>
      <c r="BI1761">
        <v>9.1999999999999993</v>
      </c>
      <c r="BJ1761">
        <v>18.3</v>
      </c>
      <c r="BK1761">
        <v>0.34</v>
      </c>
      <c r="BL1761">
        <v>7.3</v>
      </c>
      <c r="BM1761">
        <v>0.9</v>
      </c>
      <c r="BN1761">
        <v>7.5</v>
      </c>
      <c r="BO1761">
        <v>2.9</v>
      </c>
      <c r="BP1761">
        <f t="shared" si="54"/>
        <v>2.2059230073799241</v>
      </c>
      <c r="BQ1761">
        <f t="shared" si="55"/>
        <v>10.463353890685713</v>
      </c>
    </row>
    <row r="1762" spans="1:69" hidden="1" x14ac:dyDescent="0.2">
      <c r="A1762" t="s">
        <v>4535</v>
      </c>
      <c r="B1762" t="s">
        <v>68</v>
      </c>
      <c r="C1762" t="s">
        <v>3294</v>
      </c>
      <c r="D1762" t="s">
        <v>70</v>
      </c>
      <c r="E1762" t="s">
        <v>205</v>
      </c>
      <c r="F1762">
        <v>4</v>
      </c>
      <c r="G1762">
        <v>60</v>
      </c>
      <c r="H1762">
        <v>1</v>
      </c>
      <c r="I1762">
        <v>2</v>
      </c>
      <c r="J1762">
        <v>1</v>
      </c>
      <c r="K1762" t="s">
        <v>110</v>
      </c>
      <c r="L1762" t="s">
        <v>133</v>
      </c>
      <c r="M1762" s="4">
        <v>420000000</v>
      </c>
      <c r="N1762">
        <v>0</v>
      </c>
      <c r="O1762">
        <v>4.7214010000000002</v>
      </c>
      <c r="P1762">
        <v>-74.034492</v>
      </c>
      <c r="Q1762" t="s">
        <v>4536</v>
      </c>
      <c r="R1762">
        <v>7000000</v>
      </c>
      <c r="S1762">
        <v>0</v>
      </c>
      <c r="T1762" t="s">
        <v>104</v>
      </c>
      <c r="U1762" t="s">
        <v>105</v>
      </c>
      <c r="V1762" t="s">
        <v>77</v>
      </c>
      <c r="W1762" t="s">
        <v>104</v>
      </c>
      <c r="X1762" t="s">
        <v>106</v>
      </c>
      <c r="Y1762">
        <v>1.3106454614154099</v>
      </c>
      <c r="Z1762">
        <v>1310.64546141541</v>
      </c>
      <c r="AA1762">
        <v>4.71035</v>
      </c>
      <c r="AB1762">
        <v>-74.030416666666696</v>
      </c>
      <c r="AC1762">
        <v>2570</v>
      </c>
      <c r="AD1762">
        <v>10</v>
      </c>
      <c r="AE1762" t="s">
        <v>80</v>
      </c>
      <c r="AF1762" t="s">
        <v>107</v>
      </c>
      <c r="AG1762" t="s">
        <v>82</v>
      </c>
      <c r="AH1762" t="s">
        <v>83</v>
      </c>
      <c r="AI1762" t="s">
        <v>108</v>
      </c>
      <c r="AJ1762">
        <v>1.8745869526194701</v>
      </c>
      <c r="AK1762">
        <v>1.2267465932736501</v>
      </c>
      <c r="AL1762">
        <v>1.1931997034161299</v>
      </c>
      <c r="AM1762">
        <v>0.27471290415582</v>
      </c>
      <c r="AN1762">
        <v>2.3858245533301101</v>
      </c>
      <c r="AO1762">
        <v>6.5677896025963106E-2</v>
      </c>
      <c r="AP1762">
        <v>6.5677896025963106E-2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45</v>
      </c>
      <c r="AW1762">
        <v>0</v>
      </c>
      <c r="AX1762">
        <v>0</v>
      </c>
      <c r="AY1762">
        <v>15.5</v>
      </c>
      <c r="AZ1762">
        <v>2.4</v>
      </c>
      <c r="BA1762">
        <v>10.9</v>
      </c>
      <c r="BB1762">
        <v>564</v>
      </c>
      <c r="BC1762">
        <v>68</v>
      </c>
      <c r="BD1762">
        <v>1.5</v>
      </c>
      <c r="BE1762">
        <v>135</v>
      </c>
      <c r="BF1762">
        <v>0</v>
      </c>
      <c r="BG1762">
        <v>162</v>
      </c>
      <c r="BH1762">
        <v>9.1</v>
      </c>
      <c r="BI1762">
        <v>9.1999999999999993</v>
      </c>
      <c r="BJ1762">
        <v>18.3</v>
      </c>
      <c r="BK1762">
        <v>0.34</v>
      </c>
      <c r="BL1762">
        <v>7.3</v>
      </c>
      <c r="BM1762">
        <v>0.9</v>
      </c>
      <c r="BN1762">
        <v>7.5</v>
      </c>
      <c r="BO1762">
        <v>2.9</v>
      </c>
      <c r="BP1762">
        <f t="shared" si="54"/>
        <v>2.2492386631309751</v>
      </c>
      <c r="BQ1762">
        <f t="shared" si="55"/>
        <v>10.562471539147987</v>
      </c>
    </row>
    <row r="1763" spans="1:69" hidden="1" x14ac:dyDescent="0.2">
      <c r="A1763" t="s">
        <v>1082</v>
      </c>
      <c r="B1763" t="s">
        <v>68</v>
      </c>
      <c r="C1763" t="s">
        <v>69</v>
      </c>
      <c r="D1763" t="s">
        <v>70</v>
      </c>
      <c r="E1763" t="s">
        <v>1083</v>
      </c>
      <c r="F1763">
        <v>3</v>
      </c>
      <c r="G1763">
        <v>60</v>
      </c>
      <c r="H1763">
        <v>2</v>
      </c>
      <c r="I1763">
        <v>2</v>
      </c>
      <c r="J1763">
        <v>1</v>
      </c>
      <c r="K1763" t="s">
        <v>110</v>
      </c>
      <c r="L1763" t="s">
        <v>162</v>
      </c>
      <c r="M1763" s="4">
        <v>310000000</v>
      </c>
      <c r="N1763">
        <v>0</v>
      </c>
      <c r="O1763">
        <v>4.7053303719999997</v>
      </c>
      <c r="P1763">
        <v>-74.023307799999998</v>
      </c>
      <c r="Q1763" t="s">
        <v>1084</v>
      </c>
      <c r="R1763">
        <v>5166666.6670000004</v>
      </c>
      <c r="S1763">
        <v>0</v>
      </c>
      <c r="T1763" t="s">
        <v>104</v>
      </c>
      <c r="U1763" t="s">
        <v>105</v>
      </c>
      <c r="V1763" t="s">
        <v>77</v>
      </c>
      <c r="W1763" t="s">
        <v>104</v>
      </c>
      <c r="X1763" t="s">
        <v>106</v>
      </c>
      <c r="Y1763">
        <v>0.96657262975876401</v>
      </c>
      <c r="Z1763">
        <v>966.57262975876404</v>
      </c>
      <c r="AA1763">
        <v>4.71035</v>
      </c>
      <c r="AB1763">
        <v>-74.030416666666696</v>
      </c>
      <c r="AC1763">
        <v>2570</v>
      </c>
      <c r="AD1763">
        <v>10</v>
      </c>
      <c r="AE1763" t="s">
        <v>80</v>
      </c>
      <c r="AF1763" t="s">
        <v>107</v>
      </c>
      <c r="AG1763" t="s">
        <v>82</v>
      </c>
      <c r="AH1763" t="s">
        <v>83</v>
      </c>
      <c r="AI1763" t="s">
        <v>108</v>
      </c>
      <c r="AJ1763">
        <v>3.3997224702412998</v>
      </c>
      <c r="AK1763">
        <v>7.7195044546456398E-2</v>
      </c>
      <c r="AL1763">
        <v>1.10715054919475</v>
      </c>
      <c r="AM1763">
        <v>0.67282175735336702</v>
      </c>
      <c r="AN1763">
        <v>4.0192427891594198</v>
      </c>
      <c r="AO1763">
        <v>4.3492534179177499E-2</v>
      </c>
      <c r="AP1763">
        <v>4.3492534179177499E-2</v>
      </c>
      <c r="AQ1763">
        <v>0</v>
      </c>
      <c r="AR1763">
        <v>0</v>
      </c>
      <c r="AS1763">
        <v>19</v>
      </c>
      <c r="AT1763">
        <v>38</v>
      </c>
      <c r="AU1763">
        <v>0</v>
      </c>
      <c r="AV1763">
        <v>39</v>
      </c>
      <c r="AW1763">
        <v>0</v>
      </c>
      <c r="AX1763">
        <v>0</v>
      </c>
      <c r="AY1763">
        <v>15.5</v>
      </c>
      <c r="AZ1763">
        <v>2.4</v>
      </c>
      <c r="BA1763">
        <v>10.9</v>
      </c>
      <c r="BB1763">
        <v>564</v>
      </c>
      <c r="BC1763">
        <v>68</v>
      </c>
      <c r="BD1763">
        <v>1.5</v>
      </c>
      <c r="BE1763">
        <v>135</v>
      </c>
      <c r="BF1763">
        <v>0</v>
      </c>
      <c r="BG1763">
        <v>162</v>
      </c>
      <c r="BH1763">
        <v>9.1</v>
      </c>
      <c r="BI1763">
        <v>9.1999999999999993</v>
      </c>
      <c r="BJ1763">
        <v>18.3</v>
      </c>
      <c r="BK1763">
        <v>0.34</v>
      </c>
      <c r="BL1763">
        <v>7.3</v>
      </c>
      <c r="BM1763">
        <v>0.9</v>
      </c>
      <c r="BN1763">
        <v>7.5</v>
      </c>
      <c r="BO1763">
        <v>2.9</v>
      </c>
      <c r="BP1763">
        <f t="shared" si="54"/>
        <v>2.2878748925221597</v>
      </c>
      <c r="BQ1763">
        <f t="shared" si="55"/>
        <v>10.65005488987353</v>
      </c>
    </row>
    <row r="1764" spans="1:69" hidden="1" x14ac:dyDescent="0.2">
      <c r="A1764" t="s">
        <v>239</v>
      </c>
      <c r="B1764" t="s">
        <v>68</v>
      </c>
      <c r="C1764" t="s">
        <v>69</v>
      </c>
      <c r="D1764" t="s">
        <v>70</v>
      </c>
      <c r="E1764" t="s">
        <v>179</v>
      </c>
      <c r="F1764">
        <v>6</v>
      </c>
      <c r="G1764">
        <v>59.38</v>
      </c>
      <c r="H1764">
        <v>1</v>
      </c>
      <c r="I1764">
        <v>2</v>
      </c>
      <c r="J1764">
        <v>2</v>
      </c>
      <c r="K1764" t="s">
        <v>110</v>
      </c>
      <c r="L1764" t="s">
        <v>133</v>
      </c>
      <c r="M1764" s="4">
        <v>1000000000</v>
      </c>
      <c r="N1764">
        <v>0</v>
      </c>
      <c r="O1764">
        <v>4.6788992880000002</v>
      </c>
      <c r="P1764">
        <v>-74.042648319999998</v>
      </c>
      <c r="Q1764" t="s">
        <v>240</v>
      </c>
      <c r="R1764">
        <v>16840687.100000001</v>
      </c>
      <c r="S1764">
        <v>0</v>
      </c>
      <c r="T1764" t="s">
        <v>104</v>
      </c>
      <c r="U1764" t="s">
        <v>105</v>
      </c>
      <c r="V1764" t="s">
        <v>77</v>
      </c>
      <c r="W1764" t="s">
        <v>104</v>
      </c>
      <c r="X1764" t="s">
        <v>106</v>
      </c>
      <c r="Y1764">
        <v>3.7548815455014601</v>
      </c>
      <c r="Z1764">
        <v>3754.8815455014601</v>
      </c>
      <c r="AA1764">
        <v>4.71035</v>
      </c>
      <c r="AB1764">
        <v>-74.030416666666696</v>
      </c>
      <c r="AC1764">
        <v>2570</v>
      </c>
      <c r="AD1764">
        <v>10</v>
      </c>
      <c r="AE1764" t="s">
        <v>80</v>
      </c>
      <c r="AF1764" t="s">
        <v>107</v>
      </c>
      <c r="AG1764" t="s">
        <v>82</v>
      </c>
      <c r="AH1764" t="s">
        <v>83</v>
      </c>
      <c r="AI1764" t="s">
        <v>130</v>
      </c>
      <c r="AJ1764">
        <v>1.7610738727125299</v>
      </c>
      <c r="AK1764">
        <v>0.62654957370189701</v>
      </c>
      <c r="AL1764">
        <v>0.54127183066032203</v>
      </c>
      <c r="AM1764">
        <v>0.17343089123179001</v>
      </c>
      <c r="AN1764">
        <v>4.3842511318674999</v>
      </c>
      <c r="AO1764">
        <v>0.96151579662007902</v>
      </c>
      <c r="AP1764">
        <v>0.96151579662007902</v>
      </c>
      <c r="AQ1764">
        <v>0</v>
      </c>
      <c r="AR1764">
        <v>0</v>
      </c>
      <c r="AS1764">
        <v>0</v>
      </c>
      <c r="AT1764">
        <v>7</v>
      </c>
      <c r="AU1764">
        <v>3</v>
      </c>
      <c r="AV1764">
        <v>78</v>
      </c>
      <c r="AW1764">
        <v>0</v>
      </c>
      <c r="AX1764">
        <v>0</v>
      </c>
      <c r="AY1764">
        <v>15.5</v>
      </c>
      <c r="AZ1764">
        <v>2.4</v>
      </c>
      <c r="BA1764">
        <v>10.9</v>
      </c>
      <c r="BB1764">
        <v>564</v>
      </c>
      <c r="BC1764">
        <v>68</v>
      </c>
      <c r="BD1764">
        <v>1.5</v>
      </c>
      <c r="BE1764">
        <v>135</v>
      </c>
      <c r="BF1764">
        <v>0</v>
      </c>
      <c r="BG1764">
        <v>162</v>
      </c>
      <c r="BH1764">
        <v>9.1</v>
      </c>
      <c r="BI1764">
        <v>9.1999999999999993</v>
      </c>
      <c r="BJ1764">
        <v>18.3</v>
      </c>
      <c r="BK1764">
        <v>0.34</v>
      </c>
      <c r="BL1764">
        <v>7.3</v>
      </c>
      <c r="BM1764">
        <v>0.9</v>
      </c>
      <c r="BN1764">
        <v>7.5</v>
      </c>
      <c r="BO1764">
        <v>2.9</v>
      </c>
      <c r="BP1764">
        <f t="shared" si="54"/>
        <v>1.9929223933355196</v>
      </c>
      <c r="BQ1764">
        <f t="shared" si="55"/>
        <v>9.9606828864529664</v>
      </c>
    </row>
    <row r="1765" spans="1:69" hidden="1" x14ac:dyDescent="0.2">
      <c r="A1765" t="s">
        <v>3353</v>
      </c>
      <c r="B1765" t="s">
        <v>68</v>
      </c>
      <c r="C1765" t="s">
        <v>3294</v>
      </c>
      <c r="D1765" t="s">
        <v>70</v>
      </c>
      <c r="E1765" t="s">
        <v>102</v>
      </c>
      <c r="F1765">
        <v>6</v>
      </c>
      <c r="G1765">
        <v>59</v>
      </c>
      <c r="H1765">
        <v>1</v>
      </c>
      <c r="I1765">
        <v>2</v>
      </c>
      <c r="J1765">
        <v>1</v>
      </c>
      <c r="K1765" t="s">
        <v>110</v>
      </c>
      <c r="L1765" t="s">
        <v>124</v>
      </c>
      <c r="M1765" s="4">
        <v>530000000</v>
      </c>
      <c r="N1765">
        <v>0</v>
      </c>
      <c r="O1765">
        <v>4.7030699</v>
      </c>
      <c r="P1765">
        <v>-74.043489300000005</v>
      </c>
      <c r="Q1765" t="s">
        <v>3354</v>
      </c>
      <c r="R1765">
        <v>8983050.8469999991</v>
      </c>
      <c r="S1765">
        <v>0</v>
      </c>
      <c r="T1765" t="s">
        <v>104</v>
      </c>
      <c r="U1765" t="s">
        <v>105</v>
      </c>
      <c r="V1765" t="s">
        <v>77</v>
      </c>
      <c r="W1765" t="s">
        <v>104</v>
      </c>
      <c r="X1765" t="s">
        <v>106</v>
      </c>
      <c r="Y1765">
        <v>1.66139616873459</v>
      </c>
      <c r="Z1765">
        <v>1661.39616873459</v>
      </c>
      <c r="AA1765">
        <v>4.71035</v>
      </c>
      <c r="AB1765">
        <v>-74.030416666666696</v>
      </c>
      <c r="AC1765">
        <v>2570</v>
      </c>
      <c r="AD1765">
        <v>10</v>
      </c>
      <c r="AE1765" t="s">
        <v>80</v>
      </c>
      <c r="AF1765" t="s">
        <v>107</v>
      </c>
      <c r="AG1765" t="s">
        <v>82</v>
      </c>
      <c r="AH1765" t="s">
        <v>83</v>
      </c>
      <c r="AI1765" t="s">
        <v>108</v>
      </c>
      <c r="AJ1765">
        <v>1.20293302629863</v>
      </c>
      <c r="AK1765">
        <v>1.98894183409812</v>
      </c>
      <c r="AL1765">
        <v>1.2373919431556299</v>
      </c>
      <c r="AM1765">
        <v>4.0090907953289803E-2</v>
      </c>
      <c r="AN1765">
        <v>4.6393654158970996</v>
      </c>
      <c r="AO1765">
        <v>0.244581916173295</v>
      </c>
      <c r="AP1765">
        <v>0.244581916173295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139</v>
      </c>
      <c r="AW1765">
        <v>0</v>
      </c>
      <c r="AX1765">
        <v>0</v>
      </c>
      <c r="AY1765">
        <v>15.5</v>
      </c>
      <c r="AZ1765">
        <v>2.4</v>
      </c>
      <c r="BA1765">
        <v>10.9</v>
      </c>
      <c r="BB1765">
        <v>564</v>
      </c>
      <c r="BC1765">
        <v>68</v>
      </c>
      <c r="BD1765">
        <v>1.5</v>
      </c>
      <c r="BE1765">
        <v>135</v>
      </c>
      <c r="BF1765">
        <v>0</v>
      </c>
      <c r="BG1765">
        <v>162</v>
      </c>
      <c r="BH1765">
        <v>9.1</v>
      </c>
      <c r="BI1765">
        <v>9.1999999999999993</v>
      </c>
      <c r="BJ1765">
        <v>18.3</v>
      </c>
      <c r="BK1765">
        <v>0.34</v>
      </c>
      <c r="BL1765">
        <v>7.3</v>
      </c>
      <c r="BM1765">
        <v>0.9</v>
      </c>
      <c r="BN1765">
        <v>7.5</v>
      </c>
      <c r="BO1765">
        <v>2.9</v>
      </c>
      <c r="BP1765">
        <f t="shared" si="54"/>
        <v>2.2105240784829014</v>
      </c>
      <c r="BQ1765">
        <f t="shared" si="55"/>
        <v>10.473929670763392</v>
      </c>
    </row>
    <row r="1766" spans="1:69" hidden="1" x14ac:dyDescent="0.2">
      <c r="A1766" t="s">
        <v>3656</v>
      </c>
      <c r="B1766" t="s">
        <v>68</v>
      </c>
      <c r="C1766" t="s">
        <v>3294</v>
      </c>
      <c r="D1766" t="s">
        <v>70</v>
      </c>
      <c r="E1766" t="s">
        <v>229</v>
      </c>
      <c r="F1766">
        <v>6</v>
      </c>
      <c r="G1766">
        <v>58.78</v>
      </c>
      <c r="H1766">
        <v>1</v>
      </c>
      <c r="I1766">
        <v>2</v>
      </c>
      <c r="J1766">
        <v>1</v>
      </c>
      <c r="K1766" t="s">
        <v>110</v>
      </c>
      <c r="L1766" t="s">
        <v>111</v>
      </c>
      <c r="M1766" s="4">
        <v>827101854</v>
      </c>
      <c r="N1766">
        <v>0</v>
      </c>
      <c r="O1766">
        <v>4.6844400000000004</v>
      </c>
      <c r="P1766">
        <v>-74.054159999999996</v>
      </c>
      <c r="Q1766" t="s">
        <v>3657</v>
      </c>
      <c r="R1766">
        <v>14071144.16</v>
      </c>
      <c r="S1766">
        <v>0</v>
      </c>
      <c r="T1766" t="s">
        <v>104</v>
      </c>
      <c r="U1766" t="s">
        <v>105</v>
      </c>
      <c r="V1766" t="s">
        <v>77</v>
      </c>
      <c r="W1766" t="s">
        <v>104</v>
      </c>
      <c r="X1766" t="s">
        <v>106</v>
      </c>
      <c r="Y1766">
        <v>3.90617731145369</v>
      </c>
      <c r="Z1766">
        <v>3906.17731145369</v>
      </c>
      <c r="AA1766">
        <v>4.71035</v>
      </c>
      <c r="AB1766">
        <v>-74.030416666666696</v>
      </c>
      <c r="AC1766">
        <v>2570</v>
      </c>
      <c r="AD1766">
        <v>10</v>
      </c>
      <c r="AE1766" t="s">
        <v>80</v>
      </c>
      <c r="AF1766" t="s">
        <v>107</v>
      </c>
      <c r="AG1766" t="s">
        <v>82</v>
      </c>
      <c r="AH1766" t="s">
        <v>83</v>
      </c>
      <c r="AI1766" t="s">
        <v>130</v>
      </c>
      <c r="AJ1766">
        <v>0.39759296503921499</v>
      </c>
      <c r="AK1766">
        <v>1.9930279803633999</v>
      </c>
      <c r="AL1766">
        <v>0.20909573825494099</v>
      </c>
      <c r="AM1766">
        <v>0.115576375562105</v>
      </c>
      <c r="AN1766">
        <v>3.28851391371545</v>
      </c>
      <c r="AO1766">
        <v>0.45794393133286898</v>
      </c>
      <c r="AP1766">
        <v>0.45794393133286898</v>
      </c>
      <c r="AQ1766">
        <v>1</v>
      </c>
      <c r="AR1766">
        <v>2</v>
      </c>
      <c r="AS1766">
        <v>0</v>
      </c>
      <c r="AT1766">
        <v>0</v>
      </c>
      <c r="AU1766">
        <v>4</v>
      </c>
      <c r="AV1766">
        <v>263</v>
      </c>
      <c r="AW1766">
        <v>0</v>
      </c>
      <c r="AX1766">
        <v>0</v>
      </c>
      <c r="AY1766">
        <v>15.5</v>
      </c>
      <c r="AZ1766">
        <v>2.4</v>
      </c>
      <c r="BA1766">
        <v>10.9</v>
      </c>
      <c r="BB1766">
        <v>564</v>
      </c>
      <c r="BC1766">
        <v>68</v>
      </c>
      <c r="BD1766">
        <v>1.5</v>
      </c>
      <c r="BE1766">
        <v>135</v>
      </c>
      <c r="BF1766">
        <v>0</v>
      </c>
      <c r="BG1766">
        <v>162</v>
      </c>
      <c r="BH1766">
        <v>9.1</v>
      </c>
      <c r="BI1766">
        <v>9.1999999999999993</v>
      </c>
      <c r="BJ1766">
        <v>18.3</v>
      </c>
      <c r="BK1766">
        <v>0.34</v>
      </c>
      <c r="BL1766">
        <v>7.3</v>
      </c>
      <c r="BM1766">
        <v>0.9</v>
      </c>
      <c r="BN1766">
        <v>7.5</v>
      </c>
      <c r="BO1766">
        <v>2.9</v>
      </c>
      <c r="BP1766">
        <f t="shared" si="54"/>
        <v>1.9780528671801361</v>
      </c>
      <c r="BQ1766">
        <f t="shared" si="55"/>
        <v>9.9245802527067415</v>
      </c>
    </row>
    <row r="1767" spans="1:69" hidden="1" x14ac:dyDescent="0.2">
      <c r="A1767" t="s">
        <v>3944</v>
      </c>
      <c r="B1767" t="s">
        <v>68</v>
      </c>
      <c r="C1767" t="s">
        <v>3294</v>
      </c>
      <c r="D1767" t="s">
        <v>70</v>
      </c>
      <c r="E1767" t="s">
        <v>205</v>
      </c>
      <c r="F1767">
        <v>4</v>
      </c>
      <c r="G1767">
        <v>58.6</v>
      </c>
      <c r="H1767">
        <v>1</v>
      </c>
      <c r="I1767">
        <v>2</v>
      </c>
      <c r="J1767">
        <v>1</v>
      </c>
      <c r="K1767" t="s">
        <v>110</v>
      </c>
      <c r="L1767" t="s">
        <v>111</v>
      </c>
      <c r="M1767" s="4">
        <v>499000000</v>
      </c>
      <c r="N1767">
        <v>0</v>
      </c>
      <c r="O1767">
        <v>4.7190899999999996</v>
      </c>
      <c r="P1767">
        <v>-74.037930000000003</v>
      </c>
      <c r="Q1767" t="s">
        <v>3945</v>
      </c>
      <c r="R1767">
        <v>8515358.3619999997</v>
      </c>
      <c r="S1767">
        <v>0</v>
      </c>
      <c r="T1767" t="s">
        <v>104</v>
      </c>
      <c r="U1767" t="s">
        <v>105</v>
      </c>
      <c r="V1767" t="s">
        <v>77</v>
      </c>
      <c r="W1767" t="s">
        <v>104</v>
      </c>
      <c r="X1767" t="s">
        <v>106</v>
      </c>
      <c r="Y1767">
        <v>1.28117274244429</v>
      </c>
      <c r="Z1767">
        <v>1281.17274244429</v>
      </c>
      <c r="AA1767">
        <v>4.71035</v>
      </c>
      <c r="AB1767">
        <v>-74.030416666666696</v>
      </c>
      <c r="AC1767">
        <v>2570</v>
      </c>
      <c r="AD1767">
        <v>10</v>
      </c>
      <c r="AE1767" t="s">
        <v>80</v>
      </c>
      <c r="AF1767" t="s">
        <v>107</v>
      </c>
      <c r="AG1767" t="s">
        <v>82</v>
      </c>
      <c r="AH1767" t="s">
        <v>83</v>
      </c>
      <c r="AI1767" t="s">
        <v>108</v>
      </c>
      <c r="AJ1767">
        <v>1.51734727359189</v>
      </c>
      <c r="AK1767">
        <v>1.59438704474847</v>
      </c>
      <c r="AL1767">
        <v>1.0850836816202001</v>
      </c>
      <c r="AM1767">
        <v>5.3425375415082299E-2</v>
      </c>
      <c r="AN1767">
        <v>2.7740289372943399</v>
      </c>
      <c r="AO1767">
        <v>8.9125596770770699E-2</v>
      </c>
      <c r="AP1767">
        <v>8.9125596770770699E-2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61</v>
      </c>
      <c r="AW1767">
        <v>0</v>
      </c>
      <c r="AX1767">
        <v>0</v>
      </c>
      <c r="AY1767">
        <v>15.5</v>
      </c>
      <c r="AZ1767">
        <v>2.4</v>
      </c>
      <c r="BA1767">
        <v>10.9</v>
      </c>
      <c r="BB1767">
        <v>564</v>
      </c>
      <c r="BC1767">
        <v>68</v>
      </c>
      <c r="BD1767">
        <v>1.5</v>
      </c>
      <c r="BE1767">
        <v>135</v>
      </c>
      <c r="BF1767">
        <v>0</v>
      </c>
      <c r="BG1767">
        <v>162</v>
      </c>
      <c r="BH1767">
        <v>9.1</v>
      </c>
      <c r="BI1767">
        <v>9.1999999999999993</v>
      </c>
      <c r="BJ1767">
        <v>18.3</v>
      </c>
      <c r="BK1767">
        <v>0.34</v>
      </c>
      <c r="BL1767">
        <v>7.3</v>
      </c>
      <c r="BM1767">
        <v>0.9</v>
      </c>
      <c r="BN1767">
        <v>7.5</v>
      </c>
      <c r="BO1767">
        <v>2.9</v>
      </c>
      <c r="BP1767">
        <f t="shared" si="54"/>
        <v>2.2525224712830854</v>
      </c>
      <c r="BQ1767">
        <f t="shared" si="55"/>
        <v>10.569945496297956</v>
      </c>
    </row>
    <row r="1768" spans="1:69" hidden="1" x14ac:dyDescent="0.2">
      <c r="A1768" t="s">
        <v>3868</v>
      </c>
      <c r="B1768" t="s">
        <v>68</v>
      </c>
      <c r="C1768" t="s">
        <v>3294</v>
      </c>
      <c r="D1768" t="s">
        <v>70</v>
      </c>
      <c r="E1768" t="s">
        <v>132</v>
      </c>
      <c r="F1768">
        <v>6</v>
      </c>
      <c r="G1768">
        <v>58.1</v>
      </c>
      <c r="H1768">
        <v>1</v>
      </c>
      <c r="I1768">
        <v>2</v>
      </c>
      <c r="J1768">
        <v>1</v>
      </c>
      <c r="K1768" t="s">
        <v>110</v>
      </c>
      <c r="L1768" t="s">
        <v>111</v>
      </c>
      <c r="M1768" s="4">
        <v>824333093</v>
      </c>
      <c r="N1768">
        <v>0</v>
      </c>
      <c r="O1768">
        <v>4.6845999999999997</v>
      </c>
      <c r="P1768">
        <v>-74.054019999999994</v>
      </c>
      <c r="Q1768" t="s">
        <v>3869</v>
      </c>
      <c r="R1768">
        <v>14188177.16</v>
      </c>
      <c r="S1768">
        <v>0</v>
      </c>
      <c r="T1768" t="s">
        <v>104</v>
      </c>
      <c r="U1768" t="s">
        <v>105</v>
      </c>
      <c r="V1768" t="s">
        <v>77</v>
      </c>
      <c r="W1768" t="s">
        <v>104</v>
      </c>
      <c r="X1768" t="s">
        <v>106</v>
      </c>
      <c r="Y1768">
        <v>3.88255096081466</v>
      </c>
      <c r="Z1768">
        <v>3882.5509608146599</v>
      </c>
      <c r="AA1768">
        <v>4.71035</v>
      </c>
      <c r="AB1768">
        <v>-74.030416666666696</v>
      </c>
      <c r="AC1768">
        <v>2570</v>
      </c>
      <c r="AD1768">
        <v>10</v>
      </c>
      <c r="AE1768" t="s">
        <v>80</v>
      </c>
      <c r="AF1768" t="s">
        <v>107</v>
      </c>
      <c r="AG1768" t="s">
        <v>82</v>
      </c>
      <c r="AH1768" t="s">
        <v>83</v>
      </c>
      <c r="AI1768" t="s">
        <v>130</v>
      </c>
      <c r="AJ1768">
        <v>0.415667521863894</v>
      </c>
      <c r="AK1768">
        <v>1.99038536765679</v>
      </c>
      <c r="AL1768">
        <v>0.18564880160038899</v>
      </c>
      <c r="AM1768">
        <v>0.111909818523976</v>
      </c>
      <c r="AN1768">
        <v>3.3093465283707202</v>
      </c>
      <c r="AO1768">
        <v>0.47686228605832598</v>
      </c>
      <c r="AP1768">
        <v>0.47686228605832598</v>
      </c>
      <c r="AQ1768">
        <v>1</v>
      </c>
      <c r="AR1768">
        <v>2</v>
      </c>
      <c r="AS1768">
        <v>0</v>
      </c>
      <c r="AT1768">
        <v>0</v>
      </c>
      <c r="AU1768">
        <v>4</v>
      </c>
      <c r="AV1768">
        <v>264</v>
      </c>
      <c r="AW1768">
        <v>0</v>
      </c>
      <c r="AX1768">
        <v>0</v>
      </c>
      <c r="AY1768">
        <v>15.5</v>
      </c>
      <c r="AZ1768">
        <v>2.4</v>
      </c>
      <c r="BA1768">
        <v>10.9</v>
      </c>
      <c r="BB1768">
        <v>564</v>
      </c>
      <c r="BC1768">
        <v>68</v>
      </c>
      <c r="BD1768">
        <v>1.5</v>
      </c>
      <c r="BE1768">
        <v>135</v>
      </c>
      <c r="BF1768">
        <v>0</v>
      </c>
      <c r="BG1768">
        <v>162</v>
      </c>
      <c r="BH1768">
        <v>9.1</v>
      </c>
      <c r="BI1768">
        <v>9.1999999999999993</v>
      </c>
      <c r="BJ1768">
        <v>18.3</v>
      </c>
      <c r="BK1768">
        <v>0.34</v>
      </c>
      <c r="BL1768">
        <v>7.3</v>
      </c>
      <c r="BM1768">
        <v>0.9</v>
      </c>
      <c r="BN1768">
        <v>7.5</v>
      </c>
      <c r="BO1768">
        <v>2.9</v>
      </c>
      <c r="BP1768">
        <f t="shared" si="54"/>
        <v>1.9803675618848973</v>
      </c>
      <c r="BQ1768">
        <f t="shared" si="55"/>
        <v>9.9302094072243516</v>
      </c>
    </row>
    <row r="1769" spans="1:69" hidden="1" x14ac:dyDescent="0.2">
      <c r="A1769" t="s">
        <v>3538</v>
      </c>
      <c r="B1769" t="s">
        <v>68</v>
      </c>
      <c r="C1769" t="s">
        <v>3294</v>
      </c>
      <c r="D1769" t="s">
        <v>70</v>
      </c>
      <c r="E1769" t="s">
        <v>132</v>
      </c>
      <c r="F1769">
        <v>6</v>
      </c>
      <c r="G1769">
        <v>58.01</v>
      </c>
      <c r="H1769">
        <v>1</v>
      </c>
      <c r="I1769">
        <v>2</v>
      </c>
      <c r="J1769">
        <v>1</v>
      </c>
      <c r="K1769" t="s">
        <v>110</v>
      </c>
      <c r="L1769" t="s">
        <v>111</v>
      </c>
      <c r="M1769" s="4">
        <v>827101854</v>
      </c>
      <c r="N1769">
        <v>0</v>
      </c>
      <c r="O1769">
        <v>4.6846399999999999</v>
      </c>
      <c r="P1769">
        <v>-74.054289999999995</v>
      </c>
      <c r="Q1769" t="s">
        <v>3539</v>
      </c>
      <c r="R1769">
        <v>14257918.529999999</v>
      </c>
      <c r="S1769">
        <v>0</v>
      </c>
      <c r="T1769" t="s">
        <v>104</v>
      </c>
      <c r="U1769" t="s">
        <v>105</v>
      </c>
      <c r="V1769" t="s">
        <v>77</v>
      </c>
      <c r="W1769" t="s">
        <v>104</v>
      </c>
      <c r="X1769" t="s">
        <v>106</v>
      </c>
      <c r="Y1769">
        <v>3.8995484543052199</v>
      </c>
      <c r="Z1769">
        <v>3899.5484543052198</v>
      </c>
      <c r="AA1769">
        <v>4.71035</v>
      </c>
      <c r="AB1769">
        <v>-74.030416666666696</v>
      </c>
      <c r="AC1769">
        <v>2570</v>
      </c>
      <c r="AD1769">
        <v>10</v>
      </c>
      <c r="AE1769" t="s">
        <v>80</v>
      </c>
      <c r="AF1769" t="s">
        <v>107</v>
      </c>
      <c r="AG1769" t="s">
        <v>82</v>
      </c>
      <c r="AH1769" t="s">
        <v>83</v>
      </c>
      <c r="AI1769" t="s">
        <v>130</v>
      </c>
      <c r="AJ1769">
        <v>0.38706304438813999</v>
      </c>
      <c r="AK1769">
        <v>2.0174504722659199</v>
      </c>
      <c r="AL1769">
        <v>0.20565440530319301</v>
      </c>
      <c r="AM1769">
        <v>8.9192608910603904E-2</v>
      </c>
      <c r="AN1769">
        <v>3.28304517800037</v>
      </c>
      <c r="AO1769">
        <v>0.44883987910914802</v>
      </c>
      <c r="AP1769">
        <v>0.44883987910914802</v>
      </c>
      <c r="AQ1769">
        <v>1</v>
      </c>
      <c r="AR1769">
        <v>3</v>
      </c>
      <c r="AS1769">
        <v>0</v>
      </c>
      <c r="AT1769">
        <v>0</v>
      </c>
      <c r="AU1769">
        <v>4</v>
      </c>
      <c r="AV1769">
        <v>262</v>
      </c>
      <c r="AW1769">
        <v>0</v>
      </c>
      <c r="AX1769">
        <v>0</v>
      </c>
      <c r="AY1769">
        <v>15.5</v>
      </c>
      <c r="AZ1769">
        <v>2.4</v>
      </c>
      <c r="BA1769">
        <v>10.9</v>
      </c>
      <c r="BB1769">
        <v>564</v>
      </c>
      <c r="BC1769">
        <v>68</v>
      </c>
      <c r="BD1769">
        <v>1.5</v>
      </c>
      <c r="BE1769">
        <v>135</v>
      </c>
      <c r="BF1769">
        <v>0</v>
      </c>
      <c r="BG1769">
        <v>162</v>
      </c>
      <c r="BH1769">
        <v>9.1</v>
      </c>
      <c r="BI1769">
        <v>9.1999999999999993</v>
      </c>
      <c r="BJ1769">
        <v>18.3</v>
      </c>
      <c r="BK1769">
        <v>0.34</v>
      </c>
      <c r="BL1769">
        <v>7.3</v>
      </c>
      <c r="BM1769">
        <v>0.9</v>
      </c>
      <c r="BN1769">
        <v>7.5</v>
      </c>
      <c r="BO1769">
        <v>2.9</v>
      </c>
      <c r="BP1769">
        <f t="shared" si="54"/>
        <v>1.9787020290580337</v>
      </c>
      <c r="BQ1769">
        <f t="shared" si="55"/>
        <v>9.9261593053052692</v>
      </c>
    </row>
    <row r="1770" spans="1:69" hidden="1" x14ac:dyDescent="0.2">
      <c r="A1770" t="s">
        <v>3710</v>
      </c>
      <c r="B1770" t="s">
        <v>68</v>
      </c>
      <c r="C1770" t="s">
        <v>3294</v>
      </c>
      <c r="D1770" t="s">
        <v>70</v>
      </c>
      <c r="E1770" t="s">
        <v>229</v>
      </c>
      <c r="F1770">
        <v>6</v>
      </c>
      <c r="G1770">
        <v>58</v>
      </c>
      <c r="H1770">
        <v>1</v>
      </c>
      <c r="I1770">
        <v>2</v>
      </c>
      <c r="J1770">
        <v>1</v>
      </c>
      <c r="K1770" t="s">
        <v>110</v>
      </c>
      <c r="L1770" t="s">
        <v>111</v>
      </c>
      <c r="M1770" s="4">
        <v>800000000</v>
      </c>
      <c r="N1770">
        <v>0</v>
      </c>
      <c r="O1770">
        <v>4.6846399999999999</v>
      </c>
      <c r="P1770">
        <v>-74.054289999999995</v>
      </c>
      <c r="Q1770" t="s">
        <v>3711</v>
      </c>
      <c r="R1770">
        <v>13793103.449999999</v>
      </c>
      <c r="S1770">
        <v>0</v>
      </c>
      <c r="T1770" t="s">
        <v>104</v>
      </c>
      <c r="U1770" t="s">
        <v>105</v>
      </c>
      <c r="V1770" t="s">
        <v>77</v>
      </c>
      <c r="W1770" t="s">
        <v>104</v>
      </c>
      <c r="X1770" t="s">
        <v>106</v>
      </c>
      <c r="Y1770">
        <v>3.8995484543052199</v>
      </c>
      <c r="Z1770">
        <v>3899.5484543052198</v>
      </c>
      <c r="AA1770">
        <v>4.71035</v>
      </c>
      <c r="AB1770">
        <v>-74.030416666666696</v>
      </c>
      <c r="AC1770">
        <v>2570</v>
      </c>
      <c r="AD1770">
        <v>10</v>
      </c>
      <c r="AE1770" t="s">
        <v>80</v>
      </c>
      <c r="AF1770" t="s">
        <v>107</v>
      </c>
      <c r="AG1770" t="s">
        <v>82</v>
      </c>
      <c r="AH1770" t="s">
        <v>83</v>
      </c>
      <c r="AI1770" t="s">
        <v>130</v>
      </c>
      <c r="AJ1770">
        <v>0.38706304438813999</v>
      </c>
      <c r="AK1770">
        <v>2.0174504722659199</v>
      </c>
      <c r="AL1770">
        <v>0.20565440530319301</v>
      </c>
      <c r="AM1770">
        <v>8.9192608910603904E-2</v>
      </c>
      <c r="AN1770">
        <v>3.28304517800037</v>
      </c>
      <c r="AO1770">
        <v>0.44883987910914802</v>
      </c>
      <c r="AP1770">
        <v>0.44883987910914802</v>
      </c>
      <c r="AQ1770">
        <v>1</v>
      </c>
      <c r="AR1770">
        <v>3</v>
      </c>
      <c r="AS1770">
        <v>0</v>
      </c>
      <c r="AT1770">
        <v>0</v>
      </c>
      <c r="AU1770">
        <v>4</v>
      </c>
      <c r="AV1770">
        <v>262</v>
      </c>
      <c r="AW1770">
        <v>0</v>
      </c>
      <c r="AX1770">
        <v>0</v>
      </c>
      <c r="AY1770">
        <v>15.5</v>
      </c>
      <c r="AZ1770">
        <v>2.4</v>
      </c>
      <c r="BA1770">
        <v>10.9</v>
      </c>
      <c r="BB1770">
        <v>564</v>
      </c>
      <c r="BC1770">
        <v>68</v>
      </c>
      <c r="BD1770">
        <v>1.5</v>
      </c>
      <c r="BE1770">
        <v>135</v>
      </c>
      <c r="BF1770">
        <v>0</v>
      </c>
      <c r="BG1770">
        <v>162</v>
      </c>
      <c r="BH1770">
        <v>9.1</v>
      </c>
      <c r="BI1770">
        <v>9.1999999999999993</v>
      </c>
      <c r="BJ1770">
        <v>18.3</v>
      </c>
      <c r="BK1770">
        <v>0.34</v>
      </c>
      <c r="BL1770">
        <v>7.3</v>
      </c>
      <c r="BM1770">
        <v>0.9</v>
      </c>
      <c r="BN1770">
        <v>7.5</v>
      </c>
      <c r="BO1770">
        <v>2.9</v>
      </c>
      <c r="BP1770">
        <f t="shared" si="54"/>
        <v>1.9787020290580337</v>
      </c>
      <c r="BQ1770">
        <f t="shared" si="55"/>
        <v>9.9261593053052692</v>
      </c>
    </row>
    <row r="1771" spans="1:69" hidden="1" x14ac:dyDescent="0.2">
      <c r="A1771" t="s">
        <v>3365</v>
      </c>
      <c r="B1771" t="s">
        <v>68</v>
      </c>
      <c r="C1771" t="s">
        <v>3294</v>
      </c>
      <c r="D1771" t="s">
        <v>70</v>
      </c>
      <c r="E1771" t="s">
        <v>132</v>
      </c>
      <c r="F1771">
        <v>6</v>
      </c>
      <c r="G1771">
        <v>58</v>
      </c>
      <c r="H1771">
        <v>1</v>
      </c>
      <c r="I1771">
        <v>2</v>
      </c>
      <c r="J1771">
        <v>1</v>
      </c>
      <c r="K1771" t="s">
        <v>110</v>
      </c>
      <c r="L1771" t="s">
        <v>111</v>
      </c>
      <c r="M1771" s="4">
        <v>900000000</v>
      </c>
      <c r="N1771">
        <v>0</v>
      </c>
      <c r="O1771">
        <v>4.6844000340000003</v>
      </c>
      <c r="P1771">
        <v>-74.054009629999996</v>
      </c>
      <c r="Q1771" t="s">
        <v>3366</v>
      </c>
      <c r="R1771">
        <v>15517241.380000001</v>
      </c>
      <c r="S1771">
        <v>0</v>
      </c>
      <c r="T1771" t="s">
        <v>104</v>
      </c>
      <c r="U1771" t="s">
        <v>105</v>
      </c>
      <c r="V1771" t="s">
        <v>77</v>
      </c>
      <c r="W1771" t="s">
        <v>104</v>
      </c>
      <c r="X1771" t="s">
        <v>106</v>
      </c>
      <c r="Y1771">
        <v>3.898242083245</v>
      </c>
      <c r="Z1771">
        <v>3898.2420832449998</v>
      </c>
      <c r="AA1771">
        <v>4.71035</v>
      </c>
      <c r="AB1771">
        <v>-74.030416666666696</v>
      </c>
      <c r="AC1771">
        <v>2570</v>
      </c>
      <c r="AD1771">
        <v>10</v>
      </c>
      <c r="AE1771" t="s">
        <v>80</v>
      </c>
      <c r="AF1771" t="s">
        <v>107</v>
      </c>
      <c r="AG1771" t="s">
        <v>82</v>
      </c>
      <c r="AH1771" t="s">
        <v>83</v>
      </c>
      <c r="AI1771" t="s">
        <v>130</v>
      </c>
      <c r="AJ1771">
        <v>0.41356152206965502</v>
      </c>
      <c r="AK1771">
        <v>1.97679369903242</v>
      </c>
      <c r="AL1771">
        <v>0.200769062839533</v>
      </c>
      <c r="AM1771">
        <v>0.12905058399987099</v>
      </c>
      <c r="AN1771">
        <v>3.3025253466526601</v>
      </c>
      <c r="AO1771">
        <v>0.47348018995317098</v>
      </c>
      <c r="AP1771">
        <v>0.47348018995317098</v>
      </c>
      <c r="AQ1771">
        <v>1</v>
      </c>
      <c r="AR1771">
        <v>2</v>
      </c>
      <c r="AS1771">
        <v>0</v>
      </c>
      <c r="AT1771">
        <v>0</v>
      </c>
      <c r="AU1771">
        <v>4</v>
      </c>
      <c r="AV1771">
        <v>261</v>
      </c>
      <c r="AW1771">
        <v>0</v>
      </c>
      <c r="AX1771">
        <v>0</v>
      </c>
      <c r="AY1771">
        <v>15.5</v>
      </c>
      <c r="AZ1771">
        <v>2.4</v>
      </c>
      <c r="BA1771">
        <v>10.9</v>
      </c>
      <c r="BB1771">
        <v>564</v>
      </c>
      <c r="BC1771">
        <v>68</v>
      </c>
      <c r="BD1771">
        <v>1.5</v>
      </c>
      <c r="BE1771">
        <v>135</v>
      </c>
      <c r="BF1771">
        <v>0</v>
      </c>
      <c r="BG1771">
        <v>162</v>
      </c>
      <c r="BH1771">
        <v>9.1</v>
      </c>
      <c r="BI1771">
        <v>9.1999999999999993</v>
      </c>
      <c r="BJ1771">
        <v>18.3</v>
      </c>
      <c r="BK1771">
        <v>0.34</v>
      </c>
      <c r="BL1771">
        <v>7.3</v>
      </c>
      <c r="BM1771">
        <v>0.9</v>
      </c>
      <c r="BN1771">
        <v>7.5</v>
      </c>
      <c r="BO1771">
        <v>2.9</v>
      </c>
      <c r="BP1771">
        <f t="shared" si="54"/>
        <v>1.9788299866890471</v>
      </c>
      <c r="BQ1771">
        <f t="shared" si="55"/>
        <v>9.9264705241181854</v>
      </c>
    </row>
    <row r="1772" spans="1:69" hidden="1" x14ac:dyDescent="0.2">
      <c r="A1772" t="s">
        <v>4499</v>
      </c>
      <c r="B1772" t="s">
        <v>68</v>
      </c>
      <c r="C1772" t="s">
        <v>3294</v>
      </c>
      <c r="D1772" t="s">
        <v>70</v>
      </c>
      <c r="E1772" t="s">
        <v>229</v>
      </c>
      <c r="F1772">
        <v>6</v>
      </c>
      <c r="G1772">
        <v>58</v>
      </c>
      <c r="H1772">
        <v>1</v>
      </c>
      <c r="I1772">
        <v>2</v>
      </c>
      <c r="J1772">
        <v>0</v>
      </c>
      <c r="K1772" t="s">
        <v>110</v>
      </c>
      <c r="L1772" t="s">
        <v>111</v>
      </c>
      <c r="M1772" s="4">
        <v>750000000</v>
      </c>
      <c r="N1772">
        <v>0</v>
      </c>
      <c r="O1772">
        <v>4.6816199999999997</v>
      </c>
      <c r="P1772">
        <v>-74.047139999999999</v>
      </c>
      <c r="Q1772" t="s">
        <v>4500</v>
      </c>
      <c r="R1772">
        <v>12931034.48</v>
      </c>
      <c r="S1772">
        <v>0</v>
      </c>
      <c r="T1772" t="s">
        <v>104</v>
      </c>
      <c r="U1772" t="s">
        <v>105</v>
      </c>
      <c r="V1772" t="s">
        <v>77</v>
      </c>
      <c r="W1772" t="s">
        <v>104</v>
      </c>
      <c r="X1772" t="s">
        <v>106</v>
      </c>
      <c r="Y1772">
        <v>3.6974300751556402</v>
      </c>
      <c r="Z1772">
        <v>3697.4300751556402</v>
      </c>
      <c r="AA1772">
        <v>4.71035</v>
      </c>
      <c r="AB1772">
        <v>-74.030416666666696</v>
      </c>
      <c r="AC1772">
        <v>2570</v>
      </c>
      <c r="AD1772">
        <v>10</v>
      </c>
      <c r="AE1772" t="s">
        <v>80</v>
      </c>
      <c r="AF1772" t="s">
        <v>107</v>
      </c>
      <c r="AG1772" t="s">
        <v>82</v>
      </c>
      <c r="AH1772" t="s">
        <v>83</v>
      </c>
      <c r="AI1772" t="s">
        <v>130</v>
      </c>
      <c r="AJ1772">
        <v>1.20019307229707</v>
      </c>
      <c r="AK1772">
        <v>1.18883715800353</v>
      </c>
      <c r="AL1772">
        <v>0.65498137780241705</v>
      </c>
      <c r="AM1772">
        <v>9.2125053842393195E-2</v>
      </c>
      <c r="AN1772">
        <v>3.9455166185888699</v>
      </c>
      <c r="AO1772">
        <v>0.92328563608887004</v>
      </c>
      <c r="AP1772">
        <v>0.92328563608887004</v>
      </c>
      <c r="AQ1772">
        <v>0</v>
      </c>
      <c r="AR1772">
        <v>0</v>
      </c>
      <c r="AS1772">
        <v>0</v>
      </c>
      <c r="AT1772">
        <v>0</v>
      </c>
      <c r="AU1772">
        <v>5</v>
      </c>
      <c r="AV1772">
        <v>127</v>
      </c>
      <c r="AW1772">
        <v>0</v>
      </c>
      <c r="AX1772">
        <v>0</v>
      </c>
      <c r="AY1772">
        <v>15.5</v>
      </c>
      <c r="AZ1772">
        <v>2.4</v>
      </c>
      <c r="BA1772">
        <v>10.9</v>
      </c>
      <c r="BB1772">
        <v>564</v>
      </c>
      <c r="BC1772">
        <v>68</v>
      </c>
      <c r="BD1772">
        <v>1.5</v>
      </c>
      <c r="BE1772">
        <v>135</v>
      </c>
      <c r="BF1772">
        <v>0</v>
      </c>
      <c r="BG1772">
        <v>162</v>
      </c>
      <c r="BH1772">
        <v>9.1</v>
      </c>
      <c r="BI1772">
        <v>9.1999999999999993</v>
      </c>
      <c r="BJ1772">
        <v>18.3</v>
      </c>
      <c r="BK1772">
        <v>0.34</v>
      </c>
      <c r="BL1772">
        <v>7.3</v>
      </c>
      <c r="BM1772">
        <v>0.9</v>
      </c>
      <c r="BN1772">
        <v>7.5</v>
      </c>
      <c r="BO1772">
        <v>2.9</v>
      </c>
      <c r="BP1772">
        <f t="shared" si="54"/>
        <v>1.9985980277587974</v>
      </c>
      <c r="BQ1772">
        <f t="shared" si="55"/>
        <v>9.9744265004249044</v>
      </c>
    </row>
    <row r="1773" spans="1:69" hidden="1" x14ac:dyDescent="0.2">
      <c r="A1773" t="s">
        <v>3888</v>
      </c>
      <c r="B1773" t="s">
        <v>68</v>
      </c>
      <c r="C1773" t="s">
        <v>3294</v>
      </c>
      <c r="D1773" t="s">
        <v>70</v>
      </c>
      <c r="E1773" t="s">
        <v>190</v>
      </c>
      <c r="F1773">
        <v>6</v>
      </c>
      <c r="G1773">
        <v>58</v>
      </c>
      <c r="H1773">
        <v>1</v>
      </c>
      <c r="I1773">
        <v>2</v>
      </c>
      <c r="J1773">
        <v>2</v>
      </c>
      <c r="K1773" t="s">
        <v>110</v>
      </c>
      <c r="L1773" t="s">
        <v>111</v>
      </c>
      <c r="M1773" s="4">
        <v>630000000</v>
      </c>
      <c r="N1773">
        <v>0</v>
      </c>
      <c r="O1773">
        <v>4.6855516430000002</v>
      </c>
      <c r="P1773">
        <v>-74.046821589999993</v>
      </c>
      <c r="Q1773" t="s">
        <v>3889</v>
      </c>
      <c r="R1773">
        <v>10862068.970000001</v>
      </c>
      <c r="S1773">
        <v>0</v>
      </c>
      <c r="T1773" t="s">
        <v>104</v>
      </c>
      <c r="U1773" t="s">
        <v>105</v>
      </c>
      <c r="V1773" t="s">
        <v>77</v>
      </c>
      <c r="W1773" t="s">
        <v>104</v>
      </c>
      <c r="X1773" t="s">
        <v>106</v>
      </c>
      <c r="Y1773">
        <v>3.3065350486031599</v>
      </c>
      <c r="Z1773">
        <v>3306.5350486031598</v>
      </c>
      <c r="AA1773">
        <v>4.71035</v>
      </c>
      <c r="AB1773">
        <v>-74.030416666666696</v>
      </c>
      <c r="AC1773">
        <v>2570</v>
      </c>
      <c r="AD1773">
        <v>10</v>
      </c>
      <c r="AE1773" t="s">
        <v>80</v>
      </c>
      <c r="AF1773" t="s">
        <v>107</v>
      </c>
      <c r="AG1773" t="s">
        <v>82</v>
      </c>
      <c r="AH1773" t="s">
        <v>83</v>
      </c>
      <c r="AI1773" t="s">
        <v>108</v>
      </c>
      <c r="AJ1773">
        <v>1.22047390342675</v>
      </c>
      <c r="AK1773">
        <v>1.3963319308167601</v>
      </c>
      <c r="AL1773">
        <v>0.47692486086577601</v>
      </c>
      <c r="AM1773">
        <v>0.12464680248371</v>
      </c>
      <c r="AN1773">
        <v>4.0961856200613402</v>
      </c>
      <c r="AO1773">
        <v>0.53020068907777695</v>
      </c>
      <c r="AP1773">
        <v>0.53020068907777695</v>
      </c>
      <c r="AQ1773">
        <v>0</v>
      </c>
      <c r="AR1773">
        <v>0</v>
      </c>
      <c r="AS1773">
        <v>0</v>
      </c>
      <c r="AT1773">
        <v>0</v>
      </c>
      <c r="AU1773">
        <v>6</v>
      </c>
      <c r="AV1773">
        <v>133</v>
      </c>
      <c r="AW1773">
        <v>0</v>
      </c>
      <c r="AX1773">
        <v>0</v>
      </c>
      <c r="AY1773">
        <v>15.5</v>
      </c>
      <c r="AZ1773">
        <v>2.4</v>
      </c>
      <c r="BA1773">
        <v>10.9</v>
      </c>
      <c r="BB1773">
        <v>564</v>
      </c>
      <c r="BC1773">
        <v>68</v>
      </c>
      <c r="BD1773">
        <v>1.5</v>
      </c>
      <c r="BE1773">
        <v>135</v>
      </c>
      <c r="BF1773">
        <v>0</v>
      </c>
      <c r="BG1773">
        <v>162</v>
      </c>
      <c r="BH1773">
        <v>9.1</v>
      </c>
      <c r="BI1773">
        <v>9.1999999999999993</v>
      </c>
      <c r="BJ1773">
        <v>18.3</v>
      </c>
      <c r="BK1773">
        <v>0.34</v>
      </c>
      <c r="BL1773">
        <v>7.3</v>
      </c>
      <c r="BM1773">
        <v>0.9</v>
      </c>
      <c r="BN1773">
        <v>7.5</v>
      </c>
      <c r="BO1773">
        <v>2.9</v>
      </c>
      <c r="BP1773">
        <f t="shared" si="54"/>
        <v>2.0376460661025519</v>
      </c>
      <c r="BQ1773">
        <f t="shared" si="55"/>
        <v>10.06844170085844</v>
      </c>
    </row>
    <row r="1774" spans="1:69" hidden="1" x14ac:dyDescent="0.2">
      <c r="A1774" t="s">
        <v>3716</v>
      </c>
      <c r="B1774" t="s">
        <v>68</v>
      </c>
      <c r="C1774" t="s">
        <v>3294</v>
      </c>
      <c r="D1774" t="s">
        <v>70</v>
      </c>
      <c r="E1774" t="s">
        <v>102</v>
      </c>
      <c r="F1774">
        <v>6</v>
      </c>
      <c r="G1774">
        <v>57.95</v>
      </c>
      <c r="H1774">
        <v>1</v>
      </c>
      <c r="I1774">
        <v>2</v>
      </c>
      <c r="J1774">
        <v>1</v>
      </c>
      <c r="K1774" t="s">
        <v>110</v>
      </c>
      <c r="L1774" t="s">
        <v>111</v>
      </c>
      <c r="M1774" s="4">
        <v>672000000</v>
      </c>
      <c r="N1774">
        <v>0</v>
      </c>
      <c r="O1774">
        <v>4.7001799999999996</v>
      </c>
      <c r="P1774">
        <v>-74.046980000000005</v>
      </c>
      <c r="Q1774" t="s">
        <v>3717</v>
      </c>
      <c r="R1774">
        <v>11596203.619999999</v>
      </c>
      <c r="S1774">
        <v>0</v>
      </c>
      <c r="T1774" t="s">
        <v>104</v>
      </c>
      <c r="U1774" t="s">
        <v>105</v>
      </c>
      <c r="V1774" t="s">
        <v>77</v>
      </c>
      <c r="W1774" t="s">
        <v>104</v>
      </c>
      <c r="X1774" t="s">
        <v>106</v>
      </c>
      <c r="Y1774">
        <v>2.15835507986688</v>
      </c>
      <c r="Z1774">
        <v>2158.3550798668798</v>
      </c>
      <c r="AA1774">
        <v>4.71035</v>
      </c>
      <c r="AB1774">
        <v>-74.030416666666696</v>
      </c>
      <c r="AC1774">
        <v>2570</v>
      </c>
      <c r="AD1774">
        <v>10</v>
      </c>
      <c r="AE1774" t="s">
        <v>80</v>
      </c>
      <c r="AF1774" t="s">
        <v>107</v>
      </c>
      <c r="AG1774" t="s">
        <v>82</v>
      </c>
      <c r="AH1774" t="s">
        <v>83</v>
      </c>
      <c r="AI1774" t="s">
        <v>108</v>
      </c>
      <c r="AJ1774">
        <v>0.94245533860353203</v>
      </c>
      <c r="AK1774">
        <v>2.3438666426082202</v>
      </c>
      <c r="AL1774">
        <v>0.82492945529386197</v>
      </c>
      <c r="AM1774">
        <v>8.2565042794526297E-2</v>
      </c>
      <c r="AN1774">
        <v>4.8425606954523097</v>
      </c>
      <c r="AO1774">
        <v>0.13438200619400001</v>
      </c>
      <c r="AP1774">
        <v>0.13438200619400001</v>
      </c>
      <c r="AQ1774">
        <v>0</v>
      </c>
      <c r="AR1774">
        <v>2</v>
      </c>
      <c r="AS1774">
        <v>0</v>
      </c>
      <c r="AT1774">
        <v>0</v>
      </c>
      <c r="AU1774">
        <v>1</v>
      </c>
      <c r="AV1774">
        <v>193</v>
      </c>
      <c r="AW1774">
        <v>0</v>
      </c>
      <c r="AX1774">
        <v>0</v>
      </c>
      <c r="AY1774">
        <v>15.5</v>
      </c>
      <c r="AZ1774">
        <v>2.4</v>
      </c>
      <c r="BA1774">
        <v>10.9</v>
      </c>
      <c r="BB1774">
        <v>564</v>
      </c>
      <c r="BC1774">
        <v>68</v>
      </c>
      <c r="BD1774">
        <v>1.5</v>
      </c>
      <c r="BE1774">
        <v>135</v>
      </c>
      <c r="BF1774">
        <v>0</v>
      </c>
      <c r="BG1774">
        <v>162</v>
      </c>
      <c r="BH1774">
        <v>9.1</v>
      </c>
      <c r="BI1774">
        <v>9.1999999999999993</v>
      </c>
      <c r="BJ1774">
        <v>18.3</v>
      </c>
      <c r="BK1774">
        <v>0.34</v>
      </c>
      <c r="BL1774">
        <v>7.3</v>
      </c>
      <c r="BM1774">
        <v>0.9</v>
      </c>
      <c r="BN1774">
        <v>7.5</v>
      </c>
      <c r="BO1774">
        <v>2.9</v>
      </c>
      <c r="BP1774">
        <f t="shared" si="54"/>
        <v>2.1568097469563163</v>
      </c>
      <c r="BQ1774">
        <f t="shared" si="55"/>
        <v>10.349748990775367</v>
      </c>
    </row>
    <row r="1775" spans="1:69" hidden="1" x14ac:dyDescent="0.2">
      <c r="A1775" t="s">
        <v>4338</v>
      </c>
      <c r="B1775" t="s">
        <v>68</v>
      </c>
      <c r="C1775" t="s">
        <v>3294</v>
      </c>
      <c r="D1775" t="s">
        <v>70</v>
      </c>
      <c r="E1775" t="s">
        <v>283</v>
      </c>
      <c r="F1775">
        <v>4</v>
      </c>
      <c r="G1775">
        <v>57.71</v>
      </c>
      <c r="H1775">
        <v>1</v>
      </c>
      <c r="I1775">
        <v>2</v>
      </c>
      <c r="J1775">
        <v>1</v>
      </c>
      <c r="K1775" t="s">
        <v>110</v>
      </c>
      <c r="L1775" t="s">
        <v>133</v>
      </c>
      <c r="M1775" s="4">
        <v>360000000</v>
      </c>
      <c r="N1775">
        <v>0</v>
      </c>
      <c r="O1775">
        <v>4.7258559309999999</v>
      </c>
      <c r="P1775">
        <v>-74.03420448</v>
      </c>
      <c r="Q1775" t="s">
        <v>4339</v>
      </c>
      <c r="R1775">
        <v>6238086.9869999997</v>
      </c>
      <c r="S1775">
        <v>0</v>
      </c>
      <c r="T1775" t="s">
        <v>104</v>
      </c>
      <c r="U1775" t="s">
        <v>105</v>
      </c>
      <c r="V1775" t="s">
        <v>77</v>
      </c>
      <c r="W1775" t="s">
        <v>104</v>
      </c>
      <c r="X1775" t="s">
        <v>106</v>
      </c>
      <c r="Y1775">
        <v>1.7765291815497499</v>
      </c>
      <c r="Z1775">
        <v>1776.5291815497501</v>
      </c>
      <c r="AA1775">
        <v>4.71035</v>
      </c>
      <c r="AB1775">
        <v>-74.030416666666696</v>
      </c>
      <c r="AC1775">
        <v>2570</v>
      </c>
      <c r="AD1775">
        <v>10</v>
      </c>
      <c r="AE1775" t="s">
        <v>80</v>
      </c>
      <c r="AF1775" t="s">
        <v>107</v>
      </c>
      <c r="AG1775" t="s">
        <v>82</v>
      </c>
      <c r="AH1775" t="s">
        <v>83</v>
      </c>
      <c r="AI1775" t="s">
        <v>108</v>
      </c>
      <c r="AJ1775">
        <v>1.8104404314657601</v>
      </c>
      <c r="AK1775">
        <v>1.35872679542601</v>
      </c>
      <c r="AL1775">
        <v>1.0060860746575899</v>
      </c>
      <c r="AM1775">
        <v>0.183565978433581</v>
      </c>
      <c r="AN1775">
        <v>1.9208286611784999</v>
      </c>
      <c r="AO1775">
        <v>8.9655088915390202E-2</v>
      </c>
      <c r="AP1775">
        <v>8.9655088915390202E-2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10</v>
      </c>
      <c r="AW1775">
        <v>0</v>
      </c>
      <c r="AX1775">
        <v>0</v>
      </c>
      <c r="AY1775">
        <v>15.5</v>
      </c>
      <c r="AZ1775">
        <v>2.4</v>
      </c>
      <c r="BA1775">
        <v>10.9</v>
      </c>
      <c r="BB1775">
        <v>564</v>
      </c>
      <c r="BC1775">
        <v>68</v>
      </c>
      <c r="BD1775">
        <v>1.5</v>
      </c>
      <c r="BE1775">
        <v>135</v>
      </c>
      <c r="BF1775">
        <v>0</v>
      </c>
      <c r="BG1775">
        <v>162</v>
      </c>
      <c r="BH1775">
        <v>9.1</v>
      </c>
      <c r="BI1775">
        <v>9.1999999999999993</v>
      </c>
      <c r="BJ1775">
        <v>18.3</v>
      </c>
      <c r="BK1775">
        <v>0.34</v>
      </c>
      <c r="BL1775">
        <v>7.3</v>
      </c>
      <c r="BM1775">
        <v>0.9</v>
      </c>
      <c r="BN1775">
        <v>7.5</v>
      </c>
      <c r="BO1775">
        <v>2.9</v>
      </c>
      <c r="BP1775">
        <f t="shared" si="54"/>
        <v>2.1979619461043121</v>
      </c>
      <c r="BQ1775">
        <f t="shared" si="55"/>
        <v>10.44502813750352</v>
      </c>
    </row>
    <row r="1776" spans="1:69" hidden="1" x14ac:dyDescent="0.2">
      <c r="A1776" t="s">
        <v>431</v>
      </c>
      <c r="B1776" t="s">
        <v>68</v>
      </c>
      <c r="C1776" t="s">
        <v>69</v>
      </c>
      <c r="D1776" t="s">
        <v>70</v>
      </c>
      <c r="E1776" t="s">
        <v>432</v>
      </c>
      <c r="F1776">
        <v>5</v>
      </c>
      <c r="G1776">
        <v>57.55</v>
      </c>
      <c r="H1776">
        <v>1</v>
      </c>
      <c r="I1776">
        <v>2</v>
      </c>
      <c r="J1776">
        <v>1</v>
      </c>
      <c r="K1776" t="s">
        <v>110</v>
      </c>
      <c r="L1776" t="s">
        <v>111</v>
      </c>
      <c r="M1776" s="4">
        <v>500000000</v>
      </c>
      <c r="N1776">
        <v>0</v>
      </c>
      <c r="O1776">
        <v>4.6948699950000004</v>
      </c>
      <c r="P1776">
        <v>-74.056961060000006</v>
      </c>
      <c r="Q1776" t="s">
        <v>433</v>
      </c>
      <c r="R1776">
        <v>8688097.307</v>
      </c>
      <c r="S1776">
        <v>0</v>
      </c>
      <c r="T1776" t="s">
        <v>104</v>
      </c>
      <c r="U1776" t="s">
        <v>105</v>
      </c>
      <c r="V1776" t="s">
        <v>77</v>
      </c>
      <c r="W1776" t="s">
        <v>104</v>
      </c>
      <c r="X1776" t="s">
        <v>106</v>
      </c>
      <c r="Y1776">
        <v>3.4120821554732901</v>
      </c>
      <c r="Z1776">
        <v>3412.0821554732902</v>
      </c>
      <c r="AA1776">
        <v>4.71035</v>
      </c>
      <c r="AB1776">
        <v>-74.030416666666696</v>
      </c>
      <c r="AC1776">
        <v>2570</v>
      </c>
      <c r="AD1776">
        <v>10</v>
      </c>
      <c r="AE1776" t="s">
        <v>80</v>
      </c>
      <c r="AF1776" t="s">
        <v>107</v>
      </c>
      <c r="AG1776" t="s">
        <v>82</v>
      </c>
      <c r="AH1776" t="s">
        <v>83</v>
      </c>
      <c r="AI1776" t="s">
        <v>121</v>
      </c>
      <c r="AJ1776">
        <v>0.22574089525166099</v>
      </c>
      <c r="AK1776">
        <v>2.9154925192772199</v>
      </c>
      <c r="AL1776">
        <v>0.80742036155716301</v>
      </c>
      <c r="AM1776">
        <v>6.8384430877961505E-2</v>
      </c>
      <c r="AN1776">
        <v>3.6109413621720199</v>
      </c>
      <c r="AO1776">
        <v>7.2039601100171102E-2</v>
      </c>
      <c r="AP1776">
        <v>7.2039601100171102E-2</v>
      </c>
      <c r="AQ1776">
        <v>2</v>
      </c>
      <c r="AR1776">
        <v>2</v>
      </c>
      <c r="AS1776">
        <v>0</v>
      </c>
      <c r="AT1776">
        <v>0</v>
      </c>
      <c r="AU1776">
        <v>1</v>
      </c>
      <c r="AV1776">
        <v>151</v>
      </c>
      <c r="AW1776">
        <v>0</v>
      </c>
      <c r="AX1776">
        <v>0</v>
      </c>
      <c r="AY1776">
        <v>15.5</v>
      </c>
      <c r="AZ1776">
        <v>2.4</v>
      </c>
      <c r="BA1776">
        <v>10.9</v>
      </c>
      <c r="BB1776">
        <v>564</v>
      </c>
      <c r="BC1776">
        <v>68</v>
      </c>
      <c r="BD1776">
        <v>1.5</v>
      </c>
      <c r="BE1776">
        <v>135</v>
      </c>
      <c r="BF1776">
        <v>0</v>
      </c>
      <c r="BG1776">
        <v>162</v>
      </c>
      <c r="BH1776">
        <v>9.1</v>
      </c>
      <c r="BI1776">
        <v>9.1999999999999993</v>
      </c>
      <c r="BJ1776">
        <v>18.3</v>
      </c>
      <c r="BK1776">
        <v>0.34</v>
      </c>
      <c r="BL1776">
        <v>7.3</v>
      </c>
      <c r="BM1776">
        <v>0.9</v>
      </c>
      <c r="BN1776">
        <v>7.5</v>
      </c>
      <c r="BO1776">
        <v>2.9</v>
      </c>
      <c r="BP1776">
        <f t="shared" si="54"/>
        <v>2.027027979255398</v>
      </c>
      <c r="BQ1776">
        <f t="shared" si="55"/>
        <v>10.042969299525275</v>
      </c>
    </row>
    <row r="1777" spans="1:69" hidden="1" x14ac:dyDescent="0.2">
      <c r="A1777" t="s">
        <v>131</v>
      </c>
      <c r="B1777" t="s">
        <v>68</v>
      </c>
      <c r="C1777" t="s">
        <v>69</v>
      </c>
      <c r="D1777" t="s">
        <v>70</v>
      </c>
      <c r="E1777" t="s">
        <v>132</v>
      </c>
      <c r="F1777">
        <v>6</v>
      </c>
      <c r="G1777">
        <v>57</v>
      </c>
      <c r="H1777">
        <v>1</v>
      </c>
      <c r="I1777">
        <v>2</v>
      </c>
      <c r="J1777">
        <v>2</v>
      </c>
      <c r="K1777" t="s">
        <v>110</v>
      </c>
      <c r="L1777" t="s">
        <v>133</v>
      </c>
      <c r="M1777" s="4">
        <v>730000000</v>
      </c>
      <c r="N1777">
        <v>0</v>
      </c>
      <c r="O1777">
        <v>4.6842130629999996</v>
      </c>
      <c r="P1777">
        <v>-74.054754009999996</v>
      </c>
      <c r="Q1777" t="s">
        <v>134</v>
      </c>
      <c r="R1777">
        <v>12807017.539999999</v>
      </c>
      <c r="S1777">
        <v>0</v>
      </c>
      <c r="T1777" t="s">
        <v>104</v>
      </c>
      <c r="U1777" t="s">
        <v>105</v>
      </c>
      <c r="V1777" t="s">
        <v>77</v>
      </c>
      <c r="W1777" t="s">
        <v>104</v>
      </c>
      <c r="X1777" t="s">
        <v>106</v>
      </c>
      <c r="Y1777">
        <v>3.9694002358084899</v>
      </c>
      <c r="Z1777">
        <v>3969.4002358084899</v>
      </c>
      <c r="AA1777">
        <v>4.71035</v>
      </c>
      <c r="AB1777">
        <v>-74.030416666666696</v>
      </c>
      <c r="AC1777">
        <v>2570</v>
      </c>
      <c r="AD1777">
        <v>10</v>
      </c>
      <c r="AE1777" t="s">
        <v>80</v>
      </c>
      <c r="AF1777" t="s">
        <v>107</v>
      </c>
      <c r="AG1777" t="s">
        <v>82</v>
      </c>
      <c r="AH1777" t="s">
        <v>83</v>
      </c>
      <c r="AI1777" t="s">
        <v>130</v>
      </c>
      <c r="AJ1777">
        <v>0.32930695294947299</v>
      </c>
      <c r="AK1777">
        <v>2.0339339348312202</v>
      </c>
      <c r="AL1777">
        <v>0.27521803993845501</v>
      </c>
      <c r="AM1777">
        <v>0.12097458372891901</v>
      </c>
      <c r="AN1777">
        <v>3.2180368637522401</v>
      </c>
      <c r="AO1777">
        <v>0.388601427526586</v>
      </c>
      <c r="AP1777">
        <v>0.388601427526586</v>
      </c>
      <c r="AQ1777">
        <v>1</v>
      </c>
      <c r="AR1777">
        <v>3</v>
      </c>
      <c r="AS1777">
        <v>0</v>
      </c>
      <c r="AT1777">
        <v>0</v>
      </c>
      <c r="AU1777">
        <v>5</v>
      </c>
      <c r="AV1777">
        <v>255</v>
      </c>
      <c r="AW1777">
        <v>0</v>
      </c>
      <c r="AX1777">
        <v>0</v>
      </c>
      <c r="AY1777">
        <v>15.5</v>
      </c>
      <c r="AZ1777">
        <v>2.4</v>
      </c>
      <c r="BA1777">
        <v>10.9</v>
      </c>
      <c r="BB1777">
        <v>564</v>
      </c>
      <c r="BC1777">
        <v>68</v>
      </c>
      <c r="BD1777">
        <v>1.5</v>
      </c>
      <c r="BE1777">
        <v>135</v>
      </c>
      <c r="BF1777">
        <v>0</v>
      </c>
      <c r="BG1777">
        <v>162</v>
      </c>
      <c r="BH1777">
        <v>9.1</v>
      </c>
      <c r="BI1777">
        <v>9.1999999999999993</v>
      </c>
      <c r="BJ1777">
        <v>18.3</v>
      </c>
      <c r="BK1777">
        <v>0.34</v>
      </c>
      <c r="BL1777">
        <v>7.3</v>
      </c>
      <c r="BM1777">
        <v>0.9</v>
      </c>
      <c r="BN1777">
        <v>7.5</v>
      </c>
      <c r="BO1777">
        <v>2.9</v>
      </c>
      <c r="BP1777">
        <f t="shared" si="54"/>
        <v>1.9718721583999079</v>
      </c>
      <c r="BQ1777">
        <f t="shared" si="55"/>
        <v>9.9095326081892345</v>
      </c>
    </row>
    <row r="1778" spans="1:69" hidden="1" x14ac:dyDescent="0.2">
      <c r="A1778" t="s">
        <v>4287</v>
      </c>
      <c r="B1778" t="s">
        <v>68</v>
      </c>
      <c r="C1778" t="s">
        <v>3294</v>
      </c>
      <c r="D1778" t="s">
        <v>70</v>
      </c>
      <c r="E1778" t="s">
        <v>1074</v>
      </c>
      <c r="F1778">
        <v>6</v>
      </c>
      <c r="G1778">
        <v>57</v>
      </c>
      <c r="H1778">
        <v>1</v>
      </c>
      <c r="I1778">
        <v>1</v>
      </c>
      <c r="J1778">
        <v>1</v>
      </c>
      <c r="K1778" t="s">
        <v>110</v>
      </c>
      <c r="L1778" t="s">
        <v>124</v>
      </c>
      <c r="M1778" s="4">
        <v>520000000</v>
      </c>
      <c r="N1778">
        <v>0</v>
      </c>
      <c r="O1778">
        <v>4.6851801870000003</v>
      </c>
      <c r="P1778">
        <v>-74.055442810000002</v>
      </c>
      <c r="Q1778" t="s">
        <v>4288</v>
      </c>
      <c r="R1778">
        <v>9122807.0179999992</v>
      </c>
      <c r="S1778">
        <v>0</v>
      </c>
      <c r="T1778" t="s">
        <v>104</v>
      </c>
      <c r="U1778" t="s">
        <v>105</v>
      </c>
      <c r="V1778" t="s">
        <v>77</v>
      </c>
      <c r="W1778" t="s">
        <v>104</v>
      </c>
      <c r="X1778" t="s">
        <v>106</v>
      </c>
      <c r="Y1778">
        <v>3.9445859093920999</v>
      </c>
      <c r="Z1778">
        <v>3944.5859093920999</v>
      </c>
      <c r="AA1778">
        <v>4.71035</v>
      </c>
      <c r="AB1778">
        <v>-74.030416666666696</v>
      </c>
      <c r="AC1778">
        <v>2570</v>
      </c>
      <c r="AD1778">
        <v>10</v>
      </c>
      <c r="AE1778" t="s">
        <v>80</v>
      </c>
      <c r="AF1778" t="s">
        <v>107</v>
      </c>
      <c r="AG1778" t="s">
        <v>82</v>
      </c>
      <c r="AH1778" t="s">
        <v>83</v>
      </c>
      <c r="AI1778" t="s">
        <v>130</v>
      </c>
      <c r="AJ1778">
        <v>0.28604672927352398</v>
      </c>
      <c r="AK1778">
        <v>2.1566229115380202</v>
      </c>
      <c r="AL1778">
        <v>0.299051535238261</v>
      </c>
      <c r="AM1778">
        <v>7.8980258519558699E-2</v>
      </c>
      <c r="AN1778">
        <v>3.1874100342568301</v>
      </c>
      <c r="AO1778">
        <v>0.35169521121078201</v>
      </c>
      <c r="AP1778">
        <v>0.35169521121078201</v>
      </c>
      <c r="AQ1778">
        <v>1</v>
      </c>
      <c r="AR1778">
        <v>3</v>
      </c>
      <c r="AS1778">
        <v>0</v>
      </c>
      <c r="AT1778">
        <v>0</v>
      </c>
      <c r="AU1778">
        <v>5</v>
      </c>
      <c r="AV1778">
        <v>256</v>
      </c>
      <c r="AW1778">
        <v>0</v>
      </c>
      <c r="AX1778">
        <v>0</v>
      </c>
      <c r="AY1778">
        <v>15.5</v>
      </c>
      <c r="AZ1778">
        <v>2.4</v>
      </c>
      <c r="BA1778">
        <v>10.9</v>
      </c>
      <c r="BB1778">
        <v>564</v>
      </c>
      <c r="BC1778">
        <v>68</v>
      </c>
      <c r="BD1778">
        <v>1.5</v>
      </c>
      <c r="BE1778">
        <v>135</v>
      </c>
      <c r="BF1778">
        <v>0</v>
      </c>
      <c r="BG1778">
        <v>162</v>
      </c>
      <c r="BH1778">
        <v>9.1</v>
      </c>
      <c r="BI1778">
        <v>9.1999999999999993</v>
      </c>
      <c r="BJ1778">
        <v>18.3</v>
      </c>
      <c r="BK1778">
        <v>0.34</v>
      </c>
      <c r="BL1778">
        <v>7.3</v>
      </c>
      <c r="BM1778">
        <v>0.9</v>
      </c>
      <c r="BN1778">
        <v>7.5</v>
      </c>
      <c r="BO1778">
        <v>2.9</v>
      </c>
      <c r="BP1778">
        <f t="shared" si="54"/>
        <v>1.9742957151634821</v>
      </c>
      <c r="BQ1778">
        <f t="shared" si="55"/>
        <v>9.915435926899848</v>
      </c>
    </row>
    <row r="1779" spans="1:69" hidden="1" x14ac:dyDescent="0.2">
      <c r="A1779" t="s">
        <v>282</v>
      </c>
      <c r="B1779" t="s">
        <v>68</v>
      </c>
      <c r="C1779" t="s">
        <v>69</v>
      </c>
      <c r="D1779" t="s">
        <v>70</v>
      </c>
      <c r="E1779" t="s">
        <v>283</v>
      </c>
      <c r="F1779">
        <v>4</v>
      </c>
      <c r="G1779">
        <v>57</v>
      </c>
      <c r="H1779">
        <v>1</v>
      </c>
      <c r="I1779">
        <v>2</v>
      </c>
      <c r="J1779">
        <v>1</v>
      </c>
      <c r="K1779" t="s">
        <v>110</v>
      </c>
      <c r="L1779" t="s">
        <v>133</v>
      </c>
      <c r="M1779" s="4">
        <v>497000000</v>
      </c>
      <c r="N1779">
        <v>0</v>
      </c>
      <c r="O1779">
        <v>4.7257476</v>
      </c>
      <c r="P1779">
        <v>-74.032679999999999</v>
      </c>
      <c r="Q1779" t="s">
        <v>284</v>
      </c>
      <c r="R1779">
        <v>8719298.2459999993</v>
      </c>
      <c r="S1779">
        <v>0</v>
      </c>
      <c r="T1779" t="s">
        <v>104</v>
      </c>
      <c r="U1779" t="s">
        <v>105</v>
      </c>
      <c r="V1779" t="s">
        <v>77</v>
      </c>
      <c r="W1779" t="s">
        <v>104</v>
      </c>
      <c r="X1779" t="s">
        <v>106</v>
      </c>
      <c r="Y1779">
        <v>1.73234770022512</v>
      </c>
      <c r="Z1779">
        <v>1732.34770022512</v>
      </c>
      <c r="AA1779">
        <v>4.71035</v>
      </c>
      <c r="AB1779">
        <v>-74.030416666666696</v>
      </c>
      <c r="AC1779">
        <v>2570</v>
      </c>
      <c r="AD1779">
        <v>10</v>
      </c>
      <c r="AE1779" t="s">
        <v>80</v>
      </c>
      <c r="AF1779" t="s">
        <v>107</v>
      </c>
      <c r="AG1779" t="s">
        <v>82</v>
      </c>
      <c r="AH1779" t="s">
        <v>83</v>
      </c>
      <c r="AI1779" t="s">
        <v>108</v>
      </c>
      <c r="AJ1779">
        <v>1.97987960330599</v>
      </c>
      <c r="AK1779">
        <v>1.20284604492058</v>
      </c>
      <c r="AL1779">
        <v>1.1294683749113501</v>
      </c>
      <c r="AM1779">
        <v>0.29067485580582297</v>
      </c>
      <c r="AN1779">
        <v>1.8654018762292099</v>
      </c>
      <c r="AO1779">
        <v>0.24990711182787001</v>
      </c>
      <c r="AP1779">
        <v>0.24990711182787001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11</v>
      </c>
      <c r="AW1779">
        <v>0</v>
      </c>
      <c r="AX1779">
        <v>0</v>
      </c>
      <c r="AY1779">
        <v>15.5</v>
      </c>
      <c r="AZ1779">
        <v>2.4</v>
      </c>
      <c r="BA1779">
        <v>10.9</v>
      </c>
      <c r="BB1779">
        <v>564</v>
      </c>
      <c r="BC1779">
        <v>68</v>
      </c>
      <c r="BD1779">
        <v>1.5</v>
      </c>
      <c r="BE1779">
        <v>135</v>
      </c>
      <c r="BF1779">
        <v>0</v>
      </c>
      <c r="BG1779">
        <v>162</v>
      </c>
      <c r="BH1779">
        <v>9.1</v>
      </c>
      <c r="BI1779">
        <v>9.1999999999999993</v>
      </c>
      <c r="BJ1779">
        <v>18.3</v>
      </c>
      <c r="BK1779">
        <v>0.34</v>
      </c>
      <c r="BL1779">
        <v>7.3</v>
      </c>
      <c r="BM1779">
        <v>0.9</v>
      </c>
      <c r="BN1779">
        <v>7.5</v>
      </c>
      <c r="BO1779">
        <v>2.9</v>
      </c>
      <c r="BP1779">
        <f t="shared" si="54"/>
        <v>2.2027741123763684</v>
      </c>
      <c r="BQ1779">
        <f t="shared" si="55"/>
        <v>10.456109455107782</v>
      </c>
    </row>
    <row r="1780" spans="1:69" hidden="1" x14ac:dyDescent="0.2">
      <c r="A1780" t="s">
        <v>3586</v>
      </c>
      <c r="B1780" t="s">
        <v>68</v>
      </c>
      <c r="C1780" t="s">
        <v>3294</v>
      </c>
      <c r="D1780" t="s">
        <v>70</v>
      </c>
      <c r="E1780" t="s">
        <v>337</v>
      </c>
      <c r="F1780">
        <v>6</v>
      </c>
      <c r="G1780">
        <v>57</v>
      </c>
      <c r="H1780">
        <v>1</v>
      </c>
      <c r="I1780">
        <v>1</v>
      </c>
      <c r="J1780">
        <v>1</v>
      </c>
      <c r="K1780" t="s">
        <v>110</v>
      </c>
      <c r="L1780" t="s">
        <v>133</v>
      </c>
      <c r="M1780" s="4">
        <v>620000000</v>
      </c>
      <c r="N1780">
        <v>0</v>
      </c>
      <c r="O1780">
        <v>4.7025203700000002</v>
      </c>
      <c r="P1780">
        <v>-74.043556210000006</v>
      </c>
      <c r="Q1780" t="s">
        <v>3587</v>
      </c>
      <c r="R1780">
        <v>10877192.98</v>
      </c>
      <c r="S1780">
        <v>0</v>
      </c>
      <c r="T1780" t="s">
        <v>104</v>
      </c>
      <c r="U1780" t="s">
        <v>105</v>
      </c>
      <c r="V1780" t="s">
        <v>77</v>
      </c>
      <c r="W1780" t="s">
        <v>104</v>
      </c>
      <c r="X1780" t="s">
        <v>106</v>
      </c>
      <c r="Y1780">
        <v>1.6984465047617201</v>
      </c>
      <c r="Z1780">
        <v>1698.44650476172</v>
      </c>
      <c r="AA1780">
        <v>4.71035</v>
      </c>
      <c r="AB1780">
        <v>-74.030416666666696</v>
      </c>
      <c r="AC1780">
        <v>2570</v>
      </c>
      <c r="AD1780">
        <v>10</v>
      </c>
      <c r="AE1780" t="s">
        <v>80</v>
      </c>
      <c r="AF1780" t="s">
        <v>107</v>
      </c>
      <c r="AG1780" t="s">
        <v>82</v>
      </c>
      <c r="AH1780" t="s">
        <v>83</v>
      </c>
      <c r="AI1780" t="s">
        <v>108</v>
      </c>
      <c r="AJ1780">
        <v>1.20590221366853</v>
      </c>
      <c r="AK1780">
        <v>1.99335006952162</v>
      </c>
      <c r="AL1780">
        <v>1.2356561244448001</v>
      </c>
      <c r="AM1780">
        <v>6.07017459201094E-2</v>
      </c>
      <c r="AN1780">
        <v>4.6980161366539201</v>
      </c>
      <c r="AO1780">
        <v>0.183478951823453</v>
      </c>
      <c r="AP1780">
        <v>0.183478951823453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142</v>
      </c>
      <c r="AW1780">
        <v>0</v>
      </c>
      <c r="AX1780">
        <v>0</v>
      </c>
      <c r="AY1780">
        <v>15.5</v>
      </c>
      <c r="AZ1780">
        <v>2.4</v>
      </c>
      <c r="BA1780">
        <v>10.9</v>
      </c>
      <c r="BB1780">
        <v>564</v>
      </c>
      <c r="BC1780">
        <v>68</v>
      </c>
      <c r="BD1780">
        <v>1.5</v>
      </c>
      <c r="BE1780">
        <v>135</v>
      </c>
      <c r="BF1780">
        <v>0</v>
      </c>
      <c r="BG1780">
        <v>162</v>
      </c>
      <c r="BH1780">
        <v>9.1</v>
      </c>
      <c r="BI1780">
        <v>9.1999999999999993</v>
      </c>
      <c r="BJ1780">
        <v>18.3</v>
      </c>
      <c r="BK1780">
        <v>0.34</v>
      </c>
      <c r="BL1780">
        <v>7.3</v>
      </c>
      <c r="BM1780">
        <v>0.9</v>
      </c>
      <c r="BN1780">
        <v>7.5</v>
      </c>
      <c r="BO1780">
        <v>2.9</v>
      </c>
      <c r="BP1780">
        <f t="shared" si="54"/>
        <v>2.2064737111228783</v>
      </c>
      <c r="BQ1780">
        <f t="shared" si="55"/>
        <v>10.464620307625353</v>
      </c>
    </row>
    <row r="1781" spans="1:69" hidden="1" x14ac:dyDescent="0.2">
      <c r="A1781" t="s">
        <v>1278</v>
      </c>
      <c r="B1781" t="s">
        <v>68</v>
      </c>
      <c r="C1781" t="s">
        <v>69</v>
      </c>
      <c r="D1781" t="s">
        <v>70</v>
      </c>
      <c r="E1781" t="s">
        <v>1279</v>
      </c>
      <c r="F1781">
        <v>5</v>
      </c>
      <c r="G1781">
        <v>56.53</v>
      </c>
      <c r="H1781">
        <v>2</v>
      </c>
      <c r="I1781">
        <v>2</v>
      </c>
      <c r="J1781">
        <v>2</v>
      </c>
      <c r="K1781" t="s">
        <v>110</v>
      </c>
      <c r="L1781" t="s">
        <v>162</v>
      </c>
      <c r="M1781" s="4">
        <v>395000000</v>
      </c>
      <c r="N1781">
        <v>0</v>
      </c>
      <c r="O1781">
        <v>4.7041786999999999</v>
      </c>
      <c r="P1781">
        <v>-74.057978000000006</v>
      </c>
      <c r="Q1781" t="s">
        <v>1280</v>
      </c>
      <c r="R1781">
        <v>6987440.2970000003</v>
      </c>
      <c r="S1781">
        <v>0</v>
      </c>
      <c r="T1781" t="s">
        <v>104</v>
      </c>
      <c r="U1781" t="s">
        <v>105</v>
      </c>
      <c r="V1781" t="s">
        <v>77</v>
      </c>
      <c r="W1781" t="s">
        <v>104</v>
      </c>
      <c r="X1781" t="s">
        <v>106</v>
      </c>
      <c r="Y1781">
        <v>3.1339871377043802</v>
      </c>
      <c r="Z1781">
        <v>3133.9871377043801</v>
      </c>
      <c r="AA1781">
        <v>4.71035</v>
      </c>
      <c r="AB1781">
        <v>-74.030416666666696</v>
      </c>
      <c r="AC1781">
        <v>2570</v>
      </c>
      <c r="AD1781">
        <v>10</v>
      </c>
      <c r="AE1781" t="s">
        <v>80</v>
      </c>
      <c r="AF1781" t="s">
        <v>107</v>
      </c>
      <c r="AG1781" t="s">
        <v>82</v>
      </c>
      <c r="AH1781" t="s">
        <v>83</v>
      </c>
      <c r="AI1781" t="s">
        <v>121</v>
      </c>
      <c r="AJ1781">
        <v>0.41920970320144602</v>
      </c>
      <c r="AK1781">
        <v>3.5996305868306901</v>
      </c>
      <c r="AL1781">
        <v>1.46858178436496</v>
      </c>
      <c r="AM1781">
        <v>6.1522397246447702E-2</v>
      </c>
      <c r="AN1781">
        <v>4.2749508009725803</v>
      </c>
      <c r="AO1781">
        <v>7.6169065404529002E-2</v>
      </c>
      <c r="AP1781">
        <v>7.6169065404529002E-2</v>
      </c>
      <c r="AQ1781">
        <v>1</v>
      </c>
      <c r="AR1781">
        <v>2</v>
      </c>
      <c r="AS1781">
        <v>0</v>
      </c>
      <c r="AT1781">
        <v>0</v>
      </c>
      <c r="AU1781">
        <v>0</v>
      </c>
      <c r="AV1781">
        <v>116</v>
      </c>
      <c r="AW1781">
        <v>0</v>
      </c>
      <c r="AX1781">
        <v>0</v>
      </c>
      <c r="AY1781">
        <v>15.5</v>
      </c>
      <c r="AZ1781">
        <v>2.4</v>
      </c>
      <c r="BA1781">
        <v>10.9</v>
      </c>
      <c r="BB1781">
        <v>564</v>
      </c>
      <c r="BC1781">
        <v>68</v>
      </c>
      <c r="BD1781">
        <v>1.5</v>
      </c>
      <c r="BE1781">
        <v>135</v>
      </c>
      <c r="BF1781">
        <v>0</v>
      </c>
      <c r="BG1781">
        <v>162</v>
      </c>
      <c r="BH1781">
        <v>9.1</v>
      </c>
      <c r="BI1781">
        <v>9.1999999999999993</v>
      </c>
      <c r="BJ1781">
        <v>18.3</v>
      </c>
      <c r="BK1781">
        <v>0.34</v>
      </c>
      <c r="BL1781">
        <v>7.3</v>
      </c>
      <c r="BM1781">
        <v>0.9</v>
      </c>
      <c r="BN1781">
        <v>7.5</v>
      </c>
      <c r="BO1781">
        <v>2.9</v>
      </c>
      <c r="BP1781">
        <f t="shared" si="54"/>
        <v>2.0551243848778107</v>
      </c>
      <c r="BQ1781">
        <f t="shared" si="55"/>
        <v>10.110223078577981</v>
      </c>
    </row>
    <row r="1782" spans="1:69" hidden="1" x14ac:dyDescent="0.2">
      <c r="A1782" t="s">
        <v>4307</v>
      </c>
      <c r="B1782" t="s">
        <v>68</v>
      </c>
      <c r="C1782" t="s">
        <v>3294</v>
      </c>
      <c r="D1782" t="s">
        <v>70</v>
      </c>
      <c r="E1782" t="s">
        <v>4308</v>
      </c>
      <c r="F1782">
        <v>4</v>
      </c>
      <c r="G1782">
        <v>56.5</v>
      </c>
      <c r="H1782">
        <v>1</v>
      </c>
      <c r="I1782">
        <v>1</v>
      </c>
      <c r="J1782">
        <v>1</v>
      </c>
      <c r="K1782" t="s">
        <v>110</v>
      </c>
      <c r="L1782" t="s">
        <v>115</v>
      </c>
      <c r="M1782" s="4">
        <v>380000000</v>
      </c>
      <c r="N1782">
        <v>0</v>
      </c>
      <c r="O1782">
        <v>4.7002300000000004</v>
      </c>
      <c r="P1782">
        <v>-74.057850000000002</v>
      </c>
      <c r="Q1782" t="s">
        <v>4309</v>
      </c>
      <c r="R1782">
        <v>6725663.7170000002</v>
      </c>
      <c r="S1782">
        <v>0</v>
      </c>
      <c r="T1782" t="s">
        <v>104</v>
      </c>
      <c r="U1782" t="s">
        <v>105</v>
      </c>
      <c r="V1782" t="s">
        <v>77</v>
      </c>
      <c r="W1782" t="s">
        <v>104</v>
      </c>
      <c r="X1782" t="s">
        <v>106</v>
      </c>
      <c r="Y1782">
        <v>3.24537462534385</v>
      </c>
      <c r="Z1782">
        <v>3245.3746253438499</v>
      </c>
      <c r="AA1782">
        <v>4.71035</v>
      </c>
      <c r="AB1782">
        <v>-74.030416666666696</v>
      </c>
      <c r="AC1782">
        <v>2570</v>
      </c>
      <c r="AD1782">
        <v>10</v>
      </c>
      <c r="AE1782" t="s">
        <v>80</v>
      </c>
      <c r="AF1782" t="s">
        <v>107</v>
      </c>
      <c r="AG1782" t="s">
        <v>82</v>
      </c>
      <c r="AH1782" t="s">
        <v>83</v>
      </c>
      <c r="AI1782" t="s">
        <v>121</v>
      </c>
      <c r="AJ1782">
        <v>0.36525187808116999</v>
      </c>
      <c r="AK1782">
        <v>3.3851227265229502</v>
      </c>
      <c r="AL1782">
        <v>1.17232229664438</v>
      </c>
      <c r="AM1782">
        <v>8.5828109131404096E-2</v>
      </c>
      <c r="AN1782">
        <v>3.9512204157473398</v>
      </c>
      <c r="AO1782">
        <v>0.17129541991710101</v>
      </c>
      <c r="AP1782">
        <v>0.17129541991710101</v>
      </c>
      <c r="AQ1782">
        <v>1</v>
      </c>
      <c r="AR1782">
        <v>3</v>
      </c>
      <c r="AS1782">
        <v>0</v>
      </c>
      <c r="AT1782">
        <v>0</v>
      </c>
      <c r="AU1782">
        <v>0</v>
      </c>
      <c r="AV1782">
        <v>110</v>
      </c>
      <c r="AW1782">
        <v>0</v>
      </c>
      <c r="AX1782">
        <v>0</v>
      </c>
      <c r="AY1782">
        <v>15.5</v>
      </c>
      <c r="AZ1782">
        <v>2.4</v>
      </c>
      <c r="BA1782">
        <v>10.9</v>
      </c>
      <c r="BB1782">
        <v>564</v>
      </c>
      <c r="BC1782">
        <v>68</v>
      </c>
      <c r="BD1782">
        <v>1.5</v>
      </c>
      <c r="BE1782">
        <v>135</v>
      </c>
      <c r="BF1782">
        <v>0</v>
      </c>
      <c r="BG1782">
        <v>162</v>
      </c>
      <c r="BH1782">
        <v>9.1</v>
      </c>
      <c r="BI1782">
        <v>9.1999999999999993</v>
      </c>
      <c r="BJ1782">
        <v>18.3</v>
      </c>
      <c r="BK1782">
        <v>0.34</v>
      </c>
      <c r="BL1782">
        <v>7.3</v>
      </c>
      <c r="BM1782">
        <v>0.9</v>
      </c>
      <c r="BN1782">
        <v>7.5</v>
      </c>
      <c r="BO1782">
        <v>2.9</v>
      </c>
      <c r="BP1782">
        <f t="shared" si="54"/>
        <v>2.0438242665971855</v>
      </c>
      <c r="BQ1782">
        <f t="shared" si="55"/>
        <v>10.083231516563277</v>
      </c>
    </row>
    <row r="1783" spans="1:69" hidden="1" x14ac:dyDescent="0.2">
      <c r="A1783" t="s">
        <v>4198</v>
      </c>
      <c r="B1783" t="s">
        <v>68</v>
      </c>
      <c r="C1783" t="s">
        <v>3294</v>
      </c>
      <c r="D1783" t="s">
        <v>70</v>
      </c>
      <c r="E1783" t="s">
        <v>205</v>
      </c>
      <c r="F1783">
        <v>1</v>
      </c>
      <c r="G1783">
        <v>55.78</v>
      </c>
      <c r="H1783">
        <v>1</v>
      </c>
      <c r="I1783">
        <v>2</v>
      </c>
      <c r="J1783">
        <v>1</v>
      </c>
      <c r="K1783" t="s">
        <v>110</v>
      </c>
      <c r="L1783" t="s">
        <v>133</v>
      </c>
      <c r="M1783" s="4">
        <v>370000000</v>
      </c>
      <c r="N1783">
        <v>0</v>
      </c>
      <c r="O1783">
        <v>4.7264999999999997</v>
      </c>
      <c r="P1783">
        <v>-74.043000000000006</v>
      </c>
      <c r="Q1783" t="s">
        <v>4199</v>
      </c>
      <c r="R1783">
        <v>6633201.8640000001</v>
      </c>
      <c r="S1783">
        <v>0</v>
      </c>
      <c r="T1783" t="s">
        <v>104</v>
      </c>
      <c r="U1783" t="s">
        <v>105</v>
      </c>
      <c r="V1783" t="s">
        <v>77</v>
      </c>
      <c r="W1783" t="s">
        <v>104</v>
      </c>
      <c r="X1783" t="s">
        <v>106</v>
      </c>
      <c r="Y1783">
        <v>2.2761810726473799</v>
      </c>
      <c r="Z1783">
        <v>2276.18107264738</v>
      </c>
      <c r="AA1783">
        <v>4.71035</v>
      </c>
      <c r="AB1783">
        <v>-74.030416666666696</v>
      </c>
      <c r="AC1783">
        <v>2570</v>
      </c>
      <c r="AD1783">
        <v>10</v>
      </c>
      <c r="AE1783" t="s">
        <v>80</v>
      </c>
      <c r="AF1783" t="s">
        <v>107</v>
      </c>
      <c r="AG1783" t="s">
        <v>82</v>
      </c>
      <c r="AH1783" t="s">
        <v>83</v>
      </c>
      <c r="AI1783" t="s">
        <v>108</v>
      </c>
      <c r="AJ1783">
        <v>0.83281737260024602</v>
      </c>
      <c r="AK1783">
        <v>2.2819555636655902</v>
      </c>
      <c r="AL1783">
        <v>0.78129772241053397</v>
      </c>
      <c r="AM1783">
        <v>0.27918954791081901</v>
      </c>
      <c r="AN1783">
        <v>2.4524993232584502</v>
      </c>
      <c r="AO1783">
        <v>2.4906214470763999E-3</v>
      </c>
      <c r="AP1783">
        <v>2.4906214470763999E-3</v>
      </c>
      <c r="AQ1783">
        <v>0</v>
      </c>
      <c r="AR1783">
        <v>2</v>
      </c>
      <c r="AS1783">
        <v>0</v>
      </c>
      <c r="AT1783">
        <v>0</v>
      </c>
      <c r="AU1783">
        <v>1</v>
      </c>
      <c r="AV1783">
        <v>40</v>
      </c>
      <c r="AW1783">
        <v>0</v>
      </c>
      <c r="AX1783">
        <v>0</v>
      </c>
      <c r="AY1783">
        <v>15.5</v>
      </c>
      <c r="AZ1783">
        <v>2.4</v>
      </c>
      <c r="BA1783">
        <v>10.9</v>
      </c>
      <c r="BB1783">
        <v>564</v>
      </c>
      <c r="BC1783">
        <v>68</v>
      </c>
      <c r="BD1783">
        <v>1.5</v>
      </c>
      <c r="BE1783">
        <v>135</v>
      </c>
      <c r="BF1783">
        <v>0</v>
      </c>
      <c r="BG1783">
        <v>162</v>
      </c>
      <c r="BH1783">
        <v>9.1</v>
      </c>
      <c r="BI1783">
        <v>9.1999999999999993</v>
      </c>
      <c r="BJ1783">
        <v>18.3</v>
      </c>
      <c r="BK1783">
        <v>0.34</v>
      </c>
      <c r="BL1783">
        <v>7.3</v>
      </c>
      <c r="BM1783">
        <v>0.9</v>
      </c>
      <c r="BN1783">
        <v>7.5</v>
      </c>
      <c r="BO1783">
        <v>2.9</v>
      </c>
      <c r="BP1783">
        <f t="shared" si="54"/>
        <v>2.1442670111949442</v>
      </c>
      <c r="BQ1783">
        <f t="shared" si="55"/>
        <v>10.320523066336937</v>
      </c>
    </row>
    <row r="1784" spans="1:69" hidden="1" x14ac:dyDescent="0.2">
      <c r="A1784" t="s">
        <v>3935</v>
      </c>
      <c r="B1784" t="s">
        <v>68</v>
      </c>
      <c r="C1784" t="s">
        <v>3294</v>
      </c>
      <c r="D1784" t="s">
        <v>70</v>
      </c>
      <c r="E1784" t="s">
        <v>102</v>
      </c>
      <c r="F1784">
        <v>6</v>
      </c>
      <c r="G1784">
        <v>55.5</v>
      </c>
      <c r="H1784">
        <v>1</v>
      </c>
      <c r="I1784">
        <v>2</v>
      </c>
      <c r="J1784">
        <v>1</v>
      </c>
      <c r="K1784" t="s">
        <v>110</v>
      </c>
      <c r="L1784" t="s">
        <v>124</v>
      </c>
      <c r="M1784" s="4">
        <v>435000000</v>
      </c>
      <c r="N1784">
        <v>0</v>
      </c>
      <c r="O1784">
        <v>4.6974200000000002</v>
      </c>
      <c r="P1784">
        <v>-74.043679999999995</v>
      </c>
      <c r="Q1784" t="s">
        <v>3936</v>
      </c>
      <c r="R1784">
        <v>7837837.8380000005</v>
      </c>
      <c r="S1784">
        <v>0</v>
      </c>
      <c r="T1784" t="s">
        <v>104</v>
      </c>
      <c r="U1784" t="s">
        <v>105</v>
      </c>
      <c r="V1784" t="s">
        <v>77</v>
      </c>
      <c r="W1784" t="s">
        <v>104</v>
      </c>
      <c r="X1784" t="s">
        <v>106</v>
      </c>
      <c r="Y1784">
        <v>2.0584110957435202</v>
      </c>
      <c r="Z1784">
        <v>2058.41109574352</v>
      </c>
      <c r="AA1784">
        <v>4.71035</v>
      </c>
      <c r="AB1784">
        <v>-74.030416666666696</v>
      </c>
      <c r="AC1784">
        <v>2570</v>
      </c>
      <c r="AD1784">
        <v>10</v>
      </c>
      <c r="AE1784" t="s">
        <v>80</v>
      </c>
      <c r="AF1784" t="s">
        <v>107</v>
      </c>
      <c r="AG1784" t="s">
        <v>82</v>
      </c>
      <c r="AH1784" t="s">
        <v>83</v>
      </c>
      <c r="AI1784" t="s">
        <v>108</v>
      </c>
      <c r="AJ1784">
        <v>1.2917407075684499</v>
      </c>
      <c r="AK1784">
        <v>1.97484871675882</v>
      </c>
      <c r="AL1784">
        <v>0.82224242100662903</v>
      </c>
      <c r="AM1784">
        <v>3.3410271298890501E-2</v>
      </c>
      <c r="AN1784">
        <v>4.9729423154581998</v>
      </c>
      <c r="AO1784">
        <v>0.18184304983631999</v>
      </c>
      <c r="AP1784">
        <v>0.18184304983631999</v>
      </c>
      <c r="AQ1784">
        <v>0</v>
      </c>
      <c r="AR1784">
        <v>0</v>
      </c>
      <c r="AS1784">
        <v>0</v>
      </c>
      <c r="AT1784">
        <v>0</v>
      </c>
      <c r="AU1784">
        <v>1</v>
      </c>
      <c r="AV1784">
        <v>127</v>
      </c>
      <c r="AW1784">
        <v>0</v>
      </c>
      <c r="AX1784">
        <v>0</v>
      </c>
      <c r="AY1784">
        <v>15.5</v>
      </c>
      <c r="AZ1784">
        <v>2.4</v>
      </c>
      <c r="BA1784">
        <v>10.9</v>
      </c>
      <c r="BB1784">
        <v>564</v>
      </c>
      <c r="BC1784">
        <v>68</v>
      </c>
      <c r="BD1784">
        <v>1.5</v>
      </c>
      <c r="BE1784">
        <v>135</v>
      </c>
      <c r="BF1784">
        <v>0</v>
      </c>
      <c r="BG1784">
        <v>162</v>
      </c>
      <c r="BH1784">
        <v>9.1</v>
      </c>
      <c r="BI1784">
        <v>9.1999999999999993</v>
      </c>
      <c r="BJ1784">
        <v>18.3</v>
      </c>
      <c r="BK1784">
        <v>0.34</v>
      </c>
      <c r="BL1784">
        <v>7.3</v>
      </c>
      <c r="BM1784">
        <v>0.9</v>
      </c>
      <c r="BN1784">
        <v>7.5</v>
      </c>
      <c r="BO1784">
        <v>2.9</v>
      </c>
      <c r="BP1784">
        <f t="shared" si="54"/>
        <v>2.1675064124325982</v>
      </c>
      <c r="BQ1784">
        <f t="shared" si="55"/>
        <v>10.374604272059809</v>
      </c>
    </row>
    <row r="1785" spans="1:69" hidden="1" x14ac:dyDescent="0.2">
      <c r="A1785" t="s">
        <v>359</v>
      </c>
      <c r="B1785" t="s">
        <v>68</v>
      </c>
      <c r="C1785" t="s">
        <v>69</v>
      </c>
      <c r="D1785" t="s">
        <v>70</v>
      </c>
      <c r="E1785" t="s">
        <v>360</v>
      </c>
      <c r="F1785">
        <v>4</v>
      </c>
      <c r="G1785">
        <v>55</v>
      </c>
      <c r="H1785">
        <v>3</v>
      </c>
      <c r="I1785">
        <v>1</v>
      </c>
      <c r="J1785">
        <v>1</v>
      </c>
      <c r="K1785" t="s">
        <v>110</v>
      </c>
      <c r="L1785" t="s">
        <v>162</v>
      </c>
      <c r="M1785" s="4">
        <v>325000000</v>
      </c>
      <c r="N1785">
        <v>0</v>
      </c>
      <c r="O1785">
        <v>4.7414879799999996</v>
      </c>
      <c r="P1785">
        <v>-74.036224369999999</v>
      </c>
      <c r="Q1785" t="s">
        <v>361</v>
      </c>
      <c r="R1785">
        <v>5909090.909</v>
      </c>
      <c r="S1785">
        <v>0</v>
      </c>
      <c r="T1785" t="s">
        <v>104</v>
      </c>
      <c r="U1785" t="s">
        <v>105</v>
      </c>
      <c r="V1785" t="s">
        <v>77</v>
      </c>
      <c r="W1785" t="s">
        <v>104</v>
      </c>
      <c r="X1785" t="s">
        <v>106</v>
      </c>
      <c r="Y1785">
        <v>3.5256382900018202</v>
      </c>
      <c r="Z1785">
        <v>3525.6382900018202</v>
      </c>
      <c r="AA1785">
        <v>4.71035</v>
      </c>
      <c r="AB1785">
        <v>-74.030416666666696</v>
      </c>
      <c r="AC1785">
        <v>2570</v>
      </c>
      <c r="AD1785">
        <v>10</v>
      </c>
      <c r="AE1785" t="s">
        <v>80</v>
      </c>
      <c r="AF1785" t="s">
        <v>107</v>
      </c>
      <c r="AG1785" t="s">
        <v>82</v>
      </c>
      <c r="AH1785" t="s">
        <v>83</v>
      </c>
      <c r="AI1785" t="s">
        <v>108</v>
      </c>
      <c r="AJ1785">
        <v>1.30646388528121</v>
      </c>
      <c r="AK1785">
        <v>1.80433468581023</v>
      </c>
      <c r="AL1785">
        <v>0.98386959192159296</v>
      </c>
      <c r="AM1785">
        <v>0.17112734585049599</v>
      </c>
      <c r="AN1785">
        <v>1.0524323922421199</v>
      </c>
      <c r="AO1785">
        <v>2.2776780768544402E-2</v>
      </c>
      <c r="AP1785">
        <v>2.2776780768544402E-2</v>
      </c>
      <c r="AQ1785">
        <v>0</v>
      </c>
      <c r="AR1785">
        <v>0</v>
      </c>
      <c r="AS1785">
        <v>0</v>
      </c>
      <c r="AT1785">
        <v>0</v>
      </c>
      <c r="AU1785">
        <v>1</v>
      </c>
      <c r="AV1785">
        <v>23</v>
      </c>
      <c r="AW1785">
        <v>0</v>
      </c>
      <c r="AX1785">
        <v>0</v>
      </c>
      <c r="AY1785">
        <v>15.5</v>
      </c>
      <c r="AZ1785">
        <v>2.4</v>
      </c>
      <c r="BA1785">
        <v>10.9</v>
      </c>
      <c r="BB1785">
        <v>564</v>
      </c>
      <c r="BC1785">
        <v>68</v>
      </c>
      <c r="BD1785">
        <v>1.5</v>
      </c>
      <c r="BE1785">
        <v>135</v>
      </c>
      <c r="BF1785">
        <v>0</v>
      </c>
      <c r="BG1785">
        <v>162</v>
      </c>
      <c r="BH1785">
        <v>9.1</v>
      </c>
      <c r="BI1785">
        <v>9.1999999999999993</v>
      </c>
      <c r="BJ1785">
        <v>18.3</v>
      </c>
      <c r="BK1785">
        <v>0.34</v>
      </c>
      <c r="BL1785">
        <v>7.3</v>
      </c>
      <c r="BM1785">
        <v>0.9</v>
      </c>
      <c r="BN1785">
        <v>7.5</v>
      </c>
      <c r="BO1785">
        <v>2.9</v>
      </c>
      <c r="BP1785">
        <f t="shared" si="54"/>
        <v>2.0156659599253661</v>
      </c>
      <c r="BQ1785">
        <f t="shared" si="55"/>
        <v>10.015635984282742</v>
      </c>
    </row>
    <row r="1786" spans="1:69" hidden="1" x14ac:dyDescent="0.2">
      <c r="A1786" t="s">
        <v>4616</v>
      </c>
      <c r="B1786" t="s">
        <v>68</v>
      </c>
      <c r="C1786" t="s">
        <v>3294</v>
      </c>
      <c r="D1786" t="s">
        <v>70</v>
      </c>
      <c r="E1786" t="s">
        <v>468</v>
      </c>
      <c r="F1786">
        <v>6</v>
      </c>
      <c r="G1786">
        <v>55</v>
      </c>
      <c r="H1786">
        <v>1</v>
      </c>
      <c r="I1786">
        <v>2</v>
      </c>
      <c r="J1786">
        <v>2</v>
      </c>
      <c r="K1786" t="s">
        <v>110</v>
      </c>
      <c r="L1786" t="s">
        <v>133</v>
      </c>
      <c r="M1786" s="4">
        <v>530000000</v>
      </c>
      <c r="N1786">
        <v>0</v>
      </c>
      <c r="O1786">
        <v>4.6931033129999999</v>
      </c>
      <c r="P1786">
        <v>-74.053962709999993</v>
      </c>
      <c r="Q1786" t="s">
        <v>4617</v>
      </c>
      <c r="R1786">
        <v>9636363.6359999999</v>
      </c>
      <c r="S1786">
        <v>0</v>
      </c>
      <c r="T1786" t="s">
        <v>104</v>
      </c>
      <c r="U1786" t="s">
        <v>105</v>
      </c>
      <c r="V1786" t="s">
        <v>77</v>
      </c>
      <c r="W1786" t="s">
        <v>104</v>
      </c>
      <c r="X1786" t="s">
        <v>106</v>
      </c>
      <c r="Y1786">
        <v>3.2419388029833902</v>
      </c>
      <c r="Z1786">
        <v>3241.9388029833899</v>
      </c>
      <c r="AA1786">
        <v>4.71035</v>
      </c>
      <c r="AB1786">
        <v>-74.030416666666696</v>
      </c>
      <c r="AC1786">
        <v>2570</v>
      </c>
      <c r="AD1786">
        <v>10</v>
      </c>
      <c r="AE1786" t="s">
        <v>80</v>
      </c>
      <c r="AF1786" t="s">
        <v>107</v>
      </c>
      <c r="AG1786" t="s">
        <v>82</v>
      </c>
      <c r="AH1786" t="s">
        <v>83</v>
      </c>
      <c r="AI1786" t="s">
        <v>108</v>
      </c>
      <c r="AJ1786">
        <v>0.24648149251923099</v>
      </c>
      <c r="AK1786">
        <v>2.5350756230651301</v>
      </c>
      <c r="AL1786">
        <v>0.45642799996129402</v>
      </c>
      <c r="AM1786">
        <v>4.5681595366116899E-2</v>
      </c>
      <c r="AN1786">
        <v>3.7569515658603301</v>
      </c>
      <c r="AO1786">
        <v>2.3526676891405699E-2</v>
      </c>
      <c r="AP1786">
        <v>2.3526676891405699E-2</v>
      </c>
      <c r="AQ1786">
        <v>1</v>
      </c>
      <c r="AR1786">
        <v>2</v>
      </c>
      <c r="AS1786">
        <v>0</v>
      </c>
      <c r="AT1786">
        <v>0</v>
      </c>
      <c r="AU1786">
        <v>5</v>
      </c>
      <c r="AV1786">
        <v>165</v>
      </c>
      <c r="AW1786">
        <v>0</v>
      </c>
      <c r="AX1786">
        <v>0</v>
      </c>
      <c r="AY1786">
        <v>15.5</v>
      </c>
      <c r="AZ1786">
        <v>2.4</v>
      </c>
      <c r="BA1786">
        <v>10.9</v>
      </c>
      <c r="BB1786">
        <v>564</v>
      </c>
      <c r="BC1786">
        <v>68</v>
      </c>
      <c r="BD1786">
        <v>1.5</v>
      </c>
      <c r="BE1786">
        <v>135</v>
      </c>
      <c r="BF1786">
        <v>0</v>
      </c>
      <c r="BG1786">
        <v>162</v>
      </c>
      <c r="BH1786">
        <v>9.1</v>
      </c>
      <c r="BI1786">
        <v>9.1999999999999993</v>
      </c>
      <c r="BJ1786">
        <v>18.3</v>
      </c>
      <c r="BK1786">
        <v>0.34</v>
      </c>
      <c r="BL1786">
        <v>7.3</v>
      </c>
      <c r="BM1786">
        <v>0.9</v>
      </c>
      <c r="BN1786">
        <v>7.5</v>
      </c>
      <c r="BO1786">
        <v>2.9</v>
      </c>
      <c r="BP1786">
        <f t="shared" si="54"/>
        <v>2.0441718959048063</v>
      </c>
      <c r="BQ1786">
        <f t="shared" si="55"/>
        <v>10.084063011460678</v>
      </c>
    </row>
    <row r="1787" spans="1:69" hidden="1" x14ac:dyDescent="0.2">
      <c r="A1787" t="s">
        <v>3835</v>
      </c>
      <c r="B1787" t="s">
        <v>68</v>
      </c>
      <c r="C1787" t="s">
        <v>3294</v>
      </c>
      <c r="D1787" t="s">
        <v>70</v>
      </c>
      <c r="E1787" t="s">
        <v>982</v>
      </c>
      <c r="F1787">
        <v>5</v>
      </c>
      <c r="G1787">
        <v>55</v>
      </c>
      <c r="H1787">
        <v>1</v>
      </c>
      <c r="I1787">
        <v>2</v>
      </c>
      <c r="J1787">
        <v>1</v>
      </c>
      <c r="K1787" t="s">
        <v>110</v>
      </c>
      <c r="L1787" t="s">
        <v>111</v>
      </c>
      <c r="M1787" s="4">
        <v>380000000</v>
      </c>
      <c r="N1787">
        <v>0</v>
      </c>
      <c r="O1787">
        <v>4.7119156999999996</v>
      </c>
      <c r="P1787">
        <v>-74.047267899999994</v>
      </c>
      <c r="Q1787" t="s">
        <v>3836</v>
      </c>
      <c r="R1787">
        <v>6909090.909</v>
      </c>
      <c r="S1787">
        <v>0</v>
      </c>
      <c r="T1787" t="s">
        <v>104</v>
      </c>
      <c r="U1787" t="s">
        <v>105</v>
      </c>
      <c r="V1787" t="s">
        <v>77</v>
      </c>
      <c r="W1787" t="s">
        <v>104</v>
      </c>
      <c r="X1787" t="s">
        <v>106</v>
      </c>
      <c r="Y1787">
        <v>1.87763990334085</v>
      </c>
      <c r="Z1787">
        <v>1877.63990334085</v>
      </c>
      <c r="AA1787">
        <v>4.71035</v>
      </c>
      <c r="AB1787">
        <v>-74.030416666666696</v>
      </c>
      <c r="AC1787">
        <v>2570</v>
      </c>
      <c r="AD1787">
        <v>10</v>
      </c>
      <c r="AE1787" t="s">
        <v>80</v>
      </c>
      <c r="AF1787" t="s">
        <v>107</v>
      </c>
      <c r="AG1787" t="s">
        <v>82</v>
      </c>
      <c r="AH1787" t="s">
        <v>83</v>
      </c>
      <c r="AI1787" t="s">
        <v>108</v>
      </c>
      <c r="AJ1787">
        <v>0.65525895015229796</v>
      </c>
      <c r="AK1787">
        <v>2.4787471070805802</v>
      </c>
      <c r="AL1787">
        <v>1.6117533836331901</v>
      </c>
      <c r="AM1787">
        <v>0.48382243339257403</v>
      </c>
      <c r="AN1787">
        <v>3.98749973393365</v>
      </c>
      <c r="AO1787">
        <v>0.25067492803856101</v>
      </c>
      <c r="AP1787">
        <v>0.25067492803856101</v>
      </c>
      <c r="AQ1787">
        <v>0</v>
      </c>
      <c r="AR1787">
        <v>1</v>
      </c>
      <c r="AS1787">
        <v>0</v>
      </c>
      <c r="AT1787">
        <v>0</v>
      </c>
      <c r="AU1787">
        <v>0</v>
      </c>
      <c r="AV1787">
        <v>92</v>
      </c>
      <c r="AW1787">
        <v>0</v>
      </c>
      <c r="AX1787">
        <v>0</v>
      </c>
      <c r="AY1787">
        <v>15.5</v>
      </c>
      <c r="AZ1787">
        <v>2.4</v>
      </c>
      <c r="BA1787">
        <v>10.9</v>
      </c>
      <c r="BB1787">
        <v>564</v>
      </c>
      <c r="BC1787">
        <v>68</v>
      </c>
      <c r="BD1787">
        <v>1.5</v>
      </c>
      <c r="BE1787">
        <v>135</v>
      </c>
      <c r="BF1787">
        <v>0</v>
      </c>
      <c r="BG1787">
        <v>162</v>
      </c>
      <c r="BH1787">
        <v>9.1</v>
      </c>
      <c r="BI1787">
        <v>9.1999999999999993</v>
      </c>
      <c r="BJ1787">
        <v>18.3</v>
      </c>
      <c r="BK1787">
        <v>0.34</v>
      </c>
      <c r="BL1787">
        <v>7.3</v>
      </c>
      <c r="BM1787">
        <v>0.9</v>
      </c>
      <c r="BN1787">
        <v>7.5</v>
      </c>
      <c r="BO1787">
        <v>2.9</v>
      </c>
      <c r="BP1787">
        <f t="shared" si="54"/>
        <v>2.1869886723401391</v>
      </c>
      <c r="BQ1787">
        <f t="shared" si="55"/>
        <v>10.419712362263546</v>
      </c>
    </row>
    <row r="1788" spans="1:69" hidden="1" x14ac:dyDescent="0.2">
      <c r="A1788" t="s">
        <v>4175</v>
      </c>
      <c r="B1788" t="s">
        <v>68</v>
      </c>
      <c r="C1788" t="s">
        <v>3294</v>
      </c>
      <c r="D1788" t="s">
        <v>70</v>
      </c>
      <c r="E1788" t="s">
        <v>205</v>
      </c>
      <c r="F1788">
        <v>4</v>
      </c>
      <c r="G1788">
        <v>54.49</v>
      </c>
      <c r="H1788">
        <v>1</v>
      </c>
      <c r="I1788">
        <v>2</v>
      </c>
      <c r="J1788">
        <v>1</v>
      </c>
      <c r="K1788" t="s">
        <v>110</v>
      </c>
      <c r="L1788" t="s">
        <v>124</v>
      </c>
      <c r="M1788" s="4">
        <v>415000000</v>
      </c>
      <c r="N1788">
        <v>0</v>
      </c>
      <c r="O1788">
        <v>4.7301200000000003</v>
      </c>
      <c r="P1788">
        <v>-74.035229999999999</v>
      </c>
      <c r="Q1788" t="s">
        <v>4176</v>
      </c>
      <c r="R1788">
        <v>7616076.3439999996</v>
      </c>
      <c r="S1788">
        <v>0</v>
      </c>
      <c r="T1788" t="s">
        <v>104</v>
      </c>
      <c r="U1788" t="s">
        <v>105</v>
      </c>
      <c r="V1788" t="s">
        <v>77</v>
      </c>
      <c r="W1788" t="s">
        <v>104</v>
      </c>
      <c r="X1788" t="s">
        <v>106</v>
      </c>
      <c r="Y1788">
        <v>2.2646450153055802</v>
      </c>
      <c r="Z1788">
        <v>2264.6450153055798</v>
      </c>
      <c r="AA1788">
        <v>4.71035</v>
      </c>
      <c r="AB1788">
        <v>-74.030416666666696</v>
      </c>
      <c r="AC1788">
        <v>2570</v>
      </c>
      <c r="AD1788">
        <v>10</v>
      </c>
      <c r="AE1788" t="s">
        <v>80</v>
      </c>
      <c r="AF1788" t="s">
        <v>107</v>
      </c>
      <c r="AG1788" t="s">
        <v>82</v>
      </c>
      <c r="AH1788" t="s">
        <v>83</v>
      </c>
      <c r="AI1788" t="s">
        <v>108</v>
      </c>
      <c r="AJ1788">
        <v>1.61890016999067</v>
      </c>
      <c r="AK1788">
        <v>1.49424875813122</v>
      </c>
      <c r="AL1788">
        <v>0.60808842125196405</v>
      </c>
      <c r="AM1788">
        <v>0.30163888274577999</v>
      </c>
      <c r="AN1788">
        <v>1.5747091849841699</v>
      </c>
      <c r="AO1788">
        <v>3.3899379930578899E-2</v>
      </c>
      <c r="AP1788">
        <v>3.3899379930578899E-2</v>
      </c>
      <c r="AQ1788">
        <v>0</v>
      </c>
      <c r="AR1788">
        <v>0</v>
      </c>
      <c r="AS1788">
        <v>0</v>
      </c>
      <c r="AT1788">
        <v>0</v>
      </c>
      <c r="AU1788">
        <v>1</v>
      </c>
      <c r="AV1788">
        <v>8</v>
      </c>
      <c r="AW1788">
        <v>0</v>
      </c>
      <c r="AX1788">
        <v>0</v>
      </c>
      <c r="AY1788">
        <v>15.5</v>
      </c>
      <c r="AZ1788">
        <v>2.4</v>
      </c>
      <c r="BA1788">
        <v>10.9</v>
      </c>
      <c r="BB1788">
        <v>564</v>
      </c>
      <c r="BC1788">
        <v>68</v>
      </c>
      <c r="BD1788">
        <v>1.5</v>
      </c>
      <c r="BE1788">
        <v>135</v>
      </c>
      <c r="BF1788">
        <v>0</v>
      </c>
      <c r="BG1788">
        <v>162</v>
      </c>
      <c r="BH1788">
        <v>9.1</v>
      </c>
      <c r="BI1788">
        <v>9.1999999999999993</v>
      </c>
      <c r="BJ1788">
        <v>18.3</v>
      </c>
      <c r="BK1788">
        <v>0.34</v>
      </c>
      <c r="BL1788">
        <v>7.3</v>
      </c>
      <c r="BM1788">
        <v>0.9</v>
      </c>
      <c r="BN1788">
        <v>7.5</v>
      </c>
      <c r="BO1788">
        <v>2.9</v>
      </c>
      <c r="BP1788">
        <f t="shared" si="54"/>
        <v>2.1454918120299009</v>
      </c>
      <c r="BQ1788">
        <f t="shared" si="55"/>
        <v>10.32338085743176</v>
      </c>
    </row>
    <row r="1789" spans="1:69" hidden="1" x14ac:dyDescent="0.2">
      <c r="A1789" t="s">
        <v>3439</v>
      </c>
      <c r="B1789" t="s">
        <v>68</v>
      </c>
      <c r="C1789" t="s">
        <v>3294</v>
      </c>
      <c r="D1789" t="s">
        <v>70</v>
      </c>
      <c r="E1789" t="s">
        <v>229</v>
      </c>
      <c r="F1789">
        <v>6</v>
      </c>
      <c r="G1789">
        <v>54.14</v>
      </c>
      <c r="H1789">
        <v>1</v>
      </c>
      <c r="I1789">
        <v>2</v>
      </c>
      <c r="J1789">
        <v>1</v>
      </c>
      <c r="K1789" t="s">
        <v>110</v>
      </c>
      <c r="L1789" t="s">
        <v>111</v>
      </c>
      <c r="M1789" s="4">
        <v>827101854</v>
      </c>
      <c r="N1789">
        <v>0</v>
      </c>
      <c r="O1789">
        <v>4.6844400000000004</v>
      </c>
      <c r="P1789">
        <v>-74.054159999999996</v>
      </c>
      <c r="Q1789" t="s">
        <v>3440</v>
      </c>
      <c r="R1789">
        <v>15277093.720000001</v>
      </c>
      <c r="S1789">
        <v>0</v>
      </c>
      <c r="T1789" t="s">
        <v>104</v>
      </c>
      <c r="U1789" t="s">
        <v>105</v>
      </c>
      <c r="V1789" t="s">
        <v>77</v>
      </c>
      <c r="W1789" t="s">
        <v>104</v>
      </c>
      <c r="X1789" t="s">
        <v>106</v>
      </c>
      <c r="Y1789">
        <v>3.90617731145369</v>
      </c>
      <c r="Z1789">
        <v>3906.17731145369</v>
      </c>
      <c r="AA1789">
        <v>4.71035</v>
      </c>
      <c r="AB1789">
        <v>-74.030416666666696</v>
      </c>
      <c r="AC1789">
        <v>2570</v>
      </c>
      <c r="AD1789">
        <v>10</v>
      </c>
      <c r="AE1789" t="s">
        <v>80</v>
      </c>
      <c r="AF1789" t="s">
        <v>107</v>
      </c>
      <c r="AG1789" t="s">
        <v>82</v>
      </c>
      <c r="AH1789" t="s">
        <v>83</v>
      </c>
      <c r="AI1789" t="s">
        <v>130</v>
      </c>
      <c r="AJ1789">
        <v>0.39759296503921499</v>
      </c>
      <c r="AK1789">
        <v>1.9930279803633999</v>
      </c>
      <c r="AL1789">
        <v>0.20909573825494099</v>
      </c>
      <c r="AM1789">
        <v>0.115576375562105</v>
      </c>
      <c r="AN1789">
        <v>3.28851391371545</v>
      </c>
      <c r="AO1789">
        <v>0.45794393133286898</v>
      </c>
      <c r="AP1789">
        <v>0.45794393133286898</v>
      </c>
      <c r="AQ1789">
        <v>1</v>
      </c>
      <c r="AR1789">
        <v>2</v>
      </c>
      <c r="AS1789">
        <v>0</v>
      </c>
      <c r="AT1789">
        <v>0</v>
      </c>
      <c r="AU1789">
        <v>4</v>
      </c>
      <c r="AV1789">
        <v>263</v>
      </c>
      <c r="AW1789">
        <v>0</v>
      </c>
      <c r="AX1789">
        <v>0</v>
      </c>
      <c r="AY1789">
        <v>15.5</v>
      </c>
      <c r="AZ1789">
        <v>2.4</v>
      </c>
      <c r="BA1789">
        <v>10.9</v>
      </c>
      <c r="BB1789">
        <v>564</v>
      </c>
      <c r="BC1789">
        <v>68</v>
      </c>
      <c r="BD1789">
        <v>1.5</v>
      </c>
      <c r="BE1789">
        <v>135</v>
      </c>
      <c r="BF1789">
        <v>0</v>
      </c>
      <c r="BG1789">
        <v>162</v>
      </c>
      <c r="BH1789">
        <v>9.1</v>
      </c>
      <c r="BI1789">
        <v>9.1999999999999993</v>
      </c>
      <c r="BJ1789">
        <v>18.3</v>
      </c>
      <c r="BK1789">
        <v>0.34</v>
      </c>
      <c r="BL1789">
        <v>7.3</v>
      </c>
      <c r="BM1789">
        <v>0.9</v>
      </c>
      <c r="BN1789">
        <v>7.5</v>
      </c>
      <c r="BO1789">
        <v>2.9</v>
      </c>
      <c r="BP1789">
        <f t="shared" si="54"/>
        <v>1.9780528671801361</v>
      </c>
      <c r="BQ1789">
        <f t="shared" si="55"/>
        <v>9.9245802527067415</v>
      </c>
    </row>
    <row r="1790" spans="1:69" hidden="1" x14ac:dyDescent="0.2">
      <c r="A1790" t="s">
        <v>1453</v>
      </c>
      <c r="B1790" t="s">
        <v>68</v>
      </c>
      <c r="C1790" t="s">
        <v>69</v>
      </c>
      <c r="D1790" t="s">
        <v>70</v>
      </c>
      <c r="E1790" t="s">
        <v>1025</v>
      </c>
      <c r="F1790">
        <v>4</v>
      </c>
      <c r="G1790">
        <v>54</v>
      </c>
      <c r="H1790">
        <v>2</v>
      </c>
      <c r="I1790">
        <v>2</v>
      </c>
      <c r="J1790">
        <v>1</v>
      </c>
      <c r="K1790" t="s">
        <v>110</v>
      </c>
      <c r="L1790" t="s">
        <v>111</v>
      </c>
      <c r="M1790" s="4">
        <v>372000000</v>
      </c>
      <c r="N1790">
        <v>0</v>
      </c>
      <c r="O1790">
        <v>4.7466804690000002</v>
      </c>
      <c r="P1790">
        <v>-74.023503439999999</v>
      </c>
      <c r="Q1790" t="s">
        <v>1454</v>
      </c>
      <c r="R1790">
        <v>6888888.8890000004</v>
      </c>
      <c r="S1790">
        <v>0</v>
      </c>
      <c r="T1790" t="s">
        <v>104</v>
      </c>
      <c r="U1790" t="s">
        <v>105</v>
      </c>
      <c r="V1790" t="s">
        <v>77</v>
      </c>
      <c r="W1790" t="s">
        <v>104</v>
      </c>
      <c r="X1790" t="s">
        <v>106</v>
      </c>
      <c r="Y1790">
        <v>4.1163697556817702</v>
      </c>
      <c r="Z1790">
        <v>4116.3697556817697</v>
      </c>
      <c r="AA1790">
        <v>4.71035</v>
      </c>
      <c r="AB1790">
        <v>-74.030416666666696</v>
      </c>
      <c r="AC1790">
        <v>2570</v>
      </c>
      <c r="AD1790">
        <v>10</v>
      </c>
      <c r="AE1790" t="s">
        <v>80</v>
      </c>
      <c r="AF1790" t="s">
        <v>107</v>
      </c>
      <c r="AG1790" t="s">
        <v>82</v>
      </c>
      <c r="AH1790" t="s">
        <v>83</v>
      </c>
      <c r="AI1790" t="s">
        <v>108</v>
      </c>
      <c r="AJ1790">
        <v>2.6338789860962</v>
      </c>
      <c r="AK1790">
        <v>0.42444877782194101</v>
      </c>
      <c r="AL1790">
        <v>0.41562887648425301</v>
      </c>
      <c r="AM1790">
        <v>0.50027122222223097</v>
      </c>
      <c r="AN1790">
        <v>0.67169544207848497</v>
      </c>
      <c r="AO1790">
        <v>0.39144339377048898</v>
      </c>
      <c r="AP1790">
        <v>0.39144339377048898</v>
      </c>
      <c r="AQ1790">
        <v>0</v>
      </c>
      <c r="AR1790">
        <v>0</v>
      </c>
      <c r="AS1790">
        <v>3</v>
      </c>
      <c r="AT1790">
        <v>40</v>
      </c>
      <c r="AU1790">
        <v>3</v>
      </c>
      <c r="AV1790">
        <v>5</v>
      </c>
      <c r="AW1790">
        <v>1</v>
      </c>
      <c r="AX1790">
        <v>0</v>
      </c>
      <c r="AY1790">
        <v>15.5</v>
      </c>
      <c r="AZ1790">
        <v>2.4</v>
      </c>
      <c r="BA1790">
        <v>10.9</v>
      </c>
      <c r="BB1790">
        <v>564</v>
      </c>
      <c r="BC1790">
        <v>68</v>
      </c>
      <c r="BD1790">
        <v>1.5</v>
      </c>
      <c r="BE1790">
        <v>135</v>
      </c>
      <c r="BF1790">
        <v>0</v>
      </c>
      <c r="BG1790">
        <v>162</v>
      </c>
      <c r="BH1790">
        <v>9.1</v>
      </c>
      <c r="BI1790">
        <v>9.1999999999999993</v>
      </c>
      <c r="BJ1790">
        <v>18.3</v>
      </c>
      <c r="BK1790">
        <v>0.34</v>
      </c>
      <c r="BL1790">
        <v>7.3</v>
      </c>
      <c r="BM1790">
        <v>0.9</v>
      </c>
      <c r="BN1790">
        <v>7.5</v>
      </c>
      <c r="BO1790">
        <v>2.9</v>
      </c>
      <c r="BP1790">
        <f t="shared" si="54"/>
        <v>1.9575788605816178</v>
      </c>
      <c r="BQ1790">
        <f t="shared" si="55"/>
        <v>9.8746405991169173</v>
      </c>
    </row>
    <row r="1791" spans="1:69" hidden="1" x14ac:dyDescent="0.2">
      <c r="A1791" t="s">
        <v>4076</v>
      </c>
      <c r="B1791" t="s">
        <v>68</v>
      </c>
      <c r="C1791" t="s">
        <v>3294</v>
      </c>
      <c r="D1791" t="s">
        <v>70</v>
      </c>
      <c r="E1791" t="s">
        <v>337</v>
      </c>
      <c r="F1791">
        <v>5</v>
      </c>
      <c r="G1791">
        <v>54</v>
      </c>
      <c r="H1791">
        <v>1</v>
      </c>
      <c r="I1791">
        <v>2</v>
      </c>
      <c r="J1791">
        <v>2</v>
      </c>
      <c r="K1791" t="s">
        <v>110</v>
      </c>
      <c r="L1791" t="s">
        <v>133</v>
      </c>
      <c r="M1791" s="4">
        <v>660000000</v>
      </c>
      <c r="N1791">
        <v>0</v>
      </c>
      <c r="O1791">
        <v>4.6997076299999998</v>
      </c>
      <c r="P1791">
        <v>-74.045715740000006</v>
      </c>
      <c r="Q1791" t="s">
        <v>4077</v>
      </c>
      <c r="R1791">
        <v>12222222.220000001</v>
      </c>
      <c r="S1791">
        <v>0</v>
      </c>
      <c r="T1791" t="s">
        <v>104</v>
      </c>
      <c r="U1791" t="s">
        <v>105</v>
      </c>
      <c r="V1791" t="s">
        <v>77</v>
      </c>
      <c r="W1791" t="s">
        <v>104</v>
      </c>
      <c r="X1791" t="s">
        <v>106</v>
      </c>
      <c r="Y1791">
        <v>2.06990460378695</v>
      </c>
      <c r="Z1791">
        <v>2069.9046037869498</v>
      </c>
      <c r="AA1791">
        <v>4.71035</v>
      </c>
      <c r="AB1791">
        <v>-74.030416666666696</v>
      </c>
      <c r="AC1791">
        <v>2570</v>
      </c>
      <c r="AD1791">
        <v>10</v>
      </c>
      <c r="AE1791" t="s">
        <v>80</v>
      </c>
      <c r="AF1791" t="s">
        <v>107</v>
      </c>
      <c r="AG1791" t="s">
        <v>82</v>
      </c>
      <c r="AH1791" t="s">
        <v>83</v>
      </c>
      <c r="AI1791" t="s">
        <v>108</v>
      </c>
      <c r="AJ1791">
        <v>1.07790625122249</v>
      </c>
      <c r="AK1791">
        <v>2.2014734045409798</v>
      </c>
      <c r="AL1791">
        <v>0.84419192318640102</v>
      </c>
      <c r="AM1791">
        <v>6.4804154765243593E-2</v>
      </c>
      <c r="AN1791">
        <v>4.9247224714284297</v>
      </c>
      <c r="AO1791">
        <v>0.16266641859234199</v>
      </c>
      <c r="AP1791">
        <v>0.16266641859234199</v>
      </c>
      <c r="AQ1791">
        <v>0</v>
      </c>
      <c r="AR1791">
        <v>0</v>
      </c>
      <c r="AS1791">
        <v>0</v>
      </c>
      <c r="AT1791">
        <v>0</v>
      </c>
      <c r="AU1791">
        <v>1</v>
      </c>
      <c r="AV1791">
        <v>176</v>
      </c>
      <c r="AW1791">
        <v>0</v>
      </c>
      <c r="AX1791">
        <v>0</v>
      </c>
      <c r="AY1791">
        <v>15.5</v>
      </c>
      <c r="AZ1791">
        <v>2.4</v>
      </c>
      <c r="BA1791">
        <v>10.9</v>
      </c>
      <c r="BB1791">
        <v>564</v>
      </c>
      <c r="BC1791">
        <v>68</v>
      </c>
      <c r="BD1791">
        <v>1.5</v>
      </c>
      <c r="BE1791">
        <v>135</v>
      </c>
      <c r="BF1791">
        <v>0</v>
      </c>
      <c r="BG1791">
        <v>162</v>
      </c>
      <c r="BH1791">
        <v>9.1</v>
      </c>
      <c r="BI1791">
        <v>9.1999999999999993</v>
      </c>
      <c r="BJ1791">
        <v>18.3</v>
      </c>
      <c r="BK1791">
        <v>0.34</v>
      </c>
      <c r="BL1791">
        <v>7.3</v>
      </c>
      <c r="BM1791">
        <v>0.9</v>
      </c>
      <c r="BN1791">
        <v>7.5</v>
      </c>
      <c r="BO1791">
        <v>2.9</v>
      </c>
      <c r="BP1791">
        <f t="shared" si="54"/>
        <v>2.1662736066620298</v>
      </c>
      <c r="BQ1791">
        <f t="shared" si="55"/>
        <v>10.371742892381876</v>
      </c>
    </row>
    <row r="1792" spans="1:69" hidden="1" x14ac:dyDescent="0.2">
      <c r="A1792" t="s">
        <v>343</v>
      </c>
      <c r="B1792" t="s">
        <v>68</v>
      </c>
      <c r="C1792" t="s">
        <v>69</v>
      </c>
      <c r="D1792" t="s">
        <v>70</v>
      </c>
      <c r="E1792" t="s">
        <v>344</v>
      </c>
      <c r="F1792">
        <v>5</v>
      </c>
      <c r="G1792">
        <v>53.94</v>
      </c>
      <c r="H1792">
        <v>2</v>
      </c>
      <c r="I1792">
        <v>2</v>
      </c>
      <c r="J1792">
        <v>1</v>
      </c>
      <c r="K1792" t="s">
        <v>110</v>
      </c>
      <c r="L1792" t="s">
        <v>124</v>
      </c>
      <c r="M1792" s="4">
        <v>405000000</v>
      </c>
      <c r="N1792">
        <v>0</v>
      </c>
      <c r="O1792">
        <v>4.7026539999999999</v>
      </c>
      <c r="P1792">
        <v>-74.057100000000005</v>
      </c>
      <c r="Q1792" t="s">
        <v>345</v>
      </c>
      <c r="R1792">
        <v>7508342.6030000001</v>
      </c>
      <c r="S1792">
        <v>0</v>
      </c>
      <c r="T1792" t="s">
        <v>104</v>
      </c>
      <c r="U1792" t="s">
        <v>105</v>
      </c>
      <c r="V1792" t="s">
        <v>77</v>
      </c>
      <c r="W1792" t="s">
        <v>104</v>
      </c>
      <c r="X1792" t="s">
        <v>106</v>
      </c>
      <c r="Y1792">
        <v>3.0818317499253101</v>
      </c>
      <c r="Z1792">
        <v>3081.8317499253099</v>
      </c>
      <c r="AA1792">
        <v>4.71035</v>
      </c>
      <c r="AB1792">
        <v>-74.030416666666696</v>
      </c>
      <c r="AC1792">
        <v>2570</v>
      </c>
      <c r="AD1792">
        <v>10</v>
      </c>
      <c r="AE1792" t="s">
        <v>80</v>
      </c>
      <c r="AF1792" t="s">
        <v>107</v>
      </c>
      <c r="AG1792" t="s">
        <v>82</v>
      </c>
      <c r="AH1792" t="s">
        <v>83</v>
      </c>
      <c r="AI1792" t="s">
        <v>121</v>
      </c>
      <c r="AJ1792">
        <v>0.38698363616152598</v>
      </c>
      <c r="AK1792">
        <v>3.4847628468408298</v>
      </c>
      <c r="AL1792">
        <v>1.3100383816312999</v>
      </c>
      <c r="AM1792">
        <v>0.12444063974017799</v>
      </c>
      <c r="AN1792">
        <v>4.2068731388664098</v>
      </c>
      <c r="AO1792">
        <v>7.3800210478213099E-2</v>
      </c>
      <c r="AP1792">
        <v>7.3800210478213099E-2</v>
      </c>
      <c r="AQ1792">
        <v>1</v>
      </c>
      <c r="AR1792">
        <v>2</v>
      </c>
      <c r="AS1792">
        <v>0</v>
      </c>
      <c r="AT1792">
        <v>0</v>
      </c>
      <c r="AU1792">
        <v>0</v>
      </c>
      <c r="AV1792">
        <v>134</v>
      </c>
      <c r="AW1792">
        <v>0</v>
      </c>
      <c r="AX1792">
        <v>0</v>
      </c>
      <c r="AY1792">
        <v>15.5</v>
      </c>
      <c r="AZ1792">
        <v>2.4</v>
      </c>
      <c r="BA1792">
        <v>10.9</v>
      </c>
      <c r="BB1792">
        <v>564</v>
      </c>
      <c r="BC1792">
        <v>68</v>
      </c>
      <c r="BD1792">
        <v>1.5</v>
      </c>
      <c r="BE1792">
        <v>135</v>
      </c>
      <c r="BF1792">
        <v>0</v>
      </c>
      <c r="BG1792">
        <v>162</v>
      </c>
      <c r="BH1792">
        <v>9.1</v>
      </c>
      <c r="BI1792">
        <v>9.1999999999999993</v>
      </c>
      <c r="BJ1792">
        <v>18.3</v>
      </c>
      <c r="BK1792">
        <v>0.34</v>
      </c>
      <c r="BL1792">
        <v>7.3</v>
      </c>
      <c r="BM1792">
        <v>0.9</v>
      </c>
      <c r="BN1792">
        <v>7.5</v>
      </c>
      <c r="BO1792">
        <v>2.9</v>
      </c>
      <c r="BP1792">
        <f t="shared" si="54"/>
        <v>2.060436937169901</v>
      </c>
      <c r="BQ1792">
        <f t="shared" si="55"/>
        <v>10.122886264889983</v>
      </c>
    </row>
    <row r="1793" spans="1:69" hidden="1" x14ac:dyDescent="0.2">
      <c r="A1793" t="s">
        <v>3542</v>
      </c>
      <c r="B1793" t="s">
        <v>68</v>
      </c>
      <c r="C1793" t="s">
        <v>3294</v>
      </c>
      <c r="D1793" t="s">
        <v>70</v>
      </c>
      <c r="E1793" t="s">
        <v>205</v>
      </c>
      <c r="F1793">
        <v>4</v>
      </c>
      <c r="G1793">
        <v>53.72</v>
      </c>
      <c r="H1793">
        <v>1</v>
      </c>
      <c r="I1793">
        <v>2</v>
      </c>
      <c r="J1793">
        <v>1</v>
      </c>
      <c r="K1793" t="s">
        <v>110</v>
      </c>
      <c r="L1793" t="s">
        <v>124</v>
      </c>
      <c r="M1793" s="4">
        <v>477000000</v>
      </c>
      <c r="N1793">
        <v>0</v>
      </c>
      <c r="O1793">
        <v>4.7033367000000004</v>
      </c>
      <c r="P1793">
        <v>-74.032880300000002</v>
      </c>
      <c r="Q1793" t="s">
        <v>3543</v>
      </c>
      <c r="R1793">
        <v>8879374.5350000001</v>
      </c>
      <c r="S1793">
        <v>0</v>
      </c>
      <c r="T1793" t="s">
        <v>104</v>
      </c>
      <c r="U1793" t="s">
        <v>105</v>
      </c>
      <c r="V1793" t="s">
        <v>77</v>
      </c>
      <c r="W1793" t="s">
        <v>104</v>
      </c>
      <c r="X1793" t="s">
        <v>106</v>
      </c>
      <c r="Y1793">
        <v>0.82717945598397902</v>
      </c>
      <c r="Z1793">
        <v>827.17945598397898</v>
      </c>
      <c r="AA1793">
        <v>4.71035</v>
      </c>
      <c r="AB1793">
        <v>-74.030416666666696</v>
      </c>
      <c r="AC1793">
        <v>2570</v>
      </c>
      <c r="AD1793">
        <v>10</v>
      </c>
      <c r="AE1793" t="s">
        <v>80</v>
      </c>
      <c r="AF1793" t="s">
        <v>107</v>
      </c>
      <c r="AG1793" t="s">
        <v>82</v>
      </c>
      <c r="AH1793" t="s">
        <v>83</v>
      </c>
      <c r="AI1793" t="s">
        <v>108</v>
      </c>
      <c r="AJ1793">
        <v>2.37102343849473</v>
      </c>
      <c r="AK1793">
        <v>0.81925444144999904</v>
      </c>
      <c r="AL1793">
        <v>0.226122691627206</v>
      </c>
      <c r="AM1793">
        <v>0.17301662029551099</v>
      </c>
      <c r="AN1793">
        <v>4.2762831326541697</v>
      </c>
      <c r="AO1793">
        <v>0.420472686938556</v>
      </c>
      <c r="AP1793">
        <v>0.420472686938556</v>
      </c>
      <c r="AQ1793">
        <v>0</v>
      </c>
      <c r="AR1793">
        <v>0</v>
      </c>
      <c r="AS1793">
        <v>0</v>
      </c>
      <c r="AT1793">
        <v>13</v>
      </c>
      <c r="AU1793">
        <v>2</v>
      </c>
      <c r="AV1793">
        <v>148</v>
      </c>
      <c r="AW1793">
        <v>0</v>
      </c>
      <c r="AX1793">
        <v>0</v>
      </c>
      <c r="AY1793">
        <v>15.5</v>
      </c>
      <c r="AZ1793">
        <v>2.4</v>
      </c>
      <c r="BA1793">
        <v>10.9</v>
      </c>
      <c r="BB1793">
        <v>564</v>
      </c>
      <c r="BC1793">
        <v>68</v>
      </c>
      <c r="BD1793">
        <v>1.5</v>
      </c>
      <c r="BE1793">
        <v>135</v>
      </c>
      <c r="BF1793">
        <v>0</v>
      </c>
      <c r="BG1793">
        <v>162</v>
      </c>
      <c r="BH1793">
        <v>9.1</v>
      </c>
      <c r="BI1793">
        <v>9.1999999999999993</v>
      </c>
      <c r="BJ1793">
        <v>18.3</v>
      </c>
      <c r="BK1793">
        <v>0.34</v>
      </c>
      <c r="BL1793">
        <v>7.3</v>
      </c>
      <c r="BM1793">
        <v>0.9</v>
      </c>
      <c r="BN1793">
        <v>7.5</v>
      </c>
      <c r="BO1793">
        <v>2.9</v>
      </c>
      <c r="BP1793">
        <f t="shared" si="54"/>
        <v>2.3037157303167799</v>
      </c>
      <c r="BQ1793">
        <f t="shared" si="55"/>
        <v>10.685743632640877</v>
      </c>
    </row>
    <row r="1794" spans="1:69" hidden="1" x14ac:dyDescent="0.2">
      <c r="A1794" t="s">
        <v>3654</v>
      </c>
      <c r="B1794" t="s">
        <v>68</v>
      </c>
      <c r="C1794" t="s">
        <v>3294</v>
      </c>
      <c r="D1794" t="s">
        <v>70</v>
      </c>
      <c r="E1794" t="s">
        <v>884</v>
      </c>
      <c r="F1794">
        <v>6</v>
      </c>
      <c r="G1794">
        <v>53.19</v>
      </c>
      <c r="H1794">
        <v>1</v>
      </c>
      <c r="I1794">
        <v>2</v>
      </c>
      <c r="J1794">
        <v>1</v>
      </c>
      <c r="K1794" t="s">
        <v>110</v>
      </c>
      <c r="L1794" t="s">
        <v>111</v>
      </c>
      <c r="M1794" s="4">
        <v>748324181</v>
      </c>
      <c r="N1794">
        <v>0</v>
      </c>
      <c r="O1794">
        <v>4.6844400000000004</v>
      </c>
      <c r="P1794">
        <v>-74.054169999999999</v>
      </c>
      <c r="Q1794" t="s">
        <v>3655</v>
      </c>
      <c r="R1794">
        <v>14068888.529999999</v>
      </c>
      <c r="S1794">
        <v>0</v>
      </c>
      <c r="T1794" t="s">
        <v>104</v>
      </c>
      <c r="U1794" t="s">
        <v>105</v>
      </c>
      <c r="V1794" t="s">
        <v>77</v>
      </c>
      <c r="W1794" t="s">
        <v>104</v>
      </c>
      <c r="X1794" t="s">
        <v>106</v>
      </c>
      <c r="Y1794">
        <v>3.9069255836321601</v>
      </c>
      <c r="Z1794">
        <v>3906.9255836321599</v>
      </c>
      <c r="AA1794">
        <v>4.71035</v>
      </c>
      <c r="AB1794">
        <v>-74.030416666666696</v>
      </c>
      <c r="AC1794">
        <v>2570</v>
      </c>
      <c r="AD1794">
        <v>10</v>
      </c>
      <c r="AE1794" t="s">
        <v>80</v>
      </c>
      <c r="AF1794" t="s">
        <v>107</v>
      </c>
      <c r="AG1794" t="s">
        <v>82</v>
      </c>
      <c r="AH1794" t="s">
        <v>83</v>
      </c>
      <c r="AI1794" t="s">
        <v>130</v>
      </c>
      <c r="AJ1794">
        <v>0.396494548136967</v>
      </c>
      <c r="AK1794">
        <v>1.99394191991905</v>
      </c>
      <c r="AL1794">
        <v>0.209891988319508</v>
      </c>
      <c r="AM1794">
        <v>0.114961030462697</v>
      </c>
      <c r="AN1794">
        <v>3.2874782622318302</v>
      </c>
      <c r="AO1794">
        <v>0.45685694650488401</v>
      </c>
      <c r="AP1794">
        <v>0.45685694650488401</v>
      </c>
      <c r="AQ1794">
        <v>1</v>
      </c>
      <c r="AR1794">
        <v>2</v>
      </c>
      <c r="AS1794">
        <v>0</v>
      </c>
      <c r="AT1794">
        <v>0</v>
      </c>
      <c r="AU1794">
        <v>4</v>
      </c>
      <c r="AV1794">
        <v>264</v>
      </c>
      <c r="AW1794">
        <v>0</v>
      </c>
      <c r="AX1794">
        <v>0</v>
      </c>
      <c r="AY1794">
        <v>15.5</v>
      </c>
      <c r="AZ1794">
        <v>2.4</v>
      </c>
      <c r="BA1794">
        <v>10.9</v>
      </c>
      <c r="BB1794">
        <v>564</v>
      </c>
      <c r="BC1794">
        <v>68</v>
      </c>
      <c r="BD1794">
        <v>1.5</v>
      </c>
      <c r="BE1794">
        <v>135</v>
      </c>
      <c r="BF1794">
        <v>0</v>
      </c>
      <c r="BG1794">
        <v>162</v>
      </c>
      <c r="BH1794">
        <v>9.1</v>
      </c>
      <c r="BI1794">
        <v>9.1999999999999993</v>
      </c>
      <c r="BJ1794">
        <v>18.3</v>
      </c>
      <c r="BK1794">
        <v>0.34</v>
      </c>
      <c r="BL1794">
        <v>7.3</v>
      </c>
      <c r="BM1794">
        <v>0.9</v>
      </c>
      <c r="BN1794">
        <v>7.5</v>
      </c>
      <c r="BO1794">
        <v>2.9</v>
      </c>
      <c r="BP1794">
        <f t="shared" ref="BP1794:BP1857" si="56">+AZ1794*EXP(-0.0495*Y1794)</f>
        <v>1.9779796025015484</v>
      </c>
      <c r="BQ1794">
        <f t="shared" ref="BQ1794:BQ1857" si="57">+BA1794*EXP(-0.024*Y1794)</f>
        <v>9.924402023412247</v>
      </c>
    </row>
    <row r="1795" spans="1:69" hidden="1" x14ac:dyDescent="0.2">
      <c r="A1795" t="s">
        <v>4097</v>
      </c>
      <c r="B1795" t="s">
        <v>68</v>
      </c>
      <c r="C1795" t="s">
        <v>3294</v>
      </c>
      <c r="D1795" t="s">
        <v>70</v>
      </c>
      <c r="E1795" t="s">
        <v>3649</v>
      </c>
      <c r="F1795">
        <v>2</v>
      </c>
      <c r="G1795">
        <v>53.19</v>
      </c>
      <c r="H1795">
        <v>1</v>
      </c>
      <c r="I1795">
        <v>2</v>
      </c>
      <c r="J1795">
        <v>1</v>
      </c>
      <c r="K1795" t="s">
        <v>110</v>
      </c>
      <c r="L1795" t="s">
        <v>111</v>
      </c>
      <c r="M1795" s="4">
        <v>745000000</v>
      </c>
      <c r="N1795">
        <v>0</v>
      </c>
      <c r="O1795">
        <v>4.6844400000000004</v>
      </c>
      <c r="P1795">
        <v>-74.054159999999996</v>
      </c>
      <c r="Q1795" t="s">
        <v>4098</v>
      </c>
      <c r="R1795">
        <v>14006392.18</v>
      </c>
      <c r="S1795">
        <v>0</v>
      </c>
      <c r="T1795" t="s">
        <v>104</v>
      </c>
      <c r="U1795" t="s">
        <v>105</v>
      </c>
      <c r="V1795" t="s">
        <v>77</v>
      </c>
      <c r="W1795" t="s">
        <v>104</v>
      </c>
      <c r="X1795" t="s">
        <v>106</v>
      </c>
      <c r="Y1795">
        <v>3.90617731145369</v>
      </c>
      <c r="Z1795">
        <v>3906.17731145369</v>
      </c>
      <c r="AA1795">
        <v>4.71035</v>
      </c>
      <c r="AB1795">
        <v>-74.030416666666696</v>
      </c>
      <c r="AC1795">
        <v>2570</v>
      </c>
      <c r="AD1795">
        <v>10</v>
      </c>
      <c r="AE1795" t="s">
        <v>80</v>
      </c>
      <c r="AF1795" t="s">
        <v>107</v>
      </c>
      <c r="AG1795" t="s">
        <v>82</v>
      </c>
      <c r="AH1795" t="s">
        <v>83</v>
      </c>
      <c r="AI1795" t="s">
        <v>130</v>
      </c>
      <c r="AJ1795">
        <v>0.39759296503921499</v>
      </c>
      <c r="AK1795">
        <v>1.9930279803633999</v>
      </c>
      <c r="AL1795">
        <v>0.20909573825494099</v>
      </c>
      <c r="AM1795">
        <v>0.115576375562105</v>
      </c>
      <c r="AN1795">
        <v>3.28851391371545</v>
      </c>
      <c r="AO1795">
        <v>0.45794393133286898</v>
      </c>
      <c r="AP1795">
        <v>0.45794393133286898</v>
      </c>
      <c r="AQ1795">
        <v>1</v>
      </c>
      <c r="AR1795">
        <v>2</v>
      </c>
      <c r="AS1795">
        <v>0</v>
      </c>
      <c r="AT1795">
        <v>0</v>
      </c>
      <c r="AU1795">
        <v>4</v>
      </c>
      <c r="AV1795">
        <v>263</v>
      </c>
      <c r="AW1795">
        <v>0</v>
      </c>
      <c r="AX1795">
        <v>0</v>
      </c>
      <c r="AY1795">
        <v>15.5</v>
      </c>
      <c r="AZ1795">
        <v>2.4</v>
      </c>
      <c r="BA1795">
        <v>10.9</v>
      </c>
      <c r="BB1795">
        <v>564</v>
      </c>
      <c r="BC1795">
        <v>68</v>
      </c>
      <c r="BD1795">
        <v>1.5</v>
      </c>
      <c r="BE1795">
        <v>135</v>
      </c>
      <c r="BF1795">
        <v>0</v>
      </c>
      <c r="BG1795">
        <v>162</v>
      </c>
      <c r="BH1795">
        <v>9.1</v>
      </c>
      <c r="BI1795">
        <v>9.1999999999999993</v>
      </c>
      <c r="BJ1795">
        <v>18.3</v>
      </c>
      <c r="BK1795">
        <v>0.34</v>
      </c>
      <c r="BL1795">
        <v>7.3</v>
      </c>
      <c r="BM1795">
        <v>0.9</v>
      </c>
      <c r="BN1795">
        <v>7.5</v>
      </c>
      <c r="BO1795">
        <v>2.9</v>
      </c>
      <c r="BP1795">
        <f t="shared" si="56"/>
        <v>1.9780528671801361</v>
      </c>
      <c r="BQ1795">
        <f t="shared" si="57"/>
        <v>9.9245802527067415</v>
      </c>
    </row>
    <row r="1796" spans="1:69" hidden="1" x14ac:dyDescent="0.2">
      <c r="A1796" t="s">
        <v>1539</v>
      </c>
      <c r="B1796" t="s">
        <v>68</v>
      </c>
      <c r="C1796" t="s">
        <v>69</v>
      </c>
      <c r="D1796" t="s">
        <v>70</v>
      </c>
      <c r="E1796" t="s">
        <v>132</v>
      </c>
      <c r="F1796">
        <v>6</v>
      </c>
      <c r="G1796">
        <v>53</v>
      </c>
      <c r="H1796">
        <v>2</v>
      </c>
      <c r="I1796">
        <v>2</v>
      </c>
      <c r="J1796">
        <v>0</v>
      </c>
      <c r="K1796" t="s">
        <v>110</v>
      </c>
      <c r="L1796" t="s">
        <v>111</v>
      </c>
      <c r="M1796" s="4">
        <v>745000000</v>
      </c>
      <c r="N1796">
        <v>0</v>
      </c>
      <c r="O1796">
        <v>4.6824865000000004</v>
      </c>
      <c r="P1796">
        <v>-74.054270299999999</v>
      </c>
      <c r="Q1796" t="s">
        <v>1540</v>
      </c>
      <c r="R1796">
        <v>14056603.77</v>
      </c>
      <c r="S1796">
        <v>0</v>
      </c>
      <c r="T1796" t="s">
        <v>104</v>
      </c>
      <c r="U1796" t="s">
        <v>105</v>
      </c>
      <c r="V1796" t="s">
        <v>77</v>
      </c>
      <c r="W1796" t="s">
        <v>104</v>
      </c>
      <c r="X1796" t="s">
        <v>106</v>
      </c>
      <c r="Y1796">
        <v>4.0773277564196704</v>
      </c>
      <c r="Z1796">
        <v>4077.3277564196701</v>
      </c>
      <c r="AA1796">
        <v>4.71035</v>
      </c>
      <c r="AB1796">
        <v>-74.030416666666696</v>
      </c>
      <c r="AC1796">
        <v>2570</v>
      </c>
      <c r="AD1796">
        <v>10</v>
      </c>
      <c r="AE1796" t="s">
        <v>80</v>
      </c>
      <c r="AF1796" t="s">
        <v>107</v>
      </c>
      <c r="AG1796" t="s">
        <v>82</v>
      </c>
      <c r="AH1796" t="s">
        <v>83</v>
      </c>
      <c r="AI1796" t="s">
        <v>130</v>
      </c>
      <c r="AJ1796">
        <v>0.41448113493807598</v>
      </c>
      <c r="AK1796">
        <v>1.8880141810704001</v>
      </c>
      <c r="AL1796">
        <v>0.39634742550188101</v>
      </c>
      <c r="AM1796">
        <v>0.171969423039149</v>
      </c>
      <c r="AN1796">
        <v>3.2060639246861999</v>
      </c>
      <c r="AO1796">
        <v>0.454426578232346</v>
      </c>
      <c r="AP1796">
        <v>0.454426578232346</v>
      </c>
      <c r="AQ1796">
        <v>1</v>
      </c>
      <c r="AR1796">
        <v>2</v>
      </c>
      <c r="AS1796">
        <v>0</v>
      </c>
      <c r="AT1796">
        <v>0</v>
      </c>
      <c r="AU1796">
        <v>5</v>
      </c>
      <c r="AV1796">
        <v>256</v>
      </c>
      <c r="AW1796">
        <v>0</v>
      </c>
      <c r="AX1796">
        <v>0</v>
      </c>
      <c r="AY1796">
        <v>15.5</v>
      </c>
      <c r="AZ1796">
        <v>2.4</v>
      </c>
      <c r="BA1796">
        <v>10.9</v>
      </c>
      <c r="BB1796">
        <v>564</v>
      </c>
      <c r="BC1796">
        <v>68</v>
      </c>
      <c r="BD1796">
        <v>1.5</v>
      </c>
      <c r="BE1796">
        <v>135</v>
      </c>
      <c r="BF1796">
        <v>0</v>
      </c>
      <c r="BG1796">
        <v>162</v>
      </c>
      <c r="BH1796">
        <v>9.1</v>
      </c>
      <c r="BI1796">
        <v>9.1999999999999993</v>
      </c>
      <c r="BJ1796">
        <v>18.3</v>
      </c>
      <c r="BK1796">
        <v>0.34</v>
      </c>
      <c r="BL1796">
        <v>7.3</v>
      </c>
      <c r="BM1796">
        <v>0.9</v>
      </c>
      <c r="BN1796">
        <v>7.5</v>
      </c>
      <c r="BO1796">
        <v>2.9</v>
      </c>
      <c r="BP1796">
        <f t="shared" si="56"/>
        <v>1.9613656943059079</v>
      </c>
      <c r="BQ1796">
        <f t="shared" si="57"/>
        <v>9.8838975524228214</v>
      </c>
    </row>
    <row r="1797" spans="1:69" hidden="1" x14ac:dyDescent="0.2">
      <c r="A1797" t="s">
        <v>1024</v>
      </c>
      <c r="B1797" t="s">
        <v>68</v>
      </c>
      <c r="C1797" t="s">
        <v>69</v>
      </c>
      <c r="D1797" t="s">
        <v>70</v>
      </c>
      <c r="E1797" t="s">
        <v>1025</v>
      </c>
      <c r="F1797">
        <v>4</v>
      </c>
      <c r="G1797">
        <v>53</v>
      </c>
      <c r="H1797">
        <v>2</v>
      </c>
      <c r="I1797">
        <v>2</v>
      </c>
      <c r="J1797">
        <v>1</v>
      </c>
      <c r="K1797" t="s">
        <v>110</v>
      </c>
      <c r="L1797" t="s">
        <v>111</v>
      </c>
      <c r="M1797" s="4">
        <v>514500000</v>
      </c>
      <c r="N1797">
        <v>0</v>
      </c>
      <c r="O1797">
        <v>4.7457602400000001</v>
      </c>
      <c r="P1797">
        <v>-74.024124229999998</v>
      </c>
      <c r="Q1797" t="s">
        <v>1026</v>
      </c>
      <c r="R1797">
        <v>9707547.1699999999</v>
      </c>
      <c r="S1797">
        <v>0</v>
      </c>
      <c r="T1797" t="s">
        <v>104</v>
      </c>
      <c r="U1797" t="s">
        <v>105</v>
      </c>
      <c r="V1797" t="s">
        <v>77</v>
      </c>
      <c r="W1797" t="s">
        <v>104</v>
      </c>
      <c r="X1797" t="s">
        <v>106</v>
      </c>
      <c r="Y1797">
        <v>4.0031870188055496</v>
      </c>
      <c r="Z1797">
        <v>4003.18701880555</v>
      </c>
      <c r="AA1797">
        <v>4.71035</v>
      </c>
      <c r="AB1797">
        <v>-74.030416666666696</v>
      </c>
      <c r="AC1797">
        <v>2570</v>
      </c>
      <c r="AD1797">
        <v>10</v>
      </c>
      <c r="AE1797" t="s">
        <v>80</v>
      </c>
      <c r="AF1797" t="s">
        <v>107</v>
      </c>
      <c r="AG1797" t="s">
        <v>82</v>
      </c>
      <c r="AH1797" t="s">
        <v>83</v>
      </c>
      <c r="AI1797" t="s">
        <v>108</v>
      </c>
      <c r="AJ1797">
        <v>2.5649144544845401</v>
      </c>
      <c r="AK1797">
        <v>0.54191256055634696</v>
      </c>
      <c r="AL1797">
        <v>0.38033864370738002</v>
      </c>
      <c r="AM1797">
        <v>0.41350998548370999</v>
      </c>
      <c r="AN1797">
        <v>0.54898013919680499</v>
      </c>
      <c r="AO1797">
        <v>0.35665470182304398</v>
      </c>
      <c r="AP1797">
        <v>0.35665470182304398</v>
      </c>
      <c r="AQ1797">
        <v>0</v>
      </c>
      <c r="AR1797">
        <v>0</v>
      </c>
      <c r="AS1797">
        <v>0</v>
      </c>
      <c r="AT1797">
        <v>39</v>
      </c>
      <c r="AU1797">
        <v>3</v>
      </c>
      <c r="AV1797">
        <v>6</v>
      </c>
      <c r="AW1797">
        <v>1</v>
      </c>
      <c r="AX1797">
        <v>0</v>
      </c>
      <c r="AY1797">
        <v>15.5</v>
      </c>
      <c r="AZ1797">
        <v>2.4</v>
      </c>
      <c r="BA1797">
        <v>10.9</v>
      </c>
      <c r="BB1797">
        <v>564</v>
      </c>
      <c r="BC1797">
        <v>68</v>
      </c>
      <c r="BD1797">
        <v>1.5</v>
      </c>
      <c r="BE1797">
        <v>135</v>
      </c>
      <c r="BF1797">
        <v>0</v>
      </c>
      <c r="BG1797">
        <v>162</v>
      </c>
      <c r="BH1797">
        <v>9.1</v>
      </c>
      <c r="BI1797">
        <v>9.1999999999999993</v>
      </c>
      <c r="BJ1797">
        <v>18.3</v>
      </c>
      <c r="BK1797">
        <v>0.34</v>
      </c>
      <c r="BL1797">
        <v>7.3</v>
      </c>
      <c r="BM1797">
        <v>0.9</v>
      </c>
      <c r="BN1797">
        <v>7.5</v>
      </c>
      <c r="BO1797">
        <v>2.9</v>
      </c>
      <c r="BP1797">
        <f t="shared" si="56"/>
        <v>1.9685770653728047</v>
      </c>
      <c r="BQ1797">
        <f t="shared" si="57"/>
        <v>9.9015003957527323</v>
      </c>
    </row>
    <row r="1798" spans="1:69" hidden="1" x14ac:dyDescent="0.2">
      <c r="A1798" t="s">
        <v>4439</v>
      </c>
      <c r="B1798" t="s">
        <v>68</v>
      </c>
      <c r="C1798" t="s">
        <v>3294</v>
      </c>
      <c r="D1798" t="s">
        <v>70</v>
      </c>
      <c r="E1798" t="s">
        <v>1032</v>
      </c>
      <c r="F1798">
        <v>5</v>
      </c>
      <c r="G1798">
        <v>53</v>
      </c>
      <c r="H1798">
        <v>1</v>
      </c>
      <c r="I1798">
        <v>2</v>
      </c>
      <c r="J1798">
        <v>1</v>
      </c>
      <c r="K1798" t="s">
        <v>110</v>
      </c>
      <c r="L1798" t="s">
        <v>111</v>
      </c>
      <c r="M1798" s="4">
        <v>420000000</v>
      </c>
      <c r="N1798">
        <v>0</v>
      </c>
      <c r="O1798">
        <v>4.7220986419999997</v>
      </c>
      <c r="P1798">
        <v>-74.044912179999997</v>
      </c>
      <c r="Q1798" t="s">
        <v>4440</v>
      </c>
      <c r="R1798">
        <v>7924528.3020000001</v>
      </c>
      <c r="S1798">
        <v>0</v>
      </c>
      <c r="T1798" t="s">
        <v>104</v>
      </c>
      <c r="U1798" t="s">
        <v>105</v>
      </c>
      <c r="V1798" t="s">
        <v>77</v>
      </c>
      <c r="W1798" t="s">
        <v>104</v>
      </c>
      <c r="X1798" t="s">
        <v>106</v>
      </c>
      <c r="Y1798">
        <v>2.0728455387621998</v>
      </c>
      <c r="Z1798">
        <v>2072.8455387621998</v>
      </c>
      <c r="AA1798">
        <v>4.71035</v>
      </c>
      <c r="AB1798">
        <v>-74.030416666666696</v>
      </c>
      <c r="AC1798">
        <v>2570</v>
      </c>
      <c r="AD1798">
        <v>10</v>
      </c>
      <c r="AE1798" t="s">
        <v>80</v>
      </c>
      <c r="AF1798" t="s">
        <v>107</v>
      </c>
      <c r="AG1798" t="s">
        <v>82</v>
      </c>
      <c r="AH1798" t="s">
        <v>83</v>
      </c>
      <c r="AI1798" t="s">
        <v>108</v>
      </c>
      <c r="AJ1798">
        <v>0.733292793120497</v>
      </c>
      <c r="AK1798">
        <v>2.3825360044116302</v>
      </c>
      <c r="AL1798">
        <v>1.3117235545705199</v>
      </c>
      <c r="AM1798">
        <v>6.2393745907717998E-2</v>
      </c>
      <c r="AN1798">
        <v>2.9457916067744101</v>
      </c>
      <c r="AO1798">
        <v>0.20464902338677299</v>
      </c>
      <c r="AP1798">
        <v>0.20464902338677299</v>
      </c>
      <c r="AQ1798">
        <v>0</v>
      </c>
      <c r="AR1798">
        <v>2</v>
      </c>
      <c r="AS1798">
        <v>0</v>
      </c>
      <c r="AT1798">
        <v>0</v>
      </c>
      <c r="AU1798">
        <v>0</v>
      </c>
      <c r="AV1798">
        <v>41</v>
      </c>
      <c r="AW1798">
        <v>0</v>
      </c>
      <c r="AX1798">
        <v>0</v>
      </c>
      <c r="AY1798">
        <v>15.5</v>
      </c>
      <c r="AZ1798">
        <v>2.4</v>
      </c>
      <c r="BA1798">
        <v>10.9</v>
      </c>
      <c r="BB1798">
        <v>564</v>
      </c>
      <c r="BC1798">
        <v>68</v>
      </c>
      <c r="BD1798">
        <v>1.5</v>
      </c>
      <c r="BE1798">
        <v>135</v>
      </c>
      <c r="BF1798">
        <v>0</v>
      </c>
      <c r="BG1798">
        <v>162</v>
      </c>
      <c r="BH1798">
        <v>9.1</v>
      </c>
      <c r="BI1798">
        <v>9.1999999999999993</v>
      </c>
      <c r="BJ1798">
        <v>18.3</v>
      </c>
      <c r="BK1798">
        <v>0.34</v>
      </c>
      <c r="BL1798">
        <v>7.3</v>
      </c>
      <c r="BM1798">
        <v>0.9</v>
      </c>
      <c r="BN1798">
        <v>7.5</v>
      </c>
      <c r="BO1798">
        <v>2.9</v>
      </c>
      <c r="BP1798">
        <f t="shared" si="56"/>
        <v>2.1659582715593606</v>
      </c>
      <c r="BQ1798">
        <f t="shared" si="57"/>
        <v>10.371010855302426</v>
      </c>
    </row>
    <row r="1799" spans="1:69" hidden="1" x14ac:dyDescent="0.2">
      <c r="A1799" t="s">
        <v>3648</v>
      </c>
      <c r="B1799" t="s">
        <v>68</v>
      </c>
      <c r="C1799" t="s">
        <v>3294</v>
      </c>
      <c r="D1799" t="s">
        <v>70</v>
      </c>
      <c r="E1799" t="s">
        <v>3649</v>
      </c>
      <c r="F1799">
        <v>6</v>
      </c>
      <c r="G1799">
        <v>52.61</v>
      </c>
      <c r="H1799">
        <v>1</v>
      </c>
      <c r="I1799">
        <v>2</v>
      </c>
      <c r="J1799">
        <v>1</v>
      </c>
      <c r="K1799" t="s">
        <v>110</v>
      </c>
      <c r="L1799" t="s">
        <v>111</v>
      </c>
      <c r="M1799" s="4">
        <v>746610350</v>
      </c>
      <c r="N1799">
        <v>0</v>
      </c>
      <c r="O1799">
        <v>4.6844400000000004</v>
      </c>
      <c r="P1799">
        <v>-74.054169999999999</v>
      </c>
      <c r="Q1799" t="s">
        <v>3650</v>
      </c>
      <c r="R1799">
        <v>14191415.130000001</v>
      </c>
      <c r="S1799">
        <v>0</v>
      </c>
      <c r="T1799" t="s">
        <v>104</v>
      </c>
      <c r="U1799" t="s">
        <v>105</v>
      </c>
      <c r="V1799" t="s">
        <v>77</v>
      </c>
      <c r="W1799" t="s">
        <v>104</v>
      </c>
      <c r="X1799" t="s">
        <v>106</v>
      </c>
      <c r="Y1799">
        <v>3.9069255836321601</v>
      </c>
      <c r="Z1799">
        <v>3906.9255836321599</v>
      </c>
      <c r="AA1799">
        <v>4.71035</v>
      </c>
      <c r="AB1799">
        <v>-74.030416666666696</v>
      </c>
      <c r="AC1799">
        <v>2570</v>
      </c>
      <c r="AD1799">
        <v>10</v>
      </c>
      <c r="AE1799" t="s">
        <v>80</v>
      </c>
      <c r="AF1799" t="s">
        <v>107</v>
      </c>
      <c r="AG1799" t="s">
        <v>82</v>
      </c>
      <c r="AH1799" t="s">
        <v>83</v>
      </c>
      <c r="AI1799" t="s">
        <v>130</v>
      </c>
      <c r="AJ1799">
        <v>0.396494548136967</v>
      </c>
      <c r="AK1799">
        <v>1.99394191991905</v>
      </c>
      <c r="AL1799">
        <v>0.209891988319508</v>
      </c>
      <c r="AM1799">
        <v>0.114961030462697</v>
      </c>
      <c r="AN1799">
        <v>3.2874782622318302</v>
      </c>
      <c r="AO1799">
        <v>0.45685694650488401</v>
      </c>
      <c r="AP1799">
        <v>0.45685694650488401</v>
      </c>
      <c r="AQ1799">
        <v>1</v>
      </c>
      <c r="AR1799">
        <v>2</v>
      </c>
      <c r="AS1799">
        <v>0</v>
      </c>
      <c r="AT1799">
        <v>0</v>
      </c>
      <c r="AU1799">
        <v>4</v>
      </c>
      <c r="AV1799">
        <v>264</v>
      </c>
      <c r="AW1799">
        <v>0</v>
      </c>
      <c r="AX1799">
        <v>0</v>
      </c>
      <c r="AY1799">
        <v>15.5</v>
      </c>
      <c r="AZ1799">
        <v>2.4</v>
      </c>
      <c r="BA1799">
        <v>10.9</v>
      </c>
      <c r="BB1799">
        <v>564</v>
      </c>
      <c r="BC1799">
        <v>68</v>
      </c>
      <c r="BD1799">
        <v>1.5</v>
      </c>
      <c r="BE1799">
        <v>135</v>
      </c>
      <c r="BF1799">
        <v>0</v>
      </c>
      <c r="BG1799">
        <v>162</v>
      </c>
      <c r="BH1799">
        <v>9.1</v>
      </c>
      <c r="BI1799">
        <v>9.1999999999999993</v>
      </c>
      <c r="BJ1799">
        <v>18.3</v>
      </c>
      <c r="BK1799">
        <v>0.34</v>
      </c>
      <c r="BL1799">
        <v>7.3</v>
      </c>
      <c r="BM1799">
        <v>0.9</v>
      </c>
      <c r="BN1799">
        <v>7.5</v>
      </c>
      <c r="BO1799">
        <v>2.9</v>
      </c>
      <c r="BP1799">
        <f t="shared" si="56"/>
        <v>1.9779796025015484</v>
      </c>
      <c r="BQ1799">
        <f t="shared" si="57"/>
        <v>9.924402023412247</v>
      </c>
    </row>
    <row r="1800" spans="1:69" hidden="1" x14ac:dyDescent="0.2">
      <c r="A1800" t="s">
        <v>3389</v>
      </c>
      <c r="B1800" t="s">
        <v>68</v>
      </c>
      <c r="C1800" t="s">
        <v>3294</v>
      </c>
      <c r="D1800" t="s">
        <v>70</v>
      </c>
      <c r="E1800" t="s">
        <v>1486</v>
      </c>
      <c r="F1800">
        <v>6</v>
      </c>
      <c r="G1800">
        <v>52.41</v>
      </c>
      <c r="H1800">
        <v>1</v>
      </c>
      <c r="I1800">
        <v>2</v>
      </c>
      <c r="J1800">
        <v>2</v>
      </c>
      <c r="K1800" t="s">
        <v>110</v>
      </c>
      <c r="L1800" t="s">
        <v>111</v>
      </c>
      <c r="M1800" s="4">
        <v>640000000</v>
      </c>
      <c r="N1800">
        <v>0</v>
      </c>
      <c r="O1800">
        <v>4.6835673470000003</v>
      </c>
      <c r="P1800">
        <v>-74.054681650000006</v>
      </c>
      <c r="Q1800" t="s">
        <v>3390</v>
      </c>
      <c r="R1800">
        <v>12211410.039999999</v>
      </c>
      <c r="S1800">
        <v>0</v>
      </c>
      <c r="T1800" t="s">
        <v>104</v>
      </c>
      <c r="U1800" t="s">
        <v>105</v>
      </c>
      <c r="V1800" t="s">
        <v>77</v>
      </c>
      <c r="W1800" t="s">
        <v>104</v>
      </c>
      <c r="X1800" t="s">
        <v>106</v>
      </c>
      <c r="Y1800">
        <v>4.0170019243560997</v>
      </c>
      <c r="Z1800">
        <v>4017.0019243561001</v>
      </c>
      <c r="AA1800">
        <v>4.71035</v>
      </c>
      <c r="AB1800">
        <v>-74.030416666666696</v>
      </c>
      <c r="AC1800">
        <v>2570</v>
      </c>
      <c r="AD1800">
        <v>10</v>
      </c>
      <c r="AE1800" t="s">
        <v>80</v>
      </c>
      <c r="AF1800" t="s">
        <v>107</v>
      </c>
      <c r="AG1800" t="s">
        <v>82</v>
      </c>
      <c r="AH1800" t="s">
        <v>83</v>
      </c>
      <c r="AI1800" t="s">
        <v>130</v>
      </c>
      <c r="AJ1800">
        <v>0.33868170974832401</v>
      </c>
      <c r="AK1800">
        <v>1.98925024063294</v>
      </c>
      <c r="AL1800">
        <v>0.319101527791537</v>
      </c>
      <c r="AM1800">
        <v>0.19244260082105799</v>
      </c>
      <c r="AN1800">
        <v>3.2007983785639098</v>
      </c>
      <c r="AO1800">
        <v>0.39116286698589398</v>
      </c>
      <c r="AP1800">
        <v>0.39116286698589398</v>
      </c>
      <c r="AQ1800">
        <v>1</v>
      </c>
      <c r="AR1800">
        <v>3</v>
      </c>
      <c r="AS1800">
        <v>0</v>
      </c>
      <c r="AT1800">
        <v>0</v>
      </c>
      <c r="AU1800">
        <v>5</v>
      </c>
      <c r="AV1800">
        <v>261</v>
      </c>
      <c r="AW1800">
        <v>0</v>
      </c>
      <c r="AX1800">
        <v>0</v>
      </c>
      <c r="AY1800">
        <v>15.5</v>
      </c>
      <c r="AZ1800">
        <v>2.4</v>
      </c>
      <c r="BA1800">
        <v>10.9</v>
      </c>
      <c r="BB1800">
        <v>564</v>
      </c>
      <c r="BC1800">
        <v>68</v>
      </c>
      <c r="BD1800">
        <v>1.5</v>
      </c>
      <c r="BE1800">
        <v>135</v>
      </c>
      <c r="BF1800">
        <v>0</v>
      </c>
      <c r="BG1800">
        <v>162</v>
      </c>
      <c r="BH1800">
        <v>9.1</v>
      </c>
      <c r="BI1800">
        <v>9.1999999999999993</v>
      </c>
      <c r="BJ1800">
        <v>18.3</v>
      </c>
      <c r="BK1800">
        <v>0.34</v>
      </c>
      <c r="BL1800">
        <v>7.3</v>
      </c>
      <c r="BM1800">
        <v>0.9</v>
      </c>
      <c r="BN1800">
        <v>7.5</v>
      </c>
      <c r="BO1800">
        <v>2.9</v>
      </c>
      <c r="BP1800">
        <f t="shared" si="56"/>
        <v>1.967231338096612</v>
      </c>
      <c r="BQ1800">
        <f t="shared" si="57"/>
        <v>9.898218020904558</v>
      </c>
    </row>
    <row r="1801" spans="1:69" hidden="1" x14ac:dyDescent="0.2">
      <c r="A1801" t="s">
        <v>3393</v>
      </c>
      <c r="B1801" t="s">
        <v>68</v>
      </c>
      <c r="C1801" t="s">
        <v>3294</v>
      </c>
      <c r="D1801" t="s">
        <v>70</v>
      </c>
      <c r="E1801" t="s">
        <v>1486</v>
      </c>
      <c r="F1801">
        <v>6</v>
      </c>
      <c r="G1801">
        <v>52.41</v>
      </c>
      <c r="H1801">
        <v>1</v>
      </c>
      <c r="I1801">
        <v>2</v>
      </c>
      <c r="J1801">
        <v>2</v>
      </c>
      <c r="K1801" t="s">
        <v>110</v>
      </c>
      <c r="L1801" t="s">
        <v>111</v>
      </c>
      <c r="M1801" s="4">
        <v>640000000</v>
      </c>
      <c r="N1801">
        <v>0</v>
      </c>
      <c r="O1801">
        <v>4.6835673470000003</v>
      </c>
      <c r="P1801">
        <v>-74.054681650000006</v>
      </c>
      <c r="Q1801" t="s">
        <v>3394</v>
      </c>
      <c r="R1801">
        <v>12211410.039999999</v>
      </c>
      <c r="S1801">
        <v>0</v>
      </c>
      <c r="T1801" t="s">
        <v>104</v>
      </c>
      <c r="U1801" t="s">
        <v>105</v>
      </c>
      <c r="V1801" t="s">
        <v>77</v>
      </c>
      <c r="W1801" t="s">
        <v>104</v>
      </c>
      <c r="X1801" t="s">
        <v>106</v>
      </c>
      <c r="Y1801">
        <v>4.0170019243560997</v>
      </c>
      <c r="Z1801">
        <v>4017.0019243561001</v>
      </c>
      <c r="AA1801">
        <v>4.71035</v>
      </c>
      <c r="AB1801">
        <v>-74.030416666666696</v>
      </c>
      <c r="AC1801">
        <v>2570</v>
      </c>
      <c r="AD1801">
        <v>10</v>
      </c>
      <c r="AE1801" t="s">
        <v>80</v>
      </c>
      <c r="AF1801" t="s">
        <v>107</v>
      </c>
      <c r="AG1801" t="s">
        <v>82</v>
      </c>
      <c r="AH1801" t="s">
        <v>83</v>
      </c>
      <c r="AI1801" t="s">
        <v>130</v>
      </c>
      <c r="AJ1801">
        <v>0.33868170974832401</v>
      </c>
      <c r="AK1801">
        <v>1.98925024063294</v>
      </c>
      <c r="AL1801">
        <v>0.319101527791537</v>
      </c>
      <c r="AM1801">
        <v>0.19244260082105799</v>
      </c>
      <c r="AN1801">
        <v>3.2007983785639098</v>
      </c>
      <c r="AO1801">
        <v>0.39116286698589398</v>
      </c>
      <c r="AP1801">
        <v>0.39116286698589398</v>
      </c>
      <c r="AQ1801">
        <v>1</v>
      </c>
      <c r="AR1801">
        <v>3</v>
      </c>
      <c r="AS1801">
        <v>0</v>
      </c>
      <c r="AT1801">
        <v>0</v>
      </c>
      <c r="AU1801">
        <v>5</v>
      </c>
      <c r="AV1801">
        <v>261</v>
      </c>
      <c r="AW1801">
        <v>0</v>
      </c>
      <c r="AX1801">
        <v>0</v>
      </c>
      <c r="AY1801">
        <v>15.5</v>
      </c>
      <c r="AZ1801">
        <v>2.4</v>
      </c>
      <c r="BA1801">
        <v>10.9</v>
      </c>
      <c r="BB1801">
        <v>564</v>
      </c>
      <c r="BC1801">
        <v>68</v>
      </c>
      <c r="BD1801">
        <v>1.5</v>
      </c>
      <c r="BE1801">
        <v>135</v>
      </c>
      <c r="BF1801">
        <v>0</v>
      </c>
      <c r="BG1801">
        <v>162</v>
      </c>
      <c r="BH1801">
        <v>9.1</v>
      </c>
      <c r="BI1801">
        <v>9.1999999999999993</v>
      </c>
      <c r="BJ1801">
        <v>18.3</v>
      </c>
      <c r="BK1801">
        <v>0.34</v>
      </c>
      <c r="BL1801">
        <v>7.3</v>
      </c>
      <c r="BM1801">
        <v>0.9</v>
      </c>
      <c r="BN1801">
        <v>7.5</v>
      </c>
      <c r="BO1801">
        <v>2.9</v>
      </c>
      <c r="BP1801">
        <f t="shared" si="56"/>
        <v>1.967231338096612</v>
      </c>
      <c r="BQ1801">
        <f t="shared" si="57"/>
        <v>9.898218020904558</v>
      </c>
    </row>
    <row r="1802" spans="1:69" hidden="1" x14ac:dyDescent="0.2">
      <c r="A1802" t="s">
        <v>3397</v>
      </c>
      <c r="B1802" t="s">
        <v>68</v>
      </c>
      <c r="C1802" t="s">
        <v>3294</v>
      </c>
      <c r="D1802" t="s">
        <v>70</v>
      </c>
      <c r="E1802" t="s">
        <v>1486</v>
      </c>
      <c r="F1802">
        <v>6</v>
      </c>
      <c r="G1802">
        <v>52.41</v>
      </c>
      <c r="H1802">
        <v>1</v>
      </c>
      <c r="I1802">
        <v>2</v>
      </c>
      <c r="J1802">
        <v>2</v>
      </c>
      <c r="K1802" t="s">
        <v>110</v>
      </c>
      <c r="L1802" t="s">
        <v>111</v>
      </c>
      <c r="M1802" s="4">
        <v>640000000</v>
      </c>
      <c r="N1802">
        <v>0</v>
      </c>
      <c r="O1802">
        <v>4.6835673470000003</v>
      </c>
      <c r="P1802">
        <v>-74.054681650000006</v>
      </c>
      <c r="Q1802" t="s">
        <v>3398</v>
      </c>
      <c r="R1802">
        <v>12211410.039999999</v>
      </c>
      <c r="S1802">
        <v>0</v>
      </c>
      <c r="T1802" t="s">
        <v>104</v>
      </c>
      <c r="U1802" t="s">
        <v>105</v>
      </c>
      <c r="V1802" t="s">
        <v>77</v>
      </c>
      <c r="W1802" t="s">
        <v>104</v>
      </c>
      <c r="X1802" t="s">
        <v>106</v>
      </c>
      <c r="Y1802">
        <v>4.0170019243560997</v>
      </c>
      <c r="Z1802">
        <v>4017.0019243561001</v>
      </c>
      <c r="AA1802">
        <v>4.71035</v>
      </c>
      <c r="AB1802">
        <v>-74.030416666666696</v>
      </c>
      <c r="AC1802">
        <v>2570</v>
      </c>
      <c r="AD1802">
        <v>10</v>
      </c>
      <c r="AE1802" t="s">
        <v>80</v>
      </c>
      <c r="AF1802" t="s">
        <v>107</v>
      </c>
      <c r="AG1802" t="s">
        <v>82</v>
      </c>
      <c r="AH1802" t="s">
        <v>83</v>
      </c>
      <c r="AI1802" t="s">
        <v>130</v>
      </c>
      <c r="AJ1802">
        <v>0.33868170974832401</v>
      </c>
      <c r="AK1802">
        <v>1.98925024063294</v>
      </c>
      <c r="AL1802">
        <v>0.319101527791537</v>
      </c>
      <c r="AM1802">
        <v>0.19244260082105799</v>
      </c>
      <c r="AN1802">
        <v>3.2007983785639098</v>
      </c>
      <c r="AO1802">
        <v>0.39116286698589398</v>
      </c>
      <c r="AP1802">
        <v>0.39116286698589398</v>
      </c>
      <c r="AQ1802">
        <v>1</v>
      </c>
      <c r="AR1802">
        <v>3</v>
      </c>
      <c r="AS1802">
        <v>0</v>
      </c>
      <c r="AT1802">
        <v>0</v>
      </c>
      <c r="AU1802">
        <v>5</v>
      </c>
      <c r="AV1802">
        <v>261</v>
      </c>
      <c r="AW1802">
        <v>0</v>
      </c>
      <c r="AX1802">
        <v>0</v>
      </c>
      <c r="AY1802">
        <v>15.5</v>
      </c>
      <c r="AZ1802">
        <v>2.4</v>
      </c>
      <c r="BA1802">
        <v>10.9</v>
      </c>
      <c r="BB1802">
        <v>564</v>
      </c>
      <c r="BC1802">
        <v>68</v>
      </c>
      <c r="BD1802">
        <v>1.5</v>
      </c>
      <c r="BE1802">
        <v>135</v>
      </c>
      <c r="BF1802">
        <v>0</v>
      </c>
      <c r="BG1802">
        <v>162</v>
      </c>
      <c r="BH1802">
        <v>9.1</v>
      </c>
      <c r="BI1802">
        <v>9.1999999999999993</v>
      </c>
      <c r="BJ1802">
        <v>18.3</v>
      </c>
      <c r="BK1802">
        <v>0.34</v>
      </c>
      <c r="BL1802">
        <v>7.3</v>
      </c>
      <c r="BM1802">
        <v>0.9</v>
      </c>
      <c r="BN1802">
        <v>7.5</v>
      </c>
      <c r="BO1802">
        <v>2.9</v>
      </c>
      <c r="BP1802">
        <f t="shared" si="56"/>
        <v>1.967231338096612</v>
      </c>
      <c r="BQ1802">
        <f t="shared" si="57"/>
        <v>9.898218020904558</v>
      </c>
    </row>
    <row r="1803" spans="1:69" hidden="1" x14ac:dyDescent="0.2">
      <c r="A1803" t="s">
        <v>4409</v>
      </c>
      <c r="B1803" t="s">
        <v>68</v>
      </c>
      <c r="C1803" t="s">
        <v>3294</v>
      </c>
      <c r="D1803" t="s">
        <v>70</v>
      </c>
      <c r="E1803" t="s">
        <v>1486</v>
      </c>
      <c r="F1803">
        <v>6</v>
      </c>
      <c r="G1803">
        <v>52</v>
      </c>
      <c r="H1803">
        <v>1</v>
      </c>
      <c r="I1803">
        <v>2</v>
      </c>
      <c r="J1803">
        <v>1</v>
      </c>
      <c r="K1803" t="s">
        <v>110</v>
      </c>
      <c r="L1803" t="s">
        <v>124</v>
      </c>
      <c r="M1803" s="4">
        <v>550000000</v>
      </c>
      <c r="N1803">
        <v>3800000</v>
      </c>
      <c r="O1803">
        <v>4.6837828180000001</v>
      </c>
      <c r="P1803">
        <v>-74.055222819999997</v>
      </c>
      <c r="Q1803" t="s">
        <v>4410</v>
      </c>
      <c r="R1803">
        <v>10576923.08</v>
      </c>
      <c r="S1803">
        <v>73076.923079999993</v>
      </c>
      <c r="T1803" t="s">
        <v>104</v>
      </c>
      <c r="U1803" t="s">
        <v>105</v>
      </c>
      <c r="V1803" t="s">
        <v>77</v>
      </c>
      <c r="W1803" t="s">
        <v>104</v>
      </c>
      <c r="X1803" t="s">
        <v>106</v>
      </c>
      <c r="Y1803">
        <v>4.0398917698012804</v>
      </c>
      <c r="Z1803">
        <v>4039.8917698012801</v>
      </c>
      <c r="AA1803">
        <v>4.71035</v>
      </c>
      <c r="AB1803">
        <v>-74.030416666666696</v>
      </c>
      <c r="AC1803">
        <v>2570</v>
      </c>
      <c r="AD1803">
        <v>10</v>
      </c>
      <c r="AE1803" t="s">
        <v>80</v>
      </c>
      <c r="AF1803" t="s">
        <v>107</v>
      </c>
      <c r="AG1803" t="s">
        <v>82</v>
      </c>
      <c r="AH1803" t="s">
        <v>83</v>
      </c>
      <c r="AI1803" t="s">
        <v>130</v>
      </c>
      <c r="AJ1803">
        <v>0.27664749714958897</v>
      </c>
      <c r="AK1803">
        <v>2.0528429535329802</v>
      </c>
      <c r="AL1803">
        <v>0.34552396364773602</v>
      </c>
      <c r="AM1803">
        <v>0.171960713510418</v>
      </c>
      <c r="AN1803">
        <v>3.1526072802887102</v>
      </c>
      <c r="AO1803">
        <v>0.33158014722059498</v>
      </c>
      <c r="AP1803">
        <v>0.33158014722059498</v>
      </c>
      <c r="AQ1803">
        <v>1</v>
      </c>
      <c r="AR1803">
        <v>3</v>
      </c>
      <c r="AS1803">
        <v>0</v>
      </c>
      <c r="AT1803">
        <v>0</v>
      </c>
      <c r="AU1803">
        <v>5</v>
      </c>
      <c r="AV1803">
        <v>254</v>
      </c>
      <c r="AW1803">
        <v>0</v>
      </c>
      <c r="AX1803">
        <v>0</v>
      </c>
      <c r="AY1803">
        <v>15.5</v>
      </c>
      <c r="AZ1803">
        <v>2.4</v>
      </c>
      <c r="BA1803">
        <v>10.9</v>
      </c>
      <c r="BB1803">
        <v>564</v>
      </c>
      <c r="BC1803">
        <v>68</v>
      </c>
      <c r="BD1803">
        <v>1.5</v>
      </c>
      <c r="BE1803">
        <v>135</v>
      </c>
      <c r="BF1803">
        <v>0</v>
      </c>
      <c r="BG1803">
        <v>162</v>
      </c>
      <c r="BH1803">
        <v>9.1</v>
      </c>
      <c r="BI1803">
        <v>9.1999999999999993</v>
      </c>
      <c r="BJ1803">
        <v>18.3</v>
      </c>
      <c r="BK1803">
        <v>0.34</v>
      </c>
      <c r="BL1803">
        <v>7.3</v>
      </c>
      <c r="BM1803">
        <v>0.9</v>
      </c>
      <c r="BN1803">
        <v>7.5</v>
      </c>
      <c r="BO1803">
        <v>2.9</v>
      </c>
      <c r="BP1803">
        <f t="shared" si="56"/>
        <v>1.9650036341284216</v>
      </c>
      <c r="BQ1803">
        <f t="shared" si="57"/>
        <v>9.8927818658979003</v>
      </c>
    </row>
    <row r="1804" spans="1:69" hidden="1" x14ac:dyDescent="0.2">
      <c r="A1804" t="s">
        <v>3494</v>
      </c>
      <c r="B1804" t="s">
        <v>68</v>
      </c>
      <c r="C1804" t="s">
        <v>3294</v>
      </c>
      <c r="D1804" t="s">
        <v>70</v>
      </c>
      <c r="E1804" t="s">
        <v>132</v>
      </c>
      <c r="F1804">
        <v>6</v>
      </c>
      <c r="G1804">
        <v>52</v>
      </c>
      <c r="H1804">
        <v>1</v>
      </c>
      <c r="I1804">
        <v>1</v>
      </c>
      <c r="J1804">
        <v>2</v>
      </c>
      <c r="K1804" t="s">
        <v>110</v>
      </c>
      <c r="L1804" t="s">
        <v>111</v>
      </c>
      <c r="M1804" s="4">
        <v>640000000</v>
      </c>
      <c r="N1804">
        <v>0</v>
      </c>
      <c r="O1804">
        <v>4.6837053639999997</v>
      </c>
      <c r="P1804">
        <v>-74.054396150000002</v>
      </c>
      <c r="Q1804" t="s">
        <v>3495</v>
      </c>
      <c r="R1804">
        <v>12307692.310000001</v>
      </c>
      <c r="S1804">
        <v>0</v>
      </c>
      <c r="T1804" t="s">
        <v>104</v>
      </c>
      <c r="U1804" t="s">
        <v>105</v>
      </c>
      <c r="V1804" t="s">
        <v>77</v>
      </c>
      <c r="W1804" t="s">
        <v>104</v>
      </c>
      <c r="X1804" t="s">
        <v>106</v>
      </c>
      <c r="Y1804">
        <v>3.9843926788087001</v>
      </c>
      <c r="Z1804">
        <v>3984.3926788087001</v>
      </c>
      <c r="AA1804">
        <v>4.71035</v>
      </c>
      <c r="AB1804">
        <v>-74.030416666666696</v>
      </c>
      <c r="AC1804">
        <v>2570</v>
      </c>
      <c r="AD1804">
        <v>10</v>
      </c>
      <c r="AE1804" t="s">
        <v>80</v>
      </c>
      <c r="AF1804" t="s">
        <v>107</v>
      </c>
      <c r="AG1804" t="s">
        <v>82</v>
      </c>
      <c r="AH1804" t="s">
        <v>83</v>
      </c>
      <c r="AI1804" t="s">
        <v>130</v>
      </c>
      <c r="AJ1804">
        <v>0.36868341282237399</v>
      </c>
      <c r="AK1804">
        <v>1.9703254987274501</v>
      </c>
      <c r="AL1804">
        <v>0.287262167097113</v>
      </c>
      <c r="AM1804">
        <v>0.181177137929142</v>
      </c>
      <c r="AN1804">
        <v>3.2357443820735901</v>
      </c>
      <c r="AO1804">
        <v>0.422868788901549</v>
      </c>
      <c r="AP1804">
        <v>0.422868788901549</v>
      </c>
      <c r="AQ1804">
        <v>1</v>
      </c>
      <c r="AR1804">
        <v>3</v>
      </c>
      <c r="AS1804">
        <v>0</v>
      </c>
      <c r="AT1804">
        <v>0</v>
      </c>
      <c r="AU1804">
        <v>5</v>
      </c>
      <c r="AV1804">
        <v>260</v>
      </c>
      <c r="AW1804">
        <v>0</v>
      </c>
      <c r="AX1804">
        <v>0</v>
      </c>
      <c r="AY1804">
        <v>15.5</v>
      </c>
      <c r="AZ1804">
        <v>2.4</v>
      </c>
      <c r="BA1804">
        <v>10.9</v>
      </c>
      <c r="BB1804">
        <v>564</v>
      </c>
      <c r="BC1804">
        <v>68</v>
      </c>
      <c r="BD1804">
        <v>1.5</v>
      </c>
      <c r="BE1804">
        <v>135</v>
      </c>
      <c r="BF1804">
        <v>0</v>
      </c>
      <c r="BG1804">
        <v>162</v>
      </c>
      <c r="BH1804">
        <v>9.1</v>
      </c>
      <c r="BI1804">
        <v>9.1999999999999993</v>
      </c>
      <c r="BJ1804">
        <v>18.3</v>
      </c>
      <c r="BK1804">
        <v>0.34</v>
      </c>
      <c r="BL1804">
        <v>7.3</v>
      </c>
      <c r="BM1804">
        <v>0.9</v>
      </c>
      <c r="BN1804">
        <v>7.5</v>
      </c>
      <c r="BO1804">
        <v>2.9</v>
      </c>
      <c r="BP1804">
        <f t="shared" si="56"/>
        <v>1.970409323814327</v>
      </c>
      <c r="BQ1804">
        <f t="shared" si="57"/>
        <v>9.9059676151362712</v>
      </c>
    </row>
    <row r="1805" spans="1:69" hidden="1" x14ac:dyDescent="0.2">
      <c r="A1805" t="s">
        <v>3605</v>
      </c>
      <c r="B1805" t="s">
        <v>68</v>
      </c>
      <c r="C1805" t="s">
        <v>3294</v>
      </c>
      <c r="D1805" t="s">
        <v>70</v>
      </c>
      <c r="E1805" t="s">
        <v>132</v>
      </c>
      <c r="F1805">
        <v>6</v>
      </c>
      <c r="G1805">
        <v>52</v>
      </c>
      <c r="H1805">
        <v>1</v>
      </c>
      <c r="I1805">
        <v>1</v>
      </c>
      <c r="J1805">
        <v>2</v>
      </c>
      <c r="K1805" t="s">
        <v>110</v>
      </c>
      <c r="L1805" t="s">
        <v>111</v>
      </c>
      <c r="M1805" s="4">
        <v>640000000</v>
      </c>
      <c r="N1805">
        <v>0</v>
      </c>
      <c r="O1805">
        <v>4.6836452819999996</v>
      </c>
      <c r="P1805">
        <v>-74.054053580000001</v>
      </c>
      <c r="Q1805" t="s">
        <v>3606</v>
      </c>
      <c r="R1805">
        <v>12307692.310000001</v>
      </c>
      <c r="S1805">
        <v>0</v>
      </c>
      <c r="T1805" t="s">
        <v>104</v>
      </c>
      <c r="U1805" t="s">
        <v>105</v>
      </c>
      <c r="V1805" t="s">
        <v>77</v>
      </c>
      <c r="W1805" t="s">
        <v>104</v>
      </c>
      <c r="X1805" t="s">
        <v>106</v>
      </c>
      <c r="Y1805">
        <v>3.9641296032534599</v>
      </c>
      <c r="Z1805">
        <v>3964.1296032534601</v>
      </c>
      <c r="AA1805">
        <v>4.71035</v>
      </c>
      <c r="AB1805">
        <v>-74.030416666666696</v>
      </c>
      <c r="AC1805">
        <v>2570</v>
      </c>
      <c r="AD1805">
        <v>10</v>
      </c>
      <c r="AE1805" t="s">
        <v>80</v>
      </c>
      <c r="AF1805" t="s">
        <v>107</v>
      </c>
      <c r="AG1805" t="s">
        <v>82</v>
      </c>
      <c r="AH1805" t="s">
        <v>83</v>
      </c>
      <c r="AI1805" t="s">
        <v>130</v>
      </c>
      <c r="AJ1805">
        <v>0.40706978695021501</v>
      </c>
      <c r="AK1805">
        <v>1.93467927745237</v>
      </c>
      <c r="AL1805">
        <v>0.27137560971180102</v>
      </c>
      <c r="AM1805">
        <v>0.19893753456117899</v>
      </c>
      <c r="AN1805">
        <v>3.26930704856087</v>
      </c>
      <c r="AO1805">
        <v>0.460761649290794</v>
      </c>
      <c r="AP1805">
        <v>0.460761649290794</v>
      </c>
      <c r="AQ1805">
        <v>1</v>
      </c>
      <c r="AR1805">
        <v>1</v>
      </c>
      <c r="AS1805">
        <v>0</v>
      </c>
      <c r="AT1805">
        <v>0</v>
      </c>
      <c r="AU1805">
        <v>5</v>
      </c>
      <c r="AV1805">
        <v>259</v>
      </c>
      <c r="AW1805">
        <v>0</v>
      </c>
      <c r="AX1805">
        <v>0</v>
      </c>
      <c r="AY1805">
        <v>15.5</v>
      </c>
      <c r="AZ1805">
        <v>2.4</v>
      </c>
      <c r="BA1805">
        <v>10.9</v>
      </c>
      <c r="BB1805">
        <v>564</v>
      </c>
      <c r="BC1805">
        <v>68</v>
      </c>
      <c r="BD1805">
        <v>1.5</v>
      </c>
      <c r="BE1805">
        <v>135</v>
      </c>
      <c r="BF1805">
        <v>0</v>
      </c>
      <c r="BG1805">
        <v>162</v>
      </c>
      <c r="BH1805">
        <v>9.1</v>
      </c>
      <c r="BI1805">
        <v>9.1999999999999993</v>
      </c>
      <c r="BJ1805">
        <v>18.3</v>
      </c>
      <c r="BK1805">
        <v>0.34</v>
      </c>
      <c r="BL1805">
        <v>7.3</v>
      </c>
      <c r="BM1805">
        <v>0.9</v>
      </c>
      <c r="BN1805">
        <v>7.5</v>
      </c>
      <c r="BO1805">
        <v>2.9</v>
      </c>
      <c r="BP1805">
        <f t="shared" si="56"/>
        <v>1.9723866796881673</v>
      </c>
      <c r="BQ1805">
        <f t="shared" si="57"/>
        <v>9.910786195598023</v>
      </c>
    </row>
    <row r="1806" spans="1:69" hidden="1" x14ac:dyDescent="0.2">
      <c r="A1806" t="s">
        <v>1014</v>
      </c>
      <c r="B1806" t="s">
        <v>68</v>
      </c>
      <c r="C1806" t="s">
        <v>69</v>
      </c>
      <c r="D1806" t="s">
        <v>70</v>
      </c>
      <c r="E1806" t="s">
        <v>394</v>
      </c>
      <c r="F1806">
        <v>4</v>
      </c>
      <c r="G1806">
        <v>52</v>
      </c>
      <c r="H1806">
        <v>2</v>
      </c>
      <c r="I1806">
        <v>2</v>
      </c>
      <c r="J1806">
        <v>1</v>
      </c>
      <c r="K1806" t="s">
        <v>110</v>
      </c>
      <c r="L1806" t="s">
        <v>162</v>
      </c>
      <c r="M1806" s="4">
        <v>325000000</v>
      </c>
      <c r="N1806">
        <v>0</v>
      </c>
      <c r="O1806">
        <v>4.7249822620000002</v>
      </c>
      <c r="P1806">
        <v>-74.039817810000002</v>
      </c>
      <c r="Q1806" t="s">
        <v>1015</v>
      </c>
      <c r="R1806">
        <v>6250000</v>
      </c>
      <c r="S1806">
        <v>0</v>
      </c>
      <c r="T1806" t="s">
        <v>104</v>
      </c>
      <c r="U1806" t="s">
        <v>105</v>
      </c>
      <c r="V1806" t="s">
        <v>77</v>
      </c>
      <c r="W1806" t="s">
        <v>104</v>
      </c>
      <c r="X1806" t="s">
        <v>106</v>
      </c>
      <c r="Y1806">
        <v>1.93416371174176</v>
      </c>
      <c r="Z1806">
        <v>1934.1637117417599</v>
      </c>
      <c r="AA1806">
        <v>4.71035</v>
      </c>
      <c r="AB1806">
        <v>-74.030416666666696</v>
      </c>
      <c r="AC1806">
        <v>2570</v>
      </c>
      <c r="AD1806">
        <v>10</v>
      </c>
      <c r="AE1806" t="s">
        <v>80</v>
      </c>
      <c r="AF1806" t="s">
        <v>107</v>
      </c>
      <c r="AG1806" t="s">
        <v>82</v>
      </c>
      <c r="AH1806" t="s">
        <v>83</v>
      </c>
      <c r="AI1806" t="s">
        <v>108</v>
      </c>
      <c r="AJ1806">
        <v>1.20258598513363</v>
      </c>
      <c r="AK1806">
        <v>1.8942920122745901</v>
      </c>
      <c r="AL1806">
        <v>0.87340733758985201</v>
      </c>
      <c r="AM1806">
        <v>0.417666257222369</v>
      </c>
      <c r="AN1806">
        <v>2.3349752716312899</v>
      </c>
      <c r="AO1806">
        <v>8.10715800794643E-2</v>
      </c>
      <c r="AP1806">
        <v>8.10715800794643E-2</v>
      </c>
      <c r="AQ1806">
        <v>0</v>
      </c>
      <c r="AR1806">
        <v>0</v>
      </c>
      <c r="AS1806">
        <v>0</v>
      </c>
      <c r="AT1806">
        <v>0</v>
      </c>
      <c r="AU1806">
        <v>1</v>
      </c>
      <c r="AV1806">
        <v>34</v>
      </c>
      <c r="AW1806">
        <v>0</v>
      </c>
      <c r="AX1806">
        <v>0</v>
      </c>
      <c r="AY1806">
        <v>15.5</v>
      </c>
      <c r="AZ1806">
        <v>2.4</v>
      </c>
      <c r="BA1806">
        <v>10.9</v>
      </c>
      <c r="BB1806">
        <v>564</v>
      </c>
      <c r="BC1806">
        <v>68</v>
      </c>
      <c r="BD1806">
        <v>1.5</v>
      </c>
      <c r="BE1806">
        <v>135</v>
      </c>
      <c r="BF1806">
        <v>0</v>
      </c>
      <c r="BG1806">
        <v>162</v>
      </c>
      <c r="BH1806">
        <v>9.1</v>
      </c>
      <c r="BI1806">
        <v>9.1999999999999993</v>
      </c>
      <c r="BJ1806">
        <v>18.3</v>
      </c>
      <c r="BK1806">
        <v>0.34</v>
      </c>
      <c r="BL1806">
        <v>7.3</v>
      </c>
      <c r="BM1806">
        <v>0.9</v>
      </c>
      <c r="BN1806">
        <v>7.5</v>
      </c>
      <c r="BO1806">
        <v>2.9</v>
      </c>
      <c r="BP1806">
        <f t="shared" si="56"/>
        <v>2.180878186707246</v>
      </c>
      <c r="BQ1806">
        <f t="shared" si="57"/>
        <v>10.405586861751035</v>
      </c>
    </row>
    <row r="1807" spans="1:69" hidden="1" x14ac:dyDescent="0.2">
      <c r="A1807" t="s">
        <v>1507</v>
      </c>
      <c r="B1807" t="s">
        <v>68</v>
      </c>
      <c r="C1807" t="s">
        <v>69</v>
      </c>
      <c r="D1807" t="s">
        <v>70</v>
      </c>
      <c r="E1807" t="s">
        <v>468</v>
      </c>
      <c r="F1807">
        <v>6</v>
      </c>
      <c r="G1807">
        <v>51</v>
      </c>
      <c r="H1807">
        <v>1</v>
      </c>
      <c r="I1807">
        <v>2</v>
      </c>
      <c r="J1807">
        <v>1</v>
      </c>
      <c r="K1807" t="s">
        <v>110</v>
      </c>
      <c r="L1807" t="s">
        <v>124</v>
      </c>
      <c r="M1807" s="4">
        <v>465000000</v>
      </c>
      <c r="N1807">
        <v>0</v>
      </c>
      <c r="O1807">
        <v>4.6896419529999998</v>
      </c>
      <c r="P1807">
        <v>-74.048858640000006</v>
      </c>
      <c r="Q1807" t="s">
        <v>1508</v>
      </c>
      <c r="R1807">
        <v>9117647.0590000004</v>
      </c>
      <c r="S1807">
        <v>0</v>
      </c>
      <c r="T1807" t="s">
        <v>104</v>
      </c>
      <c r="U1807" t="s">
        <v>105</v>
      </c>
      <c r="V1807" t="s">
        <v>77</v>
      </c>
      <c r="W1807" t="s">
        <v>104</v>
      </c>
      <c r="X1807" t="s">
        <v>106</v>
      </c>
      <c r="Y1807">
        <v>3.0822558746706101</v>
      </c>
      <c r="Z1807">
        <v>3082.25587467061</v>
      </c>
      <c r="AA1807">
        <v>4.71035</v>
      </c>
      <c r="AB1807">
        <v>-74.030416666666696</v>
      </c>
      <c r="AC1807">
        <v>2570</v>
      </c>
      <c r="AD1807">
        <v>10</v>
      </c>
      <c r="AE1807" t="s">
        <v>80</v>
      </c>
      <c r="AF1807" t="s">
        <v>107</v>
      </c>
      <c r="AG1807" t="s">
        <v>82</v>
      </c>
      <c r="AH1807" t="s">
        <v>83</v>
      </c>
      <c r="AI1807" t="s">
        <v>108</v>
      </c>
      <c r="AJ1807">
        <v>0.89203566978783599</v>
      </c>
      <c r="AK1807">
        <v>1.85738802420722</v>
      </c>
      <c r="AL1807">
        <v>0.27094022963761699</v>
      </c>
      <c r="AM1807">
        <v>0.19805075056743299</v>
      </c>
      <c r="AN1807">
        <v>4.0560783110459404</v>
      </c>
      <c r="AO1807">
        <v>0.219541437258641</v>
      </c>
      <c r="AP1807">
        <v>0.219541437258641</v>
      </c>
      <c r="AQ1807">
        <v>0</v>
      </c>
      <c r="AR1807">
        <v>1</v>
      </c>
      <c r="AS1807">
        <v>0</v>
      </c>
      <c r="AT1807">
        <v>0</v>
      </c>
      <c r="AU1807">
        <v>5</v>
      </c>
      <c r="AV1807">
        <v>157</v>
      </c>
      <c r="AW1807">
        <v>0</v>
      </c>
      <c r="AX1807">
        <v>0</v>
      </c>
      <c r="AY1807">
        <v>15.5</v>
      </c>
      <c r="AZ1807">
        <v>2.4</v>
      </c>
      <c r="BA1807">
        <v>10.9</v>
      </c>
      <c r="BB1807">
        <v>564</v>
      </c>
      <c r="BC1807">
        <v>68</v>
      </c>
      <c r="BD1807">
        <v>1.5</v>
      </c>
      <c r="BE1807">
        <v>135</v>
      </c>
      <c r="BF1807">
        <v>0</v>
      </c>
      <c r="BG1807">
        <v>162</v>
      </c>
      <c r="BH1807">
        <v>9.1</v>
      </c>
      <c r="BI1807">
        <v>9.1999999999999993</v>
      </c>
      <c r="BJ1807">
        <v>18.3</v>
      </c>
      <c r="BK1807">
        <v>0.34</v>
      </c>
      <c r="BL1807">
        <v>7.3</v>
      </c>
      <c r="BM1807">
        <v>0.9</v>
      </c>
      <c r="BN1807">
        <v>7.5</v>
      </c>
      <c r="BO1807">
        <v>2.9</v>
      </c>
      <c r="BP1807">
        <f t="shared" si="56"/>
        <v>2.0603936804505585</v>
      </c>
      <c r="BQ1807">
        <f t="shared" si="57"/>
        <v>10.122783224616997</v>
      </c>
    </row>
    <row r="1808" spans="1:69" hidden="1" x14ac:dyDescent="0.2">
      <c r="A1808" t="s">
        <v>4083</v>
      </c>
      <c r="B1808" t="s">
        <v>68</v>
      </c>
      <c r="C1808" t="s">
        <v>3294</v>
      </c>
      <c r="D1808" t="s">
        <v>70</v>
      </c>
      <c r="E1808" t="s">
        <v>283</v>
      </c>
      <c r="F1808">
        <v>4</v>
      </c>
      <c r="G1808">
        <v>51</v>
      </c>
      <c r="H1808">
        <v>1</v>
      </c>
      <c r="I1808">
        <v>2</v>
      </c>
      <c r="J1808">
        <v>1</v>
      </c>
      <c r="K1808" t="s">
        <v>110</v>
      </c>
      <c r="L1808" t="s">
        <v>133</v>
      </c>
      <c r="M1808" s="4">
        <v>480000000</v>
      </c>
      <c r="N1808">
        <v>0</v>
      </c>
      <c r="O1808">
        <v>4.7252745630000001</v>
      </c>
      <c r="P1808">
        <v>-74.033172609999994</v>
      </c>
      <c r="Q1808" t="s">
        <v>4084</v>
      </c>
      <c r="R1808">
        <v>9411764.7060000002</v>
      </c>
      <c r="S1808">
        <v>0</v>
      </c>
      <c r="T1808" t="s">
        <v>104</v>
      </c>
      <c r="U1808" t="s">
        <v>105</v>
      </c>
      <c r="V1808" t="s">
        <v>77</v>
      </c>
      <c r="W1808" t="s">
        <v>104</v>
      </c>
      <c r="X1808" t="s">
        <v>106</v>
      </c>
      <c r="Y1808">
        <v>1.6892945435250999</v>
      </c>
      <c r="Z1808">
        <v>1689.2945435250999</v>
      </c>
      <c r="AA1808">
        <v>4.71035</v>
      </c>
      <c r="AB1808">
        <v>-74.030416666666696</v>
      </c>
      <c r="AC1808">
        <v>2570</v>
      </c>
      <c r="AD1808">
        <v>10</v>
      </c>
      <c r="AE1808" t="s">
        <v>80</v>
      </c>
      <c r="AF1808" t="s">
        <v>107</v>
      </c>
      <c r="AG1808" t="s">
        <v>82</v>
      </c>
      <c r="AH1808" t="s">
        <v>83</v>
      </c>
      <c r="AI1808" t="s">
        <v>108</v>
      </c>
      <c r="AJ1808">
        <v>1.9293832169523699</v>
      </c>
      <c r="AK1808">
        <v>1.2275147544804099</v>
      </c>
      <c r="AL1808">
        <v>1.1294037230652101</v>
      </c>
      <c r="AM1808">
        <v>0.29257349326634402</v>
      </c>
      <c r="AN1808">
        <v>1.9338853757041199</v>
      </c>
      <c r="AO1808">
        <v>0.219963831917315</v>
      </c>
      <c r="AP1808">
        <v>0.219963831917315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12</v>
      </c>
      <c r="AW1808">
        <v>0</v>
      </c>
      <c r="AX1808">
        <v>0</v>
      </c>
      <c r="AY1808">
        <v>15.5</v>
      </c>
      <c r="AZ1808">
        <v>2.4</v>
      </c>
      <c r="BA1808">
        <v>10.9</v>
      </c>
      <c r="BB1808">
        <v>564</v>
      </c>
      <c r="BC1808">
        <v>68</v>
      </c>
      <c r="BD1808">
        <v>1.5</v>
      </c>
      <c r="BE1808">
        <v>135</v>
      </c>
      <c r="BF1808">
        <v>0</v>
      </c>
      <c r="BG1808">
        <v>162</v>
      </c>
      <c r="BH1808">
        <v>9.1</v>
      </c>
      <c r="BI1808">
        <v>9.1999999999999993</v>
      </c>
      <c r="BJ1808">
        <v>18.3</v>
      </c>
      <c r="BK1808">
        <v>0.34</v>
      </c>
      <c r="BL1808">
        <v>7.3</v>
      </c>
      <c r="BM1808">
        <v>0.9</v>
      </c>
      <c r="BN1808">
        <v>7.5</v>
      </c>
      <c r="BO1808">
        <v>2.9</v>
      </c>
      <c r="BP1808">
        <f t="shared" si="56"/>
        <v>2.2074735188860299</v>
      </c>
      <c r="BQ1808">
        <f t="shared" si="57"/>
        <v>10.466919083261649</v>
      </c>
    </row>
    <row r="1809" spans="1:69" hidden="1" x14ac:dyDescent="0.2">
      <c r="A1809" t="s">
        <v>4543</v>
      </c>
      <c r="B1809" t="s">
        <v>68</v>
      </c>
      <c r="C1809" t="s">
        <v>3294</v>
      </c>
      <c r="D1809" t="s">
        <v>70</v>
      </c>
      <c r="E1809" t="s">
        <v>132</v>
      </c>
      <c r="F1809">
        <v>6</v>
      </c>
      <c r="G1809">
        <v>50</v>
      </c>
      <c r="H1809">
        <v>1</v>
      </c>
      <c r="I1809">
        <v>1</v>
      </c>
      <c r="J1809">
        <v>0</v>
      </c>
      <c r="K1809" t="s">
        <v>110</v>
      </c>
      <c r="L1809" t="s">
        <v>111</v>
      </c>
      <c r="M1809" s="4">
        <v>540000000</v>
      </c>
      <c r="N1809">
        <v>0</v>
      </c>
      <c r="O1809">
        <v>4.6792400000000001</v>
      </c>
      <c r="P1809">
        <v>-74.046379999999999</v>
      </c>
      <c r="Q1809" t="s">
        <v>4544</v>
      </c>
      <c r="R1809">
        <v>10800000</v>
      </c>
      <c r="S1809">
        <v>0</v>
      </c>
      <c r="T1809" t="s">
        <v>104</v>
      </c>
      <c r="U1809" t="s">
        <v>105</v>
      </c>
      <c r="V1809" t="s">
        <v>77</v>
      </c>
      <c r="W1809" t="s">
        <v>104</v>
      </c>
      <c r="X1809" t="s">
        <v>106</v>
      </c>
      <c r="Y1809">
        <v>3.8897409790275801</v>
      </c>
      <c r="Z1809">
        <v>3889.7409790275801</v>
      </c>
      <c r="AA1809">
        <v>4.71035</v>
      </c>
      <c r="AB1809">
        <v>-74.030416666666696</v>
      </c>
      <c r="AC1809">
        <v>2570</v>
      </c>
      <c r="AD1809">
        <v>10</v>
      </c>
      <c r="AE1809" t="s">
        <v>80</v>
      </c>
      <c r="AF1809" t="s">
        <v>107</v>
      </c>
      <c r="AG1809" t="s">
        <v>82</v>
      </c>
      <c r="AH1809" t="s">
        <v>83</v>
      </c>
      <c r="AI1809" t="s">
        <v>130</v>
      </c>
      <c r="AJ1809">
        <v>1.3600501285959301</v>
      </c>
      <c r="AK1809">
        <v>0.95671990884653602</v>
      </c>
      <c r="AL1809">
        <v>0.86539525611063495</v>
      </c>
      <c r="AM1809">
        <v>5.9788271897160197E-2</v>
      </c>
      <c r="AN1809">
        <v>3.9797489760265599</v>
      </c>
      <c r="AO1809">
        <v>1.11876051451213</v>
      </c>
      <c r="AP1809">
        <v>1.11876051451213</v>
      </c>
      <c r="AQ1809">
        <v>0</v>
      </c>
      <c r="AR1809">
        <v>0</v>
      </c>
      <c r="AS1809">
        <v>0</v>
      </c>
      <c r="AT1809">
        <v>1</v>
      </c>
      <c r="AU1809">
        <v>2</v>
      </c>
      <c r="AV1809">
        <v>105</v>
      </c>
      <c r="AW1809">
        <v>0</v>
      </c>
      <c r="AX1809">
        <v>0</v>
      </c>
      <c r="AY1809">
        <v>15.5</v>
      </c>
      <c r="AZ1809">
        <v>2.4</v>
      </c>
      <c r="BA1809">
        <v>10.9</v>
      </c>
      <c r="BB1809">
        <v>564</v>
      </c>
      <c r="BC1809">
        <v>68</v>
      </c>
      <c r="BD1809">
        <v>1.5</v>
      </c>
      <c r="BE1809">
        <v>135</v>
      </c>
      <c r="BF1809">
        <v>0</v>
      </c>
      <c r="BG1809">
        <v>162</v>
      </c>
      <c r="BH1809">
        <v>9.1</v>
      </c>
      <c r="BI1809">
        <v>9.1999999999999993</v>
      </c>
      <c r="BJ1809">
        <v>18.3</v>
      </c>
      <c r="BK1809">
        <v>0.34</v>
      </c>
      <c r="BL1809">
        <v>7.3</v>
      </c>
      <c r="BM1809">
        <v>0.9</v>
      </c>
      <c r="BN1809">
        <v>7.5</v>
      </c>
      <c r="BO1809">
        <v>2.9</v>
      </c>
      <c r="BP1809">
        <f t="shared" si="56"/>
        <v>1.9796628627931263</v>
      </c>
      <c r="BQ1809">
        <f t="shared" si="57"/>
        <v>9.9284959937863846</v>
      </c>
    </row>
    <row r="1810" spans="1:69" hidden="1" x14ac:dyDescent="0.2">
      <c r="A1810" t="s">
        <v>4511</v>
      </c>
      <c r="B1810" t="s">
        <v>68</v>
      </c>
      <c r="C1810" t="s">
        <v>3294</v>
      </c>
      <c r="D1810" t="s">
        <v>70</v>
      </c>
      <c r="E1810" t="s">
        <v>213</v>
      </c>
      <c r="F1810">
        <v>6</v>
      </c>
      <c r="G1810">
        <v>50</v>
      </c>
      <c r="H1810">
        <v>1</v>
      </c>
      <c r="I1810">
        <v>2</v>
      </c>
      <c r="J1810">
        <v>1</v>
      </c>
      <c r="K1810" t="s">
        <v>110</v>
      </c>
      <c r="L1810" t="s">
        <v>111</v>
      </c>
      <c r="M1810" s="4">
        <v>550000000</v>
      </c>
      <c r="N1810">
        <v>0</v>
      </c>
      <c r="O1810">
        <v>4.6976771350000002</v>
      </c>
      <c r="P1810">
        <v>-74.039558409999998</v>
      </c>
      <c r="Q1810" t="s">
        <v>4512</v>
      </c>
      <c r="R1810">
        <v>11000000</v>
      </c>
      <c r="S1810">
        <v>0</v>
      </c>
      <c r="T1810" t="s">
        <v>104</v>
      </c>
      <c r="U1810" t="s">
        <v>105</v>
      </c>
      <c r="V1810" t="s">
        <v>77</v>
      </c>
      <c r="W1810" t="s">
        <v>104</v>
      </c>
      <c r="X1810" t="s">
        <v>106</v>
      </c>
      <c r="Y1810">
        <v>1.73747912514823</v>
      </c>
      <c r="Z1810">
        <v>1737.47912514823</v>
      </c>
      <c r="AA1810">
        <v>4.71035</v>
      </c>
      <c r="AB1810">
        <v>-74.030416666666696</v>
      </c>
      <c r="AC1810">
        <v>2570</v>
      </c>
      <c r="AD1810">
        <v>10</v>
      </c>
      <c r="AE1810" t="s">
        <v>80</v>
      </c>
      <c r="AF1810" t="s">
        <v>107</v>
      </c>
      <c r="AG1810" t="s">
        <v>82</v>
      </c>
      <c r="AH1810" t="s">
        <v>83</v>
      </c>
      <c r="AI1810" t="s">
        <v>108</v>
      </c>
      <c r="AJ1810">
        <v>1.7470750877980601</v>
      </c>
      <c r="AK1810">
        <v>1.5177654035499</v>
      </c>
      <c r="AL1810">
        <v>0.88430257242613197</v>
      </c>
      <c r="AM1810">
        <v>2.5822837559881E-2</v>
      </c>
      <c r="AN1810">
        <v>5.0513656312494204</v>
      </c>
      <c r="AO1810">
        <v>3.8004743448727903E-2</v>
      </c>
      <c r="AP1810">
        <v>3.8004743448727903E-2</v>
      </c>
      <c r="AQ1810">
        <v>0</v>
      </c>
      <c r="AR1810">
        <v>0</v>
      </c>
      <c r="AS1810">
        <v>0</v>
      </c>
      <c r="AT1810">
        <v>0</v>
      </c>
      <c r="AU1810">
        <v>1</v>
      </c>
      <c r="AV1810">
        <v>155</v>
      </c>
      <c r="AW1810">
        <v>0</v>
      </c>
      <c r="AX1810">
        <v>0</v>
      </c>
      <c r="AY1810">
        <v>15.5</v>
      </c>
      <c r="AZ1810">
        <v>2.4</v>
      </c>
      <c r="BA1810">
        <v>10.9</v>
      </c>
      <c r="BB1810">
        <v>564</v>
      </c>
      <c r="BC1810">
        <v>68</v>
      </c>
      <c r="BD1810">
        <v>1.5</v>
      </c>
      <c r="BE1810">
        <v>135</v>
      </c>
      <c r="BF1810">
        <v>0</v>
      </c>
      <c r="BG1810">
        <v>162</v>
      </c>
      <c r="BH1810">
        <v>9.1</v>
      </c>
      <c r="BI1810">
        <v>9.1999999999999993</v>
      </c>
      <c r="BJ1810">
        <v>18.3</v>
      </c>
      <c r="BK1810">
        <v>0.34</v>
      </c>
      <c r="BL1810">
        <v>7.3</v>
      </c>
      <c r="BM1810">
        <v>0.9</v>
      </c>
      <c r="BN1810">
        <v>7.5</v>
      </c>
      <c r="BO1810">
        <v>2.9</v>
      </c>
      <c r="BP1810">
        <f t="shared" si="56"/>
        <v>2.2022146666165145</v>
      </c>
      <c r="BQ1810">
        <f t="shared" si="57"/>
        <v>10.454821820622444</v>
      </c>
    </row>
    <row r="1811" spans="1:69" hidden="1" x14ac:dyDescent="0.2">
      <c r="A1811" t="s">
        <v>4443</v>
      </c>
      <c r="B1811" t="s">
        <v>68</v>
      </c>
      <c r="C1811" t="s">
        <v>3294</v>
      </c>
      <c r="D1811" t="s">
        <v>70</v>
      </c>
      <c r="E1811" t="s">
        <v>205</v>
      </c>
      <c r="F1811">
        <v>4</v>
      </c>
      <c r="G1811">
        <v>50</v>
      </c>
      <c r="H1811">
        <v>1</v>
      </c>
      <c r="I1811">
        <v>2</v>
      </c>
      <c r="J1811">
        <v>1</v>
      </c>
      <c r="K1811" t="s">
        <v>110</v>
      </c>
      <c r="L1811" t="s">
        <v>111</v>
      </c>
      <c r="M1811" s="4">
        <v>435000000</v>
      </c>
      <c r="N1811">
        <v>0</v>
      </c>
      <c r="O1811">
        <v>4.7228563000000001</v>
      </c>
      <c r="P1811">
        <v>-74.033183399999999</v>
      </c>
      <c r="Q1811" t="s">
        <v>4444</v>
      </c>
      <c r="R1811">
        <v>8700000</v>
      </c>
      <c r="S1811">
        <v>0</v>
      </c>
      <c r="T1811" t="s">
        <v>104</v>
      </c>
      <c r="U1811" t="s">
        <v>105</v>
      </c>
      <c r="V1811" t="s">
        <v>77</v>
      </c>
      <c r="W1811" t="s">
        <v>104</v>
      </c>
      <c r="X1811" t="s">
        <v>106</v>
      </c>
      <c r="Y1811">
        <v>1.4256311129903401</v>
      </c>
      <c r="Z1811">
        <v>1425.6311129903399</v>
      </c>
      <c r="AA1811">
        <v>4.71035</v>
      </c>
      <c r="AB1811">
        <v>-74.030416666666696</v>
      </c>
      <c r="AC1811">
        <v>2570</v>
      </c>
      <c r="AD1811">
        <v>10</v>
      </c>
      <c r="AE1811" t="s">
        <v>80</v>
      </c>
      <c r="AF1811" t="s">
        <v>107</v>
      </c>
      <c r="AG1811" t="s">
        <v>82</v>
      </c>
      <c r="AH1811" t="s">
        <v>83</v>
      </c>
      <c r="AI1811" t="s">
        <v>108</v>
      </c>
      <c r="AJ1811">
        <v>1.97038560178158</v>
      </c>
      <c r="AK1811">
        <v>1.1221066980342</v>
      </c>
      <c r="AL1811">
        <v>1.33955653748556</v>
      </c>
      <c r="AM1811">
        <v>0.26493534473161601</v>
      </c>
      <c r="AN1811">
        <v>2.1848665901459401</v>
      </c>
      <c r="AO1811">
        <v>5.47840187813501E-3</v>
      </c>
      <c r="AP1811">
        <v>5.47840187813501E-3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29</v>
      </c>
      <c r="AW1811">
        <v>0</v>
      </c>
      <c r="AX1811">
        <v>0</v>
      </c>
      <c r="AY1811">
        <v>15.5</v>
      </c>
      <c r="AZ1811">
        <v>2.4</v>
      </c>
      <c r="BA1811">
        <v>10.9</v>
      </c>
      <c r="BB1811">
        <v>564</v>
      </c>
      <c r="BC1811">
        <v>68</v>
      </c>
      <c r="BD1811">
        <v>1.5</v>
      </c>
      <c r="BE1811">
        <v>135</v>
      </c>
      <c r="BF1811">
        <v>0</v>
      </c>
      <c r="BG1811">
        <v>162</v>
      </c>
      <c r="BH1811">
        <v>9.1</v>
      </c>
      <c r="BI1811">
        <v>9.1999999999999993</v>
      </c>
      <c r="BJ1811">
        <v>18.3</v>
      </c>
      <c r="BK1811">
        <v>0.34</v>
      </c>
      <c r="BL1811">
        <v>7.3</v>
      </c>
      <c r="BM1811">
        <v>0.9</v>
      </c>
      <c r="BN1811">
        <v>7.5</v>
      </c>
      <c r="BO1811">
        <v>2.9</v>
      </c>
      <c r="BP1811">
        <f t="shared" si="56"/>
        <v>2.2364728342272429</v>
      </c>
      <c r="BQ1811">
        <f t="shared" si="57"/>
        <v>10.533362938346574</v>
      </c>
    </row>
    <row r="1812" spans="1:69" hidden="1" x14ac:dyDescent="0.2">
      <c r="A1812" t="s">
        <v>4179</v>
      </c>
      <c r="B1812" t="s">
        <v>68</v>
      </c>
      <c r="C1812" t="s">
        <v>3294</v>
      </c>
      <c r="D1812" t="s">
        <v>70</v>
      </c>
      <c r="E1812" t="s">
        <v>2083</v>
      </c>
      <c r="F1812">
        <v>4</v>
      </c>
      <c r="G1812">
        <v>50</v>
      </c>
      <c r="H1812">
        <v>1</v>
      </c>
      <c r="I1812">
        <v>2</v>
      </c>
      <c r="J1812">
        <v>1</v>
      </c>
      <c r="K1812" t="s">
        <v>110</v>
      </c>
      <c r="L1812" t="s">
        <v>133</v>
      </c>
      <c r="M1812" s="4">
        <v>453000000</v>
      </c>
      <c r="N1812">
        <v>0</v>
      </c>
      <c r="O1812">
        <v>4.7220506670000004</v>
      </c>
      <c r="P1812">
        <v>-74.032043459999997</v>
      </c>
      <c r="Q1812" t="s">
        <v>4180</v>
      </c>
      <c r="R1812">
        <v>9060000</v>
      </c>
      <c r="S1812">
        <v>0</v>
      </c>
      <c r="T1812" t="s">
        <v>104</v>
      </c>
      <c r="U1812" t="s">
        <v>105</v>
      </c>
      <c r="V1812" t="s">
        <v>77</v>
      </c>
      <c r="W1812" t="s">
        <v>104</v>
      </c>
      <c r="X1812" t="s">
        <v>106</v>
      </c>
      <c r="Y1812">
        <v>1.3149568579447399</v>
      </c>
      <c r="Z1812">
        <v>1314.95685794474</v>
      </c>
      <c r="AA1812">
        <v>4.71035</v>
      </c>
      <c r="AB1812">
        <v>-74.030416666666696</v>
      </c>
      <c r="AC1812">
        <v>2570</v>
      </c>
      <c r="AD1812">
        <v>10</v>
      </c>
      <c r="AE1812" t="s">
        <v>80</v>
      </c>
      <c r="AF1812" t="s">
        <v>107</v>
      </c>
      <c r="AG1812" t="s">
        <v>82</v>
      </c>
      <c r="AH1812" t="s">
        <v>83</v>
      </c>
      <c r="AI1812" t="s">
        <v>108</v>
      </c>
      <c r="AJ1812">
        <v>2.11431486501542</v>
      </c>
      <c r="AK1812">
        <v>0.97554476255918698</v>
      </c>
      <c r="AL1812">
        <v>1.25242616911974</v>
      </c>
      <c r="AM1812">
        <v>0.14812248569073599</v>
      </c>
      <c r="AN1812">
        <v>2.2325642460856101</v>
      </c>
      <c r="AO1812">
        <v>3.1748441352047602E-2</v>
      </c>
      <c r="AP1812">
        <v>3.1748441352047602E-2</v>
      </c>
      <c r="AQ1812">
        <v>0</v>
      </c>
      <c r="AR1812">
        <v>0</v>
      </c>
      <c r="AS1812">
        <v>0</v>
      </c>
      <c r="AT1812">
        <v>3</v>
      </c>
      <c r="AU1812">
        <v>0</v>
      </c>
      <c r="AV1812">
        <v>44</v>
      </c>
      <c r="AW1812">
        <v>0</v>
      </c>
      <c r="AX1812">
        <v>0</v>
      </c>
      <c r="AY1812">
        <v>15.5</v>
      </c>
      <c r="AZ1812">
        <v>2.4</v>
      </c>
      <c r="BA1812">
        <v>10.9</v>
      </c>
      <c r="BB1812">
        <v>564</v>
      </c>
      <c r="BC1812">
        <v>68</v>
      </c>
      <c r="BD1812">
        <v>1.5</v>
      </c>
      <c r="BE1812">
        <v>135</v>
      </c>
      <c r="BF1812">
        <v>0</v>
      </c>
      <c r="BG1812">
        <v>162</v>
      </c>
      <c r="BH1812">
        <v>9.1</v>
      </c>
      <c r="BI1812">
        <v>9.1999999999999993</v>
      </c>
      <c r="BJ1812">
        <v>18.3</v>
      </c>
      <c r="BK1812">
        <v>0.34</v>
      </c>
      <c r="BL1812">
        <v>7.3</v>
      </c>
      <c r="BM1812">
        <v>0.9</v>
      </c>
      <c r="BN1812">
        <v>7.5</v>
      </c>
      <c r="BO1812">
        <v>2.9</v>
      </c>
      <c r="BP1812">
        <f t="shared" si="56"/>
        <v>2.2487586950403724</v>
      </c>
      <c r="BQ1812">
        <f t="shared" si="57"/>
        <v>10.561378659615766</v>
      </c>
    </row>
    <row r="1813" spans="1:69" hidden="1" x14ac:dyDescent="0.2">
      <c r="A1813" t="s">
        <v>4275</v>
      </c>
      <c r="B1813" t="s">
        <v>68</v>
      </c>
      <c r="C1813" t="s">
        <v>3294</v>
      </c>
      <c r="D1813" t="s">
        <v>70</v>
      </c>
      <c r="E1813" t="s">
        <v>2083</v>
      </c>
      <c r="F1813">
        <v>4</v>
      </c>
      <c r="G1813">
        <v>50</v>
      </c>
      <c r="H1813">
        <v>1</v>
      </c>
      <c r="I1813">
        <v>2</v>
      </c>
      <c r="J1813">
        <v>1</v>
      </c>
      <c r="K1813" t="s">
        <v>110</v>
      </c>
      <c r="L1813" t="s">
        <v>133</v>
      </c>
      <c r="M1813" s="4">
        <v>450000000</v>
      </c>
      <c r="N1813">
        <v>0</v>
      </c>
      <c r="O1813">
        <v>4.7220506670000004</v>
      </c>
      <c r="P1813">
        <v>-74.032043459999997</v>
      </c>
      <c r="Q1813" t="s">
        <v>4276</v>
      </c>
      <c r="R1813">
        <v>9000000</v>
      </c>
      <c r="S1813">
        <v>0</v>
      </c>
      <c r="T1813" t="s">
        <v>104</v>
      </c>
      <c r="U1813" t="s">
        <v>105</v>
      </c>
      <c r="V1813" t="s">
        <v>77</v>
      </c>
      <c r="W1813" t="s">
        <v>104</v>
      </c>
      <c r="X1813" t="s">
        <v>106</v>
      </c>
      <c r="Y1813">
        <v>1.3149568579447399</v>
      </c>
      <c r="Z1813">
        <v>1314.95685794474</v>
      </c>
      <c r="AA1813">
        <v>4.71035</v>
      </c>
      <c r="AB1813">
        <v>-74.030416666666696</v>
      </c>
      <c r="AC1813">
        <v>2570</v>
      </c>
      <c r="AD1813">
        <v>10</v>
      </c>
      <c r="AE1813" t="s">
        <v>80</v>
      </c>
      <c r="AF1813" t="s">
        <v>107</v>
      </c>
      <c r="AG1813" t="s">
        <v>82</v>
      </c>
      <c r="AH1813" t="s">
        <v>83</v>
      </c>
      <c r="AI1813" t="s">
        <v>108</v>
      </c>
      <c r="AJ1813">
        <v>2.11431486501542</v>
      </c>
      <c r="AK1813">
        <v>0.97554476255918698</v>
      </c>
      <c r="AL1813">
        <v>1.25242616911974</v>
      </c>
      <c r="AM1813">
        <v>0.14812248569073599</v>
      </c>
      <c r="AN1813">
        <v>2.2325642460856101</v>
      </c>
      <c r="AO1813">
        <v>3.1748441352047602E-2</v>
      </c>
      <c r="AP1813">
        <v>3.1748441352047602E-2</v>
      </c>
      <c r="AQ1813">
        <v>0</v>
      </c>
      <c r="AR1813">
        <v>0</v>
      </c>
      <c r="AS1813">
        <v>0</v>
      </c>
      <c r="AT1813">
        <v>3</v>
      </c>
      <c r="AU1813">
        <v>0</v>
      </c>
      <c r="AV1813">
        <v>44</v>
      </c>
      <c r="AW1813">
        <v>0</v>
      </c>
      <c r="AX1813">
        <v>0</v>
      </c>
      <c r="AY1813">
        <v>15.5</v>
      </c>
      <c r="AZ1813">
        <v>2.4</v>
      </c>
      <c r="BA1813">
        <v>10.9</v>
      </c>
      <c r="BB1813">
        <v>564</v>
      </c>
      <c r="BC1813">
        <v>68</v>
      </c>
      <c r="BD1813">
        <v>1.5</v>
      </c>
      <c r="BE1813">
        <v>135</v>
      </c>
      <c r="BF1813">
        <v>0</v>
      </c>
      <c r="BG1813">
        <v>162</v>
      </c>
      <c r="BH1813">
        <v>9.1</v>
      </c>
      <c r="BI1813">
        <v>9.1999999999999993</v>
      </c>
      <c r="BJ1813">
        <v>18.3</v>
      </c>
      <c r="BK1813">
        <v>0.34</v>
      </c>
      <c r="BL1813">
        <v>7.3</v>
      </c>
      <c r="BM1813">
        <v>0.9</v>
      </c>
      <c r="BN1813">
        <v>7.5</v>
      </c>
      <c r="BO1813">
        <v>2.9</v>
      </c>
      <c r="BP1813">
        <f t="shared" si="56"/>
        <v>2.2487586950403724</v>
      </c>
      <c r="BQ1813">
        <f t="shared" si="57"/>
        <v>10.561378659615766</v>
      </c>
    </row>
    <row r="1814" spans="1:69" hidden="1" x14ac:dyDescent="0.2">
      <c r="A1814" t="s">
        <v>4177</v>
      </c>
      <c r="B1814" t="s">
        <v>68</v>
      </c>
      <c r="C1814" t="s">
        <v>3294</v>
      </c>
      <c r="D1814" t="s">
        <v>70</v>
      </c>
      <c r="E1814" t="s">
        <v>391</v>
      </c>
      <c r="F1814">
        <v>5</v>
      </c>
      <c r="G1814">
        <v>49.8</v>
      </c>
      <c r="H1814">
        <v>1</v>
      </c>
      <c r="I1814">
        <v>2</v>
      </c>
      <c r="J1814">
        <v>1</v>
      </c>
      <c r="K1814" t="s">
        <v>110</v>
      </c>
      <c r="L1814" t="s">
        <v>111</v>
      </c>
      <c r="M1814" s="4">
        <v>440000000</v>
      </c>
      <c r="N1814">
        <v>0</v>
      </c>
      <c r="O1814">
        <v>4.7227873799999998</v>
      </c>
      <c r="P1814">
        <v>-74.050086980000003</v>
      </c>
      <c r="Q1814" t="s">
        <v>4178</v>
      </c>
      <c r="R1814">
        <v>8835341.3650000002</v>
      </c>
      <c r="S1814">
        <v>0</v>
      </c>
      <c r="T1814" t="s">
        <v>104</v>
      </c>
      <c r="U1814" t="s">
        <v>105</v>
      </c>
      <c r="V1814" t="s">
        <v>77</v>
      </c>
      <c r="W1814" t="s">
        <v>104</v>
      </c>
      <c r="X1814" t="s">
        <v>106</v>
      </c>
      <c r="Y1814">
        <v>2.5844194932821001</v>
      </c>
      <c r="Z1814">
        <v>2584.4194932821001</v>
      </c>
      <c r="AA1814">
        <v>4.71035</v>
      </c>
      <c r="AB1814">
        <v>-74.030416666666696</v>
      </c>
      <c r="AC1814">
        <v>2570</v>
      </c>
      <c r="AD1814">
        <v>10</v>
      </c>
      <c r="AE1814" t="s">
        <v>80</v>
      </c>
      <c r="AF1814" t="s">
        <v>107</v>
      </c>
      <c r="AG1814" t="s">
        <v>82</v>
      </c>
      <c r="AH1814" t="s">
        <v>83</v>
      </c>
      <c r="AI1814" t="s">
        <v>108</v>
      </c>
      <c r="AJ1814">
        <v>0.23571654685982299</v>
      </c>
      <c r="AK1814">
        <v>2.96119979621368</v>
      </c>
      <c r="AL1814">
        <v>1.5819678302286699</v>
      </c>
      <c r="AM1814">
        <v>4.8722429490191899E-2</v>
      </c>
      <c r="AN1814">
        <v>3.3164134229516802</v>
      </c>
      <c r="AO1814">
        <v>0.21747968561880701</v>
      </c>
      <c r="AP1814">
        <v>0.21747968561880701</v>
      </c>
      <c r="AQ1814">
        <v>2</v>
      </c>
      <c r="AR1814">
        <v>4</v>
      </c>
      <c r="AS1814">
        <v>0</v>
      </c>
      <c r="AT1814">
        <v>0</v>
      </c>
      <c r="AU1814">
        <v>0</v>
      </c>
      <c r="AV1814">
        <v>41</v>
      </c>
      <c r="AW1814">
        <v>0</v>
      </c>
      <c r="AX1814">
        <v>0</v>
      </c>
      <c r="AY1814">
        <v>15.5</v>
      </c>
      <c r="AZ1814">
        <v>2.4</v>
      </c>
      <c r="BA1814">
        <v>10.9</v>
      </c>
      <c r="BB1814">
        <v>564</v>
      </c>
      <c r="BC1814">
        <v>68</v>
      </c>
      <c r="BD1814">
        <v>1.5</v>
      </c>
      <c r="BE1814">
        <v>135</v>
      </c>
      <c r="BF1814">
        <v>0</v>
      </c>
      <c r="BG1814">
        <v>162</v>
      </c>
      <c r="BH1814">
        <v>9.1</v>
      </c>
      <c r="BI1814">
        <v>9.1999999999999993</v>
      </c>
      <c r="BJ1814">
        <v>18.3</v>
      </c>
      <c r="BK1814">
        <v>0.34</v>
      </c>
      <c r="BL1814">
        <v>7.3</v>
      </c>
      <c r="BM1814">
        <v>0.9</v>
      </c>
      <c r="BN1814">
        <v>7.5</v>
      </c>
      <c r="BO1814">
        <v>2.9</v>
      </c>
      <c r="BP1814">
        <f t="shared" si="56"/>
        <v>2.1117985387323839</v>
      </c>
      <c r="BQ1814">
        <f t="shared" si="57"/>
        <v>10.244456411704091</v>
      </c>
    </row>
    <row r="1815" spans="1:69" hidden="1" x14ac:dyDescent="0.2">
      <c r="A1815" t="s">
        <v>3778</v>
      </c>
      <c r="B1815" t="s">
        <v>68</v>
      </c>
      <c r="C1815" t="s">
        <v>3294</v>
      </c>
      <c r="D1815" t="s">
        <v>70</v>
      </c>
      <c r="E1815" t="s">
        <v>132</v>
      </c>
      <c r="F1815">
        <v>6</v>
      </c>
      <c r="G1815">
        <v>49.33</v>
      </c>
      <c r="H1815">
        <v>1</v>
      </c>
      <c r="I1815">
        <v>2</v>
      </c>
      <c r="J1815">
        <v>1</v>
      </c>
      <c r="K1815" t="s">
        <v>110</v>
      </c>
      <c r="L1815" t="s">
        <v>111</v>
      </c>
      <c r="M1815" s="4">
        <v>790162085</v>
      </c>
      <c r="N1815">
        <v>0</v>
      </c>
      <c r="O1815">
        <v>4.6846399999999999</v>
      </c>
      <c r="P1815">
        <v>-74.054289999999995</v>
      </c>
      <c r="Q1815" t="s">
        <v>3779</v>
      </c>
      <c r="R1815">
        <v>16017881.310000001</v>
      </c>
      <c r="S1815">
        <v>0</v>
      </c>
      <c r="T1815" t="s">
        <v>104</v>
      </c>
      <c r="U1815" t="s">
        <v>105</v>
      </c>
      <c r="V1815" t="s">
        <v>77</v>
      </c>
      <c r="W1815" t="s">
        <v>104</v>
      </c>
      <c r="X1815" t="s">
        <v>106</v>
      </c>
      <c r="Y1815">
        <v>3.8995484543052199</v>
      </c>
      <c r="Z1815">
        <v>3899.5484543052198</v>
      </c>
      <c r="AA1815">
        <v>4.71035</v>
      </c>
      <c r="AB1815">
        <v>-74.030416666666696</v>
      </c>
      <c r="AC1815">
        <v>2570</v>
      </c>
      <c r="AD1815">
        <v>10</v>
      </c>
      <c r="AE1815" t="s">
        <v>80</v>
      </c>
      <c r="AF1815" t="s">
        <v>107</v>
      </c>
      <c r="AG1815" t="s">
        <v>82</v>
      </c>
      <c r="AH1815" t="s">
        <v>83</v>
      </c>
      <c r="AI1815" t="s">
        <v>130</v>
      </c>
      <c r="AJ1815">
        <v>0.38706304438813999</v>
      </c>
      <c r="AK1815">
        <v>2.0174504722659199</v>
      </c>
      <c r="AL1815">
        <v>0.20565440530319301</v>
      </c>
      <c r="AM1815">
        <v>8.9192608910603904E-2</v>
      </c>
      <c r="AN1815">
        <v>3.28304517800037</v>
      </c>
      <c r="AO1815">
        <v>0.44883987910914802</v>
      </c>
      <c r="AP1815">
        <v>0.44883987910914802</v>
      </c>
      <c r="AQ1815">
        <v>1</v>
      </c>
      <c r="AR1815">
        <v>3</v>
      </c>
      <c r="AS1815">
        <v>0</v>
      </c>
      <c r="AT1815">
        <v>0</v>
      </c>
      <c r="AU1815">
        <v>4</v>
      </c>
      <c r="AV1815">
        <v>262</v>
      </c>
      <c r="AW1815">
        <v>0</v>
      </c>
      <c r="AX1815">
        <v>0</v>
      </c>
      <c r="AY1815">
        <v>15.5</v>
      </c>
      <c r="AZ1815">
        <v>2.4</v>
      </c>
      <c r="BA1815">
        <v>10.9</v>
      </c>
      <c r="BB1815">
        <v>564</v>
      </c>
      <c r="BC1815">
        <v>68</v>
      </c>
      <c r="BD1815">
        <v>1.5</v>
      </c>
      <c r="BE1815">
        <v>135</v>
      </c>
      <c r="BF1815">
        <v>0</v>
      </c>
      <c r="BG1815">
        <v>162</v>
      </c>
      <c r="BH1815">
        <v>9.1</v>
      </c>
      <c r="BI1815">
        <v>9.1999999999999993</v>
      </c>
      <c r="BJ1815">
        <v>18.3</v>
      </c>
      <c r="BK1815">
        <v>0.34</v>
      </c>
      <c r="BL1815">
        <v>7.3</v>
      </c>
      <c r="BM1815">
        <v>0.9</v>
      </c>
      <c r="BN1815">
        <v>7.5</v>
      </c>
      <c r="BO1815">
        <v>2.9</v>
      </c>
      <c r="BP1815">
        <f t="shared" si="56"/>
        <v>1.9787020290580337</v>
      </c>
      <c r="BQ1815">
        <f t="shared" si="57"/>
        <v>9.9261593053052692</v>
      </c>
    </row>
    <row r="1816" spans="1:69" hidden="1" x14ac:dyDescent="0.2">
      <c r="A1816" t="s">
        <v>1437</v>
      </c>
      <c r="B1816" t="s">
        <v>68</v>
      </c>
      <c r="C1816" t="s">
        <v>69</v>
      </c>
      <c r="D1816" t="s">
        <v>70</v>
      </c>
      <c r="E1816" t="s">
        <v>102</v>
      </c>
      <c r="F1816">
        <v>5</v>
      </c>
      <c r="G1816">
        <v>49</v>
      </c>
      <c r="H1816">
        <v>1</v>
      </c>
      <c r="I1816">
        <v>2</v>
      </c>
      <c r="J1816">
        <v>1</v>
      </c>
      <c r="K1816" t="s">
        <v>110</v>
      </c>
      <c r="L1816" t="s">
        <v>162</v>
      </c>
      <c r="M1816" s="4">
        <v>580000000</v>
      </c>
      <c r="N1816">
        <v>0</v>
      </c>
      <c r="O1816">
        <v>4.6983525999999998</v>
      </c>
      <c r="P1816">
        <v>-74.044309400000003</v>
      </c>
      <c r="Q1816" t="s">
        <v>1438</v>
      </c>
      <c r="R1816">
        <v>11836734.689999999</v>
      </c>
      <c r="S1816">
        <v>0</v>
      </c>
      <c r="T1816" t="s">
        <v>104</v>
      </c>
      <c r="U1816" t="s">
        <v>105</v>
      </c>
      <c r="V1816" t="s">
        <v>77</v>
      </c>
      <c r="W1816" t="s">
        <v>104</v>
      </c>
      <c r="X1816" t="s">
        <v>106</v>
      </c>
      <c r="Y1816">
        <v>2.0394490552370499</v>
      </c>
      <c r="Z1816">
        <v>2039.4490552370501</v>
      </c>
      <c r="AA1816">
        <v>4.71035</v>
      </c>
      <c r="AB1816">
        <v>-74.030416666666696</v>
      </c>
      <c r="AC1816">
        <v>2570</v>
      </c>
      <c r="AD1816">
        <v>10</v>
      </c>
      <c r="AE1816" t="s">
        <v>80</v>
      </c>
      <c r="AF1816" t="s">
        <v>107</v>
      </c>
      <c r="AG1816" t="s">
        <v>82</v>
      </c>
      <c r="AH1816" t="s">
        <v>83</v>
      </c>
      <c r="AI1816" t="s">
        <v>108</v>
      </c>
      <c r="AJ1816">
        <v>1.21984419588985</v>
      </c>
      <c r="AK1816">
        <v>2.0443647767368698</v>
      </c>
      <c r="AL1816">
        <v>0.83071195321612401</v>
      </c>
      <c r="AM1816">
        <v>9.5010979859334502E-2</v>
      </c>
      <c r="AN1816">
        <v>4.9691549499212204</v>
      </c>
      <c r="AO1816">
        <v>0.173164669703811</v>
      </c>
      <c r="AP1816">
        <v>0.173164669703811</v>
      </c>
      <c r="AQ1816">
        <v>0</v>
      </c>
      <c r="AR1816">
        <v>0</v>
      </c>
      <c r="AS1816">
        <v>0</v>
      </c>
      <c r="AT1816">
        <v>0</v>
      </c>
      <c r="AU1816">
        <v>1</v>
      </c>
      <c r="AV1816">
        <v>129</v>
      </c>
      <c r="AW1816">
        <v>0</v>
      </c>
      <c r="AX1816">
        <v>0</v>
      </c>
      <c r="AY1816">
        <v>15.5</v>
      </c>
      <c r="AZ1816">
        <v>2.4</v>
      </c>
      <c r="BA1816">
        <v>10.9</v>
      </c>
      <c r="BB1816">
        <v>564</v>
      </c>
      <c r="BC1816">
        <v>68</v>
      </c>
      <c r="BD1816">
        <v>1.5</v>
      </c>
      <c r="BE1816">
        <v>135</v>
      </c>
      <c r="BF1816">
        <v>0</v>
      </c>
      <c r="BG1816">
        <v>162</v>
      </c>
      <c r="BH1816">
        <v>9.1</v>
      </c>
      <c r="BI1816">
        <v>9.1999999999999993</v>
      </c>
      <c r="BJ1816">
        <v>18.3</v>
      </c>
      <c r="BK1816">
        <v>0.34</v>
      </c>
      <c r="BL1816">
        <v>7.3</v>
      </c>
      <c r="BM1816">
        <v>0.9</v>
      </c>
      <c r="BN1816">
        <v>7.5</v>
      </c>
      <c r="BO1816">
        <v>2.9</v>
      </c>
      <c r="BP1816">
        <f t="shared" si="56"/>
        <v>2.1695418345754849</v>
      </c>
      <c r="BQ1816">
        <f t="shared" si="57"/>
        <v>10.379326714538742</v>
      </c>
    </row>
    <row r="1817" spans="1:69" hidden="1" x14ac:dyDescent="0.2">
      <c r="A1817" t="s">
        <v>4164</v>
      </c>
      <c r="B1817" t="s">
        <v>68</v>
      </c>
      <c r="C1817" t="s">
        <v>3294</v>
      </c>
      <c r="D1817" t="s">
        <v>70</v>
      </c>
      <c r="E1817" t="s">
        <v>4165</v>
      </c>
      <c r="F1817">
        <v>4</v>
      </c>
      <c r="G1817">
        <v>49</v>
      </c>
      <c r="H1817">
        <v>1</v>
      </c>
      <c r="I1817">
        <v>2</v>
      </c>
      <c r="J1817">
        <v>1</v>
      </c>
      <c r="K1817" t="s">
        <v>110</v>
      </c>
      <c r="L1817" t="s">
        <v>124</v>
      </c>
      <c r="M1817" s="4">
        <v>339999000</v>
      </c>
      <c r="N1817">
        <v>0</v>
      </c>
      <c r="O1817">
        <v>4.72349</v>
      </c>
      <c r="P1817">
        <v>-74.031329999999997</v>
      </c>
      <c r="Q1817" t="s">
        <v>4166</v>
      </c>
      <c r="R1817">
        <v>6938755.102</v>
      </c>
      <c r="S1817">
        <v>0</v>
      </c>
      <c r="T1817" t="s">
        <v>104</v>
      </c>
      <c r="U1817" t="s">
        <v>105</v>
      </c>
      <c r="V1817" t="s">
        <v>77</v>
      </c>
      <c r="W1817" t="s">
        <v>104</v>
      </c>
      <c r="X1817" t="s">
        <v>106</v>
      </c>
      <c r="Y1817">
        <v>1.46624350927435</v>
      </c>
      <c r="Z1817">
        <v>1466.2435092743499</v>
      </c>
      <c r="AA1817">
        <v>4.71035</v>
      </c>
      <c r="AB1817">
        <v>-74.030416666666696</v>
      </c>
      <c r="AC1817">
        <v>2570</v>
      </c>
      <c r="AD1817">
        <v>10</v>
      </c>
      <c r="AE1817" t="s">
        <v>80</v>
      </c>
      <c r="AF1817" t="s">
        <v>107</v>
      </c>
      <c r="AG1817" t="s">
        <v>82</v>
      </c>
      <c r="AH1817" t="s">
        <v>83</v>
      </c>
      <c r="AI1817" t="s">
        <v>108</v>
      </c>
      <c r="AJ1817">
        <v>2.1579963479130999</v>
      </c>
      <c r="AK1817">
        <v>0.95551247496651703</v>
      </c>
      <c r="AL1817">
        <v>1.41276782757942</v>
      </c>
      <c r="AM1817">
        <v>0.11697480823692701</v>
      </c>
      <c r="AN1817">
        <v>2.0585561893262501</v>
      </c>
      <c r="AO1817">
        <v>0.14555270204391901</v>
      </c>
      <c r="AP1817">
        <v>0.14555270204391901</v>
      </c>
      <c r="AQ1817">
        <v>0</v>
      </c>
      <c r="AR1817">
        <v>0</v>
      </c>
      <c r="AS1817">
        <v>0</v>
      </c>
      <c r="AT1817">
        <v>4</v>
      </c>
      <c r="AU1817">
        <v>0</v>
      </c>
      <c r="AV1817">
        <v>30</v>
      </c>
      <c r="AW1817">
        <v>0</v>
      </c>
      <c r="AX1817">
        <v>0</v>
      </c>
      <c r="AY1817">
        <v>15.5</v>
      </c>
      <c r="AZ1817">
        <v>2.4</v>
      </c>
      <c r="BA1817">
        <v>10.9</v>
      </c>
      <c r="BB1817">
        <v>564</v>
      </c>
      <c r="BC1817">
        <v>68</v>
      </c>
      <c r="BD1817">
        <v>1.5</v>
      </c>
      <c r="BE1817">
        <v>135</v>
      </c>
      <c r="BF1817">
        <v>0</v>
      </c>
      <c r="BG1817">
        <v>162</v>
      </c>
      <c r="BH1817">
        <v>9.1</v>
      </c>
      <c r="BI1817">
        <v>9.1999999999999993</v>
      </c>
      <c r="BJ1817">
        <v>18.3</v>
      </c>
      <c r="BK1817">
        <v>0.34</v>
      </c>
      <c r="BL1817">
        <v>7.3</v>
      </c>
      <c r="BM1817">
        <v>0.9</v>
      </c>
      <c r="BN1817">
        <v>7.5</v>
      </c>
      <c r="BO1817">
        <v>2.9</v>
      </c>
      <c r="BP1817">
        <f t="shared" si="56"/>
        <v>2.231981338606698</v>
      </c>
      <c r="BQ1817">
        <f t="shared" si="57"/>
        <v>10.523101097617777</v>
      </c>
    </row>
    <row r="1818" spans="1:69" hidden="1" x14ac:dyDescent="0.2">
      <c r="A1818" t="s">
        <v>3498</v>
      </c>
      <c r="B1818" t="s">
        <v>68</v>
      </c>
      <c r="C1818" t="s">
        <v>3294</v>
      </c>
      <c r="D1818" t="s">
        <v>70</v>
      </c>
      <c r="E1818" t="s">
        <v>210</v>
      </c>
      <c r="F1818">
        <v>6</v>
      </c>
      <c r="G1818">
        <v>48.9</v>
      </c>
      <c r="H1818">
        <v>1</v>
      </c>
      <c r="I1818">
        <v>2</v>
      </c>
      <c r="J1818">
        <v>1</v>
      </c>
      <c r="K1818" t="s">
        <v>110</v>
      </c>
      <c r="L1818" t="s">
        <v>124</v>
      </c>
      <c r="M1818" s="4">
        <v>420000000</v>
      </c>
      <c r="N1818">
        <v>0</v>
      </c>
      <c r="O1818">
        <v>4.697971667</v>
      </c>
      <c r="P1818">
        <v>-74.051457099999993</v>
      </c>
      <c r="Q1818" t="s">
        <v>3499</v>
      </c>
      <c r="R1818">
        <v>8588957.0549999997</v>
      </c>
      <c r="S1818">
        <v>0</v>
      </c>
      <c r="T1818" t="s">
        <v>104</v>
      </c>
      <c r="U1818" t="s">
        <v>105</v>
      </c>
      <c r="V1818" t="s">
        <v>77</v>
      </c>
      <c r="W1818" t="s">
        <v>104</v>
      </c>
      <c r="X1818" t="s">
        <v>106</v>
      </c>
      <c r="Y1818">
        <v>2.7106820757914298</v>
      </c>
      <c r="Z1818">
        <v>2710.6820757914302</v>
      </c>
      <c r="AA1818">
        <v>4.71035</v>
      </c>
      <c r="AB1818">
        <v>-74.030416666666696</v>
      </c>
      <c r="AC1818">
        <v>2570</v>
      </c>
      <c r="AD1818">
        <v>10</v>
      </c>
      <c r="AE1818" t="s">
        <v>80</v>
      </c>
      <c r="AF1818" t="s">
        <v>107</v>
      </c>
      <c r="AG1818" t="s">
        <v>82</v>
      </c>
      <c r="AH1818" t="s">
        <v>83</v>
      </c>
      <c r="AI1818" t="s">
        <v>108</v>
      </c>
      <c r="AJ1818">
        <v>0.427412937470523</v>
      </c>
      <c r="AK1818">
        <v>2.7230462589442701</v>
      </c>
      <c r="AL1818">
        <v>0.54683136637382801</v>
      </c>
      <c r="AM1818">
        <v>0.11685181900100799</v>
      </c>
      <c r="AN1818">
        <v>4.3004804125179703</v>
      </c>
      <c r="AO1818">
        <v>0.33901773376515199</v>
      </c>
      <c r="AP1818">
        <v>0.33901773376515199</v>
      </c>
      <c r="AQ1818">
        <v>1</v>
      </c>
      <c r="AR1818">
        <v>3</v>
      </c>
      <c r="AS1818">
        <v>0</v>
      </c>
      <c r="AT1818">
        <v>0</v>
      </c>
      <c r="AU1818">
        <v>1</v>
      </c>
      <c r="AV1818">
        <v>184</v>
      </c>
      <c r="AW1818">
        <v>0</v>
      </c>
      <c r="AX1818">
        <v>0</v>
      </c>
      <c r="AY1818">
        <v>15.5</v>
      </c>
      <c r="AZ1818">
        <v>2.4</v>
      </c>
      <c r="BA1818">
        <v>10.9</v>
      </c>
      <c r="BB1818">
        <v>564</v>
      </c>
      <c r="BC1818">
        <v>68</v>
      </c>
      <c r="BD1818">
        <v>1.5</v>
      </c>
      <c r="BE1818">
        <v>135</v>
      </c>
      <c r="BF1818">
        <v>0</v>
      </c>
      <c r="BG1818">
        <v>162</v>
      </c>
      <c r="BH1818">
        <v>9.1</v>
      </c>
      <c r="BI1818">
        <v>9.1999999999999993</v>
      </c>
      <c r="BJ1818">
        <v>18.3</v>
      </c>
      <c r="BK1818">
        <v>0.34</v>
      </c>
      <c r="BL1818">
        <v>7.3</v>
      </c>
      <c r="BM1818">
        <v>0.9</v>
      </c>
      <c r="BN1818">
        <v>7.5</v>
      </c>
      <c r="BO1818">
        <v>2.9</v>
      </c>
      <c r="BP1818">
        <f t="shared" si="56"/>
        <v>2.0986409626805225</v>
      </c>
      <c r="BQ1818">
        <f t="shared" si="57"/>
        <v>10.213459603717302</v>
      </c>
    </row>
    <row r="1819" spans="1:69" hidden="1" x14ac:dyDescent="0.2">
      <c r="A1819" t="s">
        <v>769</v>
      </c>
      <c r="B1819" t="s">
        <v>68</v>
      </c>
      <c r="C1819" t="s">
        <v>69</v>
      </c>
      <c r="D1819" t="s">
        <v>70</v>
      </c>
      <c r="E1819" t="s">
        <v>360</v>
      </c>
      <c r="F1819">
        <v>4</v>
      </c>
      <c r="G1819">
        <v>48</v>
      </c>
      <c r="H1819">
        <v>3</v>
      </c>
      <c r="I1819">
        <v>2</v>
      </c>
      <c r="J1819">
        <v>0</v>
      </c>
      <c r="K1819" t="s">
        <v>110</v>
      </c>
      <c r="L1819" t="s">
        <v>162</v>
      </c>
      <c r="M1819" s="4">
        <v>250000000</v>
      </c>
      <c r="N1819">
        <v>0</v>
      </c>
      <c r="O1819">
        <v>4.7402482030000002</v>
      </c>
      <c r="P1819">
        <v>-74.035621640000002</v>
      </c>
      <c r="Q1819" t="s">
        <v>770</v>
      </c>
      <c r="R1819">
        <v>5208333.3329999996</v>
      </c>
      <c r="S1819">
        <v>0</v>
      </c>
      <c r="T1819" t="s">
        <v>104</v>
      </c>
      <c r="U1819" t="s">
        <v>105</v>
      </c>
      <c r="V1819" t="s">
        <v>77</v>
      </c>
      <c r="W1819" t="s">
        <v>104</v>
      </c>
      <c r="X1819" t="s">
        <v>106</v>
      </c>
      <c r="Y1819">
        <v>3.3779741986740501</v>
      </c>
      <c r="Z1819">
        <v>3377.9741986740501</v>
      </c>
      <c r="AA1819">
        <v>4.71035</v>
      </c>
      <c r="AB1819">
        <v>-74.030416666666696</v>
      </c>
      <c r="AC1819">
        <v>2570</v>
      </c>
      <c r="AD1819">
        <v>10</v>
      </c>
      <c r="AE1819" t="s">
        <v>80</v>
      </c>
      <c r="AF1819" t="s">
        <v>107</v>
      </c>
      <c r="AG1819" t="s">
        <v>82</v>
      </c>
      <c r="AH1819" t="s">
        <v>83</v>
      </c>
      <c r="AI1819" t="s">
        <v>108</v>
      </c>
      <c r="AJ1819">
        <v>1.3847466599181799</v>
      </c>
      <c r="AK1819">
        <v>1.7191659939108701</v>
      </c>
      <c r="AL1819">
        <v>0.94604127373049796</v>
      </c>
      <c r="AM1819">
        <v>0.23014537760988901</v>
      </c>
      <c r="AN1819">
        <v>0.99583768826100305</v>
      </c>
      <c r="AO1819">
        <v>0.13545725174748499</v>
      </c>
      <c r="AP1819">
        <v>0.13545725174748499</v>
      </c>
      <c r="AQ1819">
        <v>0</v>
      </c>
      <c r="AR1819">
        <v>0</v>
      </c>
      <c r="AS1819">
        <v>0</v>
      </c>
      <c r="AT1819">
        <v>0</v>
      </c>
      <c r="AU1819">
        <v>1</v>
      </c>
      <c r="AV1819">
        <v>19</v>
      </c>
      <c r="AW1819">
        <v>1</v>
      </c>
      <c r="AX1819">
        <v>0</v>
      </c>
      <c r="AY1819">
        <v>15.5</v>
      </c>
      <c r="AZ1819">
        <v>2.4</v>
      </c>
      <c r="BA1819">
        <v>10.9</v>
      </c>
      <c r="BB1819">
        <v>564</v>
      </c>
      <c r="BC1819">
        <v>68</v>
      </c>
      <c r="BD1819">
        <v>1.5</v>
      </c>
      <c r="BE1819">
        <v>135</v>
      </c>
      <c r="BF1819">
        <v>0</v>
      </c>
      <c r="BG1819">
        <v>162</v>
      </c>
      <c r="BH1819">
        <v>9.1</v>
      </c>
      <c r="BI1819">
        <v>9.1999999999999993</v>
      </c>
      <c r="BJ1819">
        <v>18.3</v>
      </c>
      <c r="BK1819">
        <v>0.34</v>
      </c>
      <c r="BL1819">
        <v>7.3</v>
      </c>
      <c r="BM1819">
        <v>0.9</v>
      </c>
      <c r="BN1819">
        <v>7.5</v>
      </c>
      <c r="BO1819">
        <v>2.9</v>
      </c>
      <c r="BP1819">
        <f t="shared" si="56"/>
        <v>2.0304531901546556</v>
      </c>
      <c r="BQ1819">
        <f t="shared" si="57"/>
        <v>10.051193749208212</v>
      </c>
    </row>
    <row r="1820" spans="1:69" hidden="1" x14ac:dyDescent="0.2">
      <c r="A1820" t="s">
        <v>3962</v>
      </c>
      <c r="B1820" t="s">
        <v>68</v>
      </c>
      <c r="C1820" t="s">
        <v>3294</v>
      </c>
      <c r="D1820" t="s">
        <v>70</v>
      </c>
      <c r="E1820" t="s">
        <v>337</v>
      </c>
      <c r="F1820">
        <v>5</v>
      </c>
      <c r="G1820">
        <v>48</v>
      </c>
      <c r="H1820">
        <v>1</v>
      </c>
      <c r="I1820">
        <v>2</v>
      </c>
      <c r="J1820">
        <v>1</v>
      </c>
      <c r="K1820" t="s">
        <v>110</v>
      </c>
      <c r="L1820" t="s">
        <v>124</v>
      </c>
      <c r="M1820" s="4">
        <v>440000000</v>
      </c>
      <c r="N1820">
        <v>0</v>
      </c>
      <c r="O1820">
        <v>4.704978466</v>
      </c>
      <c r="P1820">
        <v>-74.053283690000001</v>
      </c>
      <c r="Q1820" t="s">
        <v>3963</v>
      </c>
      <c r="R1820">
        <v>9166666.6669999994</v>
      </c>
      <c r="S1820">
        <v>0</v>
      </c>
      <c r="T1820" t="s">
        <v>104</v>
      </c>
      <c r="U1820" t="s">
        <v>105</v>
      </c>
      <c r="V1820" t="s">
        <v>77</v>
      </c>
      <c r="W1820" t="s">
        <v>104</v>
      </c>
      <c r="X1820" t="s">
        <v>106</v>
      </c>
      <c r="Y1820">
        <v>2.6064739960338099</v>
      </c>
      <c r="Z1820">
        <v>2606.4739960338102</v>
      </c>
      <c r="AA1820">
        <v>4.71035</v>
      </c>
      <c r="AB1820">
        <v>-74.030416666666696</v>
      </c>
      <c r="AC1820">
        <v>2570</v>
      </c>
      <c r="AD1820">
        <v>10</v>
      </c>
      <c r="AE1820" t="s">
        <v>80</v>
      </c>
      <c r="AF1820" t="s">
        <v>107</v>
      </c>
      <c r="AG1820" t="s">
        <v>82</v>
      </c>
      <c r="AH1820" t="s">
        <v>83</v>
      </c>
      <c r="AI1820" t="s">
        <v>108</v>
      </c>
      <c r="AJ1820">
        <v>0.110900410067772</v>
      </c>
      <c r="AK1820">
        <v>3.0875107404130899</v>
      </c>
      <c r="AL1820">
        <v>1.3462759667984201</v>
      </c>
      <c r="AM1820">
        <v>5.1949365326392702E-2</v>
      </c>
      <c r="AN1820">
        <v>4.6801656445186897</v>
      </c>
      <c r="AO1820">
        <v>0.27271837964969498</v>
      </c>
      <c r="AP1820">
        <v>0.27271837964969498</v>
      </c>
      <c r="AQ1820">
        <v>1</v>
      </c>
      <c r="AR1820">
        <v>2</v>
      </c>
      <c r="AS1820">
        <v>0</v>
      </c>
      <c r="AT1820">
        <v>0</v>
      </c>
      <c r="AU1820">
        <v>0</v>
      </c>
      <c r="AV1820">
        <v>132</v>
      </c>
      <c r="AW1820">
        <v>0</v>
      </c>
      <c r="AX1820">
        <v>0</v>
      </c>
      <c r="AY1820">
        <v>15.5</v>
      </c>
      <c r="AZ1820">
        <v>2.4</v>
      </c>
      <c r="BA1820">
        <v>10.9</v>
      </c>
      <c r="BB1820">
        <v>564</v>
      </c>
      <c r="BC1820">
        <v>68</v>
      </c>
      <c r="BD1820">
        <v>1.5</v>
      </c>
      <c r="BE1820">
        <v>135</v>
      </c>
      <c r="BF1820">
        <v>0</v>
      </c>
      <c r="BG1820">
        <v>162</v>
      </c>
      <c r="BH1820">
        <v>9.1</v>
      </c>
      <c r="BI1820">
        <v>9.1999999999999993</v>
      </c>
      <c r="BJ1820">
        <v>18.3</v>
      </c>
      <c r="BK1820">
        <v>0.34</v>
      </c>
      <c r="BL1820">
        <v>7.3</v>
      </c>
      <c r="BM1820">
        <v>0.9</v>
      </c>
      <c r="BN1820">
        <v>7.5</v>
      </c>
      <c r="BO1820">
        <v>2.9</v>
      </c>
      <c r="BP1820">
        <f t="shared" si="56"/>
        <v>2.1094943506989972</v>
      </c>
      <c r="BQ1820">
        <f t="shared" si="57"/>
        <v>10.23903537311946</v>
      </c>
    </row>
    <row r="1821" spans="1:69" hidden="1" x14ac:dyDescent="0.2">
      <c r="A1821" t="s">
        <v>1850</v>
      </c>
      <c r="B1821" t="s">
        <v>68</v>
      </c>
      <c r="C1821" t="s">
        <v>69</v>
      </c>
      <c r="D1821" t="s">
        <v>70</v>
      </c>
      <c r="E1821" t="s">
        <v>235</v>
      </c>
      <c r="F1821">
        <v>6</v>
      </c>
      <c r="G1821">
        <v>48</v>
      </c>
      <c r="H1821">
        <v>1</v>
      </c>
      <c r="I1821">
        <v>2</v>
      </c>
      <c r="J1821">
        <v>1</v>
      </c>
      <c r="K1821" t="s">
        <v>110</v>
      </c>
      <c r="L1821" t="s">
        <v>162</v>
      </c>
      <c r="M1821" s="4">
        <v>450000000</v>
      </c>
      <c r="N1821">
        <v>0</v>
      </c>
      <c r="O1821">
        <v>4.7061352999999997</v>
      </c>
      <c r="P1821">
        <v>-74.039959999999994</v>
      </c>
      <c r="Q1821" t="s">
        <v>1851</v>
      </c>
      <c r="R1821">
        <v>9375000</v>
      </c>
      <c r="S1821">
        <v>0</v>
      </c>
      <c r="T1821" t="s">
        <v>104</v>
      </c>
      <c r="U1821" t="s">
        <v>105</v>
      </c>
      <c r="V1821" t="s">
        <v>77</v>
      </c>
      <c r="W1821" t="s">
        <v>104</v>
      </c>
      <c r="X1821" t="s">
        <v>106</v>
      </c>
      <c r="Y1821">
        <v>1.15807209710926</v>
      </c>
      <c r="Z1821">
        <v>1158.0720971092601</v>
      </c>
      <c r="AA1821">
        <v>4.71035</v>
      </c>
      <c r="AB1821">
        <v>-74.030416666666696</v>
      </c>
      <c r="AC1821">
        <v>2570</v>
      </c>
      <c r="AD1821">
        <v>10</v>
      </c>
      <c r="AE1821" t="s">
        <v>80</v>
      </c>
      <c r="AF1821" t="s">
        <v>107</v>
      </c>
      <c r="AG1821" t="s">
        <v>82</v>
      </c>
      <c r="AH1821" t="s">
        <v>83</v>
      </c>
      <c r="AI1821" t="s">
        <v>108</v>
      </c>
      <c r="AJ1821">
        <v>1.5902854173896299</v>
      </c>
      <c r="AK1821">
        <v>1.6519345071079099</v>
      </c>
      <c r="AL1821">
        <v>0.94507456663502598</v>
      </c>
      <c r="AM1821">
        <v>0.22765605322267601</v>
      </c>
      <c r="AN1821">
        <v>4.1781943694499803</v>
      </c>
      <c r="AO1821">
        <v>0.23576107189991599</v>
      </c>
      <c r="AP1821">
        <v>0.23576107189991599</v>
      </c>
      <c r="AQ1821">
        <v>0</v>
      </c>
      <c r="AR1821">
        <v>0</v>
      </c>
      <c r="AS1821">
        <v>0</v>
      </c>
      <c r="AT1821">
        <v>0</v>
      </c>
      <c r="AU1821">
        <v>2</v>
      </c>
      <c r="AV1821">
        <v>72</v>
      </c>
      <c r="AW1821">
        <v>0</v>
      </c>
      <c r="AX1821">
        <v>0</v>
      </c>
      <c r="AY1821">
        <v>15.5</v>
      </c>
      <c r="AZ1821">
        <v>2.4</v>
      </c>
      <c r="BA1821">
        <v>10.9</v>
      </c>
      <c r="BB1821">
        <v>564</v>
      </c>
      <c r="BC1821">
        <v>68</v>
      </c>
      <c r="BD1821">
        <v>1.5</v>
      </c>
      <c r="BE1821">
        <v>135</v>
      </c>
      <c r="BF1821">
        <v>0</v>
      </c>
      <c r="BG1821">
        <v>162</v>
      </c>
      <c r="BH1821">
        <v>9.1</v>
      </c>
      <c r="BI1821">
        <v>9.1999999999999993</v>
      </c>
      <c r="BJ1821">
        <v>18.3</v>
      </c>
      <c r="BK1821">
        <v>0.34</v>
      </c>
      <c r="BL1821">
        <v>7.3</v>
      </c>
      <c r="BM1821">
        <v>0.9</v>
      </c>
      <c r="BN1821">
        <v>7.5</v>
      </c>
      <c r="BO1821">
        <v>2.9</v>
      </c>
      <c r="BP1821">
        <f t="shared" si="56"/>
        <v>2.2662900800282944</v>
      </c>
      <c r="BQ1821">
        <f t="shared" si="57"/>
        <v>10.601219682702066</v>
      </c>
    </row>
    <row r="1822" spans="1:69" hidden="1" x14ac:dyDescent="0.2">
      <c r="A1822" t="s">
        <v>3831</v>
      </c>
      <c r="B1822" t="s">
        <v>68</v>
      </c>
      <c r="C1822" t="s">
        <v>3294</v>
      </c>
      <c r="D1822" t="s">
        <v>70</v>
      </c>
      <c r="E1822" t="s">
        <v>262</v>
      </c>
      <c r="F1822">
        <v>5</v>
      </c>
      <c r="G1822">
        <v>48</v>
      </c>
      <c r="H1822">
        <v>1</v>
      </c>
      <c r="I1822">
        <v>2</v>
      </c>
      <c r="J1822">
        <v>1</v>
      </c>
      <c r="K1822" t="s">
        <v>110</v>
      </c>
      <c r="L1822" t="s">
        <v>111</v>
      </c>
      <c r="M1822" s="4">
        <v>600000000</v>
      </c>
      <c r="N1822">
        <v>0</v>
      </c>
      <c r="O1822">
        <v>4.7040576930000002</v>
      </c>
      <c r="P1822">
        <v>-74.031150819999993</v>
      </c>
      <c r="Q1822" t="s">
        <v>3832</v>
      </c>
      <c r="R1822">
        <v>12500000</v>
      </c>
      <c r="S1822">
        <v>0</v>
      </c>
      <c r="T1822" t="s">
        <v>104</v>
      </c>
      <c r="U1822" t="s">
        <v>105</v>
      </c>
      <c r="V1822" t="s">
        <v>77</v>
      </c>
      <c r="W1822" t="s">
        <v>104</v>
      </c>
      <c r="X1822" t="s">
        <v>106</v>
      </c>
      <c r="Y1822">
        <v>0.70517605856571597</v>
      </c>
      <c r="Z1822">
        <v>705.17605856571595</v>
      </c>
      <c r="AA1822">
        <v>4.71035</v>
      </c>
      <c r="AB1822">
        <v>-74.030416666666696</v>
      </c>
      <c r="AC1822">
        <v>2570</v>
      </c>
      <c r="AD1822">
        <v>10</v>
      </c>
      <c r="AE1822" t="s">
        <v>80</v>
      </c>
      <c r="AF1822" t="s">
        <v>107</v>
      </c>
      <c r="AG1822" t="s">
        <v>82</v>
      </c>
      <c r="AH1822" t="s">
        <v>83</v>
      </c>
      <c r="AI1822" t="s">
        <v>108</v>
      </c>
      <c r="AJ1822">
        <v>2.5592123684417398</v>
      </c>
      <c r="AK1822">
        <v>0.64980499827965199</v>
      </c>
      <c r="AL1822">
        <v>0.33441724532536299</v>
      </c>
      <c r="AM1822">
        <v>9.4708761285465598E-2</v>
      </c>
      <c r="AN1822">
        <v>4.1707963681028497</v>
      </c>
      <c r="AO1822">
        <v>0.31034425686828898</v>
      </c>
      <c r="AP1822">
        <v>0.31034425686828898</v>
      </c>
      <c r="AQ1822">
        <v>0</v>
      </c>
      <c r="AR1822">
        <v>0</v>
      </c>
      <c r="AS1822">
        <v>0</v>
      </c>
      <c r="AT1822">
        <v>19</v>
      </c>
      <c r="AU1822">
        <v>2</v>
      </c>
      <c r="AV1822">
        <v>115</v>
      </c>
      <c r="AW1822">
        <v>0</v>
      </c>
      <c r="AX1822">
        <v>0</v>
      </c>
      <c r="AY1822">
        <v>15.5</v>
      </c>
      <c r="AZ1822">
        <v>2.4</v>
      </c>
      <c r="BA1822">
        <v>10.9</v>
      </c>
      <c r="BB1822">
        <v>564</v>
      </c>
      <c r="BC1822">
        <v>68</v>
      </c>
      <c r="BD1822">
        <v>1.5</v>
      </c>
      <c r="BE1822">
        <v>135</v>
      </c>
      <c r="BF1822">
        <v>0</v>
      </c>
      <c r="BG1822">
        <v>162</v>
      </c>
      <c r="BH1822">
        <v>9.1</v>
      </c>
      <c r="BI1822">
        <v>9.1999999999999993</v>
      </c>
      <c r="BJ1822">
        <v>18.3</v>
      </c>
      <c r="BK1822">
        <v>0.34</v>
      </c>
      <c r="BL1822">
        <v>7.3</v>
      </c>
      <c r="BM1822">
        <v>0.9</v>
      </c>
      <c r="BN1822">
        <v>7.5</v>
      </c>
      <c r="BO1822">
        <v>2.9</v>
      </c>
      <c r="BP1822">
        <f t="shared" si="56"/>
        <v>2.3176703517737938</v>
      </c>
      <c r="BQ1822">
        <f t="shared" si="57"/>
        <v>10.717078214008755</v>
      </c>
    </row>
    <row r="1823" spans="1:69" hidden="1" x14ac:dyDescent="0.2">
      <c r="A1823" t="s">
        <v>803</v>
      </c>
      <c r="B1823" t="s">
        <v>68</v>
      </c>
      <c r="C1823" t="s">
        <v>69</v>
      </c>
      <c r="D1823" t="s">
        <v>70</v>
      </c>
      <c r="E1823" t="s">
        <v>337</v>
      </c>
      <c r="F1823">
        <v>6</v>
      </c>
      <c r="G1823">
        <v>47.97</v>
      </c>
      <c r="H1823">
        <v>1</v>
      </c>
      <c r="I1823">
        <v>1</v>
      </c>
      <c r="J1823">
        <v>1</v>
      </c>
      <c r="K1823" t="s">
        <v>110</v>
      </c>
      <c r="L1823" t="s">
        <v>111</v>
      </c>
      <c r="M1823" s="4">
        <v>574900000</v>
      </c>
      <c r="N1823">
        <v>0</v>
      </c>
      <c r="O1823">
        <v>4.6979936090000001</v>
      </c>
      <c r="P1823">
        <v>-74.043976279999995</v>
      </c>
      <c r="Q1823" t="s">
        <v>804</v>
      </c>
      <c r="R1823">
        <v>11984573.689999999</v>
      </c>
      <c r="S1823">
        <v>0</v>
      </c>
      <c r="T1823" t="s">
        <v>104</v>
      </c>
      <c r="U1823" t="s">
        <v>105</v>
      </c>
      <c r="V1823" t="s">
        <v>77</v>
      </c>
      <c r="W1823" t="s">
        <v>104</v>
      </c>
      <c r="X1823" t="s">
        <v>106</v>
      </c>
      <c r="Y1823">
        <v>2.0384142405196299</v>
      </c>
      <c r="Z1823">
        <v>2038.4142405196301</v>
      </c>
      <c r="AA1823">
        <v>4.71035</v>
      </c>
      <c r="AB1823">
        <v>-74.030416666666696</v>
      </c>
      <c r="AC1823">
        <v>2570</v>
      </c>
      <c r="AD1823">
        <v>10</v>
      </c>
      <c r="AE1823" t="s">
        <v>80</v>
      </c>
      <c r="AF1823" t="s">
        <v>107</v>
      </c>
      <c r="AG1823" t="s">
        <v>82</v>
      </c>
      <c r="AH1823" t="s">
        <v>83</v>
      </c>
      <c r="AI1823" t="s">
        <v>108</v>
      </c>
      <c r="AJ1823">
        <v>1.25661133161278</v>
      </c>
      <c r="AK1823">
        <v>2.0075236843372601</v>
      </c>
      <c r="AL1823">
        <v>0.83309352161549699</v>
      </c>
      <c r="AM1823">
        <v>4.6085988408575501E-2</v>
      </c>
      <c r="AN1823">
        <v>4.9787397404433102</v>
      </c>
      <c r="AO1823">
        <v>0.157535304374188</v>
      </c>
      <c r="AP1823">
        <v>0.157535304374188</v>
      </c>
      <c r="AQ1823">
        <v>0</v>
      </c>
      <c r="AR1823">
        <v>0</v>
      </c>
      <c r="AS1823">
        <v>0</v>
      </c>
      <c r="AT1823">
        <v>0</v>
      </c>
      <c r="AU1823">
        <v>1</v>
      </c>
      <c r="AV1823">
        <v>125</v>
      </c>
      <c r="AW1823">
        <v>0</v>
      </c>
      <c r="AX1823">
        <v>0</v>
      </c>
      <c r="AY1823">
        <v>15.5</v>
      </c>
      <c r="AZ1823">
        <v>2.4</v>
      </c>
      <c r="BA1823">
        <v>10.9</v>
      </c>
      <c r="BB1823">
        <v>564</v>
      </c>
      <c r="BC1823">
        <v>68</v>
      </c>
      <c r="BD1823">
        <v>1.5</v>
      </c>
      <c r="BE1823">
        <v>135</v>
      </c>
      <c r="BF1823">
        <v>0</v>
      </c>
      <c r="BG1823">
        <v>162</v>
      </c>
      <c r="BH1823">
        <v>9.1</v>
      </c>
      <c r="BI1823">
        <v>9.1999999999999993</v>
      </c>
      <c r="BJ1823">
        <v>18.3</v>
      </c>
      <c r="BK1823">
        <v>0.34</v>
      </c>
      <c r="BL1823">
        <v>7.3</v>
      </c>
      <c r="BM1823">
        <v>0.9</v>
      </c>
      <c r="BN1823">
        <v>7.5</v>
      </c>
      <c r="BO1823">
        <v>2.9</v>
      </c>
      <c r="BP1823">
        <f t="shared" si="56"/>
        <v>2.169652968575901</v>
      </c>
      <c r="BQ1823">
        <f t="shared" si="57"/>
        <v>10.379584494060763</v>
      </c>
    </row>
    <row r="1824" spans="1:69" hidden="1" x14ac:dyDescent="0.2">
      <c r="A1824" t="s">
        <v>4636</v>
      </c>
      <c r="B1824" t="s">
        <v>68</v>
      </c>
      <c r="C1824" t="s">
        <v>3294</v>
      </c>
      <c r="D1824" t="s">
        <v>70</v>
      </c>
      <c r="E1824" t="s">
        <v>468</v>
      </c>
      <c r="F1824">
        <v>6</v>
      </c>
      <c r="G1824">
        <v>47.74</v>
      </c>
      <c r="H1824">
        <v>1</v>
      </c>
      <c r="I1824">
        <v>2</v>
      </c>
      <c r="J1824">
        <v>1</v>
      </c>
      <c r="K1824" t="s">
        <v>110</v>
      </c>
      <c r="L1824" t="s">
        <v>133</v>
      </c>
      <c r="M1824" s="4">
        <v>480000000</v>
      </c>
      <c r="N1824">
        <v>0</v>
      </c>
      <c r="O1824">
        <v>4.6869559289999998</v>
      </c>
      <c r="P1824">
        <v>-74.048797609999994</v>
      </c>
      <c r="Q1824" t="s">
        <v>4637</v>
      </c>
      <c r="R1824">
        <v>10054461.67</v>
      </c>
      <c r="S1824">
        <v>0</v>
      </c>
      <c r="T1824" t="s">
        <v>104</v>
      </c>
      <c r="U1824" t="s">
        <v>105</v>
      </c>
      <c r="V1824" t="s">
        <v>77</v>
      </c>
      <c r="W1824" t="s">
        <v>104</v>
      </c>
      <c r="X1824" t="s">
        <v>106</v>
      </c>
      <c r="Y1824">
        <v>3.3076588845583501</v>
      </c>
      <c r="Z1824">
        <v>3307.6588845583501</v>
      </c>
      <c r="AA1824">
        <v>4.71035</v>
      </c>
      <c r="AB1824">
        <v>-74.030416666666696</v>
      </c>
      <c r="AC1824">
        <v>2570</v>
      </c>
      <c r="AD1824">
        <v>10</v>
      </c>
      <c r="AE1824" t="s">
        <v>80</v>
      </c>
      <c r="AF1824" t="s">
        <v>107</v>
      </c>
      <c r="AG1824" t="s">
        <v>82</v>
      </c>
      <c r="AH1824" t="s">
        <v>83</v>
      </c>
      <c r="AI1824" t="s">
        <v>108</v>
      </c>
      <c r="AJ1824">
        <v>1.04280639348732</v>
      </c>
      <c r="AK1824">
        <v>1.66482463281499</v>
      </c>
      <c r="AL1824">
        <v>0.25430495701370198</v>
      </c>
      <c r="AM1824">
        <v>8.7127162449846501E-2</v>
      </c>
      <c r="AN1824">
        <v>3.94346622273207</v>
      </c>
      <c r="AO1824">
        <v>0.487717391104386</v>
      </c>
      <c r="AP1824">
        <v>0.487717391104386</v>
      </c>
      <c r="AQ1824">
        <v>0</v>
      </c>
      <c r="AR1824">
        <v>0</v>
      </c>
      <c r="AS1824">
        <v>0</v>
      </c>
      <c r="AT1824">
        <v>0</v>
      </c>
      <c r="AU1824">
        <v>5</v>
      </c>
      <c r="AV1824">
        <v>166</v>
      </c>
      <c r="AW1824">
        <v>0</v>
      </c>
      <c r="AX1824">
        <v>0</v>
      </c>
      <c r="AY1824">
        <v>15.5</v>
      </c>
      <c r="AZ1824">
        <v>2.4</v>
      </c>
      <c r="BA1824">
        <v>10.9</v>
      </c>
      <c r="BB1824">
        <v>564</v>
      </c>
      <c r="BC1824">
        <v>68</v>
      </c>
      <c r="BD1824">
        <v>1.5</v>
      </c>
      <c r="BE1824">
        <v>135</v>
      </c>
      <c r="BF1824">
        <v>0</v>
      </c>
      <c r="BG1824">
        <v>162</v>
      </c>
      <c r="BH1824">
        <v>9.1</v>
      </c>
      <c r="BI1824">
        <v>9.1999999999999993</v>
      </c>
      <c r="BJ1824">
        <v>18.3</v>
      </c>
      <c r="BK1824">
        <v>0.34</v>
      </c>
      <c r="BL1824">
        <v>7.3</v>
      </c>
      <c r="BM1824">
        <v>0.9</v>
      </c>
      <c r="BN1824">
        <v>7.5</v>
      </c>
      <c r="BO1824">
        <v>2.9</v>
      </c>
      <c r="BP1824">
        <f t="shared" si="56"/>
        <v>2.0375327152497329</v>
      </c>
      <c r="BQ1824">
        <f t="shared" si="57"/>
        <v>10.068170137877654</v>
      </c>
    </row>
    <row r="1825" spans="1:69" hidden="1" x14ac:dyDescent="0.2">
      <c r="A1825" t="s">
        <v>3458</v>
      </c>
      <c r="B1825" t="s">
        <v>68</v>
      </c>
      <c r="C1825" t="s">
        <v>3294</v>
      </c>
      <c r="D1825" t="s">
        <v>70</v>
      </c>
      <c r="E1825" t="s">
        <v>193</v>
      </c>
      <c r="F1825">
        <v>5</v>
      </c>
      <c r="G1825">
        <v>47.33</v>
      </c>
      <c r="H1825">
        <v>1</v>
      </c>
      <c r="I1825">
        <v>1</v>
      </c>
      <c r="J1825">
        <v>1</v>
      </c>
      <c r="K1825" t="s">
        <v>110</v>
      </c>
      <c r="L1825" t="s">
        <v>162</v>
      </c>
      <c r="M1825" s="4">
        <v>390000000</v>
      </c>
      <c r="N1825">
        <v>0</v>
      </c>
      <c r="O1825">
        <v>4.7015290790000002</v>
      </c>
      <c r="P1825">
        <v>-74.029172149999994</v>
      </c>
      <c r="Q1825" t="s">
        <v>3459</v>
      </c>
      <c r="R1825">
        <v>8240016.9029999999</v>
      </c>
      <c r="S1825">
        <v>0</v>
      </c>
      <c r="T1825" t="s">
        <v>104</v>
      </c>
      <c r="U1825" t="s">
        <v>105</v>
      </c>
      <c r="V1825" t="s">
        <v>77</v>
      </c>
      <c r="W1825" t="s">
        <v>104</v>
      </c>
      <c r="X1825" t="s">
        <v>106</v>
      </c>
      <c r="Y1825">
        <v>0.99160015840898796</v>
      </c>
      <c r="Z1825">
        <v>991.60015840898802</v>
      </c>
      <c r="AA1825">
        <v>4.71035</v>
      </c>
      <c r="AB1825">
        <v>-74.030416666666696</v>
      </c>
      <c r="AC1825">
        <v>2570</v>
      </c>
      <c r="AD1825">
        <v>10</v>
      </c>
      <c r="AE1825" t="s">
        <v>80</v>
      </c>
      <c r="AF1825" t="s">
        <v>107</v>
      </c>
      <c r="AG1825" t="s">
        <v>82</v>
      </c>
      <c r="AH1825" t="s">
        <v>83</v>
      </c>
      <c r="AI1825" t="s">
        <v>108</v>
      </c>
      <c r="AJ1825">
        <v>2.7989853595078098</v>
      </c>
      <c r="AK1825">
        <v>0.40762661168285202</v>
      </c>
      <c r="AL1825">
        <v>0.36565364273647</v>
      </c>
      <c r="AM1825">
        <v>2.7888847566615398E-2</v>
      </c>
      <c r="AN1825">
        <v>4.4296298649745998</v>
      </c>
      <c r="AO1825">
        <v>0.25522933759302802</v>
      </c>
      <c r="AP1825">
        <v>0.25522933759302802</v>
      </c>
      <c r="AQ1825">
        <v>0</v>
      </c>
      <c r="AR1825">
        <v>0</v>
      </c>
      <c r="AS1825">
        <v>6</v>
      </c>
      <c r="AT1825">
        <v>29</v>
      </c>
      <c r="AU1825">
        <v>2</v>
      </c>
      <c r="AV1825">
        <v>98</v>
      </c>
      <c r="AW1825">
        <v>0</v>
      </c>
      <c r="AX1825">
        <v>0</v>
      </c>
      <c r="AY1825">
        <v>15.5</v>
      </c>
      <c r="AZ1825">
        <v>2.4</v>
      </c>
      <c r="BA1825">
        <v>10.9</v>
      </c>
      <c r="BB1825">
        <v>564</v>
      </c>
      <c r="BC1825">
        <v>68</v>
      </c>
      <c r="BD1825">
        <v>1.5</v>
      </c>
      <c r="BE1825">
        <v>135</v>
      </c>
      <c r="BF1825">
        <v>0</v>
      </c>
      <c r="BG1825">
        <v>162</v>
      </c>
      <c r="BH1825">
        <v>9.1</v>
      </c>
      <c r="BI1825">
        <v>9.1999999999999993</v>
      </c>
      <c r="BJ1825">
        <v>18.3</v>
      </c>
      <c r="BK1825">
        <v>0.34</v>
      </c>
      <c r="BL1825">
        <v>7.3</v>
      </c>
      <c r="BM1825">
        <v>0.9</v>
      </c>
      <c r="BN1825">
        <v>7.5</v>
      </c>
      <c r="BO1825">
        <v>2.9</v>
      </c>
      <c r="BP1825">
        <f t="shared" si="56"/>
        <v>2.2850422846966643</v>
      </c>
      <c r="BQ1825">
        <f t="shared" si="57"/>
        <v>10.643659741429753</v>
      </c>
    </row>
    <row r="1826" spans="1:69" hidden="1" x14ac:dyDescent="0.2">
      <c r="A1826" t="s">
        <v>4529</v>
      </c>
      <c r="B1826" t="s">
        <v>68</v>
      </c>
      <c r="C1826" t="s">
        <v>3294</v>
      </c>
      <c r="D1826" t="s">
        <v>70</v>
      </c>
      <c r="E1826" t="s">
        <v>210</v>
      </c>
      <c r="F1826">
        <v>6</v>
      </c>
      <c r="G1826">
        <v>47.24</v>
      </c>
      <c r="H1826">
        <v>1</v>
      </c>
      <c r="I1826">
        <v>1</v>
      </c>
      <c r="J1826">
        <v>1</v>
      </c>
      <c r="K1826" t="s">
        <v>110</v>
      </c>
      <c r="L1826" t="s">
        <v>133</v>
      </c>
      <c r="M1826" s="4">
        <v>485000000</v>
      </c>
      <c r="N1826">
        <v>0</v>
      </c>
      <c r="O1826">
        <v>4.6935639379999996</v>
      </c>
      <c r="P1826">
        <v>-74.052520749999999</v>
      </c>
      <c r="Q1826" t="s">
        <v>4530</v>
      </c>
      <c r="R1826">
        <v>10266723.119999999</v>
      </c>
      <c r="S1826">
        <v>0</v>
      </c>
      <c r="T1826" t="s">
        <v>104</v>
      </c>
      <c r="U1826" t="s">
        <v>105</v>
      </c>
      <c r="V1826" t="s">
        <v>77</v>
      </c>
      <c r="W1826" t="s">
        <v>104</v>
      </c>
      <c r="X1826" t="s">
        <v>106</v>
      </c>
      <c r="Y1826">
        <v>3.0831264712538302</v>
      </c>
      <c r="Z1826">
        <v>3083.12647125383</v>
      </c>
      <c r="AA1826">
        <v>4.71035</v>
      </c>
      <c r="AB1826">
        <v>-74.030416666666696</v>
      </c>
      <c r="AC1826">
        <v>2570</v>
      </c>
      <c r="AD1826">
        <v>10</v>
      </c>
      <c r="AE1826" t="s">
        <v>80</v>
      </c>
      <c r="AF1826" t="s">
        <v>107</v>
      </c>
      <c r="AG1826" t="s">
        <v>82</v>
      </c>
      <c r="AH1826" t="s">
        <v>83</v>
      </c>
      <c r="AI1826" t="s">
        <v>108</v>
      </c>
      <c r="AJ1826">
        <v>0.41105431952572702</v>
      </c>
      <c r="AK1826">
        <v>2.4494389151209601</v>
      </c>
      <c r="AL1826">
        <v>0.29756776745580199</v>
      </c>
      <c r="AM1826">
        <v>0.121372825367815</v>
      </c>
      <c r="AN1826">
        <v>3.9177901426206598</v>
      </c>
      <c r="AO1826">
        <v>5.4116775789822699E-2</v>
      </c>
      <c r="AP1826">
        <v>5.4116775789822699E-2</v>
      </c>
      <c r="AQ1826">
        <v>1</v>
      </c>
      <c r="AR1826">
        <v>2</v>
      </c>
      <c r="AS1826">
        <v>0</v>
      </c>
      <c r="AT1826">
        <v>0</v>
      </c>
      <c r="AU1826">
        <v>5</v>
      </c>
      <c r="AV1826">
        <v>164</v>
      </c>
      <c r="AW1826">
        <v>0</v>
      </c>
      <c r="AX1826">
        <v>0</v>
      </c>
      <c r="AY1826">
        <v>15.5</v>
      </c>
      <c r="AZ1826">
        <v>2.4</v>
      </c>
      <c r="BA1826">
        <v>10.9</v>
      </c>
      <c r="BB1826">
        <v>564</v>
      </c>
      <c r="BC1826">
        <v>68</v>
      </c>
      <c r="BD1826">
        <v>1.5</v>
      </c>
      <c r="BE1826">
        <v>135</v>
      </c>
      <c r="BF1826">
        <v>0</v>
      </c>
      <c r="BG1826">
        <v>162</v>
      </c>
      <c r="BH1826">
        <v>9.1</v>
      </c>
      <c r="BI1826">
        <v>9.1999999999999993</v>
      </c>
      <c r="BJ1826">
        <v>18.3</v>
      </c>
      <c r="BK1826">
        <v>0.34</v>
      </c>
      <c r="BL1826">
        <v>7.3</v>
      </c>
      <c r="BM1826">
        <v>0.9</v>
      </c>
      <c r="BN1826">
        <v>7.5</v>
      </c>
      <c r="BO1826">
        <v>2.9</v>
      </c>
      <c r="BP1826">
        <f t="shared" si="56"/>
        <v>2.0603048906646841</v>
      </c>
      <c r="BQ1826">
        <f t="shared" si="57"/>
        <v>10.122571718174934</v>
      </c>
    </row>
    <row r="1827" spans="1:69" hidden="1" x14ac:dyDescent="0.2">
      <c r="A1827" t="s">
        <v>3595</v>
      </c>
      <c r="B1827" t="s">
        <v>68</v>
      </c>
      <c r="C1827" t="s">
        <v>3294</v>
      </c>
      <c r="D1827" t="s">
        <v>70</v>
      </c>
      <c r="E1827" t="s">
        <v>468</v>
      </c>
      <c r="F1827">
        <v>5</v>
      </c>
      <c r="G1827">
        <v>46.29</v>
      </c>
      <c r="H1827">
        <v>1</v>
      </c>
      <c r="I1827">
        <v>1</v>
      </c>
      <c r="J1827">
        <v>2</v>
      </c>
      <c r="K1827" t="s">
        <v>110</v>
      </c>
      <c r="L1827" t="s">
        <v>133</v>
      </c>
      <c r="M1827" s="4">
        <v>400000000</v>
      </c>
      <c r="N1827">
        <v>0</v>
      </c>
      <c r="O1827">
        <v>4.6882853510000002</v>
      </c>
      <c r="P1827">
        <v>-74.056343080000005</v>
      </c>
      <c r="Q1827" t="s">
        <v>3596</v>
      </c>
      <c r="R1827">
        <v>8641175.1999999993</v>
      </c>
      <c r="S1827">
        <v>0</v>
      </c>
      <c r="T1827" t="s">
        <v>104</v>
      </c>
      <c r="U1827" t="s">
        <v>105</v>
      </c>
      <c r="V1827" t="s">
        <v>77</v>
      </c>
      <c r="W1827" t="s">
        <v>104</v>
      </c>
      <c r="X1827" t="s">
        <v>106</v>
      </c>
      <c r="Y1827">
        <v>3.78243250256349</v>
      </c>
      <c r="Z1827">
        <v>3782.4325025634898</v>
      </c>
      <c r="AA1827">
        <v>4.71035</v>
      </c>
      <c r="AB1827">
        <v>-74.030416666666696</v>
      </c>
      <c r="AC1827">
        <v>2570</v>
      </c>
      <c r="AD1827">
        <v>10</v>
      </c>
      <c r="AE1827" t="s">
        <v>80</v>
      </c>
      <c r="AF1827" t="s">
        <v>107</v>
      </c>
      <c r="AG1827" t="s">
        <v>82</v>
      </c>
      <c r="AH1827" t="s">
        <v>83</v>
      </c>
      <c r="AI1827" t="s">
        <v>108</v>
      </c>
      <c r="AJ1827">
        <v>0.50264639446748405</v>
      </c>
      <c r="AK1827">
        <v>2.44251531614182</v>
      </c>
      <c r="AL1827">
        <v>0.481202234828355</v>
      </c>
      <c r="AM1827">
        <v>9.3501132057014005E-3</v>
      </c>
      <c r="AN1827">
        <v>3.2503345256038201</v>
      </c>
      <c r="AO1827">
        <v>0.55523347444754301</v>
      </c>
      <c r="AP1827">
        <v>0.55523347444754301</v>
      </c>
      <c r="AQ1827">
        <v>0</v>
      </c>
      <c r="AR1827">
        <v>4</v>
      </c>
      <c r="AS1827">
        <v>0</v>
      </c>
      <c r="AT1827">
        <v>0</v>
      </c>
      <c r="AU1827">
        <v>5</v>
      </c>
      <c r="AV1827">
        <v>207</v>
      </c>
      <c r="AW1827">
        <v>0</v>
      </c>
      <c r="AX1827">
        <v>0</v>
      </c>
      <c r="AY1827">
        <v>15.5</v>
      </c>
      <c r="AZ1827">
        <v>2.4</v>
      </c>
      <c r="BA1827">
        <v>10.9</v>
      </c>
      <c r="BB1827">
        <v>564</v>
      </c>
      <c r="BC1827">
        <v>68</v>
      </c>
      <c r="BD1827">
        <v>1.5</v>
      </c>
      <c r="BE1827">
        <v>135</v>
      </c>
      <c r="BF1827">
        <v>0</v>
      </c>
      <c r="BG1827">
        <v>162</v>
      </c>
      <c r="BH1827">
        <v>9.1</v>
      </c>
      <c r="BI1827">
        <v>9.1999999999999993</v>
      </c>
      <c r="BJ1827">
        <v>18.3</v>
      </c>
      <c r="BK1827">
        <v>0.34</v>
      </c>
      <c r="BL1827">
        <v>7.3</v>
      </c>
      <c r="BM1827">
        <v>0.9</v>
      </c>
      <c r="BN1827">
        <v>7.5</v>
      </c>
      <c r="BO1827">
        <v>2.9</v>
      </c>
      <c r="BP1827">
        <f t="shared" si="56"/>
        <v>1.9902063532819803</v>
      </c>
      <c r="BQ1827">
        <f t="shared" si="57"/>
        <v>9.9540988311408398</v>
      </c>
    </row>
    <row r="1828" spans="1:69" hidden="1" x14ac:dyDescent="0.2">
      <c r="A1828" t="s">
        <v>3552</v>
      </c>
      <c r="B1828" t="s">
        <v>68</v>
      </c>
      <c r="C1828" t="s">
        <v>3294</v>
      </c>
      <c r="D1828" t="s">
        <v>70</v>
      </c>
      <c r="E1828" t="s">
        <v>229</v>
      </c>
      <c r="F1828">
        <v>6</v>
      </c>
      <c r="G1828">
        <v>46</v>
      </c>
      <c r="H1828">
        <v>1</v>
      </c>
      <c r="I1828">
        <v>1</v>
      </c>
      <c r="J1828">
        <v>1</v>
      </c>
      <c r="K1828" t="s">
        <v>110</v>
      </c>
      <c r="L1828" t="s">
        <v>162</v>
      </c>
      <c r="M1828" s="4">
        <v>420000000</v>
      </c>
      <c r="N1828">
        <v>0</v>
      </c>
      <c r="O1828">
        <v>4.6802024839999996</v>
      </c>
      <c r="P1828">
        <v>-74.052467350000001</v>
      </c>
      <c r="Q1828" t="s">
        <v>3553</v>
      </c>
      <c r="R1828">
        <v>9130434.7829999998</v>
      </c>
      <c r="S1828">
        <v>0</v>
      </c>
      <c r="T1828" t="s">
        <v>104</v>
      </c>
      <c r="U1828" t="s">
        <v>105</v>
      </c>
      <c r="V1828" t="s">
        <v>77</v>
      </c>
      <c r="W1828" t="s">
        <v>104</v>
      </c>
      <c r="X1828" t="s">
        <v>106</v>
      </c>
      <c r="Y1828">
        <v>4.1530486298347196</v>
      </c>
      <c r="Z1828">
        <v>4153.0486298347196</v>
      </c>
      <c r="AA1828">
        <v>4.71035</v>
      </c>
      <c r="AB1828">
        <v>-74.030416666666696</v>
      </c>
      <c r="AC1828">
        <v>2570</v>
      </c>
      <c r="AD1828">
        <v>10</v>
      </c>
      <c r="AE1828" t="s">
        <v>80</v>
      </c>
      <c r="AF1828" t="s">
        <v>107</v>
      </c>
      <c r="AG1828" t="s">
        <v>82</v>
      </c>
      <c r="AH1828" t="s">
        <v>83</v>
      </c>
      <c r="AI1828" t="s">
        <v>130</v>
      </c>
      <c r="AJ1828">
        <v>0.71391866632756895</v>
      </c>
      <c r="AK1828">
        <v>1.5917224738281299</v>
      </c>
      <c r="AL1828">
        <v>0.61524829840177497</v>
      </c>
      <c r="AM1828">
        <v>5.25359491164255E-2</v>
      </c>
      <c r="AN1828">
        <v>3.3349416139110999</v>
      </c>
      <c r="AO1828">
        <v>0.70161540585911397</v>
      </c>
      <c r="AP1828">
        <v>0.70161540585911397</v>
      </c>
      <c r="AQ1828">
        <v>0</v>
      </c>
      <c r="AR1828">
        <v>2</v>
      </c>
      <c r="AS1828">
        <v>0</v>
      </c>
      <c r="AT1828">
        <v>0</v>
      </c>
      <c r="AU1828">
        <v>4</v>
      </c>
      <c r="AV1828">
        <v>217</v>
      </c>
      <c r="AW1828">
        <v>0</v>
      </c>
      <c r="AX1828">
        <v>0</v>
      </c>
      <c r="AY1828">
        <v>15.5</v>
      </c>
      <c r="AZ1828">
        <v>2.4</v>
      </c>
      <c r="BA1828">
        <v>10.9</v>
      </c>
      <c r="BB1828">
        <v>564</v>
      </c>
      <c r="BC1828">
        <v>68</v>
      </c>
      <c r="BD1828">
        <v>1.5</v>
      </c>
      <c r="BE1828">
        <v>135</v>
      </c>
      <c r="BF1828">
        <v>0</v>
      </c>
      <c r="BG1828">
        <v>162</v>
      </c>
      <c r="BH1828">
        <v>9.1</v>
      </c>
      <c r="BI1828">
        <v>9.1999999999999993</v>
      </c>
      <c r="BJ1828">
        <v>18.3</v>
      </c>
      <c r="BK1828">
        <v>0.34</v>
      </c>
      <c r="BL1828">
        <v>7.3</v>
      </c>
      <c r="BM1828">
        <v>0.9</v>
      </c>
      <c r="BN1828">
        <v>7.5</v>
      </c>
      <c r="BO1828">
        <v>2.9</v>
      </c>
      <c r="BP1828">
        <f t="shared" si="56"/>
        <v>1.9540278965905151</v>
      </c>
      <c r="BQ1828">
        <f t="shared" si="57"/>
        <v>9.8659518472054852</v>
      </c>
    </row>
    <row r="1829" spans="1:69" hidden="1" x14ac:dyDescent="0.2">
      <c r="A1829" t="s">
        <v>4571</v>
      </c>
      <c r="B1829" t="s">
        <v>68</v>
      </c>
      <c r="C1829" t="s">
        <v>3294</v>
      </c>
      <c r="D1829" t="s">
        <v>70</v>
      </c>
      <c r="E1829" t="s">
        <v>1486</v>
      </c>
      <c r="F1829">
        <v>6</v>
      </c>
      <c r="G1829">
        <v>46</v>
      </c>
      <c r="H1829">
        <v>1</v>
      </c>
      <c r="I1829">
        <v>1</v>
      </c>
      <c r="J1829">
        <v>1</v>
      </c>
      <c r="K1829" t="s">
        <v>110</v>
      </c>
      <c r="L1829" t="s">
        <v>162</v>
      </c>
      <c r="M1829" s="4">
        <v>420000000</v>
      </c>
      <c r="N1829">
        <v>0</v>
      </c>
      <c r="O1829">
        <v>4.6806573699999996</v>
      </c>
      <c r="P1829">
        <v>-74.052773740000006</v>
      </c>
      <c r="Q1829" t="s">
        <v>4572</v>
      </c>
      <c r="R1829">
        <v>9130434.7829999998</v>
      </c>
      <c r="S1829">
        <v>0</v>
      </c>
      <c r="T1829" t="s">
        <v>104</v>
      </c>
      <c r="U1829" t="s">
        <v>105</v>
      </c>
      <c r="V1829" t="s">
        <v>77</v>
      </c>
      <c r="W1829" t="s">
        <v>104</v>
      </c>
      <c r="X1829" t="s">
        <v>106</v>
      </c>
      <c r="Y1829">
        <v>4.1325500261606596</v>
      </c>
      <c r="Z1829">
        <v>4132.5500261606603</v>
      </c>
      <c r="AA1829">
        <v>4.71035</v>
      </c>
      <c r="AB1829">
        <v>-74.030416666666696</v>
      </c>
      <c r="AC1829">
        <v>2570</v>
      </c>
      <c r="AD1829">
        <v>10</v>
      </c>
      <c r="AE1829" t="s">
        <v>80</v>
      </c>
      <c r="AF1829" t="s">
        <v>107</v>
      </c>
      <c r="AG1829" t="s">
        <v>82</v>
      </c>
      <c r="AH1829" t="s">
        <v>83</v>
      </c>
      <c r="AI1829" t="s">
        <v>130</v>
      </c>
      <c r="AJ1829">
        <v>0.65743005853070102</v>
      </c>
      <c r="AK1829">
        <v>1.6447778401948701</v>
      </c>
      <c r="AL1829">
        <v>0.56382905662826599</v>
      </c>
      <c r="AM1829">
        <v>9.8872192530642E-2</v>
      </c>
      <c r="AN1829">
        <v>3.3128626437164899</v>
      </c>
      <c r="AO1829">
        <v>0.66844661959453899</v>
      </c>
      <c r="AP1829">
        <v>0.66844661959453899</v>
      </c>
      <c r="AQ1829">
        <v>0</v>
      </c>
      <c r="AR1829">
        <v>2</v>
      </c>
      <c r="AS1829">
        <v>0</v>
      </c>
      <c r="AT1829">
        <v>0</v>
      </c>
      <c r="AU1829">
        <v>5</v>
      </c>
      <c r="AV1829">
        <v>222</v>
      </c>
      <c r="AW1829">
        <v>0</v>
      </c>
      <c r="AX1829">
        <v>0</v>
      </c>
      <c r="AY1829">
        <v>15.5</v>
      </c>
      <c r="AZ1829">
        <v>2.4</v>
      </c>
      <c r="BA1829">
        <v>10.9</v>
      </c>
      <c r="BB1829">
        <v>564</v>
      </c>
      <c r="BC1829">
        <v>68</v>
      </c>
      <c r="BD1829">
        <v>1.5</v>
      </c>
      <c r="BE1829">
        <v>135</v>
      </c>
      <c r="BF1829">
        <v>0</v>
      </c>
      <c r="BG1829">
        <v>162</v>
      </c>
      <c r="BH1829">
        <v>9.1</v>
      </c>
      <c r="BI1829">
        <v>9.1999999999999993</v>
      </c>
      <c r="BJ1829">
        <v>18.3</v>
      </c>
      <c r="BK1829">
        <v>0.34</v>
      </c>
      <c r="BL1829">
        <v>7.3</v>
      </c>
      <c r="BM1829">
        <v>0.9</v>
      </c>
      <c r="BN1829">
        <v>7.5</v>
      </c>
      <c r="BO1829">
        <v>2.9</v>
      </c>
      <c r="BP1829">
        <f t="shared" si="56"/>
        <v>1.9560116175915061</v>
      </c>
      <c r="BQ1829">
        <f t="shared" si="57"/>
        <v>9.8708067590173201</v>
      </c>
    </row>
    <row r="1830" spans="1:69" hidden="1" x14ac:dyDescent="0.2">
      <c r="A1830" t="s">
        <v>3803</v>
      </c>
      <c r="B1830" t="s">
        <v>68</v>
      </c>
      <c r="C1830" t="s">
        <v>3294</v>
      </c>
      <c r="D1830" t="s">
        <v>70</v>
      </c>
      <c r="E1830" t="s">
        <v>432</v>
      </c>
      <c r="F1830">
        <v>2</v>
      </c>
      <c r="G1830">
        <v>46</v>
      </c>
      <c r="H1830">
        <v>1</v>
      </c>
      <c r="I1830">
        <v>1</v>
      </c>
      <c r="J1830">
        <v>1</v>
      </c>
      <c r="K1830" t="s">
        <v>110</v>
      </c>
      <c r="L1830" t="s">
        <v>133</v>
      </c>
      <c r="M1830" s="4">
        <v>266000000</v>
      </c>
      <c r="N1830">
        <v>0</v>
      </c>
      <c r="O1830">
        <v>4.6925582889999999</v>
      </c>
      <c r="P1830">
        <v>-74.060852049999994</v>
      </c>
      <c r="Q1830" t="s">
        <v>3804</v>
      </c>
      <c r="R1830">
        <v>5782608.6960000005</v>
      </c>
      <c r="S1830">
        <v>0</v>
      </c>
      <c r="T1830" t="s">
        <v>104</v>
      </c>
      <c r="U1830" t="s">
        <v>105</v>
      </c>
      <c r="V1830" t="s">
        <v>77</v>
      </c>
      <c r="W1830" t="s">
        <v>104</v>
      </c>
      <c r="X1830" t="s">
        <v>106</v>
      </c>
      <c r="Y1830">
        <v>3.9146405537447202</v>
      </c>
      <c r="Z1830">
        <v>3914.6405537447199</v>
      </c>
      <c r="AA1830">
        <v>4.71035</v>
      </c>
      <c r="AB1830">
        <v>-74.030416666666696</v>
      </c>
      <c r="AC1830">
        <v>2570</v>
      </c>
      <c r="AD1830">
        <v>10</v>
      </c>
      <c r="AE1830" t="s">
        <v>80</v>
      </c>
      <c r="AF1830" t="s">
        <v>107</v>
      </c>
      <c r="AG1830" t="s">
        <v>82</v>
      </c>
      <c r="AH1830" t="s">
        <v>83</v>
      </c>
      <c r="AI1830" t="s">
        <v>121</v>
      </c>
      <c r="AJ1830">
        <v>0.51988133532649405</v>
      </c>
      <c r="AK1830">
        <v>3.1242751927093</v>
      </c>
      <c r="AL1830">
        <v>1.1321902846737699</v>
      </c>
      <c r="AM1830">
        <v>0.23333373774548799</v>
      </c>
      <c r="AN1830">
        <v>3.1175116671711498</v>
      </c>
      <c r="AO1830">
        <v>2.11056703282551E-2</v>
      </c>
      <c r="AP1830">
        <v>2.11056703282551E-2</v>
      </c>
      <c r="AQ1830">
        <v>0</v>
      </c>
      <c r="AR1830">
        <v>5</v>
      </c>
      <c r="AS1830">
        <v>0</v>
      </c>
      <c r="AT1830">
        <v>0</v>
      </c>
      <c r="AU1830">
        <v>0</v>
      </c>
      <c r="AV1830">
        <v>144</v>
      </c>
      <c r="AW1830">
        <v>0</v>
      </c>
      <c r="AX1830">
        <v>0</v>
      </c>
      <c r="AY1830">
        <v>15.5</v>
      </c>
      <c r="AZ1830">
        <v>2.4</v>
      </c>
      <c r="BA1830">
        <v>10.9</v>
      </c>
      <c r="BB1830">
        <v>564</v>
      </c>
      <c r="BC1830">
        <v>68</v>
      </c>
      <c r="BD1830">
        <v>1.5</v>
      </c>
      <c r="BE1830">
        <v>135</v>
      </c>
      <c r="BF1830">
        <v>0</v>
      </c>
      <c r="BG1830">
        <v>162</v>
      </c>
      <c r="BH1830">
        <v>9.1</v>
      </c>
      <c r="BI1830">
        <v>9.1999999999999993</v>
      </c>
      <c r="BJ1830">
        <v>18.3</v>
      </c>
      <c r="BK1830">
        <v>0.34</v>
      </c>
      <c r="BL1830">
        <v>7.3</v>
      </c>
      <c r="BM1830">
        <v>0.9</v>
      </c>
      <c r="BN1830">
        <v>7.5</v>
      </c>
      <c r="BO1830">
        <v>2.9</v>
      </c>
      <c r="BP1830">
        <f t="shared" si="56"/>
        <v>1.977224374069136</v>
      </c>
      <c r="BQ1830">
        <f t="shared" si="57"/>
        <v>9.9225645983657547</v>
      </c>
    </row>
    <row r="1831" spans="1:69" hidden="1" x14ac:dyDescent="0.2">
      <c r="A1831" t="s">
        <v>3443</v>
      </c>
      <c r="B1831" t="s">
        <v>68</v>
      </c>
      <c r="C1831" t="s">
        <v>3294</v>
      </c>
      <c r="D1831" t="s">
        <v>70</v>
      </c>
      <c r="E1831" t="s">
        <v>3444</v>
      </c>
      <c r="F1831">
        <v>6</v>
      </c>
      <c r="G1831">
        <v>46</v>
      </c>
      <c r="H1831">
        <v>2</v>
      </c>
      <c r="I1831">
        <v>2</v>
      </c>
      <c r="J1831">
        <v>0</v>
      </c>
      <c r="K1831" t="s">
        <v>110</v>
      </c>
      <c r="L1831" t="s">
        <v>111</v>
      </c>
      <c r="M1831" s="4">
        <v>630000000</v>
      </c>
      <c r="N1831">
        <v>0</v>
      </c>
      <c r="O1831">
        <v>4.681571484</v>
      </c>
      <c r="P1831">
        <v>-74.047111509999993</v>
      </c>
      <c r="Q1831" t="s">
        <v>3445</v>
      </c>
      <c r="R1831">
        <v>13695652.17</v>
      </c>
      <c r="S1831">
        <v>0</v>
      </c>
      <c r="T1831" t="s">
        <v>104</v>
      </c>
      <c r="U1831" t="s">
        <v>105</v>
      </c>
      <c r="V1831" t="s">
        <v>77</v>
      </c>
      <c r="W1831" t="s">
        <v>104</v>
      </c>
      <c r="X1831" t="s">
        <v>106</v>
      </c>
      <c r="Y1831">
        <v>3.70051956049703</v>
      </c>
      <c r="Z1831">
        <v>3700.5195604970299</v>
      </c>
      <c r="AA1831">
        <v>4.71035</v>
      </c>
      <c r="AB1831">
        <v>-74.030416666666696</v>
      </c>
      <c r="AC1831">
        <v>2570</v>
      </c>
      <c r="AD1831">
        <v>10</v>
      </c>
      <c r="AE1831" t="s">
        <v>80</v>
      </c>
      <c r="AF1831" t="s">
        <v>107</v>
      </c>
      <c r="AG1831" t="s">
        <v>82</v>
      </c>
      <c r="AH1831" t="s">
        <v>83</v>
      </c>
      <c r="AI1831" t="s">
        <v>130</v>
      </c>
      <c r="AJ1831">
        <v>1.20443720653357</v>
      </c>
      <c r="AK1831">
        <v>1.1828957651232499</v>
      </c>
      <c r="AL1831">
        <v>0.66107939540462701</v>
      </c>
      <c r="AM1831">
        <v>9.5329901531055902E-2</v>
      </c>
      <c r="AN1831">
        <v>3.9474311373359301</v>
      </c>
      <c r="AO1831">
        <v>0.926553221130472</v>
      </c>
      <c r="AP1831">
        <v>0.926553221130472</v>
      </c>
      <c r="AQ1831">
        <v>0</v>
      </c>
      <c r="AR1831">
        <v>0</v>
      </c>
      <c r="AS1831">
        <v>0</v>
      </c>
      <c r="AT1831">
        <v>0</v>
      </c>
      <c r="AU1831">
        <v>5</v>
      </c>
      <c r="AV1831">
        <v>126</v>
      </c>
      <c r="AW1831">
        <v>0</v>
      </c>
      <c r="AX1831">
        <v>0</v>
      </c>
      <c r="AY1831">
        <v>15.5</v>
      </c>
      <c r="AZ1831">
        <v>2.4</v>
      </c>
      <c r="BA1831">
        <v>10.9</v>
      </c>
      <c r="BB1831">
        <v>564</v>
      </c>
      <c r="BC1831">
        <v>68</v>
      </c>
      <c r="BD1831">
        <v>1.5</v>
      </c>
      <c r="BE1831">
        <v>135</v>
      </c>
      <c r="BF1831">
        <v>0</v>
      </c>
      <c r="BG1831">
        <v>162</v>
      </c>
      <c r="BH1831">
        <v>9.1</v>
      </c>
      <c r="BI1831">
        <v>9.1999999999999993</v>
      </c>
      <c r="BJ1831">
        <v>18.3</v>
      </c>
      <c r="BK1831">
        <v>0.34</v>
      </c>
      <c r="BL1831">
        <v>7.3</v>
      </c>
      <c r="BM1831">
        <v>0.9</v>
      </c>
      <c r="BN1831">
        <v>7.5</v>
      </c>
      <c r="BO1831">
        <v>2.9</v>
      </c>
      <c r="BP1831">
        <f t="shared" si="56"/>
        <v>1.9982924064828016</v>
      </c>
      <c r="BQ1831">
        <f t="shared" si="57"/>
        <v>9.973686947576212</v>
      </c>
    </row>
    <row r="1832" spans="1:69" hidden="1" x14ac:dyDescent="0.2">
      <c r="A1832" t="s">
        <v>4485</v>
      </c>
      <c r="B1832" t="s">
        <v>68</v>
      </c>
      <c r="C1832" t="s">
        <v>3294</v>
      </c>
      <c r="D1832" t="s">
        <v>70</v>
      </c>
      <c r="E1832" t="s">
        <v>210</v>
      </c>
      <c r="F1832">
        <v>6</v>
      </c>
      <c r="G1832">
        <v>46</v>
      </c>
      <c r="H1832">
        <v>1</v>
      </c>
      <c r="I1832">
        <v>2</v>
      </c>
      <c r="J1832">
        <v>1</v>
      </c>
      <c r="K1832" t="s">
        <v>110</v>
      </c>
      <c r="L1832" t="s">
        <v>111</v>
      </c>
      <c r="M1832" s="4">
        <v>550000000</v>
      </c>
      <c r="N1832">
        <v>0</v>
      </c>
      <c r="O1832">
        <v>4.6951998240000004</v>
      </c>
      <c r="P1832">
        <v>-74.04617365</v>
      </c>
      <c r="Q1832" t="s">
        <v>4486</v>
      </c>
      <c r="R1832">
        <v>11956521.74</v>
      </c>
      <c r="S1832">
        <v>0</v>
      </c>
      <c r="T1832" t="s">
        <v>104</v>
      </c>
      <c r="U1832" t="s">
        <v>105</v>
      </c>
      <c r="V1832" t="s">
        <v>77</v>
      </c>
      <c r="W1832" t="s">
        <v>104</v>
      </c>
      <c r="X1832" t="s">
        <v>106</v>
      </c>
      <c r="Y1832">
        <v>2.4290653695334901</v>
      </c>
      <c r="Z1832">
        <v>2429.06536953349</v>
      </c>
      <c r="AA1832">
        <v>4.71035</v>
      </c>
      <c r="AB1832">
        <v>-74.030416666666696</v>
      </c>
      <c r="AC1832">
        <v>2570</v>
      </c>
      <c r="AD1832">
        <v>10</v>
      </c>
      <c r="AE1832" t="s">
        <v>80</v>
      </c>
      <c r="AF1832" t="s">
        <v>107</v>
      </c>
      <c r="AG1832" t="s">
        <v>82</v>
      </c>
      <c r="AH1832" t="s">
        <v>83</v>
      </c>
      <c r="AI1832" t="s">
        <v>108</v>
      </c>
      <c r="AJ1832">
        <v>1.0632864325243301</v>
      </c>
      <c r="AK1832">
        <v>2.13353520848041</v>
      </c>
      <c r="AL1832">
        <v>0.45891546924826898</v>
      </c>
      <c r="AM1832">
        <v>0.11624262159143101</v>
      </c>
      <c r="AN1832">
        <v>4.6092797369510903</v>
      </c>
      <c r="AO1832">
        <v>0.20095610837694799</v>
      </c>
      <c r="AP1832">
        <v>0.20095610837694799</v>
      </c>
      <c r="AQ1832">
        <v>0</v>
      </c>
      <c r="AR1832">
        <v>0</v>
      </c>
      <c r="AS1832">
        <v>0</v>
      </c>
      <c r="AT1832">
        <v>0</v>
      </c>
      <c r="AU1832">
        <v>3</v>
      </c>
      <c r="AV1832">
        <v>124</v>
      </c>
      <c r="AW1832">
        <v>0</v>
      </c>
      <c r="AX1832">
        <v>0</v>
      </c>
      <c r="AY1832">
        <v>15.5</v>
      </c>
      <c r="AZ1832">
        <v>2.4</v>
      </c>
      <c r="BA1832">
        <v>10.9</v>
      </c>
      <c r="BB1832">
        <v>564</v>
      </c>
      <c r="BC1832">
        <v>68</v>
      </c>
      <c r="BD1832">
        <v>1.5</v>
      </c>
      <c r="BE1832">
        <v>135</v>
      </c>
      <c r="BF1832">
        <v>0</v>
      </c>
      <c r="BG1832">
        <v>162</v>
      </c>
      <c r="BH1832">
        <v>9.1</v>
      </c>
      <c r="BI1832">
        <v>9.1999999999999993</v>
      </c>
      <c r="BJ1832">
        <v>18.3</v>
      </c>
      <c r="BK1832">
        <v>0.34</v>
      </c>
      <c r="BL1832">
        <v>7.3</v>
      </c>
      <c r="BM1832">
        <v>0.9</v>
      </c>
      <c r="BN1832">
        <v>7.5</v>
      </c>
      <c r="BO1832">
        <v>2.9</v>
      </c>
      <c r="BP1832">
        <f t="shared" si="56"/>
        <v>2.1281009336093861</v>
      </c>
      <c r="BQ1832">
        <f t="shared" si="57"/>
        <v>10.282724153168086</v>
      </c>
    </row>
    <row r="1833" spans="1:69" hidden="1" x14ac:dyDescent="0.2">
      <c r="A1833" t="s">
        <v>4396</v>
      </c>
      <c r="B1833" t="s">
        <v>68</v>
      </c>
      <c r="C1833" t="s">
        <v>3294</v>
      </c>
      <c r="D1833" t="s">
        <v>70</v>
      </c>
      <c r="E1833" t="s">
        <v>3545</v>
      </c>
      <c r="F1833">
        <v>4</v>
      </c>
      <c r="G1833">
        <v>46</v>
      </c>
      <c r="H1833">
        <v>1</v>
      </c>
      <c r="I1833">
        <v>1</v>
      </c>
      <c r="J1833">
        <v>1</v>
      </c>
      <c r="K1833" t="s">
        <v>110</v>
      </c>
      <c r="L1833" t="s">
        <v>133</v>
      </c>
      <c r="M1833" s="4">
        <v>420000000</v>
      </c>
      <c r="N1833">
        <v>0</v>
      </c>
      <c r="O1833">
        <v>4.7228418909999998</v>
      </c>
      <c r="P1833">
        <v>-74.026847050000001</v>
      </c>
      <c r="Q1833" t="s">
        <v>4397</v>
      </c>
      <c r="R1833">
        <v>9130434.7829999998</v>
      </c>
      <c r="S1833">
        <v>0</v>
      </c>
      <c r="T1833" t="s">
        <v>104</v>
      </c>
      <c r="U1833" t="s">
        <v>105</v>
      </c>
      <c r="V1833" t="s">
        <v>77</v>
      </c>
      <c r="W1833" t="s">
        <v>104</v>
      </c>
      <c r="X1833" t="s">
        <v>106</v>
      </c>
      <c r="Y1833">
        <v>1.44588271046983</v>
      </c>
      <c r="Z1833">
        <v>1445.88271046983</v>
      </c>
      <c r="AA1833">
        <v>4.71035</v>
      </c>
      <c r="AB1833">
        <v>-74.030416666666696</v>
      </c>
      <c r="AC1833">
        <v>2570</v>
      </c>
      <c r="AD1833">
        <v>10</v>
      </c>
      <c r="AE1833" t="s">
        <v>80</v>
      </c>
      <c r="AF1833" t="s">
        <v>107</v>
      </c>
      <c r="AG1833" t="s">
        <v>82</v>
      </c>
      <c r="AH1833" t="s">
        <v>83</v>
      </c>
      <c r="AI1833" t="s">
        <v>108</v>
      </c>
      <c r="AJ1833">
        <v>2.6599876182336799</v>
      </c>
      <c r="AK1833">
        <v>0.49052880703185098</v>
      </c>
      <c r="AL1833">
        <v>1.4901747153120399</v>
      </c>
      <c r="AM1833">
        <v>7.8768231392707194E-2</v>
      </c>
      <c r="AN1833">
        <v>2.0660968320298498</v>
      </c>
      <c r="AO1833">
        <v>0.28188069072994298</v>
      </c>
      <c r="AP1833">
        <v>0.28188069072994298</v>
      </c>
      <c r="AQ1833">
        <v>0</v>
      </c>
      <c r="AR1833">
        <v>0</v>
      </c>
      <c r="AS1833">
        <v>3</v>
      </c>
      <c r="AT1833">
        <v>32</v>
      </c>
      <c r="AU1833">
        <v>0</v>
      </c>
      <c r="AV1833">
        <v>12</v>
      </c>
      <c r="AW1833">
        <v>0</v>
      </c>
      <c r="AX1833">
        <v>0</v>
      </c>
      <c r="AY1833">
        <v>15.5</v>
      </c>
      <c r="AZ1833">
        <v>2.4</v>
      </c>
      <c r="BA1833">
        <v>10.9</v>
      </c>
      <c r="BB1833">
        <v>564</v>
      </c>
      <c r="BC1833">
        <v>68</v>
      </c>
      <c r="BD1833">
        <v>1.5</v>
      </c>
      <c r="BE1833">
        <v>135</v>
      </c>
      <c r="BF1833">
        <v>0</v>
      </c>
      <c r="BG1833">
        <v>162</v>
      </c>
      <c r="BH1833">
        <v>9.1</v>
      </c>
      <c r="BI1833">
        <v>9.1999999999999993</v>
      </c>
      <c r="BJ1833">
        <v>18.3</v>
      </c>
      <c r="BK1833">
        <v>0.34</v>
      </c>
      <c r="BL1833">
        <v>7.3</v>
      </c>
      <c r="BM1833">
        <v>0.9</v>
      </c>
      <c r="BN1833">
        <v>7.5</v>
      </c>
      <c r="BO1833">
        <v>2.9</v>
      </c>
      <c r="BP1833">
        <f t="shared" si="56"/>
        <v>2.2342319962766419</v>
      </c>
      <c r="BQ1833">
        <f t="shared" si="57"/>
        <v>10.528244564078415</v>
      </c>
    </row>
    <row r="1834" spans="1:69" hidden="1" x14ac:dyDescent="0.2">
      <c r="A1834" t="s">
        <v>3607</v>
      </c>
      <c r="B1834" t="s">
        <v>68</v>
      </c>
      <c r="C1834" t="s">
        <v>3294</v>
      </c>
      <c r="D1834" t="s">
        <v>70</v>
      </c>
      <c r="E1834" t="s">
        <v>1774</v>
      </c>
      <c r="F1834">
        <v>6</v>
      </c>
      <c r="G1834">
        <v>45.83</v>
      </c>
      <c r="H1834">
        <v>1</v>
      </c>
      <c r="I1834">
        <v>2</v>
      </c>
      <c r="J1834">
        <v>1</v>
      </c>
      <c r="K1834" t="s">
        <v>110</v>
      </c>
      <c r="L1834" t="s">
        <v>133</v>
      </c>
      <c r="M1834" s="4">
        <v>425000000</v>
      </c>
      <c r="N1834">
        <v>0</v>
      </c>
      <c r="O1834">
        <v>4.6856200000000001</v>
      </c>
      <c r="P1834">
        <v>-74.036320000000003</v>
      </c>
      <c r="Q1834" t="s">
        <v>3608</v>
      </c>
      <c r="R1834">
        <v>9273401.7019999996</v>
      </c>
      <c r="S1834">
        <v>0</v>
      </c>
      <c r="T1834" t="s">
        <v>104</v>
      </c>
      <c r="U1834" t="s">
        <v>105</v>
      </c>
      <c r="V1834" t="s">
        <v>77</v>
      </c>
      <c r="W1834" t="s">
        <v>104</v>
      </c>
      <c r="X1834" t="s">
        <v>106</v>
      </c>
      <c r="Y1834">
        <v>2.8297678807377098</v>
      </c>
      <c r="Z1834">
        <v>2829.7678807377101</v>
      </c>
      <c r="AA1834">
        <v>4.71035</v>
      </c>
      <c r="AB1834">
        <v>-74.030416666666696</v>
      </c>
      <c r="AC1834">
        <v>2570</v>
      </c>
      <c r="AD1834">
        <v>10</v>
      </c>
      <c r="AE1834" t="s">
        <v>80</v>
      </c>
      <c r="AF1834" t="s">
        <v>107</v>
      </c>
      <c r="AG1834" t="s">
        <v>82</v>
      </c>
      <c r="AH1834" t="s">
        <v>83</v>
      </c>
      <c r="AI1834" t="s">
        <v>108</v>
      </c>
      <c r="AJ1834">
        <v>2.3478247527398302</v>
      </c>
      <c r="AK1834">
        <v>0.75683996040571899</v>
      </c>
      <c r="AL1834">
        <v>0.47074799204568701</v>
      </c>
      <c r="AM1834">
        <v>0.41365354405082999</v>
      </c>
      <c r="AN1834">
        <v>5.2156025926469196</v>
      </c>
      <c r="AO1834">
        <v>8.9285697630159498E-3</v>
      </c>
      <c r="AP1834">
        <v>8.9285697630159498E-3</v>
      </c>
      <c r="AQ1834">
        <v>0</v>
      </c>
      <c r="AR1834">
        <v>0</v>
      </c>
      <c r="AS1834">
        <v>0</v>
      </c>
      <c r="AT1834">
        <v>3</v>
      </c>
      <c r="AU1834">
        <v>3</v>
      </c>
      <c r="AV1834">
        <v>33</v>
      </c>
      <c r="AW1834">
        <v>0</v>
      </c>
      <c r="AX1834">
        <v>0</v>
      </c>
      <c r="AY1834">
        <v>15.5</v>
      </c>
      <c r="AZ1834">
        <v>2.4</v>
      </c>
      <c r="BA1834">
        <v>10.9</v>
      </c>
      <c r="BB1834">
        <v>564</v>
      </c>
      <c r="BC1834">
        <v>68</v>
      </c>
      <c r="BD1834">
        <v>1.5</v>
      </c>
      <c r="BE1834">
        <v>135</v>
      </c>
      <c r="BF1834">
        <v>0</v>
      </c>
      <c r="BG1834">
        <v>162</v>
      </c>
      <c r="BH1834">
        <v>9.1</v>
      </c>
      <c r="BI1834">
        <v>9.1999999999999993</v>
      </c>
      <c r="BJ1834">
        <v>18.3</v>
      </c>
      <c r="BK1834">
        <v>0.34</v>
      </c>
      <c r="BL1834">
        <v>7.3</v>
      </c>
      <c r="BM1834">
        <v>0.9</v>
      </c>
      <c r="BN1834">
        <v>7.5</v>
      </c>
      <c r="BO1834">
        <v>2.9</v>
      </c>
      <c r="BP1834">
        <f t="shared" si="56"/>
        <v>2.0863063947356326</v>
      </c>
      <c r="BQ1834">
        <f t="shared" si="57"/>
        <v>10.184310604946379</v>
      </c>
    </row>
    <row r="1835" spans="1:69" hidden="1" x14ac:dyDescent="0.2">
      <c r="A1835" t="s">
        <v>4031</v>
      </c>
      <c r="B1835" t="s">
        <v>68</v>
      </c>
      <c r="C1835" t="s">
        <v>3294</v>
      </c>
      <c r="D1835" t="s">
        <v>70</v>
      </c>
      <c r="E1835" t="s">
        <v>1879</v>
      </c>
      <c r="F1835">
        <v>5</v>
      </c>
      <c r="G1835">
        <v>45.33</v>
      </c>
      <c r="H1835">
        <v>1</v>
      </c>
      <c r="I1835">
        <v>2</v>
      </c>
      <c r="J1835">
        <v>1</v>
      </c>
      <c r="K1835" t="s">
        <v>110</v>
      </c>
      <c r="L1835" t="s">
        <v>133</v>
      </c>
      <c r="M1835" s="4">
        <v>425000000</v>
      </c>
      <c r="N1835">
        <v>0</v>
      </c>
      <c r="O1835">
        <v>4.6856200000000001</v>
      </c>
      <c r="P1835">
        <v>-74.036320000000003</v>
      </c>
      <c r="Q1835" t="s">
        <v>4032</v>
      </c>
      <c r="R1835">
        <v>9375689.3890000004</v>
      </c>
      <c r="S1835">
        <v>0</v>
      </c>
      <c r="T1835" t="s">
        <v>104</v>
      </c>
      <c r="U1835" t="s">
        <v>105</v>
      </c>
      <c r="V1835" t="s">
        <v>77</v>
      </c>
      <c r="W1835" t="s">
        <v>104</v>
      </c>
      <c r="X1835" t="s">
        <v>106</v>
      </c>
      <c r="Y1835">
        <v>2.8297678807377098</v>
      </c>
      <c r="Z1835">
        <v>2829.7678807377101</v>
      </c>
      <c r="AA1835">
        <v>4.71035</v>
      </c>
      <c r="AB1835">
        <v>-74.030416666666696</v>
      </c>
      <c r="AC1835">
        <v>2570</v>
      </c>
      <c r="AD1835">
        <v>10</v>
      </c>
      <c r="AE1835" t="s">
        <v>80</v>
      </c>
      <c r="AF1835" t="s">
        <v>107</v>
      </c>
      <c r="AG1835" t="s">
        <v>82</v>
      </c>
      <c r="AH1835" t="s">
        <v>83</v>
      </c>
      <c r="AI1835" t="s">
        <v>108</v>
      </c>
      <c r="AJ1835">
        <v>2.3478247527398302</v>
      </c>
      <c r="AK1835">
        <v>0.75683996040571899</v>
      </c>
      <c r="AL1835">
        <v>0.47074799204568701</v>
      </c>
      <c r="AM1835">
        <v>0.41365354405082999</v>
      </c>
      <c r="AN1835">
        <v>5.2156025926469196</v>
      </c>
      <c r="AO1835">
        <v>8.9285697630159498E-3</v>
      </c>
      <c r="AP1835">
        <v>8.9285697630159498E-3</v>
      </c>
      <c r="AQ1835">
        <v>0</v>
      </c>
      <c r="AR1835">
        <v>0</v>
      </c>
      <c r="AS1835">
        <v>0</v>
      </c>
      <c r="AT1835">
        <v>3</v>
      </c>
      <c r="AU1835">
        <v>3</v>
      </c>
      <c r="AV1835">
        <v>33</v>
      </c>
      <c r="AW1835">
        <v>0</v>
      </c>
      <c r="AX1835">
        <v>0</v>
      </c>
      <c r="AY1835">
        <v>15.5</v>
      </c>
      <c r="AZ1835">
        <v>2.4</v>
      </c>
      <c r="BA1835">
        <v>10.9</v>
      </c>
      <c r="BB1835">
        <v>564</v>
      </c>
      <c r="BC1835">
        <v>68</v>
      </c>
      <c r="BD1835">
        <v>1.5</v>
      </c>
      <c r="BE1835">
        <v>135</v>
      </c>
      <c r="BF1835">
        <v>0</v>
      </c>
      <c r="BG1835">
        <v>162</v>
      </c>
      <c r="BH1835">
        <v>9.1</v>
      </c>
      <c r="BI1835">
        <v>9.1999999999999993</v>
      </c>
      <c r="BJ1835">
        <v>18.3</v>
      </c>
      <c r="BK1835">
        <v>0.34</v>
      </c>
      <c r="BL1835">
        <v>7.3</v>
      </c>
      <c r="BM1835">
        <v>0.9</v>
      </c>
      <c r="BN1835">
        <v>7.5</v>
      </c>
      <c r="BO1835">
        <v>2.9</v>
      </c>
      <c r="BP1835">
        <f t="shared" si="56"/>
        <v>2.0863063947356326</v>
      </c>
      <c r="BQ1835">
        <f t="shared" si="57"/>
        <v>10.184310604946379</v>
      </c>
    </row>
    <row r="1836" spans="1:69" hidden="1" x14ac:dyDescent="0.2">
      <c r="A1836" t="s">
        <v>4196</v>
      </c>
      <c r="B1836" t="s">
        <v>68</v>
      </c>
      <c r="C1836" t="s">
        <v>3294</v>
      </c>
      <c r="D1836" t="s">
        <v>70</v>
      </c>
      <c r="E1836" t="s">
        <v>73</v>
      </c>
      <c r="F1836">
        <v>5</v>
      </c>
      <c r="G1836">
        <v>45</v>
      </c>
      <c r="H1836">
        <v>1</v>
      </c>
      <c r="I1836">
        <v>1</v>
      </c>
      <c r="J1836">
        <v>1</v>
      </c>
      <c r="K1836" t="s">
        <v>110</v>
      </c>
      <c r="L1836" t="s">
        <v>124</v>
      </c>
      <c r="M1836" s="4">
        <v>335000000</v>
      </c>
      <c r="N1836">
        <v>0</v>
      </c>
      <c r="O1836">
        <v>4.7050538059999996</v>
      </c>
      <c r="P1836">
        <v>-74.059341430000003</v>
      </c>
      <c r="Q1836" t="s">
        <v>4197</v>
      </c>
      <c r="R1836">
        <v>7444444.4440000001</v>
      </c>
      <c r="S1836">
        <v>0</v>
      </c>
      <c r="T1836" t="s">
        <v>104</v>
      </c>
      <c r="U1836" t="s">
        <v>105</v>
      </c>
      <c r="V1836" t="s">
        <v>77</v>
      </c>
      <c r="W1836" t="s">
        <v>104</v>
      </c>
      <c r="X1836" t="s">
        <v>106</v>
      </c>
      <c r="Y1836">
        <v>3.2627362463568401</v>
      </c>
      <c r="Z1836">
        <v>3262.7362463568402</v>
      </c>
      <c r="AA1836">
        <v>4.71035</v>
      </c>
      <c r="AB1836">
        <v>-74.030416666666696</v>
      </c>
      <c r="AC1836">
        <v>2570</v>
      </c>
      <c r="AD1836">
        <v>10</v>
      </c>
      <c r="AE1836" t="s">
        <v>80</v>
      </c>
      <c r="AF1836" t="s">
        <v>107</v>
      </c>
      <c r="AG1836" t="s">
        <v>82</v>
      </c>
      <c r="AH1836" t="s">
        <v>83</v>
      </c>
      <c r="AI1836" t="s">
        <v>121</v>
      </c>
      <c r="AJ1836">
        <v>0.56911970359696495</v>
      </c>
      <c r="AK1836">
        <v>3.7572423464677001</v>
      </c>
      <c r="AL1836">
        <v>1.3909658020417699</v>
      </c>
      <c r="AM1836">
        <v>0.23422452900632099</v>
      </c>
      <c r="AN1836">
        <v>4.2609631847745399</v>
      </c>
      <c r="AO1836">
        <v>8.0162897088178198E-2</v>
      </c>
      <c r="AP1836">
        <v>8.0162897088178198E-2</v>
      </c>
      <c r="AQ1836">
        <v>0</v>
      </c>
      <c r="AR1836">
        <v>2</v>
      </c>
      <c r="AS1836">
        <v>0</v>
      </c>
      <c r="AT1836">
        <v>0</v>
      </c>
      <c r="AU1836">
        <v>0</v>
      </c>
      <c r="AV1836">
        <v>89</v>
      </c>
      <c r="AW1836">
        <v>0</v>
      </c>
      <c r="AX1836">
        <v>0</v>
      </c>
      <c r="AY1836">
        <v>15.5</v>
      </c>
      <c r="AZ1836">
        <v>2.4</v>
      </c>
      <c r="BA1836">
        <v>10.9</v>
      </c>
      <c r="BB1836">
        <v>564</v>
      </c>
      <c r="BC1836">
        <v>68</v>
      </c>
      <c r="BD1836">
        <v>1.5</v>
      </c>
      <c r="BE1836">
        <v>135</v>
      </c>
      <c r="BF1836">
        <v>0</v>
      </c>
      <c r="BG1836">
        <v>162</v>
      </c>
      <c r="BH1836">
        <v>9.1</v>
      </c>
      <c r="BI1836">
        <v>9.1999999999999993</v>
      </c>
      <c r="BJ1836">
        <v>18.3</v>
      </c>
      <c r="BK1836">
        <v>0.34</v>
      </c>
      <c r="BL1836">
        <v>7.3</v>
      </c>
      <c r="BM1836">
        <v>0.9</v>
      </c>
      <c r="BN1836">
        <v>7.5</v>
      </c>
      <c r="BO1836">
        <v>2.9</v>
      </c>
      <c r="BP1836">
        <f t="shared" si="56"/>
        <v>2.042068558067887</v>
      </c>
      <c r="BQ1836">
        <f t="shared" si="57"/>
        <v>10.079030921913397</v>
      </c>
    </row>
    <row r="1837" spans="1:69" hidden="1" x14ac:dyDescent="0.2">
      <c r="A1837" t="s">
        <v>4611</v>
      </c>
      <c r="B1837" t="s">
        <v>68</v>
      </c>
      <c r="C1837" t="s">
        <v>3294</v>
      </c>
      <c r="D1837" t="s">
        <v>70</v>
      </c>
      <c r="E1837" t="s">
        <v>219</v>
      </c>
      <c r="F1837">
        <v>4</v>
      </c>
      <c r="G1837">
        <v>45</v>
      </c>
      <c r="H1837">
        <v>1</v>
      </c>
      <c r="I1837">
        <v>1</v>
      </c>
      <c r="J1837">
        <v>1</v>
      </c>
      <c r="K1837" t="s">
        <v>110</v>
      </c>
      <c r="L1837" t="s">
        <v>111</v>
      </c>
      <c r="M1837" s="4">
        <v>412000000</v>
      </c>
      <c r="N1837">
        <v>0</v>
      </c>
      <c r="O1837">
        <v>4.731813431</v>
      </c>
      <c r="P1837">
        <v>-74.022468570000001</v>
      </c>
      <c r="Q1837" t="s">
        <v>4612</v>
      </c>
      <c r="R1837">
        <v>9155555.5559999999</v>
      </c>
      <c r="S1837">
        <v>0</v>
      </c>
      <c r="T1837" t="s">
        <v>104</v>
      </c>
      <c r="U1837" t="s">
        <v>105</v>
      </c>
      <c r="V1837" t="s">
        <v>77</v>
      </c>
      <c r="W1837" t="s">
        <v>104</v>
      </c>
      <c r="X1837" t="s">
        <v>106</v>
      </c>
      <c r="Y1837">
        <v>2.5468166686135301</v>
      </c>
      <c r="Z1837">
        <v>2546.8166686135301</v>
      </c>
      <c r="AA1837">
        <v>4.71035</v>
      </c>
      <c r="AB1837">
        <v>-74.030416666666696</v>
      </c>
      <c r="AC1837">
        <v>2570</v>
      </c>
      <c r="AD1837">
        <v>10</v>
      </c>
      <c r="AE1837" t="s">
        <v>80</v>
      </c>
      <c r="AF1837" t="s">
        <v>107</v>
      </c>
      <c r="AG1837" t="s">
        <v>82</v>
      </c>
      <c r="AH1837" t="s">
        <v>83</v>
      </c>
      <c r="AI1837" t="s">
        <v>108</v>
      </c>
      <c r="AJ1837">
        <v>2.98247911088297</v>
      </c>
      <c r="AK1837">
        <v>9.9979562617553697E-2</v>
      </c>
      <c r="AL1837">
        <v>1.7873945447483</v>
      </c>
      <c r="AM1837">
        <v>0.232690751419248</v>
      </c>
      <c r="AN1837">
        <v>1.1739712717522099</v>
      </c>
      <c r="AO1837">
        <v>0.18961918266319999</v>
      </c>
      <c r="AP1837">
        <v>0.18961918266319999</v>
      </c>
      <c r="AQ1837">
        <v>0</v>
      </c>
      <c r="AR1837">
        <v>0</v>
      </c>
      <c r="AS1837">
        <v>12</v>
      </c>
      <c r="AT1837">
        <v>34</v>
      </c>
      <c r="AU1837">
        <v>0</v>
      </c>
      <c r="AV1837">
        <v>9</v>
      </c>
      <c r="AW1837">
        <v>0</v>
      </c>
      <c r="AX1837">
        <v>0</v>
      </c>
      <c r="AY1837">
        <v>15.5</v>
      </c>
      <c r="AZ1837">
        <v>2.4</v>
      </c>
      <c r="BA1837">
        <v>10.9</v>
      </c>
      <c r="BB1837">
        <v>564</v>
      </c>
      <c r="BC1837">
        <v>68</v>
      </c>
      <c r="BD1837">
        <v>1.5</v>
      </c>
      <c r="BE1837">
        <v>135</v>
      </c>
      <c r="BF1837">
        <v>0</v>
      </c>
      <c r="BG1837">
        <v>162</v>
      </c>
      <c r="BH1837">
        <v>9.1</v>
      </c>
      <c r="BI1837">
        <v>9.1999999999999993</v>
      </c>
      <c r="BJ1837">
        <v>18.3</v>
      </c>
      <c r="BK1837">
        <v>0.34</v>
      </c>
      <c r="BL1837">
        <v>7.3</v>
      </c>
      <c r="BM1837">
        <v>0.9</v>
      </c>
      <c r="BN1837">
        <v>7.5</v>
      </c>
      <c r="BO1837">
        <v>2.9</v>
      </c>
      <c r="BP1837">
        <f t="shared" si="56"/>
        <v>2.1157329739712147</v>
      </c>
      <c r="BQ1837">
        <f t="shared" si="57"/>
        <v>10.253705876707031</v>
      </c>
    </row>
    <row r="1838" spans="1:69" hidden="1" x14ac:dyDescent="0.2">
      <c r="A1838" t="s">
        <v>4638</v>
      </c>
      <c r="B1838" t="s">
        <v>68</v>
      </c>
      <c r="C1838" t="s">
        <v>3294</v>
      </c>
      <c r="D1838" t="s">
        <v>70</v>
      </c>
      <c r="E1838" t="s">
        <v>1074</v>
      </c>
      <c r="F1838">
        <v>5</v>
      </c>
      <c r="G1838">
        <v>44.9</v>
      </c>
      <c r="H1838">
        <v>1</v>
      </c>
      <c r="I1838">
        <v>1</v>
      </c>
      <c r="J1838">
        <v>1</v>
      </c>
      <c r="K1838" t="s">
        <v>110</v>
      </c>
      <c r="L1838" t="s">
        <v>111</v>
      </c>
      <c r="M1838" s="4">
        <v>556989624</v>
      </c>
      <c r="N1838">
        <v>0</v>
      </c>
      <c r="O1838">
        <v>4.6813073159999998</v>
      </c>
      <c r="P1838">
        <v>-74.050384519999994</v>
      </c>
      <c r="Q1838" t="s">
        <v>4639</v>
      </c>
      <c r="R1838">
        <v>12405114.119999999</v>
      </c>
      <c r="S1838">
        <v>0</v>
      </c>
      <c r="T1838" t="s">
        <v>104</v>
      </c>
      <c r="U1838" t="s">
        <v>105</v>
      </c>
      <c r="V1838" t="s">
        <v>77</v>
      </c>
      <c r="W1838" t="s">
        <v>104</v>
      </c>
      <c r="X1838" t="s">
        <v>106</v>
      </c>
      <c r="Y1838">
        <v>3.9192057095927599</v>
      </c>
      <c r="Z1838">
        <v>3919.2057095927598</v>
      </c>
      <c r="AA1838">
        <v>4.71035</v>
      </c>
      <c r="AB1838">
        <v>-74.030416666666696</v>
      </c>
      <c r="AC1838">
        <v>2570</v>
      </c>
      <c r="AD1838">
        <v>10</v>
      </c>
      <c r="AE1838" t="s">
        <v>80</v>
      </c>
      <c r="AF1838" t="s">
        <v>107</v>
      </c>
      <c r="AG1838" t="s">
        <v>82</v>
      </c>
      <c r="AH1838" t="s">
        <v>83</v>
      </c>
      <c r="AI1838" t="s">
        <v>130</v>
      </c>
      <c r="AJ1838">
        <v>0.86337900929022204</v>
      </c>
      <c r="AK1838">
        <v>1.45274262085672</v>
      </c>
      <c r="AL1838">
        <v>0.52678470018568402</v>
      </c>
      <c r="AM1838">
        <v>1.7799032285214102E-2</v>
      </c>
      <c r="AN1838">
        <v>3.5871952287294602</v>
      </c>
      <c r="AO1838">
        <v>0.90453820454643796</v>
      </c>
      <c r="AP1838">
        <v>0.90453820454643796</v>
      </c>
      <c r="AQ1838">
        <v>0</v>
      </c>
      <c r="AR1838">
        <v>1</v>
      </c>
      <c r="AS1838">
        <v>0</v>
      </c>
      <c r="AT1838">
        <v>0</v>
      </c>
      <c r="AU1838">
        <v>4</v>
      </c>
      <c r="AV1838">
        <v>198</v>
      </c>
      <c r="AW1838">
        <v>0</v>
      </c>
      <c r="AX1838">
        <v>0</v>
      </c>
      <c r="AY1838">
        <v>15.5</v>
      </c>
      <c r="AZ1838">
        <v>2.4</v>
      </c>
      <c r="BA1838">
        <v>10.9</v>
      </c>
      <c r="BB1838">
        <v>564</v>
      </c>
      <c r="BC1838">
        <v>68</v>
      </c>
      <c r="BD1838">
        <v>1.5</v>
      </c>
      <c r="BE1838">
        <v>135</v>
      </c>
      <c r="BF1838">
        <v>0</v>
      </c>
      <c r="BG1838">
        <v>162</v>
      </c>
      <c r="BH1838">
        <v>9.1</v>
      </c>
      <c r="BI1838">
        <v>9.1999999999999993</v>
      </c>
      <c r="BJ1838">
        <v>18.3</v>
      </c>
      <c r="BK1838">
        <v>0.34</v>
      </c>
      <c r="BL1838">
        <v>7.3</v>
      </c>
      <c r="BM1838">
        <v>0.9</v>
      </c>
      <c r="BN1838">
        <v>7.5</v>
      </c>
      <c r="BO1838">
        <v>2.9</v>
      </c>
      <c r="BP1838">
        <f t="shared" si="56"/>
        <v>1.9767776208466135</v>
      </c>
      <c r="BQ1838">
        <f t="shared" si="57"/>
        <v>9.9214775046285801</v>
      </c>
    </row>
    <row r="1839" spans="1:69" hidden="1" x14ac:dyDescent="0.2">
      <c r="A1839" t="s">
        <v>520</v>
      </c>
      <c r="B1839" t="s">
        <v>68</v>
      </c>
      <c r="C1839" t="s">
        <v>69</v>
      </c>
      <c r="D1839" t="s">
        <v>70</v>
      </c>
      <c r="E1839" t="s">
        <v>179</v>
      </c>
      <c r="F1839">
        <v>6</v>
      </c>
      <c r="G1839">
        <v>44</v>
      </c>
      <c r="H1839">
        <v>1</v>
      </c>
      <c r="I1839">
        <v>1</v>
      </c>
      <c r="J1839">
        <v>1</v>
      </c>
      <c r="K1839" t="s">
        <v>110</v>
      </c>
      <c r="L1839" t="s">
        <v>162</v>
      </c>
      <c r="M1839" s="4">
        <v>439000000</v>
      </c>
      <c r="N1839">
        <v>0</v>
      </c>
      <c r="O1839">
        <v>4.6779080000000004</v>
      </c>
      <c r="P1839">
        <v>-74.042739999999995</v>
      </c>
      <c r="Q1839" t="s">
        <v>521</v>
      </c>
      <c r="R1839">
        <v>9977272.727</v>
      </c>
      <c r="S1839">
        <v>0</v>
      </c>
      <c r="T1839" t="s">
        <v>104</v>
      </c>
      <c r="U1839" t="s">
        <v>105</v>
      </c>
      <c r="V1839" t="s">
        <v>77</v>
      </c>
      <c r="W1839" t="s">
        <v>104</v>
      </c>
      <c r="X1839" t="s">
        <v>106</v>
      </c>
      <c r="Y1839">
        <v>3.8615684220595301</v>
      </c>
      <c r="Z1839">
        <v>3861.5684220595299</v>
      </c>
      <c r="AA1839">
        <v>4.71035</v>
      </c>
      <c r="AB1839">
        <v>-74.030416666666696</v>
      </c>
      <c r="AC1839">
        <v>2570</v>
      </c>
      <c r="AD1839">
        <v>10</v>
      </c>
      <c r="AE1839" t="s">
        <v>80</v>
      </c>
      <c r="AF1839" t="s">
        <v>107</v>
      </c>
      <c r="AG1839" t="s">
        <v>82</v>
      </c>
      <c r="AH1839" t="s">
        <v>83</v>
      </c>
      <c r="AI1839" t="s">
        <v>130</v>
      </c>
      <c r="AJ1839">
        <v>1.7893600279873501</v>
      </c>
      <c r="AK1839">
        <v>0.55241168119927897</v>
      </c>
      <c r="AL1839">
        <v>0.63064757411735095</v>
      </c>
      <c r="AM1839">
        <v>0.20628589992006199</v>
      </c>
      <c r="AN1839">
        <v>4.3614457392604997</v>
      </c>
      <c r="AO1839">
        <v>1.06393634073386</v>
      </c>
      <c r="AP1839">
        <v>1.06393634073386</v>
      </c>
      <c r="AQ1839">
        <v>0</v>
      </c>
      <c r="AR1839">
        <v>0</v>
      </c>
      <c r="AS1839">
        <v>0</v>
      </c>
      <c r="AT1839">
        <v>8</v>
      </c>
      <c r="AU1839">
        <v>3</v>
      </c>
      <c r="AV1839">
        <v>74</v>
      </c>
      <c r="AW1839">
        <v>0</v>
      </c>
      <c r="AX1839">
        <v>0</v>
      </c>
      <c r="AY1839">
        <v>15.5</v>
      </c>
      <c r="AZ1839">
        <v>2.4</v>
      </c>
      <c r="BA1839">
        <v>10.9</v>
      </c>
      <c r="BB1839">
        <v>564</v>
      </c>
      <c r="BC1839">
        <v>68</v>
      </c>
      <c r="BD1839">
        <v>1.5</v>
      </c>
      <c r="BE1839">
        <v>135</v>
      </c>
      <c r="BF1839">
        <v>0</v>
      </c>
      <c r="BG1839">
        <v>162</v>
      </c>
      <c r="BH1839">
        <v>9.1</v>
      </c>
      <c r="BI1839">
        <v>9.1999999999999993</v>
      </c>
      <c r="BJ1839">
        <v>18.3</v>
      </c>
      <c r="BK1839">
        <v>0.34</v>
      </c>
      <c r="BL1839">
        <v>7.3</v>
      </c>
      <c r="BM1839">
        <v>0.9</v>
      </c>
      <c r="BN1839">
        <v>7.5</v>
      </c>
      <c r="BO1839">
        <v>2.9</v>
      </c>
      <c r="BP1839">
        <f t="shared" si="56"/>
        <v>1.9824255108157498</v>
      </c>
      <c r="BQ1839">
        <f t="shared" si="57"/>
        <v>9.9352113306448793</v>
      </c>
    </row>
    <row r="1840" spans="1:69" hidden="1" x14ac:dyDescent="0.2">
      <c r="A1840" t="s">
        <v>4503</v>
      </c>
      <c r="B1840" t="s">
        <v>68</v>
      </c>
      <c r="C1840" t="s">
        <v>3294</v>
      </c>
      <c r="D1840" t="s">
        <v>70</v>
      </c>
      <c r="E1840" t="s">
        <v>229</v>
      </c>
      <c r="F1840">
        <v>6</v>
      </c>
      <c r="G1840">
        <v>44</v>
      </c>
      <c r="H1840">
        <v>1</v>
      </c>
      <c r="I1840">
        <v>1</v>
      </c>
      <c r="J1840">
        <v>0</v>
      </c>
      <c r="K1840" t="s">
        <v>110</v>
      </c>
      <c r="L1840" t="s">
        <v>111</v>
      </c>
      <c r="M1840" s="4">
        <v>620000000</v>
      </c>
      <c r="N1840">
        <v>0</v>
      </c>
      <c r="O1840">
        <v>4.6816199999999997</v>
      </c>
      <c r="P1840">
        <v>-74.047139999999999</v>
      </c>
      <c r="Q1840" t="s">
        <v>4504</v>
      </c>
      <c r="R1840">
        <v>14090909.09</v>
      </c>
      <c r="S1840">
        <v>0</v>
      </c>
      <c r="T1840" t="s">
        <v>104</v>
      </c>
      <c r="U1840" t="s">
        <v>105</v>
      </c>
      <c r="V1840" t="s">
        <v>77</v>
      </c>
      <c r="W1840" t="s">
        <v>104</v>
      </c>
      <c r="X1840" t="s">
        <v>106</v>
      </c>
      <c r="Y1840">
        <v>3.6974300751556402</v>
      </c>
      <c r="Z1840">
        <v>3697.4300751556402</v>
      </c>
      <c r="AA1840">
        <v>4.71035</v>
      </c>
      <c r="AB1840">
        <v>-74.030416666666696</v>
      </c>
      <c r="AC1840">
        <v>2570</v>
      </c>
      <c r="AD1840">
        <v>10</v>
      </c>
      <c r="AE1840" t="s">
        <v>80</v>
      </c>
      <c r="AF1840" t="s">
        <v>107</v>
      </c>
      <c r="AG1840" t="s">
        <v>82</v>
      </c>
      <c r="AH1840" t="s">
        <v>83</v>
      </c>
      <c r="AI1840" t="s">
        <v>130</v>
      </c>
      <c r="AJ1840">
        <v>1.20019307229707</v>
      </c>
      <c r="AK1840">
        <v>1.18883715800353</v>
      </c>
      <c r="AL1840">
        <v>0.65498137780241705</v>
      </c>
      <c r="AM1840">
        <v>9.2125053842393195E-2</v>
      </c>
      <c r="AN1840">
        <v>3.9455166185888699</v>
      </c>
      <c r="AO1840">
        <v>0.92328563608887004</v>
      </c>
      <c r="AP1840">
        <v>0.92328563608887004</v>
      </c>
      <c r="AQ1840">
        <v>0</v>
      </c>
      <c r="AR1840">
        <v>0</v>
      </c>
      <c r="AS1840">
        <v>0</v>
      </c>
      <c r="AT1840">
        <v>0</v>
      </c>
      <c r="AU1840">
        <v>5</v>
      </c>
      <c r="AV1840">
        <v>127</v>
      </c>
      <c r="AW1840">
        <v>0</v>
      </c>
      <c r="AX1840">
        <v>0</v>
      </c>
      <c r="AY1840">
        <v>15.5</v>
      </c>
      <c r="AZ1840">
        <v>2.4</v>
      </c>
      <c r="BA1840">
        <v>10.9</v>
      </c>
      <c r="BB1840">
        <v>564</v>
      </c>
      <c r="BC1840">
        <v>68</v>
      </c>
      <c r="BD1840">
        <v>1.5</v>
      </c>
      <c r="BE1840">
        <v>135</v>
      </c>
      <c r="BF1840">
        <v>0</v>
      </c>
      <c r="BG1840">
        <v>162</v>
      </c>
      <c r="BH1840">
        <v>9.1</v>
      </c>
      <c r="BI1840">
        <v>9.1999999999999993</v>
      </c>
      <c r="BJ1840">
        <v>18.3</v>
      </c>
      <c r="BK1840">
        <v>0.34</v>
      </c>
      <c r="BL1840">
        <v>7.3</v>
      </c>
      <c r="BM1840">
        <v>0.9</v>
      </c>
      <c r="BN1840">
        <v>7.5</v>
      </c>
      <c r="BO1840">
        <v>2.9</v>
      </c>
      <c r="BP1840">
        <f t="shared" si="56"/>
        <v>1.9985980277587974</v>
      </c>
      <c r="BQ1840">
        <f t="shared" si="57"/>
        <v>9.9744265004249044</v>
      </c>
    </row>
    <row r="1841" spans="1:69" hidden="1" x14ac:dyDescent="0.2">
      <c r="A1841" t="s">
        <v>4238</v>
      </c>
      <c r="B1841" t="s">
        <v>68</v>
      </c>
      <c r="C1841" t="s">
        <v>3294</v>
      </c>
      <c r="D1841" t="s">
        <v>70</v>
      </c>
      <c r="E1841" t="s">
        <v>205</v>
      </c>
      <c r="F1841">
        <v>4</v>
      </c>
      <c r="G1841">
        <v>44</v>
      </c>
      <c r="H1841">
        <v>1</v>
      </c>
      <c r="I1841">
        <v>2</v>
      </c>
      <c r="J1841">
        <v>1</v>
      </c>
      <c r="K1841" t="s">
        <v>110</v>
      </c>
      <c r="L1841" t="s">
        <v>111</v>
      </c>
      <c r="M1841" s="4">
        <v>450000000</v>
      </c>
      <c r="N1841">
        <v>0</v>
      </c>
      <c r="O1841">
        <v>4.7166943549999996</v>
      </c>
      <c r="P1841">
        <v>-74.030990599999996</v>
      </c>
      <c r="Q1841" t="s">
        <v>4239</v>
      </c>
      <c r="R1841">
        <v>10227272.73</v>
      </c>
      <c r="S1841">
        <v>0</v>
      </c>
      <c r="T1841" t="s">
        <v>104</v>
      </c>
      <c r="U1841" t="s">
        <v>105</v>
      </c>
      <c r="V1841" t="s">
        <v>77</v>
      </c>
      <c r="W1841" t="s">
        <v>104</v>
      </c>
      <c r="X1841" t="s">
        <v>106</v>
      </c>
      <c r="Y1841">
        <v>0.70911490382111197</v>
      </c>
      <c r="Z1841">
        <v>709.11490382111197</v>
      </c>
      <c r="AA1841">
        <v>4.71035</v>
      </c>
      <c r="AB1841">
        <v>-74.030416666666696</v>
      </c>
      <c r="AC1841">
        <v>2570</v>
      </c>
      <c r="AD1841">
        <v>10</v>
      </c>
      <c r="AE1841" t="s">
        <v>80</v>
      </c>
      <c r="AF1841" t="s">
        <v>107</v>
      </c>
      <c r="AG1841" t="s">
        <v>82</v>
      </c>
      <c r="AH1841" t="s">
        <v>83</v>
      </c>
      <c r="AI1841" t="s">
        <v>108</v>
      </c>
      <c r="AJ1841">
        <v>2.3224318757838698</v>
      </c>
      <c r="AK1841">
        <v>0.826352815220734</v>
      </c>
      <c r="AL1841">
        <v>0.68705652885094703</v>
      </c>
      <c r="AM1841">
        <v>7.7567408431795395E-2</v>
      </c>
      <c r="AN1841">
        <v>2.7857347556415899</v>
      </c>
      <c r="AO1841">
        <v>3.88782046050275E-2</v>
      </c>
      <c r="AP1841">
        <v>3.88782046050275E-2</v>
      </c>
      <c r="AQ1841">
        <v>0</v>
      </c>
      <c r="AR1841">
        <v>0</v>
      </c>
      <c r="AS1841">
        <v>0</v>
      </c>
      <c r="AT1841">
        <v>22</v>
      </c>
      <c r="AU1841">
        <v>1</v>
      </c>
      <c r="AV1841">
        <v>74</v>
      </c>
      <c r="AW1841">
        <v>0</v>
      </c>
      <c r="AX1841">
        <v>0</v>
      </c>
      <c r="AY1841">
        <v>15.5</v>
      </c>
      <c r="AZ1841">
        <v>2.4</v>
      </c>
      <c r="BA1841">
        <v>10.9</v>
      </c>
      <c r="BB1841">
        <v>564</v>
      </c>
      <c r="BC1841">
        <v>68</v>
      </c>
      <c r="BD1841">
        <v>1.5</v>
      </c>
      <c r="BE1841">
        <v>135</v>
      </c>
      <c r="BF1841">
        <v>0</v>
      </c>
      <c r="BG1841">
        <v>162</v>
      </c>
      <c r="BH1841">
        <v>9.1</v>
      </c>
      <c r="BI1841">
        <v>9.1999999999999993</v>
      </c>
      <c r="BJ1841">
        <v>18.3</v>
      </c>
      <c r="BK1841">
        <v>0.34</v>
      </c>
      <c r="BL1841">
        <v>7.3</v>
      </c>
      <c r="BM1841">
        <v>0.9</v>
      </c>
      <c r="BN1841">
        <v>7.5</v>
      </c>
      <c r="BO1841">
        <v>2.9</v>
      </c>
      <c r="BP1841">
        <f t="shared" si="56"/>
        <v>2.3172185130523664</v>
      </c>
      <c r="BQ1841">
        <f t="shared" si="57"/>
        <v>10.716065151988845</v>
      </c>
    </row>
    <row r="1842" spans="1:69" hidden="1" x14ac:dyDescent="0.2">
      <c r="A1842" t="s">
        <v>3312</v>
      </c>
      <c r="B1842" t="s">
        <v>68</v>
      </c>
      <c r="C1842" t="s">
        <v>3294</v>
      </c>
      <c r="D1842" t="s">
        <v>70</v>
      </c>
      <c r="E1842" t="s">
        <v>1001</v>
      </c>
      <c r="F1842">
        <v>5</v>
      </c>
      <c r="G1842">
        <v>43.49</v>
      </c>
      <c r="H1842">
        <v>1</v>
      </c>
      <c r="I1842">
        <v>2</v>
      </c>
      <c r="J1842">
        <v>1</v>
      </c>
      <c r="K1842" t="s">
        <v>110</v>
      </c>
      <c r="L1842" t="s">
        <v>162</v>
      </c>
      <c r="M1842" s="4">
        <v>315000000</v>
      </c>
      <c r="N1842">
        <v>0</v>
      </c>
      <c r="O1842">
        <v>4.6958408360000004</v>
      </c>
      <c r="P1842">
        <v>-74.063613889999999</v>
      </c>
      <c r="Q1842" t="s">
        <v>3313</v>
      </c>
      <c r="R1842">
        <v>7243044.3779999996</v>
      </c>
      <c r="S1842">
        <v>0</v>
      </c>
      <c r="T1842" t="s">
        <v>104</v>
      </c>
      <c r="U1842" t="s">
        <v>105</v>
      </c>
      <c r="V1842" t="s">
        <v>77</v>
      </c>
      <c r="W1842" t="s">
        <v>104</v>
      </c>
      <c r="X1842" t="s">
        <v>106</v>
      </c>
      <c r="Y1842">
        <v>4.0216430985516096</v>
      </c>
      <c r="Z1842">
        <v>4021.6430985516099</v>
      </c>
      <c r="AA1842">
        <v>4.71035</v>
      </c>
      <c r="AB1842">
        <v>-74.030416666666696</v>
      </c>
      <c r="AC1842">
        <v>2570</v>
      </c>
      <c r="AD1842">
        <v>10</v>
      </c>
      <c r="AE1842" t="s">
        <v>80</v>
      </c>
      <c r="AF1842" t="s">
        <v>107</v>
      </c>
      <c r="AG1842" t="s">
        <v>82</v>
      </c>
      <c r="AH1842" t="s">
        <v>83</v>
      </c>
      <c r="AI1842" t="s">
        <v>121</v>
      </c>
      <c r="AJ1842">
        <v>0.481239556513681</v>
      </c>
      <c r="AK1842">
        <v>3.57585051873455</v>
      </c>
      <c r="AL1842">
        <v>0.70013349189807195</v>
      </c>
      <c r="AM1842">
        <v>0.12736949145908799</v>
      </c>
      <c r="AN1842">
        <v>3.16552015637079</v>
      </c>
      <c r="AO1842">
        <v>9.9562134594379098E-2</v>
      </c>
      <c r="AP1842">
        <v>9.9562134594379098E-2</v>
      </c>
      <c r="AQ1842">
        <v>1</v>
      </c>
      <c r="AR1842">
        <v>5</v>
      </c>
      <c r="AS1842">
        <v>0</v>
      </c>
      <c r="AT1842">
        <v>0</v>
      </c>
      <c r="AU1842">
        <v>1</v>
      </c>
      <c r="AV1842">
        <v>92</v>
      </c>
      <c r="AW1842">
        <v>0</v>
      </c>
      <c r="AX1842">
        <v>0</v>
      </c>
      <c r="AY1842">
        <v>15.5</v>
      </c>
      <c r="AZ1842">
        <v>2.4</v>
      </c>
      <c r="BA1842">
        <v>10.9</v>
      </c>
      <c r="BB1842">
        <v>564</v>
      </c>
      <c r="BC1842">
        <v>68</v>
      </c>
      <c r="BD1842">
        <v>1.5</v>
      </c>
      <c r="BE1842">
        <v>135</v>
      </c>
      <c r="BF1842">
        <v>0</v>
      </c>
      <c r="BG1842">
        <v>162</v>
      </c>
      <c r="BH1842">
        <v>9.1</v>
      </c>
      <c r="BI1842">
        <v>9.1999999999999993</v>
      </c>
      <c r="BJ1842">
        <v>18.3</v>
      </c>
      <c r="BK1842">
        <v>0.34</v>
      </c>
      <c r="BL1842">
        <v>7.3</v>
      </c>
      <c r="BM1842">
        <v>0.9</v>
      </c>
      <c r="BN1842">
        <v>7.5</v>
      </c>
      <c r="BO1842">
        <v>2.9</v>
      </c>
      <c r="BP1842">
        <f t="shared" si="56"/>
        <v>1.966779441972996</v>
      </c>
      <c r="BQ1842">
        <f t="shared" si="57"/>
        <v>9.8971155378100466</v>
      </c>
    </row>
    <row r="1843" spans="1:69" hidden="1" x14ac:dyDescent="0.2">
      <c r="A1843" t="s">
        <v>3870</v>
      </c>
      <c r="B1843" t="s">
        <v>68</v>
      </c>
      <c r="C1843" t="s">
        <v>3294</v>
      </c>
      <c r="D1843" t="s">
        <v>70</v>
      </c>
      <c r="E1843" t="s">
        <v>468</v>
      </c>
      <c r="F1843">
        <v>6</v>
      </c>
      <c r="G1843">
        <v>43</v>
      </c>
      <c r="H1843">
        <v>1</v>
      </c>
      <c r="I1843">
        <v>1</v>
      </c>
      <c r="J1843">
        <v>0</v>
      </c>
      <c r="K1843" t="s">
        <v>110</v>
      </c>
      <c r="L1843" t="s">
        <v>133</v>
      </c>
      <c r="M1843" s="4">
        <v>575000000</v>
      </c>
      <c r="N1843">
        <v>0</v>
      </c>
      <c r="O1843">
        <v>4.6922499999999996</v>
      </c>
      <c r="P1843">
        <v>-74.049970000000002</v>
      </c>
      <c r="Q1843" t="s">
        <v>3871</v>
      </c>
      <c r="R1843">
        <v>13372093.02</v>
      </c>
      <c r="S1843">
        <v>0</v>
      </c>
      <c r="T1843" t="s">
        <v>104</v>
      </c>
      <c r="U1843" t="s">
        <v>105</v>
      </c>
      <c r="V1843" t="s">
        <v>77</v>
      </c>
      <c r="W1843" t="s">
        <v>104</v>
      </c>
      <c r="X1843" t="s">
        <v>106</v>
      </c>
      <c r="Y1843">
        <v>2.9607102183057799</v>
      </c>
      <c r="Z1843">
        <v>2960.71021830578</v>
      </c>
      <c r="AA1843">
        <v>4.71035</v>
      </c>
      <c r="AB1843">
        <v>-74.030416666666696</v>
      </c>
      <c r="AC1843">
        <v>2570</v>
      </c>
      <c r="AD1843">
        <v>10</v>
      </c>
      <c r="AE1843" t="s">
        <v>80</v>
      </c>
      <c r="AF1843" t="s">
        <v>107</v>
      </c>
      <c r="AG1843" t="s">
        <v>82</v>
      </c>
      <c r="AH1843" t="s">
        <v>83</v>
      </c>
      <c r="AI1843" t="s">
        <v>108</v>
      </c>
      <c r="AJ1843">
        <v>0.69356863585262096</v>
      </c>
      <c r="AK1843">
        <v>2.1439042344627199</v>
      </c>
      <c r="AL1843">
        <v>0.11606253656381101</v>
      </c>
      <c r="AM1843">
        <v>6.0074708877432201E-2</v>
      </c>
      <c r="AN1843">
        <v>4.0812410951192897</v>
      </c>
      <c r="AO1843">
        <v>1.07536749941034E-2</v>
      </c>
      <c r="AP1843">
        <v>1.07536749941034E-2</v>
      </c>
      <c r="AQ1843">
        <v>0</v>
      </c>
      <c r="AR1843">
        <v>2</v>
      </c>
      <c r="AS1843">
        <v>0</v>
      </c>
      <c r="AT1843">
        <v>0</v>
      </c>
      <c r="AU1843">
        <v>5</v>
      </c>
      <c r="AV1843">
        <v>164</v>
      </c>
      <c r="AW1843">
        <v>0</v>
      </c>
      <c r="AX1843">
        <v>0</v>
      </c>
      <c r="AY1843">
        <v>15.5</v>
      </c>
      <c r="AZ1843">
        <v>2.4</v>
      </c>
      <c r="BA1843">
        <v>10.9</v>
      </c>
      <c r="BB1843">
        <v>564</v>
      </c>
      <c r="BC1843">
        <v>68</v>
      </c>
      <c r="BD1843">
        <v>1.5</v>
      </c>
      <c r="BE1843">
        <v>135</v>
      </c>
      <c r="BF1843">
        <v>0</v>
      </c>
      <c r="BG1843">
        <v>162</v>
      </c>
      <c r="BH1843">
        <v>9.1</v>
      </c>
      <c r="BI1843">
        <v>9.1999999999999993</v>
      </c>
      <c r="BJ1843">
        <v>18.3</v>
      </c>
      <c r="BK1843">
        <v>0.34</v>
      </c>
      <c r="BL1843">
        <v>7.3</v>
      </c>
      <c r="BM1843">
        <v>0.9</v>
      </c>
      <c r="BN1843">
        <v>7.5</v>
      </c>
      <c r="BO1843">
        <v>2.9</v>
      </c>
      <c r="BP1843">
        <f t="shared" si="56"/>
        <v>2.072827425982771</v>
      </c>
      <c r="BQ1843">
        <f t="shared" si="57"/>
        <v>10.152355464124446</v>
      </c>
    </row>
    <row r="1844" spans="1:69" hidden="1" x14ac:dyDescent="0.2">
      <c r="A1844" t="s">
        <v>3464</v>
      </c>
      <c r="B1844" t="s">
        <v>68</v>
      </c>
      <c r="C1844" t="s">
        <v>3294</v>
      </c>
      <c r="D1844" t="s">
        <v>70</v>
      </c>
      <c r="E1844" t="s">
        <v>205</v>
      </c>
      <c r="F1844">
        <v>4</v>
      </c>
      <c r="G1844">
        <v>43</v>
      </c>
      <c r="H1844">
        <v>1</v>
      </c>
      <c r="I1844">
        <v>1</v>
      </c>
      <c r="J1844">
        <v>1</v>
      </c>
      <c r="K1844" t="s">
        <v>110</v>
      </c>
      <c r="L1844" t="s">
        <v>124</v>
      </c>
      <c r="M1844" s="4">
        <v>270000000</v>
      </c>
      <c r="N1844">
        <v>0</v>
      </c>
      <c r="O1844">
        <v>4.7184699999999999</v>
      </c>
      <c r="P1844">
        <v>-74.032690000000002</v>
      </c>
      <c r="Q1844" t="s">
        <v>3465</v>
      </c>
      <c r="R1844">
        <v>6279069.767</v>
      </c>
      <c r="S1844">
        <v>0</v>
      </c>
      <c r="T1844" t="s">
        <v>104</v>
      </c>
      <c r="U1844" t="s">
        <v>105</v>
      </c>
      <c r="V1844" t="s">
        <v>77</v>
      </c>
      <c r="W1844" t="s">
        <v>104</v>
      </c>
      <c r="X1844" t="s">
        <v>106</v>
      </c>
      <c r="Y1844">
        <v>0.938440698378744</v>
      </c>
      <c r="Z1844">
        <v>938.44069837874395</v>
      </c>
      <c r="AA1844">
        <v>4.71035</v>
      </c>
      <c r="AB1844">
        <v>-74.030416666666696</v>
      </c>
      <c r="AC1844">
        <v>2570</v>
      </c>
      <c r="AD1844">
        <v>10</v>
      </c>
      <c r="AE1844" t="s">
        <v>80</v>
      </c>
      <c r="AF1844" t="s">
        <v>107</v>
      </c>
      <c r="AG1844" t="s">
        <v>82</v>
      </c>
      <c r="AH1844" t="s">
        <v>83</v>
      </c>
      <c r="AI1844" t="s">
        <v>108</v>
      </c>
      <c r="AJ1844">
        <v>2.1021118585659102</v>
      </c>
      <c r="AK1844">
        <v>1.02005535023398</v>
      </c>
      <c r="AL1844">
        <v>0.85412447291636096</v>
      </c>
      <c r="AM1844">
        <v>0.12488181193478699</v>
      </c>
      <c r="AN1844">
        <v>2.6333984529671599</v>
      </c>
      <c r="AO1844">
        <v>6.9162471371893894E-2</v>
      </c>
      <c r="AP1844">
        <v>6.9162471371893894E-2</v>
      </c>
      <c r="AQ1844">
        <v>0</v>
      </c>
      <c r="AR1844">
        <v>0</v>
      </c>
      <c r="AS1844">
        <v>0</v>
      </c>
      <c r="AT1844">
        <v>0</v>
      </c>
      <c r="AU1844">
        <v>1</v>
      </c>
      <c r="AV1844">
        <v>75</v>
      </c>
      <c r="AW1844">
        <v>0</v>
      </c>
      <c r="AX1844">
        <v>0</v>
      </c>
      <c r="AY1844">
        <v>15.5</v>
      </c>
      <c r="AZ1844">
        <v>2.4</v>
      </c>
      <c r="BA1844">
        <v>10.9</v>
      </c>
      <c r="BB1844">
        <v>564</v>
      </c>
      <c r="BC1844">
        <v>68</v>
      </c>
      <c r="BD1844">
        <v>1.5</v>
      </c>
      <c r="BE1844">
        <v>135</v>
      </c>
      <c r="BF1844">
        <v>0</v>
      </c>
      <c r="BG1844">
        <v>162</v>
      </c>
      <c r="BH1844">
        <v>9.1</v>
      </c>
      <c r="BI1844">
        <v>9.1999999999999993</v>
      </c>
      <c r="BJ1844">
        <v>18.3</v>
      </c>
      <c r="BK1844">
        <v>0.34</v>
      </c>
      <c r="BL1844">
        <v>7.3</v>
      </c>
      <c r="BM1844">
        <v>0.9</v>
      </c>
      <c r="BN1844">
        <v>7.5</v>
      </c>
      <c r="BO1844">
        <v>2.9</v>
      </c>
      <c r="BP1844">
        <f t="shared" si="56"/>
        <v>2.29106304761312</v>
      </c>
      <c r="BQ1844">
        <f t="shared" si="57"/>
        <v>10.657247876552109</v>
      </c>
    </row>
    <row r="1845" spans="1:69" hidden="1" x14ac:dyDescent="0.2">
      <c r="A1845" t="s">
        <v>3568</v>
      </c>
      <c r="B1845" t="s">
        <v>68</v>
      </c>
      <c r="C1845" t="s">
        <v>3294</v>
      </c>
      <c r="D1845" t="s">
        <v>70</v>
      </c>
      <c r="E1845" t="s">
        <v>205</v>
      </c>
      <c r="F1845">
        <v>4</v>
      </c>
      <c r="G1845">
        <v>42.99</v>
      </c>
      <c r="H1845">
        <v>1</v>
      </c>
      <c r="I1845">
        <v>2</v>
      </c>
      <c r="J1845">
        <v>1</v>
      </c>
      <c r="K1845" t="s">
        <v>110</v>
      </c>
      <c r="L1845" t="s">
        <v>133</v>
      </c>
      <c r="M1845" s="4">
        <v>385000000</v>
      </c>
      <c r="N1845">
        <v>0</v>
      </c>
      <c r="O1845">
        <v>4.7281899999999997</v>
      </c>
      <c r="P1845">
        <v>-74.039119999999997</v>
      </c>
      <c r="Q1845" t="s">
        <v>3569</v>
      </c>
      <c r="R1845">
        <v>8955571.0629999992</v>
      </c>
      <c r="S1845">
        <v>0</v>
      </c>
      <c r="T1845" t="s">
        <v>104</v>
      </c>
      <c r="U1845" t="s">
        <v>105</v>
      </c>
      <c r="V1845" t="s">
        <v>77</v>
      </c>
      <c r="W1845" t="s">
        <v>104</v>
      </c>
      <c r="X1845" t="s">
        <v>106</v>
      </c>
      <c r="Y1845">
        <v>2.2082287626281198</v>
      </c>
      <c r="Z1845">
        <v>2208.22876262812</v>
      </c>
      <c r="AA1845">
        <v>4.71035</v>
      </c>
      <c r="AB1845">
        <v>-74.030416666666696</v>
      </c>
      <c r="AC1845">
        <v>2570</v>
      </c>
      <c r="AD1845">
        <v>10</v>
      </c>
      <c r="AE1845" t="s">
        <v>80</v>
      </c>
      <c r="AF1845" t="s">
        <v>107</v>
      </c>
      <c r="AG1845" t="s">
        <v>82</v>
      </c>
      <c r="AH1845" t="s">
        <v>83</v>
      </c>
      <c r="AI1845" t="s">
        <v>108</v>
      </c>
      <c r="AJ1845">
        <v>1.2223711793413501</v>
      </c>
      <c r="AK1845">
        <v>1.96066543777653</v>
      </c>
      <c r="AL1845">
        <v>0.52728571004758895</v>
      </c>
      <c r="AM1845">
        <v>0.49893194266757201</v>
      </c>
      <c r="AN1845">
        <v>2.01547799241829</v>
      </c>
      <c r="AO1845">
        <v>0.27349311561763801</v>
      </c>
      <c r="AP1845">
        <v>0.27349311561763801</v>
      </c>
      <c r="AQ1845">
        <v>0</v>
      </c>
      <c r="AR1845">
        <v>0</v>
      </c>
      <c r="AS1845">
        <v>0</v>
      </c>
      <c r="AT1845">
        <v>0</v>
      </c>
      <c r="AU1845">
        <v>1</v>
      </c>
      <c r="AV1845">
        <v>20</v>
      </c>
      <c r="AW1845">
        <v>0</v>
      </c>
      <c r="AX1845">
        <v>0</v>
      </c>
      <c r="AY1845">
        <v>15.5</v>
      </c>
      <c r="AZ1845">
        <v>2.4</v>
      </c>
      <c r="BA1845">
        <v>10.9</v>
      </c>
      <c r="BB1845">
        <v>564</v>
      </c>
      <c r="BC1845">
        <v>68</v>
      </c>
      <c r="BD1845">
        <v>1.5</v>
      </c>
      <c r="BE1845">
        <v>135</v>
      </c>
      <c r="BF1845">
        <v>0</v>
      </c>
      <c r="BG1845">
        <v>162</v>
      </c>
      <c r="BH1845">
        <v>9.1</v>
      </c>
      <c r="BI1845">
        <v>9.1999999999999993</v>
      </c>
      <c r="BJ1845">
        <v>18.3</v>
      </c>
      <c r="BK1845">
        <v>0.34</v>
      </c>
      <c r="BL1845">
        <v>7.3</v>
      </c>
      <c r="BM1845">
        <v>0.9</v>
      </c>
      <c r="BN1845">
        <v>7.5</v>
      </c>
      <c r="BO1845">
        <v>2.9</v>
      </c>
      <c r="BP1845">
        <f t="shared" si="56"/>
        <v>2.1514916958871617</v>
      </c>
      <c r="BQ1845">
        <f t="shared" si="57"/>
        <v>10.33736807968538</v>
      </c>
    </row>
    <row r="1846" spans="1:69" hidden="1" x14ac:dyDescent="0.2">
      <c r="A1846" t="s">
        <v>4455</v>
      </c>
      <c r="B1846" t="s">
        <v>68</v>
      </c>
      <c r="C1846" t="s">
        <v>3294</v>
      </c>
      <c r="D1846" t="s">
        <v>70</v>
      </c>
      <c r="E1846" t="s">
        <v>1074</v>
      </c>
      <c r="F1846">
        <v>6</v>
      </c>
      <c r="G1846">
        <v>42.06</v>
      </c>
      <c r="H1846">
        <v>1</v>
      </c>
      <c r="I1846">
        <v>2</v>
      </c>
      <c r="J1846">
        <v>1</v>
      </c>
      <c r="K1846" t="s">
        <v>110</v>
      </c>
      <c r="L1846" t="s">
        <v>111</v>
      </c>
      <c r="M1846" s="4">
        <v>550000000</v>
      </c>
      <c r="N1846">
        <v>0</v>
      </c>
      <c r="O1846">
        <v>4.6832242009999998</v>
      </c>
      <c r="P1846">
        <v>-74.055984499999994</v>
      </c>
      <c r="Q1846" t="s">
        <v>4456</v>
      </c>
      <c r="R1846">
        <v>13076557.300000001</v>
      </c>
      <c r="S1846">
        <v>0</v>
      </c>
      <c r="T1846" t="s">
        <v>104</v>
      </c>
      <c r="U1846" t="s">
        <v>105</v>
      </c>
      <c r="V1846" t="s">
        <v>77</v>
      </c>
      <c r="W1846" t="s">
        <v>104</v>
      </c>
      <c r="X1846" t="s">
        <v>106</v>
      </c>
      <c r="Y1846">
        <v>4.14302979186738</v>
      </c>
      <c r="Z1846">
        <v>4143.0297918673796</v>
      </c>
      <c r="AA1846">
        <v>4.71035</v>
      </c>
      <c r="AB1846">
        <v>-74.030416666666696</v>
      </c>
      <c r="AC1846">
        <v>2570</v>
      </c>
      <c r="AD1846">
        <v>10</v>
      </c>
      <c r="AE1846" t="s">
        <v>80</v>
      </c>
      <c r="AF1846" t="s">
        <v>107</v>
      </c>
      <c r="AG1846" t="s">
        <v>82</v>
      </c>
      <c r="AH1846" t="s">
        <v>83</v>
      </c>
      <c r="AI1846" t="s">
        <v>130</v>
      </c>
      <c r="AJ1846">
        <v>0.207668106354437</v>
      </c>
      <c r="AK1846">
        <v>2.09329747401237</v>
      </c>
      <c r="AL1846">
        <v>0.45002325994134401</v>
      </c>
      <c r="AM1846">
        <v>0.103851541631804</v>
      </c>
      <c r="AN1846">
        <v>3.0520333267352102</v>
      </c>
      <c r="AO1846">
        <v>0.25056051684137098</v>
      </c>
      <c r="AP1846">
        <v>0.25056051684137098</v>
      </c>
      <c r="AQ1846">
        <v>1</v>
      </c>
      <c r="AR1846">
        <v>3</v>
      </c>
      <c r="AS1846">
        <v>0</v>
      </c>
      <c r="AT1846">
        <v>0</v>
      </c>
      <c r="AU1846">
        <v>5</v>
      </c>
      <c r="AV1846">
        <v>249</v>
      </c>
      <c r="AW1846">
        <v>0</v>
      </c>
      <c r="AX1846">
        <v>0</v>
      </c>
      <c r="AY1846">
        <v>15.5</v>
      </c>
      <c r="AZ1846">
        <v>2.4</v>
      </c>
      <c r="BA1846">
        <v>10.9</v>
      </c>
      <c r="BB1846">
        <v>564</v>
      </c>
      <c r="BC1846">
        <v>68</v>
      </c>
      <c r="BD1846">
        <v>1.5</v>
      </c>
      <c r="BE1846">
        <v>135</v>
      </c>
      <c r="BF1846">
        <v>0</v>
      </c>
      <c r="BG1846">
        <v>162</v>
      </c>
      <c r="BH1846">
        <v>9.1</v>
      </c>
      <c r="BI1846">
        <v>9.1999999999999993</v>
      </c>
      <c r="BJ1846">
        <v>18.3</v>
      </c>
      <c r="BK1846">
        <v>0.34</v>
      </c>
      <c r="BL1846">
        <v>7.3</v>
      </c>
      <c r="BM1846">
        <v>0.9</v>
      </c>
      <c r="BN1846">
        <v>7.5</v>
      </c>
      <c r="BO1846">
        <v>2.9</v>
      </c>
      <c r="BP1846">
        <f t="shared" si="56"/>
        <v>1.9549972028254108</v>
      </c>
      <c r="BQ1846">
        <f t="shared" si="57"/>
        <v>9.8683244213901062</v>
      </c>
    </row>
    <row r="1847" spans="1:69" hidden="1" x14ac:dyDescent="0.2">
      <c r="A1847" t="s">
        <v>3671</v>
      </c>
      <c r="B1847" t="s">
        <v>68</v>
      </c>
      <c r="C1847" t="s">
        <v>3294</v>
      </c>
      <c r="D1847" t="s">
        <v>70</v>
      </c>
      <c r="E1847" t="s">
        <v>190</v>
      </c>
      <c r="F1847">
        <v>6</v>
      </c>
      <c r="G1847">
        <v>42</v>
      </c>
      <c r="H1847">
        <v>1</v>
      </c>
      <c r="I1847">
        <v>1</v>
      </c>
      <c r="J1847">
        <v>1</v>
      </c>
      <c r="K1847" t="s">
        <v>110</v>
      </c>
      <c r="L1847" t="s">
        <v>111</v>
      </c>
      <c r="M1847" s="4">
        <v>450000000</v>
      </c>
      <c r="N1847">
        <v>0</v>
      </c>
      <c r="O1847">
        <v>4.6881351469999997</v>
      </c>
      <c r="P1847">
        <v>-74.045867920000006</v>
      </c>
      <c r="Q1847" t="s">
        <v>3672</v>
      </c>
      <c r="R1847">
        <v>10714285.710000001</v>
      </c>
      <c r="S1847">
        <v>0</v>
      </c>
      <c r="T1847" t="s">
        <v>104</v>
      </c>
      <c r="U1847" t="s">
        <v>105</v>
      </c>
      <c r="V1847" t="s">
        <v>77</v>
      </c>
      <c r="W1847" t="s">
        <v>104</v>
      </c>
      <c r="X1847" t="s">
        <v>106</v>
      </c>
      <c r="Y1847">
        <v>3.00900217319793</v>
      </c>
      <c r="Z1847">
        <v>3009.00217319793</v>
      </c>
      <c r="AA1847">
        <v>4.71035</v>
      </c>
      <c r="AB1847">
        <v>-74.030416666666696</v>
      </c>
      <c r="AC1847">
        <v>2570</v>
      </c>
      <c r="AD1847">
        <v>10</v>
      </c>
      <c r="AE1847" t="s">
        <v>80</v>
      </c>
      <c r="AF1847" t="s">
        <v>107</v>
      </c>
      <c r="AG1847" t="s">
        <v>82</v>
      </c>
      <c r="AH1847" t="s">
        <v>83</v>
      </c>
      <c r="AI1847" t="s">
        <v>108</v>
      </c>
      <c r="AJ1847">
        <v>1.2629098950637501</v>
      </c>
      <c r="AK1847">
        <v>1.5008798543477899</v>
      </c>
      <c r="AL1847">
        <v>0.54413164717651596</v>
      </c>
      <c r="AM1847">
        <v>0.13352596145795101</v>
      </c>
      <c r="AN1847">
        <v>4.2934705240286402</v>
      </c>
      <c r="AO1847">
        <v>0.22863893258300799</v>
      </c>
      <c r="AP1847">
        <v>0.22863893258300799</v>
      </c>
      <c r="AQ1847">
        <v>0</v>
      </c>
      <c r="AR1847">
        <v>0</v>
      </c>
      <c r="AS1847">
        <v>0</v>
      </c>
      <c r="AT1847">
        <v>0</v>
      </c>
      <c r="AU1847">
        <v>6</v>
      </c>
      <c r="AV1847">
        <v>124</v>
      </c>
      <c r="AW1847">
        <v>0</v>
      </c>
      <c r="AX1847">
        <v>0</v>
      </c>
      <c r="AY1847">
        <v>15.5</v>
      </c>
      <c r="AZ1847">
        <v>2.4</v>
      </c>
      <c r="BA1847">
        <v>10.9</v>
      </c>
      <c r="BB1847">
        <v>564</v>
      </c>
      <c r="BC1847">
        <v>68</v>
      </c>
      <c r="BD1847">
        <v>1.5</v>
      </c>
      <c r="BE1847">
        <v>135</v>
      </c>
      <c r="BF1847">
        <v>0</v>
      </c>
      <c r="BG1847">
        <v>162</v>
      </c>
      <c r="BH1847">
        <v>9.1</v>
      </c>
      <c r="BI1847">
        <v>9.1999999999999993</v>
      </c>
      <c r="BJ1847">
        <v>18.3</v>
      </c>
      <c r="BK1847">
        <v>0.34</v>
      </c>
      <c r="BL1847">
        <v>7.3</v>
      </c>
      <c r="BM1847">
        <v>0.9</v>
      </c>
      <c r="BN1847">
        <v>7.5</v>
      </c>
      <c r="BO1847">
        <v>2.9</v>
      </c>
      <c r="BP1847">
        <f t="shared" si="56"/>
        <v>2.06787834962017</v>
      </c>
      <c r="BQ1847">
        <f t="shared" si="57"/>
        <v>10.140595630094412</v>
      </c>
    </row>
    <row r="1848" spans="1:69" hidden="1" x14ac:dyDescent="0.2">
      <c r="A1848" t="s">
        <v>3324</v>
      </c>
      <c r="B1848" t="s">
        <v>68</v>
      </c>
      <c r="C1848" t="s">
        <v>3294</v>
      </c>
      <c r="D1848" t="s">
        <v>70</v>
      </c>
      <c r="E1848" t="s">
        <v>210</v>
      </c>
      <c r="F1848">
        <v>6</v>
      </c>
      <c r="G1848">
        <v>42</v>
      </c>
      <c r="H1848">
        <v>1</v>
      </c>
      <c r="I1848">
        <v>1</v>
      </c>
      <c r="J1848">
        <v>1</v>
      </c>
      <c r="K1848" t="s">
        <v>110</v>
      </c>
      <c r="L1848" t="s">
        <v>111</v>
      </c>
      <c r="M1848" s="4">
        <v>571662000</v>
      </c>
      <c r="N1848">
        <v>0</v>
      </c>
      <c r="O1848">
        <v>4.6987218860000004</v>
      </c>
      <c r="P1848">
        <v>-74.054084779999997</v>
      </c>
      <c r="Q1848" t="s">
        <v>3325</v>
      </c>
      <c r="R1848">
        <v>13611000</v>
      </c>
      <c r="S1848">
        <v>0</v>
      </c>
      <c r="T1848" t="s">
        <v>104</v>
      </c>
      <c r="U1848" t="s">
        <v>105</v>
      </c>
      <c r="V1848" t="s">
        <v>77</v>
      </c>
      <c r="W1848" t="s">
        <v>104</v>
      </c>
      <c r="X1848" t="s">
        <v>106</v>
      </c>
      <c r="Y1848">
        <v>2.9275637194228201</v>
      </c>
      <c r="Z1848">
        <v>2927.5637194228202</v>
      </c>
      <c r="AA1848">
        <v>4.71035</v>
      </c>
      <c r="AB1848">
        <v>-74.030416666666696</v>
      </c>
      <c r="AC1848">
        <v>2570</v>
      </c>
      <c r="AD1848">
        <v>10</v>
      </c>
      <c r="AE1848" t="s">
        <v>80</v>
      </c>
      <c r="AF1848" t="s">
        <v>107</v>
      </c>
      <c r="AG1848" t="s">
        <v>82</v>
      </c>
      <c r="AH1848" t="s">
        <v>83</v>
      </c>
      <c r="AI1848" t="s">
        <v>108</v>
      </c>
      <c r="AJ1848">
        <v>0.15080670755242101</v>
      </c>
      <c r="AK1848">
        <v>2.9754647081033401</v>
      </c>
      <c r="AL1848">
        <v>0.76177903403651803</v>
      </c>
      <c r="AM1848">
        <v>5.4018980538912999E-2</v>
      </c>
      <c r="AN1848">
        <v>4.1308741617387499</v>
      </c>
      <c r="AO1848">
        <v>0.42368293190997203</v>
      </c>
      <c r="AP1848">
        <v>0.42368293190997203</v>
      </c>
      <c r="AQ1848">
        <v>1</v>
      </c>
      <c r="AR1848">
        <v>3</v>
      </c>
      <c r="AS1848">
        <v>0</v>
      </c>
      <c r="AT1848">
        <v>0</v>
      </c>
      <c r="AU1848">
        <v>1</v>
      </c>
      <c r="AV1848">
        <v>170</v>
      </c>
      <c r="AW1848">
        <v>0</v>
      </c>
      <c r="AX1848">
        <v>0</v>
      </c>
      <c r="AY1848">
        <v>15.5</v>
      </c>
      <c r="AZ1848">
        <v>2.4</v>
      </c>
      <c r="BA1848">
        <v>10.9</v>
      </c>
      <c r="BB1848">
        <v>564</v>
      </c>
      <c r="BC1848">
        <v>68</v>
      </c>
      <c r="BD1848">
        <v>1.5</v>
      </c>
      <c r="BE1848">
        <v>135</v>
      </c>
      <c r="BF1848">
        <v>0</v>
      </c>
      <c r="BG1848">
        <v>162</v>
      </c>
      <c r="BH1848">
        <v>9.1</v>
      </c>
      <c r="BI1848">
        <v>9.1999999999999993</v>
      </c>
      <c r="BJ1848">
        <v>18.3</v>
      </c>
      <c r="BK1848">
        <v>0.34</v>
      </c>
      <c r="BL1848">
        <v>7.3</v>
      </c>
      <c r="BM1848">
        <v>0.9</v>
      </c>
      <c r="BN1848">
        <v>7.5</v>
      </c>
      <c r="BO1848">
        <v>2.9</v>
      </c>
      <c r="BP1848">
        <f t="shared" si="56"/>
        <v>2.07623121271561</v>
      </c>
      <c r="BQ1848">
        <f t="shared" si="57"/>
        <v>10.160435038350753</v>
      </c>
    </row>
    <row r="1849" spans="1:69" hidden="1" x14ac:dyDescent="0.2">
      <c r="A1849" t="s">
        <v>3880</v>
      </c>
      <c r="B1849" t="s">
        <v>68</v>
      </c>
      <c r="C1849" t="s">
        <v>3294</v>
      </c>
      <c r="D1849" t="s">
        <v>70</v>
      </c>
      <c r="E1849" t="s">
        <v>73</v>
      </c>
      <c r="F1849">
        <v>6</v>
      </c>
      <c r="G1849">
        <v>42</v>
      </c>
      <c r="H1849">
        <v>1</v>
      </c>
      <c r="I1849">
        <v>1</v>
      </c>
      <c r="J1849">
        <v>1</v>
      </c>
      <c r="K1849" t="s">
        <v>110</v>
      </c>
      <c r="L1849" t="s">
        <v>111</v>
      </c>
      <c r="M1849" s="4">
        <v>450000000</v>
      </c>
      <c r="N1849">
        <v>0</v>
      </c>
      <c r="O1849">
        <v>4.6881575580000003</v>
      </c>
      <c r="P1849">
        <v>-74.042274480000003</v>
      </c>
      <c r="Q1849" t="s">
        <v>3881</v>
      </c>
      <c r="R1849">
        <v>10714285.710000001</v>
      </c>
      <c r="S1849">
        <v>0</v>
      </c>
      <c r="T1849" t="s">
        <v>104</v>
      </c>
      <c r="U1849" t="s">
        <v>105</v>
      </c>
      <c r="V1849" t="s">
        <v>77</v>
      </c>
      <c r="W1849" t="s">
        <v>104</v>
      </c>
      <c r="X1849" t="s">
        <v>106</v>
      </c>
      <c r="Y1849">
        <v>2.7989016142843099</v>
      </c>
      <c r="Z1849">
        <v>2798.9016142843102</v>
      </c>
      <c r="AA1849">
        <v>4.71035</v>
      </c>
      <c r="AB1849">
        <v>-74.030416666666696</v>
      </c>
      <c r="AC1849">
        <v>2570</v>
      </c>
      <c r="AD1849">
        <v>10</v>
      </c>
      <c r="AE1849" t="s">
        <v>80</v>
      </c>
      <c r="AF1849" t="s">
        <v>107</v>
      </c>
      <c r="AG1849" t="s">
        <v>82</v>
      </c>
      <c r="AH1849" t="s">
        <v>83</v>
      </c>
      <c r="AI1849" t="s">
        <v>108</v>
      </c>
      <c r="AJ1849">
        <v>1.6316859834625901</v>
      </c>
      <c r="AK1849">
        <v>1.2449066293544599</v>
      </c>
      <c r="AL1849">
        <v>0.718835381622284</v>
      </c>
      <c r="AM1849">
        <v>0.17052139578383901</v>
      </c>
      <c r="AN1849">
        <v>4.6669989177531299</v>
      </c>
      <c r="AO1849">
        <v>3.9032608991960899E-2</v>
      </c>
      <c r="AP1849">
        <v>3.9032608991960899E-2</v>
      </c>
      <c r="AQ1849">
        <v>0</v>
      </c>
      <c r="AR1849">
        <v>0</v>
      </c>
      <c r="AS1849">
        <v>0</v>
      </c>
      <c r="AT1849">
        <v>0</v>
      </c>
      <c r="AU1849">
        <v>5</v>
      </c>
      <c r="AV1849">
        <v>92</v>
      </c>
      <c r="AW1849">
        <v>0</v>
      </c>
      <c r="AX1849">
        <v>0</v>
      </c>
      <c r="AY1849">
        <v>15.5</v>
      </c>
      <c r="AZ1849">
        <v>2.4</v>
      </c>
      <c r="BA1849">
        <v>10.9</v>
      </c>
      <c r="BB1849">
        <v>564</v>
      </c>
      <c r="BC1849">
        <v>68</v>
      </c>
      <c r="BD1849">
        <v>1.5</v>
      </c>
      <c r="BE1849">
        <v>135</v>
      </c>
      <c r="BF1849">
        <v>0</v>
      </c>
      <c r="BG1849">
        <v>162</v>
      </c>
      <c r="BH1849">
        <v>9.1</v>
      </c>
      <c r="BI1849">
        <v>9.1999999999999993</v>
      </c>
      <c r="BJ1849">
        <v>18.3</v>
      </c>
      <c r="BK1849">
        <v>0.34</v>
      </c>
      <c r="BL1849">
        <v>7.3</v>
      </c>
      <c r="BM1849">
        <v>0.9</v>
      </c>
      <c r="BN1849">
        <v>7.5</v>
      </c>
      <c r="BO1849">
        <v>2.9</v>
      </c>
      <c r="BP1849">
        <f t="shared" si="56"/>
        <v>2.0894964573414092</v>
      </c>
      <c r="BQ1849">
        <f t="shared" si="57"/>
        <v>10.191857839535318</v>
      </c>
    </row>
    <row r="1850" spans="1:69" hidden="1" x14ac:dyDescent="0.2">
      <c r="A1850" t="s">
        <v>1439</v>
      </c>
      <c r="B1850" t="s">
        <v>68</v>
      </c>
      <c r="C1850" t="s">
        <v>69</v>
      </c>
      <c r="D1850" t="s">
        <v>70</v>
      </c>
      <c r="E1850" t="s">
        <v>337</v>
      </c>
      <c r="F1850">
        <v>5</v>
      </c>
      <c r="G1850">
        <v>42</v>
      </c>
      <c r="H1850">
        <v>1</v>
      </c>
      <c r="I1850">
        <v>1</v>
      </c>
      <c r="J1850">
        <v>1</v>
      </c>
      <c r="K1850" t="s">
        <v>110</v>
      </c>
      <c r="L1850" t="s">
        <v>162</v>
      </c>
      <c r="M1850" s="4">
        <v>365000000</v>
      </c>
      <c r="N1850">
        <v>0</v>
      </c>
      <c r="O1850">
        <v>4.6993747959999999</v>
      </c>
      <c r="P1850">
        <v>-74.049339090000004</v>
      </c>
      <c r="Q1850" t="s">
        <v>1440</v>
      </c>
      <c r="R1850">
        <v>8690476.1899999995</v>
      </c>
      <c r="S1850">
        <v>0</v>
      </c>
      <c r="T1850" t="s">
        <v>104</v>
      </c>
      <c r="U1850" t="s">
        <v>105</v>
      </c>
      <c r="V1850" t="s">
        <v>77</v>
      </c>
      <c r="W1850" t="s">
        <v>104</v>
      </c>
      <c r="X1850" t="s">
        <v>106</v>
      </c>
      <c r="Y1850">
        <v>2.4289705451198702</v>
      </c>
      <c r="Z1850">
        <v>2428.9705451198702</v>
      </c>
      <c r="AA1850">
        <v>4.71035</v>
      </c>
      <c r="AB1850">
        <v>-74.030416666666696</v>
      </c>
      <c r="AC1850">
        <v>2570</v>
      </c>
      <c r="AD1850">
        <v>10</v>
      </c>
      <c r="AE1850" t="s">
        <v>80</v>
      </c>
      <c r="AF1850" t="s">
        <v>107</v>
      </c>
      <c r="AG1850" t="s">
        <v>82</v>
      </c>
      <c r="AH1850" t="s">
        <v>83</v>
      </c>
      <c r="AI1850" t="s">
        <v>108</v>
      </c>
      <c r="AJ1850">
        <v>0.67612226932442199</v>
      </c>
      <c r="AK1850">
        <v>2.60218660156078</v>
      </c>
      <c r="AL1850">
        <v>0.67445779786447202</v>
      </c>
      <c r="AM1850">
        <v>4.3990252409268897E-2</v>
      </c>
      <c r="AN1850">
        <v>4.5809136378099602</v>
      </c>
      <c r="AO1850">
        <v>0.26602189534877502</v>
      </c>
      <c r="AP1850">
        <v>0.26602189534877502</v>
      </c>
      <c r="AQ1850">
        <v>0</v>
      </c>
      <c r="AR1850">
        <v>2</v>
      </c>
      <c r="AS1850">
        <v>0</v>
      </c>
      <c r="AT1850">
        <v>0</v>
      </c>
      <c r="AU1850">
        <v>1</v>
      </c>
      <c r="AV1850">
        <v>191</v>
      </c>
      <c r="AW1850">
        <v>0</v>
      </c>
      <c r="AX1850">
        <v>0</v>
      </c>
      <c r="AY1850">
        <v>15.5</v>
      </c>
      <c r="AZ1850">
        <v>2.4</v>
      </c>
      <c r="BA1850">
        <v>10.9</v>
      </c>
      <c r="BB1850">
        <v>564</v>
      </c>
      <c r="BC1850">
        <v>68</v>
      </c>
      <c r="BD1850">
        <v>1.5</v>
      </c>
      <c r="BE1850">
        <v>135</v>
      </c>
      <c r="BF1850">
        <v>0</v>
      </c>
      <c r="BG1850">
        <v>162</v>
      </c>
      <c r="BH1850">
        <v>9.1</v>
      </c>
      <c r="BI1850">
        <v>9.1999999999999993</v>
      </c>
      <c r="BJ1850">
        <v>18.3</v>
      </c>
      <c r="BK1850">
        <v>0.34</v>
      </c>
      <c r="BL1850">
        <v>7.3</v>
      </c>
      <c r="BM1850">
        <v>0.9</v>
      </c>
      <c r="BN1850">
        <v>7.5</v>
      </c>
      <c r="BO1850">
        <v>2.9</v>
      </c>
      <c r="BP1850">
        <f t="shared" si="56"/>
        <v>2.1281109225310253</v>
      </c>
      <c r="BQ1850">
        <f t="shared" si="57"/>
        <v>10.282747554473632</v>
      </c>
    </row>
    <row r="1851" spans="1:69" hidden="1" x14ac:dyDescent="0.2">
      <c r="A1851" t="s">
        <v>3813</v>
      </c>
      <c r="B1851" t="s">
        <v>68</v>
      </c>
      <c r="C1851" t="s">
        <v>3294</v>
      </c>
      <c r="D1851" t="s">
        <v>70</v>
      </c>
      <c r="E1851" t="s">
        <v>337</v>
      </c>
      <c r="F1851">
        <v>5</v>
      </c>
      <c r="G1851">
        <v>41.86</v>
      </c>
      <c r="H1851">
        <v>1</v>
      </c>
      <c r="I1851">
        <v>2</v>
      </c>
      <c r="J1851">
        <v>1</v>
      </c>
      <c r="K1851" t="s">
        <v>110</v>
      </c>
      <c r="L1851" t="s">
        <v>111</v>
      </c>
      <c r="M1851" s="4">
        <v>460000000</v>
      </c>
      <c r="N1851">
        <v>0</v>
      </c>
      <c r="O1851">
        <v>4.6973922809999999</v>
      </c>
      <c r="P1851">
        <v>-74.04407501</v>
      </c>
      <c r="Q1851" t="s">
        <v>3814</v>
      </c>
      <c r="R1851">
        <v>10989010.99</v>
      </c>
      <c r="S1851">
        <v>0</v>
      </c>
      <c r="T1851" t="s">
        <v>104</v>
      </c>
      <c r="U1851" t="s">
        <v>105</v>
      </c>
      <c r="V1851" t="s">
        <v>77</v>
      </c>
      <c r="W1851" t="s">
        <v>104</v>
      </c>
      <c r="X1851" t="s">
        <v>106</v>
      </c>
      <c r="Y1851">
        <v>2.0920906627026001</v>
      </c>
      <c r="Z1851">
        <v>2092.0906627026002</v>
      </c>
      <c r="AA1851">
        <v>4.71035</v>
      </c>
      <c r="AB1851">
        <v>-74.030416666666696</v>
      </c>
      <c r="AC1851">
        <v>2570</v>
      </c>
      <c r="AD1851">
        <v>10</v>
      </c>
      <c r="AE1851" t="s">
        <v>80</v>
      </c>
      <c r="AF1851" t="s">
        <v>107</v>
      </c>
      <c r="AG1851" t="s">
        <v>82</v>
      </c>
      <c r="AH1851" t="s">
        <v>83</v>
      </c>
      <c r="AI1851" t="s">
        <v>108</v>
      </c>
      <c r="AJ1851">
        <v>1.24822141563666</v>
      </c>
      <c r="AK1851">
        <v>2.0186698804376602</v>
      </c>
      <c r="AL1851">
        <v>0.78440073649448505</v>
      </c>
      <c r="AM1851">
        <v>2.56706049349665E-2</v>
      </c>
      <c r="AN1851">
        <v>4.9340904914378703</v>
      </c>
      <c r="AO1851">
        <v>0.21049100401787499</v>
      </c>
      <c r="AP1851">
        <v>0.21049100401787499</v>
      </c>
      <c r="AQ1851">
        <v>0</v>
      </c>
      <c r="AR1851">
        <v>0</v>
      </c>
      <c r="AS1851">
        <v>0</v>
      </c>
      <c r="AT1851">
        <v>0</v>
      </c>
      <c r="AU1851">
        <v>1</v>
      </c>
      <c r="AV1851">
        <v>127</v>
      </c>
      <c r="AW1851">
        <v>0</v>
      </c>
      <c r="AX1851">
        <v>0</v>
      </c>
      <c r="AY1851">
        <v>15.5</v>
      </c>
      <c r="AZ1851">
        <v>2.4</v>
      </c>
      <c r="BA1851">
        <v>10.9</v>
      </c>
      <c r="BB1851">
        <v>564</v>
      </c>
      <c r="BC1851">
        <v>68</v>
      </c>
      <c r="BD1851">
        <v>1.5</v>
      </c>
      <c r="BE1851">
        <v>135</v>
      </c>
      <c r="BF1851">
        <v>0</v>
      </c>
      <c r="BG1851">
        <v>162</v>
      </c>
      <c r="BH1851">
        <v>9.1</v>
      </c>
      <c r="BI1851">
        <v>9.1999999999999993</v>
      </c>
      <c r="BJ1851">
        <v>18.3</v>
      </c>
      <c r="BK1851">
        <v>0.34</v>
      </c>
      <c r="BL1851">
        <v>7.3</v>
      </c>
      <c r="BM1851">
        <v>0.9</v>
      </c>
      <c r="BN1851">
        <v>7.5</v>
      </c>
      <c r="BO1851">
        <v>2.9</v>
      </c>
      <c r="BP1851">
        <f t="shared" si="56"/>
        <v>2.1638958893610538</v>
      </c>
      <c r="BQ1851">
        <f t="shared" si="57"/>
        <v>10.36622176804336</v>
      </c>
    </row>
    <row r="1852" spans="1:69" hidden="1" x14ac:dyDescent="0.2">
      <c r="A1852" t="s">
        <v>3827</v>
      </c>
      <c r="B1852" t="s">
        <v>68</v>
      </c>
      <c r="C1852" t="s">
        <v>3294</v>
      </c>
      <c r="D1852" t="s">
        <v>70</v>
      </c>
      <c r="E1852" t="s">
        <v>102</v>
      </c>
      <c r="F1852">
        <v>6</v>
      </c>
      <c r="G1852">
        <v>41.8</v>
      </c>
      <c r="H1852">
        <v>1</v>
      </c>
      <c r="I1852">
        <v>1</v>
      </c>
      <c r="J1852">
        <v>0</v>
      </c>
      <c r="K1852" t="s">
        <v>110</v>
      </c>
      <c r="L1852" t="s">
        <v>111</v>
      </c>
      <c r="M1852" s="4">
        <v>632500000</v>
      </c>
      <c r="N1852">
        <v>0</v>
      </c>
      <c r="O1852">
        <v>4.69909</v>
      </c>
      <c r="P1852">
        <v>-74.039060000000006</v>
      </c>
      <c r="Q1852" t="s">
        <v>3828</v>
      </c>
      <c r="R1852">
        <v>15131578.949999999</v>
      </c>
      <c r="S1852">
        <v>0</v>
      </c>
      <c r="T1852" t="s">
        <v>104</v>
      </c>
      <c r="U1852" t="s">
        <v>105</v>
      </c>
      <c r="V1852" t="s">
        <v>77</v>
      </c>
      <c r="W1852" t="s">
        <v>104</v>
      </c>
      <c r="X1852" t="s">
        <v>106</v>
      </c>
      <c r="Y1852">
        <v>1.57819565078958</v>
      </c>
      <c r="Z1852">
        <v>1578.19565078958</v>
      </c>
      <c r="AA1852">
        <v>4.71035</v>
      </c>
      <c r="AB1852">
        <v>-74.030416666666696</v>
      </c>
      <c r="AC1852">
        <v>2570</v>
      </c>
      <c r="AD1852">
        <v>10</v>
      </c>
      <c r="AE1852" t="s">
        <v>80</v>
      </c>
      <c r="AF1852" t="s">
        <v>107</v>
      </c>
      <c r="AG1852" t="s">
        <v>82</v>
      </c>
      <c r="AH1852" t="s">
        <v>83</v>
      </c>
      <c r="AI1852" t="s">
        <v>108</v>
      </c>
      <c r="AJ1852">
        <v>1.78982576504385</v>
      </c>
      <c r="AK1852">
        <v>1.4621833645262501</v>
      </c>
      <c r="AL1852">
        <v>0.77220613174530395</v>
      </c>
      <c r="AM1852">
        <v>4.4137311263098701E-2</v>
      </c>
      <c r="AN1852">
        <v>4.8859936950020604</v>
      </c>
      <c r="AO1852">
        <v>4.94423745807007E-2</v>
      </c>
      <c r="AP1852">
        <v>4.94423745807007E-2</v>
      </c>
      <c r="AQ1852">
        <v>0</v>
      </c>
      <c r="AR1852">
        <v>0</v>
      </c>
      <c r="AS1852">
        <v>0</v>
      </c>
      <c r="AT1852">
        <v>0</v>
      </c>
      <c r="AU1852">
        <v>1</v>
      </c>
      <c r="AV1852">
        <v>156</v>
      </c>
      <c r="AW1852">
        <v>0</v>
      </c>
      <c r="AX1852">
        <v>0</v>
      </c>
      <c r="AY1852">
        <v>15.5</v>
      </c>
      <c r="AZ1852">
        <v>2.4</v>
      </c>
      <c r="BA1852">
        <v>10.9</v>
      </c>
      <c r="BB1852">
        <v>564</v>
      </c>
      <c r="BC1852">
        <v>68</v>
      </c>
      <c r="BD1852">
        <v>1.5</v>
      </c>
      <c r="BE1852">
        <v>135</v>
      </c>
      <c r="BF1852">
        <v>0</v>
      </c>
      <c r="BG1852">
        <v>162</v>
      </c>
      <c r="BH1852">
        <v>9.1</v>
      </c>
      <c r="BI1852">
        <v>9.1999999999999993</v>
      </c>
      <c r="BJ1852">
        <v>18.3</v>
      </c>
      <c r="BK1852">
        <v>0.34</v>
      </c>
      <c r="BL1852">
        <v>7.3</v>
      </c>
      <c r="BM1852">
        <v>0.9</v>
      </c>
      <c r="BN1852">
        <v>7.5</v>
      </c>
      <c r="BO1852">
        <v>2.9</v>
      </c>
      <c r="BP1852">
        <f t="shared" si="56"/>
        <v>2.2196467301084972</v>
      </c>
      <c r="BQ1852">
        <f t="shared" si="57"/>
        <v>10.494865038773355</v>
      </c>
    </row>
    <row r="1853" spans="1:69" hidden="1" x14ac:dyDescent="0.2">
      <c r="A1853" t="s">
        <v>4470</v>
      </c>
      <c r="B1853" t="s">
        <v>68</v>
      </c>
      <c r="C1853" t="s">
        <v>3294</v>
      </c>
      <c r="D1853" t="s">
        <v>70</v>
      </c>
      <c r="E1853" t="s">
        <v>210</v>
      </c>
      <c r="F1853">
        <v>6</v>
      </c>
      <c r="G1853">
        <v>41.24</v>
      </c>
      <c r="H1853">
        <v>1</v>
      </c>
      <c r="I1853">
        <v>1</v>
      </c>
      <c r="J1853">
        <v>1</v>
      </c>
      <c r="K1853" t="s">
        <v>110</v>
      </c>
      <c r="L1853" t="s">
        <v>162</v>
      </c>
      <c r="M1853" s="4">
        <v>500000000</v>
      </c>
      <c r="N1853">
        <v>0</v>
      </c>
      <c r="O1853">
        <v>4.6955246930000003</v>
      </c>
      <c r="P1853">
        <v>-74.044761660000006</v>
      </c>
      <c r="Q1853" t="s">
        <v>4471</v>
      </c>
      <c r="R1853">
        <v>12124151.310000001</v>
      </c>
      <c r="S1853">
        <v>0</v>
      </c>
      <c r="T1853" t="s">
        <v>104</v>
      </c>
      <c r="U1853" t="s">
        <v>105</v>
      </c>
      <c r="V1853" t="s">
        <v>77</v>
      </c>
      <c r="W1853" t="s">
        <v>104</v>
      </c>
      <c r="X1853" t="s">
        <v>106</v>
      </c>
      <c r="Y1853">
        <v>2.2927093109087799</v>
      </c>
      <c r="Z1853">
        <v>2292.70931090878</v>
      </c>
      <c r="AA1853">
        <v>4.71035</v>
      </c>
      <c r="AB1853">
        <v>-74.030416666666696</v>
      </c>
      <c r="AC1853">
        <v>2570</v>
      </c>
      <c r="AD1853">
        <v>10</v>
      </c>
      <c r="AE1853" t="s">
        <v>80</v>
      </c>
      <c r="AF1853" t="s">
        <v>107</v>
      </c>
      <c r="AG1853" t="s">
        <v>82</v>
      </c>
      <c r="AH1853" t="s">
        <v>83</v>
      </c>
      <c r="AI1853" t="s">
        <v>108</v>
      </c>
      <c r="AJ1853">
        <v>1.2042850326286201</v>
      </c>
      <c r="AK1853">
        <v>2.0517949196093199</v>
      </c>
      <c r="AL1853">
        <v>0.61578202191133702</v>
      </c>
      <c r="AM1853">
        <v>4.73646957462691E-2</v>
      </c>
      <c r="AN1853">
        <v>4.76235535886254</v>
      </c>
      <c r="AO1853">
        <v>0.29725762486823898</v>
      </c>
      <c r="AP1853">
        <v>0.29725762486823898</v>
      </c>
      <c r="AQ1853">
        <v>0</v>
      </c>
      <c r="AR1853">
        <v>0</v>
      </c>
      <c r="AS1853">
        <v>0</v>
      </c>
      <c r="AT1853">
        <v>0</v>
      </c>
      <c r="AU1853">
        <v>1</v>
      </c>
      <c r="AV1853">
        <v>123</v>
      </c>
      <c r="AW1853">
        <v>0</v>
      </c>
      <c r="AX1853">
        <v>0</v>
      </c>
      <c r="AY1853">
        <v>15.5</v>
      </c>
      <c r="AZ1853">
        <v>2.4</v>
      </c>
      <c r="BA1853">
        <v>10.9</v>
      </c>
      <c r="BB1853">
        <v>564</v>
      </c>
      <c r="BC1853">
        <v>68</v>
      </c>
      <c r="BD1853">
        <v>1.5</v>
      </c>
      <c r="BE1853">
        <v>135</v>
      </c>
      <c r="BF1853">
        <v>0</v>
      </c>
      <c r="BG1853">
        <v>162</v>
      </c>
      <c r="BH1853">
        <v>9.1</v>
      </c>
      <c r="BI1853">
        <v>9.1999999999999993</v>
      </c>
      <c r="BJ1853">
        <v>18.3</v>
      </c>
      <c r="BK1853">
        <v>0.34</v>
      </c>
      <c r="BL1853">
        <v>7.3</v>
      </c>
      <c r="BM1853">
        <v>0.9</v>
      </c>
      <c r="BN1853">
        <v>7.5</v>
      </c>
      <c r="BO1853">
        <v>2.9</v>
      </c>
      <c r="BP1853">
        <f t="shared" si="56"/>
        <v>2.1425134013239591</v>
      </c>
      <c r="BQ1853">
        <f t="shared" si="57"/>
        <v>10.316429956671966</v>
      </c>
    </row>
    <row r="1854" spans="1:69" hidden="1" x14ac:dyDescent="0.2">
      <c r="A1854" t="s">
        <v>4204</v>
      </c>
      <c r="B1854" t="s">
        <v>68</v>
      </c>
      <c r="C1854" t="s">
        <v>3294</v>
      </c>
      <c r="D1854" t="s">
        <v>70</v>
      </c>
      <c r="E1854" t="s">
        <v>179</v>
      </c>
      <c r="F1854">
        <v>6</v>
      </c>
      <c r="G1854">
        <v>41</v>
      </c>
      <c r="H1854">
        <v>1</v>
      </c>
      <c r="I1854">
        <v>1</v>
      </c>
      <c r="J1854">
        <v>1</v>
      </c>
      <c r="K1854" t="s">
        <v>110</v>
      </c>
      <c r="L1854" t="s">
        <v>111</v>
      </c>
      <c r="M1854" s="4">
        <v>620000000</v>
      </c>
      <c r="N1854">
        <v>0</v>
      </c>
      <c r="O1854">
        <v>4.68245764</v>
      </c>
      <c r="P1854">
        <v>-74.047095589999998</v>
      </c>
      <c r="Q1854" t="s">
        <v>4205</v>
      </c>
      <c r="R1854">
        <v>15121951.220000001</v>
      </c>
      <c r="S1854">
        <v>0</v>
      </c>
      <c r="T1854" t="s">
        <v>104</v>
      </c>
      <c r="U1854" t="s">
        <v>105</v>
      </c>
      <c r="V1854" t="s">
        <v>77</v>
      </c>
      <c r="W1854" t="s">
        <v>104</v>
      </c>
      <c r="X1854" t="s">
        <v>106</v>
      </c>
      <c r="Y1854">
        <v>3.6145515000831399</v>
      </c>
      <c r="Z1854">
        <v>3614.5515000831401</v>
      </c>
      <c r="AA1854">
        <v>4.71035</v>
      </c>
      <c r="AB1854">
        <v>-74.030416666666696</v>
      </c>
      <c r="AC1854">
        <v>2570</v>
      </c>
      <c r="AD1854">
        <v>10</v>
      </c>
      <c r="AE1854" t="s">
        <v>80</v>
      </c>
      <c r="AF1854" t="s">
        <v>107</v>
      </c>
      <c r="AG1854" t="s">
        <v>82</v>
      </c>
      <c r="AH1854" t="s">
        <v>83</v>
      </c>
      <c r="AI1854" t="s">
        <v>130</v>
      </c>
      <c r="AJ1854">
        <v>1.1886713890543199</v>
      </c>
      <c r="AK1854">
        <v>1.24948222933118</v>
      </c>
      <c r="AL1854">
        <v>0.59320240994566897</v>
      </c>
      <c r="AM1854">
        <v>2.59207595680153E-2</v>
      </c>
      <c r="AN1854">
        <v>3.97156724822936</v>
      </c>
      <c r="AO1854">
        <v>0.83912612430811995</v>
      </c>
      <c r="AP1854">
        <v>0.83912612430811995</v>
      </c>
      <c r="AQ1854">
        <v>0</v>
      </c>
      <c r="AR1854">
        <v>0</v>
      </c>
      <c r="AS1854">
        <v>0</v>
      </c>
      <c r="AT1854">
        <v>0</v>
      </c>
      <c r="AU1854">
        <v>5</v>
      </c>
      <c r="AV1854">
        <v>124</v>
      </c>
      <c r="AW1854">
        <v>0</v>
      </c>
      <c r="AX1854">
        <v>0</v>
      </c>
      <c r="AY1854">
        <v>15.5</v>
      </c>
      <c r="AZ1854">
        <v>2.4</v>
      </c>
      <c r="BA1854">
        <v>10.9</v>
      </c>
      <c r="BB1854">
        <v>564</v>
      </c>
      <c r="BC1854">
        <v>68</v>
      </c>
      <c r="BD1854">
        <v>1.5</v>
      </c>
      <c r="BE1854">
        <v>135</v>
      </c>
      <c r="BF1854">
        <v>0</v>
      </c>
      <c r="BG1854">
        <v>162</v>
      </c>
      <c r="BH1854">
        <v>9.1</v>
      </c>
      <c r="BI1854">
        <v>9.1999999999999993</v>
      </c>
      <c r="BJ1854">
        <v>18.3</v>
      </c>
      <c r="BK1854">
        <v>0.34</v>
      </c>
      <c r="BL1854">
        <v>7.3</v>
      </c>
      <c r="BM1854">
        <v>0.9</v>
      </c>
      <c r="BN1854">
        <v>7.5</v>
      </c>
      <c r="BO1854">
        <v>2.9</v>
      </c>
      <c r="BP1854">
        <f t="shared" si="56"/>
        <v>2.0068140967595665</v>
      </c>
      <c r="BQ1854">
        <f t="shared" si="57"/>
        <v>9.9942862353679427</v>
      </c>
    </row>
    <row r="1855" spans="1:69" hidden="1" x14ac:dyDescent="0.2">
      <c r="A1855" t="s">
        <v>4160</v>
      </c>
      <c r="B1855" t="s">
        <v>68</v>
      </c>
      <c r="C1855" t="s">
        <v>3294</v>
      </c>
      <c r="D1855" t="s">
        <v>70</v>
      </c>
      <c r="E1855" t="s">
        <v>1010</v>
      </c>
      <c r="F1855">
        <v>5</v>
      </c>
      <c r="G1855">
        <v>40.53</v>
      </c>
      <c r="H1855">
        <v>1</v>
      </c>
      <c r="I1855">
        <v>1</v>
      </c>
      <c r="J1855">
        <v>1</v>
      </c>
      <c r="K1855" t="s">
        <v>110</v>
      </c>
      <c r="L1855" t="s">
        <v>111</v>
      </c>
      <c r="M1855" s="4">
        <v>420000000</v>
      </c>
      <c r="N1855">
        <v>0</v>
      </c>
      <c r="O1855">
        <v>4.6923237999999996</v>
      </c>
      <c r="P1855">
        <v>-74.061659000000006</v>
      </c>
      <c r="Q1855" t="s">
        <v>4161</v>
      </c>
      <c r="R1855">
        <v>10362694.300000001</v>
      </c>
      <c r="S1855">
        <v>0</v>
      </c>
      <c r="T1855" t="s">
        <v>104</v>
      </c>
      <c r="U1855" t="s">
        <v>105</v>
      </c>
      <c r="V1855" t="s">
        <v>77</v>
      </c>
      <c r="W1855" t="s">
        <v>104</v>
      </c>
      <c r="X1855" t="s">
        <v>106</v>
      </c>
      <c r="Y1855">
        <v>4.0051357477754896</v>
      </c>
      <c r="Z1855">
        <v>4005.13574777549</v>
      </c>
      <c r="AA1855">
        <v>4.71035</v>
      </c>
      <c r="AB1855">
        <v>-74.030416666666696</v>
      </c>
      <c r="AC1855">
        <v>2570</v>
      </c>
      <c r="AD1855">
        <v>10</v>
      </c>
      <c r="AE1855" t="s">
        <v>80</v>
      </c>
      <c r="AF1855" t="s">
        <v>107</v>
      </c>
      <c r="AG1855" t="s">
        <v>82</v>
      </c>
      <c r="AH1855" t="s">
        <v>83</v>
      </c>
      <c r="AI1855" t="s">
        <v>121</v>
      </c>
      <c r="AJ1855">
        <v>0.61158522735144405</v>
      </c>
      <c r="AK1855">
        <v>3.1813570063343701</v>
      </c>
      <c r="AL1855">
        <v>1.0709385951857799</v>
      </c>
      <c r="AM1855">
        <v>0.168645829833864</v>
      </c>
      <c r="AN1855">
        <v>3.0336955366026102</v>
      </c>
      <c r="AO1855">
        <v>6.2888250397866594E-2</v>
      </c>
      <c r="AP1855">
        <v>6.2888250397866594E-2</v>
      </c>
      <c r="AQ1855">
        <v>0</v>
      </c>
      <c r="AR1855">
        <v>5</v>
      </c>
      <c r="AS1855">
        <v>0</v>
      </c>
      <c r="AT1855">
        <v>0</v>
      </c>
      <c r="AU1855">
        <v>0</v>
      </c>
      <c r="AV1855">
        <v>128</v>
      </c>
      <c r="AW1855">
        <v>0</v>
      </c>
      <c r="AX1855">
        <v>0</v>
      </c>
      <c r="AY1855">
        <v>15.5</v>
      </c>
      <c r="AZ1855">
        <v>2.4</v>
      </c>
      <c r="BA1855">
        <v>10.9</v>
      </c>
      <c r="BB1855">
        <v>564</v>
      </c>
      <c r="BC1855">
        <v>68</v>
      </c>
      <c r="BD1855">
        <v>1.5</v>
      </c>
      <c r="BE1855">
        <v>135</v>
      </c>
      <c r="BF1855">
        <v>0</v>
      </c>
      <c r="BG1855">
        <v>162</v>
      </c>
      <c r="BH1855">
        <v>9.1</v>
      </c>
      <c r="BI1855">
        <v>9.1999999999999993</v>
      </c>
      <c r="BJ1855">
        <v>18.3</v>
      </c>
      <c r="BK1855">
        <v>0.34</v>
      </c>
      <c r="BL1855">
        <v>7.3</v>
      </c>
      <c r="BM1855">
        <v>0.9</v>
      </c>
      <c r="BN1855">
        <v>7.5</v>
      </c>
      <c r="BO1855">
        <v>2.9</v>
      </c>
      <c r="BP1855">
        <f t="shared" si="56"/>
        <v>1.9683871814849856</v>
      </c>
      <c r="BQ1855">
        <f t="shared" si="57"/>
        <v>9.9010373184057539</v>
      </c>
    </row>
    <row r="1856" spans="1:69" hidden="1" x14ac:dyDescent="0.2">
      <c r="A1856" t="s">
        <v>3857</v>
      </c>
      <c r="B1856" t="s">
        <v>68</v>
      </c>
      <c r="C1856" t="s">
        <v>3294</v>
      </c>
      <c r="D1856" t="s">
        <v>70</v>
      </c>
      <c r="E1856" t="s">
        <v>102</v>
      </c>
      <c r="F1856">
        <v>6</v>
      </c>
      <c r="G1856">
        <v>40.369999999999997</v>
      </c>
      <c r="H1856">
        <v>1</v>
      </c>
      <c r="I1856">
        <v>1</v>
      </c>
      <c r="J1856">
        <v>1</v>
      </c>
      <c r="K1856" t="s">
        <v>110</v>
      </c>
      <c r="L1856" t="s">
        <v>124</v>
      </c>
      <c r="M1856" s="4">
        <v>365000000</v>
      </c>
      <c r="N1856">
        <v>0</v>
      </c>
      <c r="O1856">
        <v>4.6979946999999997</v>
      </c>
      <c r="P1856">
        <v>-74.045431500000007</v>
      </c>
      <c r="Q1856" t="s">
        <v>3858</v>
      </c>
      <c r="R1856">
        <v>9041367.352</v>
      </c>
      <c r="S1856">
        <v>0</v>
      </c>
      <c r="T1856" t="s">
        <v>104</v>
      </c>
      <c r="U1856" t="s">
        <v>105</v>
      </c>
      <c r="V1856" t="s">
        <v>77</v>
      </c>
      <c r="W1856" t="s">
        <v>104</v>
      </c>
      <c r="X1856" t="s">
        <v>106</v>
      </c>
      <c r="Y1856">
        <v>2.1602359730827798</v>
      </c>
      <c r="Z1856">
        <v>2160.2359730827802</v>
      </c>
      <c r="AA1856">
        <v>4.71035</v>
      </c>
      <c r="AB1856">
        <v>-74.030416666666696</v>
      </c>
      <c r="AC1856">
        <v>2570</v>
      </c>
      <c r="AD1856">
        <v>10</v>
      </c>
      <c r="AE1856" t="s">
        <v>80</v>
      </c>
      <c r="AF1856" t="s">
        <v>107</v>
      </c>
      <c r="AG1856" t="s">
        <v>82</v>
      </c>
      <c r="AH1856" t="s">
        <v>83</v>
      </c>
      <c r="AI1856" t="s">
        <v>108</v>
      </c>
      <c r="AJ1856">
        <v>1.09527107721643</v>
      </c>
      <c r="AK1856">
        <v>2.16887431210972</v>
      </c>
      <c r="AL1856">
        <v>0.71415447037088997</v>
      </c>
      <c r="AM1856">
        <v>0.128004113229752</v>
      </c>
      <c r="AN1856">
        <v>4.8434403795219003</v>
      </c>
      <c r="AO1856">
        <v>0.30371522441558402</v>
      </c>
      <c r="AP1856">
        <v>0.30371522441558402</v>
      </c>
      <c r="AQ1856">
        <v>0</v>
      </c>
      <c r="AR1856">
        <v>0</v>
      </c>
      <c r="AS1856">
        <v>0</v>
      </c>
      <c r="AT1856">
        <v>0</v>
      </c>
      <c r="AU1856">
        <v>1</v>
      </c>
      <c r="AV1856">
        <v>124</v>
      </c>
      <c r="AW1856">
        <v>0</v>
      </c>
      <c r="AX1856">
        <v>0</v>
      </c>
      <c r="AY1856">
        <v>15.5</v>
      </c>
      <c r="AZ1856">
        <v>2.4</v>
      </c>
      <c r="BA1856">
        <v>10.9</v>
      </c>
      <c r="BB1856">
        <v>564</v>
      </c>
      <c r="BC1856">
        <v>68</v>
      </c>
      <c r="BD1856">
        <v>1.5</v>
      </c>
      <c r="BE1856">
        <v>135</v>
      </c>
      <c r="BF1856">
        <v>0</v>
      </c>
      <c r="BG1856">
        <v>162</v>
      </c>
      <c r="BH1856">
        <v>9.1</v>
      </c>
      <c r="BI1856">
        <v>9.1999999999999993</v>
      </c>
      <c r="BJ1856">
        <v>18.3</v>
      </c>
      <c r="BK1856">
        <v>0.34</v>
      </c>
      <c r="BL1856">
        <v>7.3</v>
      </c>
      <c r="BM1856">
        <v>0.9</v>
      </c>
      <c r="BN1856">
        <v>7.5</v>
      </c>
      <c r="BO1856">
        <v>2.9</v>
      </c>
      <c r="BP1856">
        <f t="shared" si="56"/>
        <v>2.156608948227424</v>
      </c>
      <c r="BQ1856">
        <f t="shared" si="57"/>
        <v>10.349281798776394</v>
      </c>
    </row>
    <row r="1857" spans="1:69" hidden="1" x14ac:dyDescent="0.2">
      <c r="A1857" t="s">
        <v>3580</v>
      </c>
      <c r="B1857" t="s">
        <v>68</v>
      </c>
      <c r="C1857" t="s">
        <v>3294</v>
      </c>
      <c r="D1857" t="s">
        <v>70</v>
      </c>
      <c r="E1857" t="s">
        <v>262</v>
      </c>
      <c r="F1857">
        <v>6</v>
      </c>
      <c r="G1857">
        <v>40.270000000000003</v>
      </c>
      <c r="H1857">
        <v>1</v>
      </c>
      <c r="I1857">
        <v>2</v>
      </c>
      <c r="J1857">
        <v>1</v>
      </c>
      <c r="K1857" t="s">
        <v>110</v>
      </c>
      <c r="L1857" t="s">
        <v>111</v>
      </c>
      <c r="M1857" s="4">
        <v>440000000</v>
      </c>
      <c r="N1857">
        <v>0</v>
      </c>
      <c r="O1857">
        <v>4.7031438999999997</v>
      </c>
      <c r="P1857">
        <v>-74.028959799999996</v>
      </c>
      <c r="Q1857" t="s">
        <v>3581</v>
      </c>
      <c r="R1857">
        <v>10926247.83</v>
      </c>
      <c r="S1857">
        <v>0</v>
      </c>
      <c r="T1857" t="s">
        <v>104</v>
      </c>
      <c r="U1857" t="s">
        <v>105</v>
      </c>
      <c r="V1857" t="s">
        <v>77</v>
      </c>
      <c r="W1857" t="s">
        <v>104</v>
      </c>
      <c r="X1857" t="s">
        <v>106</v>
      </c>
      <c r="Y1857">
        <v>0.81830083759469996</v>
      </c>
      <c r="Z1857">
        <v>818.30083759470006</v>
      </c>
      <c r="AA1857">
        <v>4.71035</v>
      </c>
      <c r="AB1857">
        <v>-74.030416666666696</v>
      </c>
      <c r="AC1857">
        <v>2570</v>
      </c>
      <c r="AD1857">
        <v>10</v>
      </c>
      <c r="AE1857" t="s">
        <v>80</v>
      </c>
      <c r="AF1857" t="s">
        <v>107</v>
      </c>
      <c r="AG1857" t="s">
        <v>82</v>
      </c>
      <c r="AH1857" t="s">
        <v>83</v>
      </c>
      <c r="AI1857" t="s">
        <v>108</v>
      </c>
      <c r="AJ1857">
        <v>2.8062103370808398</v>
      </c>
      <c r="AK1857">
        <v>0.38828816600995297</v>
      </c>
      <c r="AL1857">
        <v>0.43703797665932897</v>
      </c>
      <c r="AM1857">
        <v>6.80258750844954E-3</v>
      </c>
      <c r="AN1857">
        <v>4.2500879953209401</v>
      </c>
      <c r="AO1857">
        <v>8.9810285519048794E-2</v>
      </c>
      <c r="AP1857">
        <v>8.9810285519048794E-2</v>
      </c>
      <c r="AQ1857">
        <v>0</v>
      </c>
      <c r="AR1857">
        <v>0</v>
      </c>
      <c r="AS1857">
        <v>7</v>
      </c>
      <c r="AT1857">
        <v>33</v>
      </c>
      <c r="AU1857">
        <v>3</v>
      </c>
      <c r="AV1857">
        <v>114</v>
      </c>
      <c r="AW1857">
        <v>0</v>
      </c>
      <c r="AX1857">
        <v>0</v>
      </c>
      <c r="AY1857">
        <v>15.5</v>
      </c>
      <c r="AZ1857">
        <v>2.4</v>
      </c>
      <c r="BA1857">
        <v>10.9</v>
      </c>
      <c r="BB1857">
        <v>564</v>
      </c>
      <c r="BC1857">
        <v>68</v>
      </c>
      <c r="BD1857">
        <v>1.5</v>
      </c>
      <c r="BE1857">
        <v>135</v>
      </c>
      <c r="BF1857">
        <v>0</v>
      </c>
      <c r="BG1857">
        <v>162</v>
      </c>
      <c r="BH1857">
        <v>9.1</v>
      </c>
      <c r="BI1857">
        <v>9.1999999999999993</v>
      </c>
      <c r="BJ1857">
        <v>18.3</v>
      </c>
      <c r="BK1857">
        <v>0.34</v>
      </c>
      <c r="BL1857">
        <v>7.3</v>
      </c>
      <c r="BM1857">
        <v>0.9</v>
      </c>
      <c r="BN1857">
        <v>7.5</v>
      </c>
      <c r="BO1857">
        <v>2.9</v>
      </c>
      <c r="BP1857">
        <f t="shared" si="56"/>
        <v>2.3047284165699553</v>
      </c>
      <c r="BQ1857">
        <f t="shared" si="57"/>
        <v>10.688020866614634</v>
      </c>
    </row>
    <row r="1858" spans="1:69" hidden="1" x14ac:dyDescent="0.2">
      <c r="A1858" t="s">
        <v>1776</v>
      </c>
      <c r="B1858" t="s">
        <v>68</v>
      </c>
      <c r="C1858" t="s">
        <v>69</v>
      </c>
      <c r="D1858" t="s">
        <v>70</v>
      </c>
      <c r="E1858" t="s">
        <v>1777</v>
      </c>
      <c r="F1858">
        <v>3</v>
      </c>
      <c r="G1858">
        <v>40</v>
      </c>
      <c r="H1858">
        <v>2</v>
      </c>
      <c r="I1858">
        <v>2</v>
      </c>
      <c r="J1858">
        <v>0</v>
      </c>
      <c r="K1858" t="s">
        <v>110</v>
      </c>
      <c r="L1858" t="s">
        <v>111</v>
      </c>
      <c r="M1858" s="4">
        <v>260000000</v>
      </c>
      <c r="N1858">
        <v>0</v>
      </c>
      <c r="O1858">
        <v>4.7360845999999999</v>
      </c>
      <c r="P1858">
        <v>-74.024415500000003</v>
      </c>
      <c r="Q1858" t="s">
        <v>1778</v>
      </c>
      <c r="R1858">
        <v>6500000</v>
      </c>
      <c r="S1858">
        <v>0</v>
      </c>
      <c r="T1858" t="s">
        <v>104</v>
      </c>
      <c r="U1858" t="s">
        <v>105</v>
      </c>
      <c r="V1858" t="s">
        <v>77</v>
      </c>
      <c r="W1858" t="s">
        <v>104</v>
      </c>
      <c r="X1858" t="s">
        <v>106</v>
      </c>
      <c r="Y1858">
        <v>2.9411095137519299</v>
      </c>
      <c r="Z1858">
        <v>2941.1095137519301</v>
      </c>
      <c r="AA1858">
        <v>4.71035</v>
      </c>
      <c r="AB1858">
        <v>-74.030416666666696</v>
      </c>
      <c r="AC1858">
        <v>2570</v>
      </c>
      <c r="AD1858">
        <v>10</v>
      </c>
      <c r="AE1858" t="s">
        <v>80</v>
      </c>
      <c r="AF1858" t="s">
        <v>107</v>
      </c>
      <c r="AG1858" t="s">
        <v>82</v>
      </c>
      <c r="AH1858" t="s">
        <v>83</v>
      </c>
      <c r="AI1858" t="s">
        <v>108</v>
      </c>
      <c r="AJ1858">
        <v>2.6930939182842599</v>
      </c>
      <c r="AK1858">
        <v>0.41489681308668602</v>
      </c>
      <c r="AL1858">
        <v>1.27459071705653</v>
      </c>
      <c r="AM1858">
        <v>0.32557578240484197</v>
      </c>
      <c r="AN1858">
        <v>0.65504196104869306</v>
      </c>
      <c r="AO1858">
        <v>0.276638900072673</v>
      </c>
      <c r="AP1858">
        <v>0.276638900072673</v>
      </c>
      <c r="AQ1858">
        <v>0</v>
      </c>
      <c r="AR1858">
        <v>0</v>
      </c>
      <c r="AS1858">
        <v>2</v>
      </c>
      <c r="AT1858">
        <v>27</v>
      </c>
      <c r="AU1858">
        <v>0</v>
      </c>
      <c r="AV1858">
        <v>10</v>
      </c>
      <c r="AW1858">
        <v>1</v>
      </c>
      <c r="AX1858">
        <v>0</v>
      </c>
      <c r="AY1858">
        <v>15.5</v>
      </c>
      <c r="AZ1858">
        <v>2.4</v>
      </c>
      <c r="BA1858">
        <v>10.9</v>
      </c>
      <c r="BB1858">
        <v>564</v>
      </c>
      <c r="BC1858">
        <v>68</v>
      </c>
      <c r="BD1858">
        <v>1.5</v>
      </c>
      <c r="BE1858">
        <v>135</v>
      </c>
      <c r="BF1858">
        <v>0</v>
      </c>
      <c r="BG1858">
        <v>162</v>
      </c>
      <c r="BH1858">
        <v>9.1</v>
      </c>
      <c r="BI1858">
        <v>9.1999999999999993</v>
      </c>
      <c r="BJ1858">
        <v>18.3</v>
      </c>
      <c r="BK1858">
        <v>0.34</v>
      </c>
      <c r="BL1858">
        <v>7.3</v>
      </c>
      <c r="BM1858">
        <v>0.9</v>
      </c>
      <c r="BN1858">
        <v>7.5</v>
      </c>
      <c r="BO1858">
        <v>2.9</v>
      </c>
      <c r="BP1858">
        <f t="shared" ref="BP1858:BP1921" si="58">+AZ1858*EXP(-0.0495*Y1858)</f>
        <v>2.0748395313917554</v>
      </c>
      <c r="BQ1858">
        <f t="shared" ref="BQ1858:BQ1921" si="59">+BA1858*EXP(-0.024*Y1858)</f>
        <v>10.157132427297951</v>
      </c>
    </row>
    <row r="1859" spans="1:69" hidden="1" x14ac:dyDescent="0.2">
      <c r="A1859" t="s">
        <v>3800</v>
      </c>
      <c r="B1859" t="s">
        <v>68</v>
      </c>
      <c r="C1859" t="s">
        <v>3294</v>
      </c>
      <c r="D1859" t="s">
        <v>70</v>
      </c>
      <c r="E1859" t="s">
        <v>3801</v>
      </c>
      <c r="F1859">
        <v>6</v>
      </c>
      <c r="G1859">
        <v>40</v>
      </c>
      <c r="H1859">
        <v>1</v>
      </c>
      <c r="I1859">
        <v>1</v>
      </c>
      <c r="J1859">
        <v>1</v>
      </c>
      <c r="K1859" t="s">
        <v>110</v>
      </c>
      <c r="L1859" t="s">
        <v>133</v>
      </c>
      <c r="M1859" s="4">
        <v>415000000</v>
      </c>
      <c r="N1859">
        <v>0</v>
      </c>
      <c r="O1859">
        <v>4.6955885889999998</v>
      </c>
      <c r="P1859">
        <v>-74.045646669999996</v>
      </c>
      <c r="Q1859" t="s">
        <v>3802</v>
      </c>
      <c r="R1859">
        <v>10375000</v>
      </c>
      <c r="S1859">
        <v>0</v>
      </c>
      <c r="T1859" t="s">
        <v>104</v>
      </c>
      <c r="U1859" t="s">
        <v>105</v>
      </c>
      <c r="V1859" t="s">
        <v>77</v>
      </c>
      <c r="W1859" t="s">
        <v>104</v>
      </c>
      <c r="X1859" t="s">
        <v>106</v>
      </c>
      <c r="Y1859">
        <v>2.3569598191385999</v>
      </c>
      <c r="Z1859">
        <v>2356.9598191385999</v>
      </c>
      <c r="AA1859">
        <v>4.71035</v>
      </c>
      <c r="AB1859">
        <v>-74.030416666666696</v>
      </c>
      <c r="AC1859">
        <v>2570</v>
      </c>
      <c r="AD1859">
        <v>10</v>
      </c>
      <c r="AE1859" t="s">
        <v>80</v>
      </c>
      <c r="AF1859" t="s">
        <v>107</v>
      </c>
      <c r="AG1859" t="s">
        <v>82</v>
      </c>
      <c r="AH1859" t="s">
        <v>83</v>
      </c>
      <c r="AI1859" t="s">
        <v>108</v>
      </c>
      <c r="AJ1859">
        <v>1.10743363366633</v>
      </c>
      <c r="AK1859">
        <v>2.1405880725459401</v>
      </c>
      <c r="AL1859">
        <v>0.530669735110881</v>
      </c>
      <c r="AM1859">
        <v>6.4497663698951102E-2</v>
      </c>
      <c r="AN1859">
        <v>4.6814792180276701</v>
      </c>
      <c r="AO1859">
        <v>0.264025757840611</v>
      </c>
      <c r="AP1859">
        <v>0.264025757840611</v>
      </c>
      <c r="AQ1859">
        <v>0</v>
      </c>
      <c r="AR1859">
        <v>0</v>
      </c>
      <c r="AS1859">
        <v>0</v>
      </c>
      <c r="AT1859">
        <v>0</v>
      </c>
      <c r="AU1859">
        <v>1</v>
      </c>
      <c r="AV1859">
        <v>117</v>
      </c>
      <c r="AW1859">
        <v>0</v>
      </c>
      <c r="AX1859">
        <v>0</v>
      </c>
      <c r="AY1859">
        <v>15.5</v>
      </c>
      <c r="AZ1859">
        <v>2.4</v>
      </c>
      <c r="BA1859">
        <v>10.9</v>
      </c>
      <c r="BB1859">
        <v>564</v>
      </c>
      <c r="BC1859">
        <v>68</v>
      </c>
      <c r="BD1859">
        <v>1.5</v>
      </c>
      <c r="BE1859">
        <v>135</v>
      </c>
      <c r="BF1859">
        <v>0</v>
      </c>
      <c r="BG1859">
        <v>162</v>
      </c>
      <c r="BH1859">
        <v>9.1</v>
      </c>
      <c r="BI1859">
        <v>9.1999999999999993</v>
      </c>
      <c r="BJ1859">
        <v>18.3</v>
      </c>
      <c r="BK1859">
        <v>0.34</v>
      </c>
      <c r="BL1859">
        <v>7.3</v>
      </c>
      <c r="BM1859">
        <v>0.9</v>
      </c>
      <c r="BN1859">
        <v>7.5</v>
      </c>
      <c r="BO1859">
        <v>2.9</v>
      </c>
      <c r="BP1859">
        <f t="shared" si="58"/>
        <v>2.1357101755898262</v>
      </c>
      <c r="BQ1859">
        <f t="shared" si="59"/>
        <v>10.30053415475394</v>
      </c>
    </row>
    <row r="1860" spans="1:69" hidden="1" x14ac:dyDescent="0.2">
      <c r="A1860" t="s">
        <v>4037</v>
      </c>
      <c r="B1860" t="s">
        <v>68</v>
      </c>
      <c r="C1860" t="s">
        <v>3294</v>
      </c>
      <c r="D1860" t="s">
        <v>70</v>
      </c>
      <c r="E1860" t="s">
        <v>1032</v>
      </c>
      <c r="F1860">
        <v>5</v>
      </c>
      <c r="G1860">
        <v>40</v>
      </c>
      <c r="H1860">
        <v>1</v>
      </c>
      <c r="I1860">
        <v>1</v>
      </c>
      <c r="J1860">
        <v>2</v>
      </c>
      <c r="K1860" t="s">
        <v>110</v>
      </c>
      <c r="L1860" t="s">
        <v>124</v>
      </c>
      <c r="M1860" s="4">
        <v>300000000</v>
      </c>
      <c r="N1860">
        <v>0</v>
      </c>
      <c r="O1860">
        <v>4.71882</v>
      </c>
      <c r="P1860">
        <v>-74.045249999999996</v>
      </c>
      <c r="Q1860" t="s">
        <v>4038</v>
      </c>
      <c r="R1860">
        <v>7500000</v>
      </c>
      <c r="S1860">
        <v>0</v>
      </c>
      <c r="T1860" t="s">
        <v>104</v>
      </c>
      <c r="U1860" t="s">
        <v>105</v>
      </c>
      <c r="V1860" t="s">
        <v>77</v>
      </c>
      <c r="W1860" t="s">
        <v>104</v>
      </c>
      <c r="X1860" t="s">
        <v>106</v>
      </c>
      <c r="Y1860">
        <v>1.89662497003443</v>
      </c>
      <c r="Z1860">
        <v>1896.6249700344299</v>
      </c>
      <c r="AA1860">
        <v>4.71035</v>
      </c>
      <c r="AB1860">
        <v>-74.030416666666696</v>
      </c>
      <c r="AC1860">
        <v>2570</v>
      </c>
      <c r="AD1860">
        <v>10</v>
      </c>
      <c r="AE1860" t="s">
        <v>80</v>
      </c>
      <c r="AF1860" t="s">
        <v>107</v>
      </c>
      <c r="AG1860" t="s">
        <v>82</v>
      </c>
      <c r="AH1860" t="s">
        <v>83</v>
      </c>
      <c r="AI1860" t="s">
        <v>108</v>
      </c>
      <c r="AJ1860">
        <v>0.73533304394653298</v>
      </c>
      <c r="AK1860">
        <v>2.3805533762803499</v>
      </c>
      <c r="AL1860">
        <v>1.64592869407186</v>
      </c>
      <c r="AM1860">
        <v>2.70059544796597E-2</v>
      </c>
      <c r="AN1860">
        <v>3.2431604027996199</v>
      </c>
      <c r="AO1860">
        <v>0.52719250655390104</v>
      </c>
      <c r="AP1860">
        <v>0.52719250655390104</v>
      </c>
      <c r="AQ1860">
        <v>0</v>
      </c>
      <c r="AR1860">
        <v>2</v>
      </c>
      <c r="AS1860">
        <v>0</v>
      </c>
      <c r="AT1860">
        <v>0</v>
      </c>
      <c r="AU1860">
        <v>0</v>
      </c>
      <c r="AV1860">
        <v>33</v>
      </c>
      <c r="AW1860">
        <v>0</v>
      </c>
      <c r="AX1860">
        <v>0</v>
      </c>
      <c r="AY1860">
        <v>15.5</v>
      </c>
      <c r="AZ1860">
        <v>2.4</v>
      </c>
      <c r="BA1860">
        <v>10.9</v>
      </c>
      <c r="BB1860">
        <v>564</v>
      </c>
      <c r="BC1860">
        <v>68</v>
      </c>
      <c r="BD1860">
        <v>1.5</v>
      </c>
      <c r="BE1860">
        <v>135</v>
      </c>
      <c r="BF1860">
        <v>0</v>
      </c>
      <c r="BG1860">
        <v>162</v>
      </c>
      <c r="BH1860">
        <v>9.1</v>
      </c>
      <c r="BI1860">
        <v>9.1999999999999993</v>
      </c>
      <c r="BJ1860">
        <v>18.3</v>
      </c>
      <c r="BK1860">
        <v>0.34</v>
      </c>
      <c r="BL1860">
        <v>7.3</v>
      </c>
      <c r="BM1860">
        <v>0.9</v>
      </c>
      <c r="BN1860">
        <v>7.5</v>
      </c>
      <c r="BO1860">
        <v>2.9</v>
      </c>
      <c r="BP1860">
        <f t="shared" si="58"/>
        <v>2.1849343915303927</v>
      </c>
      <c r="BQ1860">
        <f t="shared" si="59"/>
        <v>10.414965789294707</v>
      </c>
    </row>
    <row r="1861" spans="1:69" hidden="1" x14ac:dyDescent="0.2">
      <c r="A1861" t="s">
        <v>4665</v>
      </c>
      <c r="B1861" t="s">
        <v>68</v>
      </c>
      <c r="C1861" t="s">
        <v>3294</v>
      </c>
      <c r="D1861" t="s">
        <v>70</v>
      </c>
      <c r="E1861" t="s">
        <v>205</v>
      </c>
      <c r="F1861">
        <v>4</v>
      </c>
      <c r="G1861">
        <v>40</v>
      </c>
      <c r="H1861">
        <v>1</v>
      </c>
      <c r="I1861">
        <v>1</v>
      </c>
      <c r="J1861">
        <v>1</v>
      </c>
      <c r="K1861" t="s">
        <v>110</v>
      </c>
      <c r="L1861" t="s">
        <v>133</v>
      </c>
      <c r="M1861" s="4">
        <v>260000000</v>
      </c>
      <c r="N1861">
        <v>0</v>
      </c>
      <c r="O1861">
        <v>4.7188711169999999</v>
      </c>
      <c r="P1861">
        <v>-74.032745360000007</v>
      </c>
      <c r="Q1861" t="s">
        <v>4666</v>
      </c>
      <c r="R1861">
        <v>6500000</v>
      </c>
      <c r="S1861">
        <v>0</v>
      </c>
      <c r="T1861" t="s">
        <v>104</v>
      </c>
      <c r="U1861" t="s">
        <v>105</v>
      </c>
      <c r="V1861" t="s">
        <v>77</v>
      </c>
      <c r="W1861" t="s">
        <v>104</v>
      </c>
      <c r="X1861" t="s">
        <v>106</v>
      </c>
      <c r="Y1861">
        <v>0.9831194744017</v>
      </c>
      <c r="Z1861">
        <v>983.11947440170002</v>
      </c>
      <c r="AA1861">
        <v>4.71035</v>
      </c>
      <c r="AB1861">
        <v>-74.030416666666696</v>
      </c>
      <c r="AC1861">
        <v>2570</v>
      </c>
      <c r="AD1861">
        <v>10</v>
      </c>
      <c r="AE1861" t="s">
        <v>80</v>
      </c>
      <c r="AF1861" t="s">
        <v>107</v>
      </c>
      <c r="AG1861" t="s">
        <v>82</v>
      </c>
      <c r="AH1861" t="s">
        <v>83</v>
      </c>
      <c r="AI1861" t="s">
        <v>108</v>
      </c>
      <c r="AJ1861">
        <v>2.0902129855303802</v>
      </c>
      <c r="AK1861">
        <v>1.0217150050982</v>
      </c>
      <c r="AL1861">
        <v>0.89840361763256005</v>
      </c>
      <c r="AM1861">
        <v>0.13540175687441899</v>
      </c>
      <c r="AN1861">
        <v>2.5920835883660902</v>
      </c>
      <c r="AO1861">
        <v>0.10780693025948899</v>
      </c>
      <c r="AP1861">
        <v>0.10780693025948899</v>
      </c>
      <c r="AQ1861">
        <v>0</v>
      </c>
      <c r="AR1861">
        <v>0</v>
      </c>
      <c r="AS1861">
        <v>0</v>
      </c>
      <c r="AT1861">
        <v>0</v>
      </c>
      <c r="AU1861">
        <v>1</v>
      </c>
      <c r="AV1861">
        <v>76</v>
      </c>
      <c r="AW1861">
        <v>0</v>
      </c>
      <c r="AX1861">
        <v>0</v>
      </c>
      <c r="AY1861">
        <v>15.5</v>
      </c>
      <c r="AZ1861">
        <v>2.4</v>
      </c>
      <c r="BA1861">
        <v>10.9</v>
      </c>
      <c r="BB1861">
        <v>564</v>
      </c>
      <c r="BC1861">
        <v>68</v>
      </c>
      <c r="BD1861">
        <v>1.5</v>
      </c>
      <c r="BE1861">
        <v>135</v>
      </c>
      <c r="BF1861">
        <v>0</v>
      </c>
      <c r="BG1861">
        <v>162</v>
      </c>
      <c r="BH1861">
        <v>9.1</v>
      </c>
      <c r="BI1861">
        <v>9.1999999999999993</v>
      </c>
      <c r="BJ1861">
        <v>18.3</v>
      </c>
      <c r="BK1861">
        <v>0.34</v>
      </c>
      <c r="BL1861">
        <v>7.3</v>
      </c>
      <c r="BM1861">
        <v>0.9</v>
      </c>
      <c r="BN1861">
        <v>7.5</v>
      </c>
      <c r="BO1861">
        <v>2.9</v>
      </c>
      <c r="BP1861">
        <f t="shared" si="58"/>
        <v>2.286001732784992</v>
      </c>
      <c r="BQ1861">
        <f t="shared" si="59"/>
        <v>10.6458263342713</v>
      </c>
    </row>
    <row r="1862" spans="1:69" hidden="1" x14ac:dyDescent="0.2">
      <c r="A1862" t="s">
        <v>4380</v>
      </c>
      <c r="B1862" t="s">
        <v>68</v>
      </c>
      <c r="C1862" t="s">
        <v>3294</v>
      </c>
      <c r="D1862" t="s">
        <v>70</v>
      </c>
      <c r="E1862" t="s">
        <v>262</v>
      </c>
      <c r="F1862">
        <v>5</v>
      </c>
      <c r="G1862">
        <v>40</v>
      </c>
      <c r="H1862">
        <v>1</v>
      </c>
      <c r="I1862">
        <v>1</v>
      </c>
      <c r="J1862">
        <v>1</v>
      </c>
      <c r="K1862" t="s">
        <v>110</v>
      </c>
      <c r="L1862" t="s">
        <v>111</v>
      </c>
      <c r="M1862" s="4">
        <v>445000000</v>
      </c>
      <c r="N1862">
        <v>0</v>
      </c>
      <c r="O1862">
        <v>4.7028242020000004</v>
      </c>
      <c r="P1862">
        <v>-74.029591080000003</v>
      </c>
      <c r="Q1862" t="s">
        <v>4381</v>
      </c>
      <c r="R1862">
        <v>11125000</v>
      </c>
      <c r="S1862">
        <v>0</v>
      </c>
      <c r="T1862" t="s">
        <v>104</v>
      </c>
      <c r="U1862" t="s">
        <v>105</v>
      </c>
      <c r="V1862" t="s">
        <v>77</v>
      </c>
      <c r="W1862" t="s">
        <v>104</v>
      </c>
      <c r="X1862" t="s">
        <v>106</v>
      </c>
      <c r="Y1862">
        <v>0.842760156650602</v>
      </c>
      <c r="Z1862">
        <v>842.76015665060197</v>
      </c>
      <c r="AA1862">
        <v>4.71035</v>
      </c>
      <c r="AB1862">
        <v>-74.030416666666696</v>
      </c>
      <c r="AC1862">
        <v>2570</v>
      </c>
      <c r="AD1862">
        <v>10</v>
      </c>
      <c r="AE1862" t="s">
        <v>80</v>
      </c>
      <c r="AF1862" t="s">
        <v>107</v>
      </c>
      <c r="AG1862" t="s">
        <v>82</v>
      </c>
      <c r="AH1862" t="s">
        <v>83</v>
      </c>
      <c r="AI1862" t="s">
        <v>108</v>
      </c>
      <c r="AJ1862">
        <v>2.73870297576874</v>
      </c>
      <c r="AK1862">
        <v>0.45021417857053497</v>
      </c>
      <c r="AL1862">
        <v>0.358635813757476</v>
      </c>
      <c r="AM1862">
        <v>7.3889022905672605E-2</v>
      </c>
      <c r="AN1862">
        <v>4.2899626837287599</v>
      </c>
      <c r="AO1862">
        <v>0.166399505576456</v>
      </c>
      <c r="AP1862">
        <v>0.166399505576456</v>
      </c>
      <c r="AQ1862">
        <v>0</v>
      </c>
      <c r="AR1862">
        <v>0</v>
      </c>
      <c r="AS1862">
        <v>3</v>
      </c>
      <c r="AT1862">
        <v>31</v>
      </c>
      <c r="AU1862">
        <v>3</v>
      </c>
      <c r="AV1862">
        <v>117</v>
      </c>
      <c r="AW1862">
        <v>0</v>
      </c>
      <c r="AX1862">
        <v>0</v>
      </c>
      <c r="AY1862">
        <v>15.5</v>
      </c>
      <c r="AZ1862">
        <v>2.4</v>
      </c>
      <c r="BA1862">
        <v>10.9</v>
      </c>
      <c r="BB1862">
        <v>564</v>
      </c>
      <c r="BC1862">
        <v>68</v>
      </c>
      <c r="BD1862">
        <v>1.5</v>
      </c>
      <c r="BE1862">
        <v>135</v>
      </c>
      <c r="BF1862">
        <v>0</v>
      </c>
      <c r="BG1862">
        <v>162</v>
      </c>
      <c r="BH1862">
        <v>9.1</v>
      </c>
      <c r="BI1862">
        <v>9.1999999999999993</v>
      </c>
      <c r="BJ1862">
        <v>18.3</v>
      </c>
      <c r="BK1862">
        <v>0.34</v>
      </c>
      <c r="BL1862">
        <v>7.3</v>
      </c>
      <c r="BM1862">
        <v>0.9</v>
      </c>
      <c r="BN1862">
        <v>7.5</v>
      </c>
      <c r="BO1862">
        <v>2.9</v>
      </c>
      <c r="BP1862">
        <f t="shared" si="58"/>
        <v>2.3019396867787374</v>
      </c>
      <c r="BQ1862">
        <f t="shared" si="59"/>
        <v>10.68174858668424</v>
      </c>
    </row>
    <row r="1863" spans="1:69" hidden="1" x14ac:dyDescent="0.2">
      <c r="A1863" t="s">
        <v>4246</v>
      </c>
      <c r="B1863" t="s">
        <v>68</v>
      </c>
      <c r="C1863" t="s">
        <v>3294</v>
      </c>
      <c r="D1863" t="s">
        <v>70</v>
      </c>
      <c r="E1863" t="s">
        <v>560</v>
      </c>
      <c r="F1863">
        <v>5</v>
      </c>
      <c r="G1863">
        <v>40</v>
      </c>
      <c r="H1863">
        <v>1</v>
      </c>
      <c r="I1863">
        <v>1</v>
      </c>
      <c r="J1863">
        <v>1</v>
      </c>
      <c r="K1863" t="s">
        <v>110</v>
      </c>
      <c r="L1863" t="s">
        <v>133</v>
      </c>
      <c r="M1863" s="4">
        <v>340000000</v>
      </c>
      <c r="N1863">
        <v>0</v>
      </c>
      <c r="O1863">
        <v>4.7153177260000003</v>
      </c>
      <c r="P1863">
        <v>-74.034980770000004</v>
      </c>
      <c r="Q1863" t="s">
        <v>4247</v>
      </c>
      <c r="R1863">
        <v>8500000</v>
      </c>
      <c r="S1863">
        <v>0</v>
      </c>
      <c r="T1863" t="s">
        <v>104</v>
      </c>
      <c r="U1863" t="s">
        <v>105</v>
      </c>
      <c r="V1863" t="s">
        <v>77</v>
      </c>
      <c r="W1863" t="s">
        <v>104</v>
      </c>
      <c r="X1863" t="s">
        <v>106</v>
      </c>
      <c r="Y1863">
        <v>0.74980697046066003</v>
      </c>
      <c r="Z1863">
        <v>749.80697046065995</v>
      </c>
      <c r="AA1863">
        <v>4.71035</v>
      </c>
      <c r="AB1863">
        <v>-74.030416666666696</v>
      </c>
      <c r="AC1863">
        <v>2570</v>
      </c>
      <c r="AD1863">
        <v>10</v>
      </c>
      <c r="AE1863" t="s">
        <v>80</v>
      </c>
      <c r="AF1863" t="s">
        <v>107</v>
      </c>
      <c r="AG1863" t="s">
        <v>82</v>
      </c>
      <c r="AH1863" t="s">
        <v>83</v>
      </c>
      <c r="AI1863" t="s">
        <v>108</v>
      </c>
      <c r="AJ1863">
        <v>1.9376888424294401</v>
      </c>
      <c r="AK1863">
        <v>1.1799676415679199</v>
      </c>
      <c r="AL1863">
        <v>0.56157256425626001</v>
      </c>
      <c r="AM1863">
        <v>0.116130921576408</v>
      </c>
      <c r="AN1863">
        <v>3.0384692841950098</v>
      </c>
      <c r="AO1863">
        <v>0.24939151893898701</v>
      </c>
      <c r="AP1863">
        <v>0.24939151893898701</v>
      </c>
      <c r="AQ1863">
        <v>0</v>
      </c>
      <c r="AR1863">
        <v>0</v>
      </c>
      <c r="AS1863">
        <v>0</v>
      </c>
      <c r="AT1863">
        <v>0</v>
      </c>
      <c r="AU1863">
        <v>1</v>
      </c>
      <c r="AV1863">
        <v>74</v>
      </c>
      <c r="AW1863">
        <v>0</v>
      </c>
      <c r="AX1863">
        <v>0</v>
      </c>
      <c r="AY1863">
        <v>15.5</v>
      </c>
      <c r="AZ1863">
        <v>2.4</v>
      </c>
      <c r="BA1863">
        <v>10.9</v>
      </c>
      <c r="BB1863">
        <v>564</v>
      </c>
      <c r="BC1863">
        <v>68</v>
      </c>
      <c r="BD1863">
        <v>1.5</v>
      </c>
      <c r="BE1863">
        <v>135</v>
      </c>
      <c r="BF1863">
        <v>0</v>
      </c>
      <c r="BG1863">
        <v>162</v>
      </c>
      <c r="BH1863">
        <v>9.1</v>
      </c>
      <c r="BI1863">
        <v>9.1999999999999993</v>
      </c>
      <c r="BJ1863">
        <v>18.3</v>
      </c>
      <c r="BK1863">
        <v>0.34</v>
      </c>
      <c r="BL1863">
        <v>7.3</v>
      </c>
      <c r="BM1863">
        <v>0.9</v>
      </c>
      <c r="BN1863">
        <v>7.5</v>
      </c>
      <c r="BO1863">
        <v>2.9</v>
      </c>
      <c r="BP1863">
        <f t="shared" si="58"/>
        <v>2.3125557363423734</v>
      </c>
      <c r="BQ1863">
        <f t="shared" si="59"/>
        <v>10.705604848541931</v>
      </c>
    </row>
    <row r="1864" spans="1:69" hidden="1" x14ac:dyDescent="0.2">
      <c r="A1864" t="s">
        <v>3811</v>
      </c>
      <c r="B1864" t="s">
        <v>68</v>
      </c>
      <c r="C1864" t="s">
        <v>3294</v>
      </c>
      <c r="D1864" t="s">
        <v>70</v>
      </c>
      <c r="E1864" t="s">
        <v>429</v>
      </c>
      <c r="F1864">
        <v>4</v>
      </c>
      <c r="G1864">
        <v>38.5</v>
      </c>
      <c r="H1864">
        <v>1</v>
      </c>
      <c r="I1864">
        <v>1</v>
      </c>
      <c r="J1864">
        <v>1</v>
      </c>
      <c r="K1864" t="s">
        <v>110</v>
      </c>
      <c r="L1864" t="s">
        <v>111</v>
      </c>
      <c r="M1864" s="4">
        <v>350000000</v>
      </c>
      <c r="N1864">
        <v>0</v>
      </c>
      <c r="O1864">
        <v>4.7246298790000001</v>
      </c>
      <c r="P1864">
        <v>-74.042472840000002</v>
      </c>
      <c r="Q1864" t="s">
        <v>3812</v>
      </c>
      <c r="R1864">
        <v>9090909.091</v>
      </c>
      <c r="S1864">
        <v>0</v>
      </c>
      <c r="T1864" t="s">
        <v>104</v>
      </c>
      <c r="U1864" t="s">
        <v>105</v>
      </c>
      <c r="V1864" t="s">
        <v>77</v>
      </c>
      <c r="W1864" t="s">
        <v>104</v>
      </c>
      <c r="X1864" t="s">
        <v>106</v>
      </c>
      <c r="Y1864">
        <v>2.0774827453640001</v>
      </c>
      <c r="Z1864">
        <v>2077.482745364</v>
      </c>
      <c r="AA1864">
        <v>4.71035</v>
      </c>
      <c r="AB1864">
        <v>-74.030416666666696</v>
      </c>
      <c r="AC1864">
        <v>2570</v>
      </c>
      <c r="AD1864">
        <v>10</v>
      </c>
      <c r="AE1864" t="s">
        <v>80</v>
      </c>
      <c r="AF1864" t="s">
        <v>107</v>
      </c>
      <c r="AG1864" t="s">
        <v>82</v>
      </c>
      <c r="AH1864" t="s">
        <v>83</v>
      </c>
      <c r="AI1864" t="s">
        <v>108</v>
      </c>
      <c r="AJ1864">
        <v>0.92355567379093695</v>
      </c>
      <c r="AK1864">
        <v>2.1663448209893601</v>
      </c>
      <c r="AL1864">
        <v>0.95337936090199904</v>
      </c>
      <c r="AM1864">
        <v>0.12873456791106599</v>
      </c>
      <c r="AN1864">
        <v>2.5567438073946498</v>
      </c>
      <c r="AO1864">
        <v>9.3514600154791794E-2</v>
      </c>
      <c r="AP1864">
        <v>9.3514600154791794E-2</v>
      </c>
      <c r="AQ1864">
        <v>0</v>
      </c>
      <c r="AR1864">
        <v>1</v>
      </c>
      <c r="AS1864">
        <v>0</v>
      </c>
      <c r="AT1864">
        <v>0</v>
      </c>
      <c r="AU1864">
        <v>1</v>
      </c>
      <c r="AV1864">
        <v>46</v>
      </c>
      <c r="AW1864">
        <v>0</v>
      </c>
      <c r="AX1864">
        <v>0</v>
      </c>
      <c r="AY1864">
        <v>15.5</v>
      </c>
      <c r="AZ1864">
        <v>2.4</v>
      </c>
      <c r="BA1864">
        <v>10.9</v>
      </c>
      <c r="BB1864">
        <v>564</v>
      </c>
      <c r="BC1864">
        <v>68</v>
      </c>
      <c r="BD1864">
        <v>1.5</v>
      </c>
      <c r="BE1864">
        <v>135</v>
      </c>
      <c r="BF1864">
        <v>0</v>
      </c>
      <c r="BG1864">
        <v>162</v>
      </c>
      <c r="BH1864">
        <v>9.1</v>
      </c>
      <c r="BI1864">
        <v>9.1999999999999993</v>
      </c>
      <c r="BJ1864">
        <v>18.3</v>
      </c>
      <c r="BK1864">
        <v>0.34</v>
      </c>
      <c r="BL1864">
        <v>7.3</v>
      </c>
      <c r="BM1864">
        <v>0.9</v>
      </c>
      <c r="BN1864">
        <v>7.5</v>
      </c>
      <c r="BO1864">
        <v>2.9</v>
      </c>
      <c r="BP1864">
        <f t="shared" si="58"/>
        <v>2.1654611508147137</v>
      </c>
      <c r="BQ1864">
        <f t="shared" si="59"/>
        <v>10.369856699048217</v>
      </c>
    </row>
    <row r="1865" spans="1:69" hidden="1" x14ac:dyDescent="0.2">
      <c r="A1865" t="s">
        <v>3414</v>
      </c>
      <c r="B1865" t="s">
        <v>68</v>
      </c>
      <c r="C1865" t="s">
        <v>3294</v>
      </c>
      <c r="D1865" t="s">
        <v>70</v>
      </c>
      <c r="E1865" t="s">
        <v>1025</v>
      </c>
      <c r="F1865">
        <v>3</v>
      </c>
      <c r="G1865">
        <v>38</v>
      </c>
      <c r="H1865">
        <v>2</v>
      </c>
      <c r="I1865">
        <v>1</v>
      </c>
      <c r="J1865">
        <v>0</v>
      </c>
      <c r="K1865" t="s">
        <v>110</v>
      </c>
      <c r="L1865" t="s">
        <v>111</v>
      </c>
      <c r="M1865" s="4">
        <v>250000000</v>
      </c>
      <c r="N1865">
        <v>0</v>
      </c>
      <c r="O1865">
        <v>4.7466803000000004</v>
      </c>
      <c r="P1865">
        <v>-74.023505999999998</v>
      </c>
      <c r="Q1865" t="s">
        <v>3415</v>
      </c>
      <c r="R1865">
        <v>6578947.3679999998</v>
      </c>
      <c r="S1865">
        <v>0</v>
      </c>
      <c r="T1865" t="s">
        <v>104</v>
      </c>
      <c r="U1865" t="s">
        <v>105</v>
      </c>
      <c r="V1865" t="s">
        <v>77</v>
      </c>
      <c r="W1865" t="s">
        <v>104</v>
      </c>
      <c r="X1865" t="s">
        <v>106</v>
      </c>
      <c r="Y1865">
        <v>4.1162983652963403</v>
      </c>
      <c r="Z1865">
        <v>4116.2983652963403</v>
      </c>
      <c r="AA1865">
        <v>4.71035</v>
      </c>
      <c r="AB1865">
        <v>-74.030416666666696</v>
      </c>
      <c r="AC1865">
        <v>2570</v>
      </c>
      <c r="AD1865">
        <v>10</v>
      </c>
      <c r="AE1865" t="s">
        <v>80</v>
      </c>
      <c r="AF1865" t="s">
        <v>107</v>
      </c>
      <c r="AG1865" t="s">
        <v>82</v>
      </c>
      <c r="AH1865" t="s">
        <v>83</v>
      </c>
      <c r="AI1865" t="s">
        <v>108</v>
      </c>
      <c r="AJ1865">
        <v>2.6335948343283699</v>
      </c>
      <c r="AK1865">
        <v>0.42468754995035202</v>
      </c>
      <c r="AL1865">
        <v>0.41535155061818801</v>
      </c>
      <c r="AM1865">
        <v>0.50028108233113899</v>
      </c>
      <c r="AN1865">
        <v>0.67152842474418095</v>
      </c>
      <c r="AO1865">
        <v>0.39157509142854002</v>
      </c>
      <c r="AP1865">
        <v>0.39157509142854002</v>
      </c>
      <c r="AQ1865">
        <v>0</v>
      </c>
      <c r="AR1865">
        <v>0</v>
      </c>
      <c r="AS1865">
        <v>3</v>
      </c>
      <c r="AT1865">
        <v>40</v>
      </c>
      <c r="AU1865">
        <v>3</v>
      </c>
      <c r="AV1865">
        <v>5</v>
      </c>
      <c r="AW1865">
        <v>1</v>
      </c>
      <c r="AX1865">
        <v>0</v>
      </c>
      <c r="AY1865">
        <v>15.5</v>
      </c>
      <c r="AZ1865">
        <v>2.4</v>
      </c>
      <c r="BA1865">
        <v>10.9</v>
      </c>
      <c r="BB1865">
        <v>564</v>
      </c>
      <c r="BC1865">
        <v>68</v>
      </c>
      <c r="BD1865">
        <v>1.5</v>
      </c>
      <c r="BE1865">
        <v>135</v>
      </c>
      <c r="BF1865">
        <v>0</v>
      </c>
      <c r="BG1865">
        <v>162</v>
      </c>
      <c r="BH1865">
        <v>9.1</v>
      </c>
      <c r="BI1865">
        <v>9.1999999999999993</v>
      </c>
      <c r="BJ1865">
        <v>18.3</v>
      </c>
      <c r="BK1865">
        <v>0.34</v>
      </c>
      <c r="BL1865">
        <v>7.3</v>
      </c>
      <c r="BM1865">
        <v>0.9</v>
      </c>
      <c r="BN1865">
        <v>7.5</v>
      </c>
      <c r="BO1865">
        <v>2.9</v>
      </c>
      <c r="BP1865">
        <f t="shared" si="58"/>
        <v>1.9575857783331547</v>
      </c>
      <c r="BQ1865">
        <f t="shared" si="59"/>
        <v>9.8746575180369724</v>
      </c>
    </row>
    <row r="1866" spans="1:69" hidden="1" x14ac:dyDescent="0.2">
      <c r="A1866" t="s">
        <v>516</v>
      </c>
      <c r="B1866" t="s">
        <v>68</v>
      </c>
      <c r="C1866" t="s">
        <v>69</v>
      </c>
      <c r="D1866" t="s">
        <v>70</v>
      </c>
      <c r="E1866" t="s">
        <v>468</v>
      </c>
      <c r="F1866">
        <v>6</v>
      </c>
      <c r="G1866">
        <v>38</v>
      </c>
      <c r="H1866">
        <v>1</v>
      </c>
      <c r="I1866">
        <v>1</v>
      </c>
      <c r="J1866">
        <v>1</v>
      </c>
      <c r="K1866" t="s">
        <v>110</v>
      </c>
      <c r="L1866" t="s">
        <v>162</v>
      </c>
      <c r="M1866" s="4">
        <v>365000000</v>
      </c>
      <c r="N1866">
        <v>0</v>
      </c>
      <c r="O1866">
        <v>4.6931185720000004</v>
      </c>
      <c r="P1866">
        <v>-74.054748540000006</v>
      </c>
      <c r="Q1866" t="s">
        <v>517</v>
      </c>
      <c r="R1866">
        <v>9605263.1579999998</v>
      </c>
      <c r="S1866">
        <v>0</v>
      </c>
      <c r="T1866" t="s">
        <v>104</v>
      </c>
      <c r="U1866" t="s">
        <v>105</v>
      </c>
      <c r="V1866" t="s">
        <v>77</v>
      </c>
      <c r="W1866" t="s">
        <v>104</v>
      </c>
      <c r="X1866" t="s">
        <v>106</v>
      </c>
      <c r="Y1866">
        <v>3.3116085978421301</v>
      </c>
      <c r="Z1866">
        <v>3311.6085978421302</v>
      </c>
      <c r="AA1866">
        <v>4.71035</v>
      </c>
      <c r="AB1866">
        <v>-74.030416666666696</v>
      </c>
      <c r="AC1866">
        <v>2570</v>
      </c>
      <c r="AD1866">
        <v>10</v>
      </c>
      <c r="AE1866" t="s">
        <v>80</v>
      </c>
      <c r="AF1866" t="s">
        <v>107</v>
      </c>
      <c r="AG1866" t="s">
        <v>82</v>
      </c>
      <c r="AH1866" t="s">
        <v>83</v>
      </c>
      <c r="AI1866" t="s">
        <v>108</v>
      </c>
      <c r="AJ1866">
        <v>0.15969688011045</v>
      </c>
      <c r="AK1866">
        <v>2.6030500471054601</v>
      </c>
      <c r="AL1866">
        <v>0.54341976676463399</v>
      </c>
      <c r="AM1866">
        <v>5.9412351255469703E-2</v>
      </c>
      <c r="AN1866">
        <v>3.6865138211905299</v>
      </c>
      <c r="AO1866">
        <v>3.6207889128897303E-2</v>
      </c>
      <c r="AP1866">
        <v>3.6207889128897303E-2</v>
      </c>
      <c r="AQ1866">
        <v>1</v>
      </c>
      <c r="AR1866">
        <v>2</v>
      </c>
      <c r="AS1866">
        <v>0</v>
      </c>
      <c r="AT1866">
        <v>0</v>
      </c>
      <c r="AU1866">
        <v>5</v>
      </c>
      <c r="AV1866">
        <v>170</v>
      </c>
      <c r="AW1866">
        <v>0</v>
      </c>
      <c r="AX1866">
        <v>0</v>
      </c>
      <c r="AY1866">
        <v>15.5</v>
      </c>
      <c r="AZ1866">
        <v>2.4</v>
      </c>
      <c r="BA1866">
        <v>10.9</v>
      </c>
      <c r="BB1866">
        <v>564</v>
      </c>
      <c r="BC1866">
        <v>68</v>
      </c>
      <c r="BD1866">
        <v>1.5</v>
      </c>
      <c r="BE1866">
        <v>135</v>
      </c>
      <c r="BF1866">
        <v>0</v>
      </c>
      <c r="BG1866">
        <v>162</v>
      </c>
      <c r="BH1866">
        <v>9.1</v>
      </c>
      <c r="BI1866">
        <v>9.1999999999999993</v>
      </c>
      <c r="BJ1866">
        <v>18.3</v>
      </c>
      <c r="BK1866">
        <v>0.34</v>
      </c>
      <c r="BL1866">
        <v>7.3</v>
      </c>
      <c r="BM1866">
        <v>0.9</v>
      </c>
      <c r="BN1866">
        <v>7.5</v>
      </c>
      <c r="BO1866">
        <v>2.9</v>
      </c>
      <c r="BP1866">
        <f t="shared" si="58"/>
        <v>2.0371343945224432</v>
      </c>
      <c r="BQ1866">
        <f t="shared" si="59"/>
        <v>10.067215789863095</v>
      </c>
    </row>
    <row r="1867" spans="1:69" hidden="1" x14ac:dyDescent="0.2">
      <c r="A1867" t="s">
        <v>4055</v>
      </c>
      <c r="B1867" t="s">
        <v>68</v>
      </c>
      <c r="C1867" t="s">
        <v>3294</v>
      </c>
      <c r="D1867" t="s">
        <v>70</v>
      </c>
      <c r="E1867" t="s">
        <v>1649</v>
      </c>
      <c r="F1867">
        <v>6</v>
      </c>
      <c r="G1867">
        <v>38</v>
      </c>
      <c r="H1867">
        <v>1</v>
      </c>
      <c r="I1867">
        <v>1</v>
      </c>
      <c r="J1867">
        <v>1</v>
      </c>
      <c r="K1867" t="s">
        <v>110</v>
      </c>
      <c r="L1867" t="s">
        <v>124</v>
      </c>
      <c r="M1867" s="4">
        <v>380000000</v>
      </c>
      <c r="N1867">
        <v>0</v>
      </c>
      <c r="O1867">
        <v>4.6926589190000003</v>
      </c>
      <c r="P1867">
        <v>-74.052786380000001</v>
      </c>
      <c r="Q1867" t="s">
        <v>4056</v>
      </c>
      <c r="R1867">
        <v>10000000</v>
      </c>
      <c r="S1867">
        <v>0</v>
      </c>
      <c r="T1867" t="s">
        <v>104</v>
      </c>
      <c r="U1867" t="s">
        <v>105</v>
      </c>
      <c r="V1867" t="s">
        <v>77</v>
      </c>
      <c r="W1867" t="s">
        <v>104</v>
      </c>
      <c r="X1867" t="s">
        <v>106</v>
      </c>
      <c r="Y1867">
        <v>3.1682407113609301</v>
      </c>
      <c r="Z1867">
        <v>3168.2407113609302</v>
      </c>
      <c r="AA1867">
        <v>4.71035</v>
      </c>
      <c r="AB1867">
        <v>-74.030416666666696</v>
      </c>
      <c r="AC1867">
        <v>2570</v>
      </c>
      <c r="AD1867">
        <v>10</v>
      </c>
      <c r="AE1867" t="s">
        <v>80</v>
      </c>
      <c r="AF1867" t="s">
        <v>107</v>
      </c>
      <c r="AG1867" t="s">
        <v>82</v>
      </c>
      <c r="AH1867" t="s">
        <v>83</v>
      </c>
      <c r="AI1867" t="s">
        <v>108</v>
      </c>
      <c r="AJ1867">
        <v>0.37824554465320498</v>
      </c>
      <c r="AK1867">
        <v>2.4044340936015698</v>
      </c>
      <c r="AL1867">
        <v>0.33298023862985798</v>
      </c>
      <c r="AM1867">
        <v>0.17238847729020801</v>
      </c>
      <c r="AN1867">
        <v>3.83818776050876</v>
      </c>
      <c r="AO1867">
        <v>4.9461431319410901E-2</v>
      </c>
      <c r="AP1867">
        <v>4.9461431319410901E-2</v>
      </c>
      <c r="AQ1867">
        <v>1</v>
      </c>
      <c r="AR1867">
        <v>2</v>
      </c>
      <c r="AS1867">
        <v>0</v>
      </c>
      <c r="AT1867">
        <v>0</v>
      </c>
      <c r="AU1867">
        <v>5</v>
      </c>
      <c r="AV1867">
        <v>169</v>
      </c>
      <c r="AW1867">
        <v>0</v>
      </c>
      <c r="AX1867">
        <v>0</v>
      </c>
      <c r="AY1867">
        <v>15.5</v>
      </c>
      <c r="AZ1867">
        <v>2.4</v>
      </c>
      <c r="BA1867">
        <v>10.9</v>
      </c>
      <c r="BB1867">
        <v>564</v>
      </c>
      <c r="BC1867">
        <v>68</v>
      </c>
      <c r="BD1867">
        <v>1.5</v>
      </c>
      <c r="BE1867">
        <v>135</v>
      </c>
      <c r="BF1867">
        <v>0</v>
      </c>
      <c r="BG1867">
        <v>162</v>
      </c>
      <c r="BH1867">
        <v>9.1</v>
      </c>
      <c r="BI1867">
        <v>9.1999999999999993</v>
      </c>
      <c r="BJ1867">
        <v>18.3</v>
      </c>
      <c r="BK1867">
        <v>0.34</v>
      </c>
      <c r="BL1867">
        <v>7.3</v>
      </c>
      <c r="BM1867">
        <v>0.9</v>
      </c>
      <c r="BN1867">
        <v>7.5</v>
      </c>
      <c r="BO1867">
        <v>2.9</v>
      </c>
      <c r="BP1867">
        <f t="shared" si="58"/>
        <v>2.0516427672962703</v>
      </c>
      <c r="BQ1867">
        <f t="shared" si="59"/>
        <v>10.101915023511047</v>
      </c>
    </row>
    <row r="1868" spans="1:69" hidden="1" x14ac:dyDescent="0.2">
      <c r="A1868" t="s">
        <v>485</v>
      </c>
      <c r="B1868" t="s">
        <v>68</v>
      </c>
      <c r="C1868" t="s">
        <v>69</v>
      </c>
      <c r="D1868" t="s">
        <v>70</v>
      </c>
      <c r="E1868" t="s">
        <v>429</v>
      </c>
      <c r="F1868">
        <v>4</v>
      </c>
      <c r="G1868">
        <v>38</v>
      </c>
      <c r="H1868">
        <v>1</v>
      </c>
      <c r="I1868">
        <v>1</v>
      </c>
      <c r="J1868">
        <v>1</v>
      </c>
      <c r="K1868" t="s">
        <v>110</v>
      </c>
      <c r="L1868" t="s">
        <v>111</v>
      </c>
      <c r="M1868" s="4">
        <v>348000000</v>
      </c>
      <c r="N1868">
        <v>0</v>
      </c>
      <c r="O1868">
        <v>4.7268777000000002</v>
      </c>
      <c r="P1868">
        <v>-74.043090000000007</v>
      </c>
      <c r="Q1868" t="s">
        <v>486</v>
      </c>
      <c r="R1868">
        <v>9157894.7369999997</v>
      </c>
      <c r="S1868">
        <v>0</v>
      </c>
      <c r="T1868" t="s">
        <v>104</v>
      </c>
      <c r="U1868" t="s">
        <v>105</v>
      </c>
      <c r="V1868" t="s">
        <v>77</v>
      </c>
      <c r="W1868" t="s">
        <v>104</v>
      </c>
      <c r="X1868" t="s">
        <v>106</v>
      </c>
      <c r="Y1868">
        <v>2.31558284062793</v>
      </c>
      <c r="Z1868">
        <v>2315.5828406279302</v>
      </c>
      <c r="AA1868">
        <v>4.71035</v>
      </c>
      <c r="AB1868">
        <v>-74.030416666666696</v>
      </c>
      <c r="AC1868">
        <v>2570</v>
      </c>
      <c r="AD1868">
        <v>10</v>
      </c>
      <c r="AE1868" t="s">
        <v>80</v>
      </c>
      <c r="AF1868" t="s">
        <v>107</v>
      </c>
      <c r="AG1868" t="s">
        <v>82</v>
      </c>
      <c r="AH1868" t="s">
        <v>83</v>
      </c>
      <c r="AI1868" t="s">
        <v>108</v>
      </c>
      <c r="AJ1868">
        <v>0.82194509313720998</v>
      </c>
      <c r="AK1868">
        <v>2.3051599545369101</v>
      </c>
      <c r="AL1868">
        <v>0.74837862099492902</v>
      </c>
      <c r="AM1868">
        <v>0.318883440089609</v>
      </c>
      <c r="AN1868">
        <v>2.4318431108930598</v>
      </c>
      <c r="AO1868">
        <v>3.8264715712471302E-2</v>
      </c>
      <c r="AP1868">
        <v>3.8264715712471302E-2</v>
      </c>
      <c r="AQ1868">
        <v>0</v>
      </c>
      <c r="AR1868">
        <v>2</v>
      </c>
      <c r="AS1868">
        <v>0</v>
      </c>
      <c r="AT1868">
        <v>0</v>
      </c>
      <c r="AU1868">
        <v>1</v>
      </c>
      <c r="AV1868">
        <v>39</v>
      </c>
      <c r="AW1868">
        <v>0</v>
      </c>
      <c r="AX1868">
        <v>0</v>
      </c>
      <c r="AY1868">
        <v>15.5</v>
      </c>
      <c r="AZ1868">
        <v>2.4</v>
      </c>
      <c r="BA1868">
        <v>10.9</v>
      </c>
      <c r="BB1868">
        <v>564</v>
      </c>
      <c r="BC1868">
        <v>68</v>
      </c>
      <c r="BD1868">
        <v>1.5</v>
      </c>
      <c r="BE1868">
        <v>135</v>
      </c>
      <c r="BF1868">
        <v>0</v>
      </c>
      <c r="BG1868">
        <v>162</v>
      </c>
      <c r="BH1868">
        <v>9.1</v>
      </c>
      <c r="BI1868">
        <v>9.1999999999999993</v>
      </c>
      <c r="BJ1868">
        <v>18.3</v>
      </c>
      <c r="BK1868">
        <v>0.34</v>
      </c>
      <c r="BL1868">
        <v>7.3</v>
      </c>
      <c r="BM1868">
        <v>0.9</v>
      </c>
      <c r="BN1868">
        <v>7.5</v>
      </c>
      <c r="BO1868">
        <v>2.9</v>
      </c>
      <c r="BP1868">
        <f t="shared" si="58"/>
        <v>2.1400889353453443</v>
      </c>
      <c r="BQ1868">
        <f t="shared" si="59"/>
        <v>10.310768154865828</v>
      </c>
    </row>
    <row r="1869" spans="1:69" hidden="1" x14ac:dyDescent="0.2">
      <c r="A1869" t="s">
        <v>3384</v>
      </c>
      <c r="B1869" t="s">
        <v>68</v>
      </c>
      <c r="C1869" t="s">
        <v>3294</v>
      </c>
      <c r="D1869" t="s">
        <v>70</v>
      </c>
      <c r="E1869" t="s">
        <v>3385</v>
      </c>
      <c r="F1869">
        <v>3</v>
      </c>
      <c r="G1869">
        <v>37</v>
      </c>
      <c r="H1869">
        <v>1</v>
      </c>
      <c r="I1869">
        <v>1</v>
      </c>
      <c r="J1869">
        <v>0</v>
      </c>
      <c r="K1869" t="s">
        <v>110</v>
      </c>
      <c r="L1869" t="s">
        <v>111</v>
      </c>
      <c r="M1869" s="4">
        <v>215000000</v>
      </c>
      <c r="N1869">
        <v>0</v>
      </c>
      <c r="O1869">
        <v>4.7464393999999999</v>
      </c>
      <c r="P1869">
        <v>-74.023298999999994</v>
      </c>
      <c r="Q1869" t="s">
        <v>3386</v>
      </c>
      <c r="R1869">
        <v>5810810.8109999998</v>
      </c>
      <c r="S1869">
        <v>0</v>
      </c>
      <c r="T1869" t="s">
        <v>104</v>
      </c>
      <c r="U1869" t="s">
        <v>105</v>
      </c>
      <c r="V1869" t="s">
        <v>77</v>
      </c>
      <c r="W1869" t="s">
        <v>104</v>
      </c>
      <c r="X1869" t="s">
        <v>106</v>
      </c>
      <c r="Y1869">
        <v>4.0943207647249</v>
      </c>
      <c r="Z1869">
        <v>4094.3207647249001</v>
      </c>
      <c r="AA1869">
        <v>4.71035</v>
      </c>
      <c r="AB1869">
        <v>-74.030416666666696</v>
      </c>
      <c r="AC1869">
        <v>2570</v>
      </c>
      <c r="AD1869">
        <v>10</v>
      </c>
      <c r="AE1869" t="s">
        <v>80</v>
      </c>
      <c r="AF1869" t="s">
        <v>107</v>
      </c>
      <c r="AG1869" t="s">
        <v>82</v>
      </c>
      <c r="AH1869" t="s">
        <v>83</v>
      </c>
      <c r="AI1869" t="s">
        <v>108</v>
      </c>
      <c r="AJ1869">
        <v>2.6561251126185801</v>
      </c>
      <c r="AK1869">
        <v>0.42363315731858903</v>
      </c>
      <c r="AL1869">
        <v>0.44279575779613001</v>
      </c>
      <c r="AM1869">
        <v>0.47191815728541697</v>
      </c>
      <c r="AN1869">
        <v>0.66207360302521001</v>
      </c>
      <c r="AO1869">
        <v>0.35694433022235</v>
      </c>
      <c r="AP1869">
        <v>0.35694433022235</v>
      </c>
      <c r="AQ1869">
        <v>0</v>
      </c>
      <c r="AR1869">
        <v>0</v>
      </c>
      <c r="AS1869">
        <v>5</v>
      </c>
      <c r="AT1869">
        <v>40</v>
      </c>
      <c r="AU1869">
        <v>3</v>
      </c>
      <c r="AV1869">
        <v>5</v>
      </c>
      <c r="AW1869">
        <v>1</v>
      </c>
      <c r="AX1869">
        <v>0</v>
      </c>
      <c r="AY1869">
        <v>15.5</v>
      </c>
      <c r="AZ1869">
        <v>2.4</v>
      </c>
      <c r="BA1869">
        <v>10.9</v>
      </c>
      <c r="BB1869">
        <v>564</v>
      </c>
      <c r="BC1869">
        <v>68</v>
      </c>
      <c r="BD1869">
        <v>1.5</v>
      </c>
      <c r="BE1869">
        <v>135</v>
      </c>
      <c r="BF1869">
        <v>0</v>
      </c>
      <c r="BG1869">
        <v>162</v>
      </c>
      <c r="BH1869">
        <v>9.1</v>
      </c>
      <c r="BI1869">
        <v>9.1999999999999993</v>
      </c>
      <c r="BJ1869">
        <v>18.3</v>
      </c>
      <c r="BK1869">
        <v>0.34</v>
      </c>
      <c r="BL1869">
        <v>7.3</v>
      </c>
      <c r="BM1869">
        <v>0.9</v>
      </c>
      <c r="BN1869">
        <v>7.5</v>
      </c>
      <c r="BO1869">
        <v>2.9</v>
      </c>
      <c r="BP1869">
        <f t="shared" si="58"/>
        <v>1.9597165775587631</v>
      </c>
      <c r="BQ1869">
        <f t="shared" si="59"/>
        <v>9.8798674026143978</v>
      </c>
    </row>
    <row r="1870" spans="1:69" hidden="1" x14ac:dyDescent="0.2">
      <c r="A1870" t="s">
        <v>3376</v>
      </c>
      <c r="B1870" t="s">
        <v>68</v>
      </c>
      <c r="C1870" t="s">
        <v>3294</v>
      </c>
      <c r="D1870" t="s">
        <v>70</v>
      </c>
      <c r="E1870" t="s">
        <v>229</v>
      </c>
      <c r="F1870">
        <v>6</v>
      </c>
      <c r="G1870">
        <v>37</v>
      </c>
      <c r="H1870">
        <v>1</v>
      </c>
      <c r="I1870">
        <v>1</v>
      </c>
      <c r="J1870">
        <v>1</v>
      </c>
      <c r="K1870" t="s">
        <v>110</v>
      </c>
      <c r="L1870" t="s">
        <v>111</v>
      </c>
      <c r="M1870" s="4">
        <v>480000000</v>
      </c>
      <c r="N1870">
        <v>0</v>
      </c>
      <c r="O1870">
        <v>4.6836900000000004</v>
      </c>
      <c r="P1870">
        <v>-74.054659999999998</v>
      </c>
      <c r="Q1870" t="s">
        <v>3377</v>
      </c>
      <c r="R1870">
        <v>12972972.970000001</v>
      </c>
      <c r="S1870">
        <v>0</v>
      </c>
      <c r="T1870" t="s">
        <v>104</v>
      </c>
      <c r="U1870" t="s">
        <v>105</v>
      </c>
      <c r="V1870" t="s">
        <v>77</v>
      </c>
      <c r="W1870" t="s">
        <v>104</v>
      </c>
      <c r="X1870" t="s">
        <v>106</v>
      </c>
      <c r="Y1870">
        <v>4.0052650035550901</v>
      </c>
      <c r="Z1870">
        <v>4005.2650035550901</v>
      </c>
      <c r="AA1870">
        <v>4.71035</v>
      </c>
      <c r="AB1870">
        <v>-74.030416666666696</v>
      </c>
      <c r="AC1870">
        <v>2570</v>
      </c>
      <c r="AD1870">
        <v>10</v>
      </c>
      <c r="AE1870" t="s">
        <v>80</v>
      </c>
      <c r="AF1870" t="s">
        <v>107</v>
      </c>
      <c r="AG1870" t="s">
        <v>82</v>
      </c>
      <c r="AH1870" t="s">
        <v>83</v>
      </c>
      <c r="AI1870" t="s">
        <v>130</v>
      </c>
      <c r="AJ1870">
        <v>0.33965192382895099</v>
      </c>
      <c r="AK1870">
        <v>1.99427350631624</v>
      </c>
      <c r="AL1870">
        <v>0.30732929674411802</v>
      </c>
      <c r="AM1870">
        <v>0.17900254058801199</v>
      </c>
      <c r="AN1870">
        <v>3.2076461770165499</v>
      </c>
      <c r="AO1870">
        <v>0.39358471460390698</v>
      </c>
      <c r="AP1870">
        <v>0.39358471460390698</v>
      </c>
      <c r="AQ1870">
        <v>1</v>
      </c>
      <c r="AR1870">
        <v>3</v>
      </c>
      <c r="AS1870">
        <v>0</v>
      </c>
      <c r="AT1870">
        <v>0</v>
      </c>
      <c r="AU1870">
        <v>5</v>
      </c>
      <c r="AV1870">
        <v>259</v>
      </c>
      <c r="AW1870">
        <v>0</v>
      </c>
      <c r="AX1870">
        <v>0</v>
      </c>
      <c r="AY1870">
        <v>15.5</v>
      </c>
      <c r="AZ1870">
        <v>2.4</v>
      </c>
      <c r="BA1870">
        <v>10.9</v>
      </c>
      <c r="BB1870">
        <v>564</v>
      </c>
      <c r="BC1870">
        <v>68</v>
      </c>
      <c r="BD1870">
        <v>1.5</v>
      </c>
      <c r="BE1870">
        <v>135</v>
      </c>
      <c r="BF1870">
        <v>0</v>
      </c>
      <c r="BG1870">
        <v>162</v>
      </c>
      <c r="BH1870">
        <v>9.1</v>
      </c>
      <c r="BI1870">
        <v>9.1999999999999993</v>
      </c>
      <c r="BJ1870">
        <v>18.3</v>
      </c>
      <c r="BK1870">
        <v>0.34</v>
      </c>
      <c r="BL1870">
        <v>7.3</v>
      </c>
      <c r="BM1870">
        <v>0.9</v>
      </c>
      <c r="BN1870">
        <v>7.5</v>
      </c>
      <c r="BO1870">
        <v>2.9</v>
      </c>
      <c r="BP1870">
        <f t="shared" si="58"/>
        <v>1.968374587467</v>
      </c>
      <c r="BQ1870">
        <f t="shared" si="59"/>
        <v>9.9010066040622551</v>
      </c>
    </row>
    <row r="1871" spans="1:69" hidden="1" x14ac:dyDescent="0.2">
      <c r="A1871" t="s">
        <v>3418</v>
      </c>
      <c r="B1871" t="s">
        <v>68</v>
      </c>
      <c r="C1871" t="s">
        <v>3294</v>
      </c>
      <c r="D1871" t="s">
        <v>70</v>
      </c>
      <c r="E1871" t="s">
        <v>344</v>
      </c>
      <c r="F1871">
        <v>5</v>
      </c>
      <c r="G1871">
        <v>37</v>
      </c>
      <c r="H1871">
        <v>1</v>
      </c>
      <c r="I1871">
        <v>1</v>
      </c>
      <c r="J1871">
        <v>1</v>
      </c>
      <c r="K1871" t="s">
        <v>110</v>
      </c>
      <c r="L1871" t="s">
        <v>162</v>
      </c>
      <c r="M1871" s="4">
        <v>290000000</v>
      </c>
      <c r="N1871">
        <v>0</v>
      </c>
      <c r="O1871">
        <v>4.6991496000000001</v>
      </c>
      <c r="P1871">
        <v>-74.056113999999994</v>
      </c>
      <c r="Q1871" t="s">
        <v>3419</v>
      </c>
      <c r="R1871">
        <v>7837837.8380000005</v>
      </c>
      <c r="S1871">
        <v>0</v>
      </c>
      <c r="T1871" t="s">
        <v>104</v>
      </c>
      <c r="U1871" t="s">
        <v>105</v>
      </c>
      <c r="V1871" t="s">
        <v>77</v>
      </c>
      <c r="W1871" t="s">
        <v>104</v>
      </c>
      <c r="X1871" t="s">
        <v>106</v>
      </c>
      <c r="Y1871">
        <v>3.1116921966831201</v>
      </c>
      <c r="Z1871">
        <v>3111.6921966831201</v>
      </c>
      <c r="AA1871">
        <v>4.71035</v>
      </c>
      <c r="AB1871">
        <v>-74.030416666666696</v>
      </c>
      <c r="AC1871">
        <v>2570</v>
      </c>
      <c r="AD1871">
        <v>10</v>
      </c>
      <c r="AE1871" t="s">
        <v>80</v>
      </c>
      <c r="AF1871" t="s">
        <v>107</v>
      </c>
      <c r="AG1871" t="s">
        <v>82</v>
      </c>
      <c r="AH1871" t="s">
        <v>83</v>
      </c>
      <c r="AI1871" t="s">
        <v>121</v>
      </c>
      <c r="AJ1871">
        <v>0.144030031096332</v>
      </c>
      <c r="AK1871">
        <v>3.16449747588335</v>
      </c>
      <c r="AL1871">
        <v>0.94928368512737105</v>
      </c>
      <c r="AM1871">
        <v>0.177231286554378</v>
      </c>
      <c r="AN1871">
        <v>3.9989072906451799</v>
      </c>
      <c r="AO1871">
        <v>0.381172378362581</v>
      </c>
      <c r="AP1871">
        <v>0.381172378362581</v>
      </c>
      <c r="AQ1871">
        <v>1</v>
      </c>
      <c r="AR1871">
        <v>3</v>
      </c>
      <c r="AS1871">
        <v>0</v>
      </c>
      <c r="AT1871">
        <v>0</v>
      </c>
      <c r="AU1871">
        <v>1</v>
      </c>
      <c r="AV1871">
        <v>150</v>
      </c>
      <c r="AW1871">
        <v>0</v>
      </c>
      <c r="AX1871">
        <v>0</v>
      </c>
      <c r="AY1871">
        <v>15.5</v>
      </c>
      <c r="AZ1871">
        <v>2.4</v>
      </c>
      <c r="BA1871">
        <v>10.9</v>
      </c>
      <c r="BB1871">
        <v>564</v>
      </c>
      <c r="BC1871">
        <v>68</v>
      </c>
      <c r="BD1871">
        <v>1.5</v>
      </c>
      <c r="BE1871">
        <v>135</v>
      </c>
      <c r="BF1871">
        <v>0</v>
      </c>
      <c r="BG1871">
        <v>162</v>
      </c>
      <c r="BH1871">
        <v>9.1</v>
      </c>
      <c r="BI1871">
        <v>9.1999999999999993</v>
      </c>
      <c r="BJ1871">
        <v>18.3</v>
      </c>
      <c r="BK1871">
        <v>0.34</v>
      </c>
      <c r="BL1871">
        <v>7.3</v>
      </c>
      <c r="BM1871">
        <v>0.9</v>
      </c>
      <c r="BN1871">
        <v>7.5</v>
      </c>
      <c r="BO1871">
        <v>2.9</v>
      </c>
      <c r="BP1871">
        <f t="shared" si="58"/>
        <v>2.0573936712483687</v>
      </c>
      <c r="BQ1871">
        <f t="shared" si="59"/>
        <v>10.115634290014521</v>
      </c>
    </row>
    <row r="1872" spans="1:69" hidden="1" x14ac:dyDescent="0.2">
      <c r="A1872" t="s">
        <v>3906</v>
      </c>
      <c r="B1872" t="s">
        <v>68</v>
      </c>
      <c r="C1872" t="s">
        <v>3294</v>
      </c>
      <c r="D1872" t="s">
        <v>70</v>
      </c>
      <c r="E1872" t="s">
        <v>226</v>
      </c>
      <c r="F1872">
        <v>6</v>
      </c>
      <c r="G1872">
        <v>37</v>
      </c>
      <c r="H1872">
        <v>1</v>
      </c>
      <c r="I1872">
        <v>1</v>
      </c>
      <c r="J1872">
        <v>1</v>
      </c>
      <c r="K1872" t="s">
        <v>110</v>
      </c>
      <c r="L1872" t="s">
        <v>111</v>
      </c>
      <c r="M1872" s="4">
        <v>450000000</v>
      </c>
      <c r="N1872">
        <v>0</v>
      </c>
      <c r="O1872">
        <v>4.6891183850000004</v>
      </c>
      <c r="P1872">
        <v>-74.041633610000005</v>
      </c>
      <c r="Q1872" t="s">
        <v>3907</v>
      </c>
      <c r="R1872">
        <v>12162162.16</v>
      </c>
      <c r="S1872">
        <v>0</v>
      </c>
      <c r="T1872" t="s">
        <v>104</v>
      </c>
      <c r="U1872" t="s">
        <v>105</v>
      </c>
      <c r="V1872" t="s">
        <v>77</v>
      </c>
      <c r="W1872" t="s">
        <v>104</v>
      </c>
      <c r="X1872" t="s">
        <v>106</v>
      </c>
      <c r="Y1872">
        <v>2.6711033366260701</v>
      </c>
      <c r="Z1872">
        <v>2671.1033366260699</v>
      </c>
      <c r="AA1872">
        <v>4.71035</v>
      </c>
      <c r="AB1872">
        <v>-74.030416666666696</v>
      </c>
      <c r="AC1872">
        <v>2570</v>
      </c>
      <c r="AD1872">
        <v>10</v>
      </c>
      <c r="AE1872" t="s">
        <v>80</v>
      </c>
      <c r="AF1872" t="s">
        <v>107</v>
      </c>
      <c r="AG1872" t="s">
        <v>82</v>
      </c>
      <c r="AH1872" t="s">
        <v>83</v>
      </c>
      <c r="AI1872" t="s">
        <v>108</v>
      </c>
      <c r="AJ1872">
        <v>1.668724370853</v>
      </c>
      <c r="AK1872">
        <v>1.2993563896132301</v>
      </c>
      <c r="AL1872">
        <v>0.78752883837801202</v>
      </c>
      <c r="AM1872">
        <v>0.293698374886258</v>
      </c>
      <c r="AN1872">
        <v>4.7705013649038399</v>
      </c>
      <c r="AO1872">
        <v>7.9174778480508801E-2</v>
      </c>
      <c r="AP1872">
        <v>7.9174778480508801E-2</v>
      </c>
      <c r="AQ1872">
        <v>0</v>
      </c>
      <c r="AR1872">
        <v>0</v>
      </c>
      <c r="AS1872">
        <v>0</v>
      </c>
      <c r="AT1872">
        <v>0</v>
      </c>
      <c r="AU1872">
        <v>3</v>
      </c>
      <c r="AV1872">
        <v>92</v>
      </c>
      <c r="AW1872">
        <v>0</v>
      </c>
      <c r="AX1872">
        <v>0</v>
      </c>
      <c r="AY1872">
        <v>15.5</v>
      </c>
      <c r="AZ1872">
        <v>2.4</v>
      </c>
      <c r="BA1872">
        <v>10.9</v>
      </c>
      <c r="BB1872">
        <v>564</v>
      </c>
      <c r="BC1872">
        <v>68</v>
      </c>
      <c r="BD1872">
        <v>1.5</v>
      </c>
      <c r="BE1872">
        <v>135</v>
      </c>
      <c r="BF1872">
        <v>0</v>
      </c>
      <c r="BG1872">
        <v>162</v>
      </c>
      <c r="BH1872">
        <v>9.1</v>
      </c>
      <c r="BI1872">
        <v>9.1999999999999993</v>
      </c>
      <c r="BJ1872">
        <v>18.3</v>
      </c>
      <c r="BK1872">
        <v>0.34</v>
      </c>
      <c r="BL1872">
        <v>7.3</v>
      </c>
      <c r="BM1872">
        <v>0.9</v>
      </c>
      <c r="BN1872">
        <v>7.5</v>
      </c>
      <c r="BO1872">
        <v>2.9</v>
      </c>
      <c r="BP1872">
        <f t="shared" si="58"/>
        <v>2.1027565402576296</v>
      </c>
      <c r="BQ1872">
        <f t="shared" si="59"/>
        <v>10.223165873417637</v>
      </c>
    </row>
    <row r="1873" spans="1:69" hidden="1" x14ac:dyDescent="0.2">
      <c r="A1873" t="s">
        <v>4394</v>
      </c>
      <c r="B1873" t="s">
        <v>68</v>
      </c>
      <c r="C1873" t="s">
        <v>3294</v>
      </c>
      <c r="D1873" t="s">
        <v>70</v>
      </c>
      <c r="E1873" t="s">
        <v>1879</v>
      </c>
      <c r="F1873">
        <v>5</v>
      </c>
      <c r="G1873">
        <v>37</v>
      </c>
      <c r="H1873">
        <v>1</v>
      </c>
      <c r="I1873">
        <v>1</v>
      </c>
      <c r="J1873">
        <v>0</v>
      </c>
      <c r="K1873" t="s">
        <v>110</v>
      </c>
      <c r="L1873" t="s">
        <v>111</v>
      </c>
      <c r="M1873" s="4">
        <v>468000000</v>
      </c>
      <c r="N1873">
        <v>0</v>
      </c>
      <c r="O1873">
        <v>4.6871299999999998</v>
      </c>
      <c r="P1873">
        <v>-74.036339999999996</v>
      </c>
      <c r="Q1873" t="s">
        <v>4395</v>
      </c>
      <c r="R1873">
        <v>12648648.65</v>
      </c>
      <c r="S1873">
        <v>0</v>
      </c>
      <c r="T1873" t="s">
        <v>104</v>
      </c>
      <c r="U1873" t="s">
        <v>105</v>
      </c>
      <c r="V1873" t="s">
        <v>77</v>
      </c>
      <c r="W1873" t="s">
        <v>104</v>
      </c>
      <c r="X1873" t="s">
        <v>106</v>
      </c>
      <c r="Y1873">
        <v>2.6670692011410999</v>
      </c>
      <c r="Z1873">
        <v>2667.0692011411002</v>
      </c>
      <c r="AA1873">
        <v>4.71035</v>
      </c>
      <c r="AB1873">
        <v>-74.030416666666696</v>
      </c>
      <c r="AC1873">
        <v>2570</v>
      </c>
      <c r="AD1873">
        <v>10</v>
      </c>
      <c r="AE1873" t="s">
        <v>80</v>
      </c>
      <c r="AF1873" t="s">
        <v>107</v>
      </c>
      <c r="AG1873" t="s">
        <v>82</v>
      </c>
      <c r="AH1873" t="s">
        <v>83</v>
      </c>
      <c r="AI1873" t="s">
        <v>108</v>
      </c>
      <c r="AJ1873">
        <v>2.2932077058161799</v>
      </c>
      <c r="AK1873">
        <v>0.92368397077673203</v>
      </c>
      <c r="AL1873">
        <v>0.61308081641665102</v>
      </c>
      <c r="AM1873">
        <v>0.32726688272913701</v>
      </c>
      <c r="AN1873">
        <v>5.2577015616057796</v>
      </c>
      <c r="AO1873">
        <v>0.15638074508047101</v>
      </c>
      <c r="AP1873">
        <v>0.15638074508047101</v>
      </c>
      <c r="AQ1873">
        <v>0</v>
      </c>
      <c r="AR1873">
        <v>0</v>
      </c>
      <c r="AS1873">
        <v>0</v>
      </c>
      <c r="AT1873">
        <v>1</v>
      </c>
      <c r="AU1873">
        <v>3</v>
      </c>
      <c r="AV1873">
        <v>58</v>
      </c>
      <c r="AW1873">
        <v>0</v>
      </c>
      <c r="AX1873">
        <v>0</v>
      </c>
      <c r="AY1873">
        <v>15.5</v>
      </c>
      <c r="AZ1873">
        <v>2.4</v>
      </c>
      <c r="BA1873">
        <v>10.9</v>
      </c>
      <c r="BB1873">
        <v>564</v>
      </c>
      <c r="BC1873">
        <v>68</v>
      </c>
      <c r="BD1873">
        <v>1.5</v>
      </c>
      <c r="BE1873">
        <v>135</v>
      </c>
      <c r="BF1873">
        <v>0</v>
      </c>
      <c r="BG1873">
        <v>162</v>
      </c>
      <c r="BH1873">
        <v>9.1</v>
      </c>
      <c r="BI1873">
        <v>9.1999999999999993</v>
      </c>
      <c r="BJ1873">
        <v>18.3</v>
      </c>
      <c r="BK1873">
        <v>0.34</v>
      </c>
      <c r="BL1873">
        <v>7.3</v>
      </c>
      <c r="BM1873">
        <v>0.9</v>
      </c>
      <c r="BN1873">
        <v>7.5</v>
      </c>
      <c r="BO1873">
        <v>2.9</v>
      </c>
      <c r="BP1873">
        <f t="shared" si="58"/>
        <v>2.1031764810215359</v>
      </c>
      <c r="BQ1873">
        <f t="shared" si="59"/>
        <v>10.224155720604243</v>
      </c>
    </row>
    <row r="1874" spans="1:69" hidden="1" x14ac:dyDescent="0.2">
      <c r="A1874" t="s">
        <v>3794</v>
      </c>
      <c r="B1874" t="s">
        <v>68</v>
      </c>
      <c r="C1874" t="s">
        <v>3294</v>
      </c>
      <c r="D1874" t="s">
        <v>70</v>
      </c>
      <c r="E1874" t="s">
        <v>3795</v>
      </c>
      <c r="F1874">
        <v>6</v>
      </c>
      <c r="G1874">
        <v>37</v>
      </c>
      <c r="H1874">
        <v>1</v>
      </c>
      <c r="I1874">
        <v>1</v>
      </c>
      <c r="J1874">
        <v>1</v>
      </c>
      <c r="K1874" t="s">
        <v>110</v>
      </c>
      <c r="L1874" t="s">
        <v>111</v>
      </c>
      <c r="M1874" s="4">
        <v>400000000</v>
      </c>
      <c r="N1874">
        <v>0</v>
      </c>
      <c r="O1874">
        <v>4.6983098979999998</v>
      </c>
      <c r="P1874">
        <v>-74.043952939999997</v>
      </c>
      <c r="Q1874" t="s">
        <v>3796</v>
      </c>
      <c r="R1874">
        <v>10810810.810000001</v>
      </c>
      <c r="S1874">
        <v>0</v>
      </c>
      <c r="T1874" t="s">
        <v>104</v>
      </c>
      <c r="U1874" t="s">
        <v>105</v>
      </c>
      <c r="V1874" t="s">
        <v>77</v>
      </c>
      <c r="W1874" t="s">
        <v>104</v>
      </c>
      <c r="X1874" t="s">
        <v>106</v>
      </c>
      <c r="Y1874">
        <v>2.0128900170886301</v>
      </c>
      <c r="Z1874">
        <v>2012.89001708863</v>
      </c>
      <c r="AA1874">
        <v>4.71035</v>
      </c>
      <c r="AB1874">
        <v>-74.030416666666696</v>
      </c>
      <c r="AC1874">
        <v>2570</v>
      </c>
      <c r="AD1874">
        <v>10</v>
      </c>
      <c r="AE1874" t="s">
        <v>80</v>
      </c>
      <c r="AF1874" t="s">
        <v>107</v>
      </c>
      <c r="AG1874" t="s">
        <v>82</v>
      </c>
      <c r="AH1874" t="s">
        <v>83</v>
      </c>
      <c r="AI1874" t="s">
        <v>108</v>
      </c>
      <c r="AJ1874">
        <v>1.2592750250390701</v>
      </c>
      <c r="AK1874">
        <v>2.0048526912456999</v>
      </c>
      <c r="AL1874">
        <v>0.85729589137573703</v>
      </c>
      <c r="AM1874">
        <v>8.08494088466164E-2</v>
      </c>
      <c r="AN1874">
        <v>4.9997630950977303</v>
      </c>
      <c r="AO1874">
        <v>0.13781995352569101</v>
      </c>
      <c r="AP1874">
        <v>0.13781995352569101</v>
      </c>
      <c r="AQ1874">
        <v>0</v>
      </c>
      <c r="AR1874">
        <v>0</v>
      </c>
      <c r="AS1874">
        <v>0</v>
      </c>
      <c r="AT1874">
        <v>0</v>
      </c>
      <c r="AU1874">
        <v>1</v>
      </c>
      <c r="AV1874">
        <v>126</v>
      </c>
      <c r="AW1874">
        <v>0</v>
      </c>
      <c r="AX1874">
        <v>0</v>
      </c>
      <c r="AY1874">
        <v>15.5</v>
      </c>
      <c r="AZ1874">
        <v>2.4</v>
      </c>
      <c r="BA1874">
        <v>10.9</v>
      </c>
      <c r="BB1874">
        <v>564</v>
      </c>
      <c r="BC1874">
        <v>68</v>
      </c>
      <c r="BD1874">
        <v>1.5</v>
      </c>
      <c r="BE1874">
        <v>135</v>
      </c>
      <c r="BF1874">
        <v>0</v>
      </c>
      <c r="BG1874">
        <v>162</v>
      </c>
      <c r="BH1874">
        <v>9.1</v>
      </c>
      <c r="BI1874">
        <v>9.1999999999999993</v>
      </c>
      <c r="BJ1874">
        <v>18.3</v>
      </c>
      <c r="BK1874">
        <v>0.34</v>
      </c>
      <c r="BL1874">
        <v>7.3</v>
      </c>
      <c r="BM1874">
        <v>0.9</v>
      </c>
      <c r="BN1874">
        <v>7.5</v>
      </c>
      <c r="BO1874">
        <v>2.9</v>
      </c>
      <c r="BP1874">
        <f t="shared" si="58"/>
        <v>2.1723959470210987</v>
      </c>
      <c r="BQ1874">
        <f t="shared" si="59"/>
        <v>10.385944781968721</v>
      </c>
    </row>
    <row r="1875" spans="1:69" hidden="1" x14ac:dyDescent="0.2">
      <c r="A1875" t="s">
        <v>4545</v>
      </c>
      <c r="B1875" t="s">
        <v>68</v>
      </c>
      <c r="C1875" t="s">
        <v>3294</v>
      </c>
      <c r="D1875" t="s">
        <v>70</v>
      </c>
      <c r="E1875" t="s">
        <v>226</v>
      </c>
      <c r="F1875">
        <v>6</v>
      </c>
      <c r="G1875">
        <v>36.74</v>
      </c>
      <c r="H1875">
        <v>1</v>
      </c>
      <c r="I1875">
        <v>1</v>
      </c>
      <c r="J1875">
        <v>1</v>
      </c>
      <c r="K1875" t="s">
        <v>110</v>
      </c>
      <c r="L1875" t="s">
        <v>133</v>
      </c>
      <c r="M1875" s="4">
        <v>470000000</v>
      </c>
      <c r="N1875">
        <v>0</v>
      </c>
      <c r="O1875">
        <v>4.6909761430000003</v>
      </c>
      <c r="P1875">
        <v>-74.042839049999998</v>
      </c>
      <c r="Q1875" t="s">
        <v>4546</v>
      </c>
      <c r="R1875">
        <v>12792596.619999999</v>
      </c>
      <c r="S1875">
        <v>0</v>
      </c>
      <c r="T1875" t="s">
        <v>104</v>
      </c>
      <c r="U1875" t="s">
        <v>105</v>
      </c>
      <c r="V1875" t="s">
        <v>77</v>
      </c>
      <c r="W1875" t="s">
        <v>104</v>
      </c>
      <c r="X1875" t="s">
        <v>106</v>
      </c>
      <c r="Y1875">
        <v>2.5594420526070998</v>
      </c>
      <c r="Z1875">
        <v>2559.4420526070999</v>
      </c>
      <c r="AA1875">
        <v>4.71035</v>
      </c>
      <c r="AB1875">
        <v>-74.030416666666696</v>
      </c>
      <c r="AC1875">
        <v>2570</v>
      </c>
      <c r="AD1875">
        <v>10</v>
      </c>
      <c r="AE1875" t="s">
        <v>80</v>
      </c>
      <c r="AF1875" t="s">
        <v>107</v>
      </c>
      <c r="AG1875" t="s">
        <v>82</v>
      </c>
      <c r="AH1875" t="s">
        <v>83</v>
      </c>
      <c r="AI1875" t="s">
        <v>108</v>
      </c>
      <c r="AJ1875">
        <v>1.4960218432835</v>
      </c>
      <c r="AK1875">
        <v>1.5436531999563501</v>
      </c>
      <c r="AL1875">
        <v>0.81852170404864899</v>
      </c>
      <c r="AM1875">
        <v>7.4857065023814506E-2</v>
      </c>
      <c r="AN1875">
        <v>4.7243866870865299</v>
      </c>
      <c r="AO1875">
        <v>0.196034393556032</v>
      </c>
      <c r="AP1875">
        <v>0.196034393556032</v>
      </c>
      <c r="AQ1875">
        <v>0</v>
      </c>
      <c r="AR1875">
        <v>0</v>
      </c>
      <c r="AS1875">
        <v>0</v>
      </c>
      <c r="AT1875">
        <v>0</v>
      </c>
      <c r="AU1875">
        <v>3</v>
      </c>
      <c r="AV1875">
        <v>95</v>
      </c>
      <c r="AW1875">
        <v>0</v>
      </c>
      <c r="AX1875">
        <v>0</v>
      </c>
      <c r="AY1875">
        <v>15.5</v>
      </c>
      <c r="AZ1875">
        <v>2.4</v>
      </c>
      <c r="BA1875">
        <v>10.9</v>
      </c>
      <c r="BB1875">
        <v>564</v>
      </c>
      <c r="BC1875">
        <v>68</v>
      </c>
      <c r="BD1875">
        <v>1.5</v>
      </c>
      <c r="BE1875">
        <v>135</v>
      </c>
      <c r="BF1875">
        <v>0</v>
      </c>
      <c r="BG1875">
        <v>162</v>
      </c>
      <c r="BH1875">
        <v>9.1</v>
      </c>
      <c r="BI1875">
        <v>9.1999999999999993</v>
      </c>
      <c r="BJ1875">
        <v>18.3</v>
      </c>
      <c r="BK1875">
        <v>0.34</v>
      </c>
      <c r="BL1875">
        <v>7.3</v>
      </c>
      <c r="BM1875">
        <v>0.9</v>
      </c>
      <c r="BN1875">
        <v>7.5</v>
      </c>
      <c r="BO1875">
        <v>2.9</v>
      </c>
      <c r="BP1875">
        <f t="shared" si="58"/>
        <v>2.1144111459661437</v>
      </c>
      <c r="BQ1875">
        <f t="shared" si="59"/>
        <v>10.250599380002152</v>
      </c>
    </row>
    <row r="1876" spans="1:69" hidden="1" x14ac:dyDescent="0.2">
      <c r="A1876" t="s">
        <v>4153</v>
      </c>
      <c r="B1876" t="s">
        <v>68</v>
      </c>
      <c r="C1876" t="s">
        <v>3294</v>
      </c>
      <c r="D1876" t="s">
        <v>70</v>
      </c>
      <c r="E1876" t="s">
        <v>748</v>
      </c>
      <c r="F1876">
        <v>6</v>
      </c>
      <c r="G1876">
        <v>35.700000000000003</v>
      </c>
      <c r="H1876">
        <v>1</v>
      </c>
      <c r="I1876">
        <v>1</v>
      </c>
      <c r="J1876">
        <v>0</v>
      </c>
      <c r="K1876" t="s">
        <v>110</v>
      </c>
      <c r="L1876" t="s">
        <v>111</v>
      </c>
      <c r="M1876" s="4">
        <v>380000000</v>
      </c>
      <c r="N1876">
        <v>0</v>
      </c>
      <c r="O1876">
        <v>4.6943321999999998</v>
      </c>
      <c r="P1876">
        <v>-74.044184000000001</v>
      </c>
      <c r="Q1876" t="s">
        <v>4154</v>
      </c>
      <c r="R1876">
        <v>10644257.699999999</v>
      </c>
      <c r="S1876">
        <v>0</v>
      </c>
      <c r="T1876" t="s">
        <v>104</v>
      </c>
      <c r="U1876" t="s">
        <v>105</v>
      </c>
      <c r="V1876" t="s">
        <v>77</v>
      </c>
      <c r="W1876" t="s">
        <v>104</v>
      </c>
      <c r="X1876" t="s">
        <v>106</v>
      </c>
      <c r="Y1876">
        <v>2.3478533244475801</v>
      </c>
      <c r="Z1876">
        <v>2347.8533244475798</v>
      </c>
      <c r="AA1876">
        <v>4.71035</v>
      </c>
      <c r="AB1876">
        <v>-74.030416666666696</v>
      </c>
      <c r="AC1876">
        <v>2570</v>
      </c>
      <c r="AD1876">
        <v>10</v>
      </c>
      <c r="AE1876" t="s">
        <v>80</v>
      </c>
      <c r="AF1876" t="s">
        <v>107</v>
      </c>
      <c r="AG1876" t="s">
        <v>82</v>
      </c>
      <c r="AH1876" t="s">
        <v>83</v>
      </c>
      <c r="AI1876" t="s">
        <v>108</v>
      </c>
      <c r="AJ1876">
        <v>1.3028335670607101</v>
      </c>
      <c r="AK1876">
        <v>1.94085951715511</v>
      </c>
      <c r="AL1876">
        <v>0.63870640100089304</v>
      </c>
      <c r="AM1876">
        <v>9.9270236497732006E-2</v>
      </c>
      <c r="AN1876">
        <v>4.7535306655804401</v>
      </c>
      <c r="AO1876">
        <v>0.202446385717198</v>
      </c>
      <c r="AP1876">
        <v>0.202446385717198</v>
      </c>
      <c r="AQ1876">
        <v>0</v>
      </c>
      <c r="AR1876">
        <v>0</v>
      </c>
      <c r="AS1876">
        <v>0</v>
      </c>
      <c r="AT1876">
        <v>0</v>
      </c>
      <c r="AU1876">
        <v>1</v>
      </c>
      <c r="AV1876">
        <v>125</v>
      </c>
      <c r="AW1876">
        <v>0</v>
      </c>
      <c r="AX1876">
        <v>0</v>
      </c>
      <c r="AY1876">
        <v>15.5</v>
      </c>
      <c r="AZ1876">
        <v>2.4</v>
      </c>
      <c r="BA1876">
        <v>10.9</v>
      </c>
      <c r="BB1876">
        <v>564</v>
      </c>
      <c r="BC1876">
        <v>68</v>
      </c>
      <c r="BD1876">
        <v>1.5</v>
      </c>
      <c r="BE1876">
        <v>135</v>
      </c>
      <c r="BF1876">
        <v>0</v>
      </c>
      <c r="BG1876">
        <v>162</v>
      </c>
      <c r="BH1876">
        <v>9.1</v>
      </c>
      <c r="BI1876">
        <v>9.1999999999999993</v>
      </c>
      <c r="BJ1876">
        <v>18.3</v>
      </c>
      <c r="BK1876">
        <v>0.34</v>
      </c>
      <c r="BL1876">
        <v>7.3</v>
      </c>
      <c r="BM1876">
        <v>0.9</v>
      </c>
      <c r="BN1876">
        <v>7.5</v>
      </c>
      <c r="BO1876">
        <v>2.9</v>
      </c>
      <c r="BP1876">
        <f t="shared" si="58"/>
        <v>2.1366731098572673</v>
      </c>
      <c r="BQ1876">
        <f t="shared" si="59"/>
        <v>10.302785643013246</v>
      </c>
    </row>
    <row r="1877" spans="1:69" hidden="1" x14ac:dyDescent="0.2">
      <c r="A1877" t="s">
        <v>4602</v>
      </c>
      <c r="B1877" t="s">
        <v>68</v>
      </c>
      <c r="C1877" t="s">
        <v>3294</v>
      </c>
      <c r="D1877" t="s">
        <v>70</v>
      </c>
      <c r="E1877" t="s">
        <v>1025</v>
      </c>
      <c r="F1877">
        <v>3</v>
      </c>
      <c r="G1877">
        <v>35.200000000000003</v>
      </c>
      <c r="H1877">
        <v>1</v>
      </c>
      <c r="I1877">
        <v>2</v>
      </c>
      <c r="J1877">
        <v>1</v>
      </c>
      <c r="K1877" t="s">
        <v>110</v>
      </c>
      <c r="L1877" t="s">
        <v>111</v>
      </c>
      <c r="M1877" s="4">
        <v>253000000</v>
      </c>
      <c r="N1877">
        <v>0</v>
      </c>
      <c r="O1877">
        <v>4.7455515860000004</v>
      </c>
      <c r="P1877">
        <v>-74.023445129999999</v>
      </c>
      <c r="Q1877" t="s">
        <v>4603</v>
      </c>
      <c r="R1877">
        <v>7187500</v>
      </c>
      <c r="S1877">
        <v>0</v>
      </c>
      <c r="T1877" t="s">
        <v>104</v>
      </c>
      <c r="U1877" t="s">
        <v>105</v>
      </c>
      <c r="V1877" t="s">
        <v>77</v>
      </c>
      <c r="W1877" t="s">
        <v>104</v>
      </c>
      <c r="X1877" t="s">
        <v>106</v>
      </c>
      <c r="Y1877">
        <v>3.9942199354541499</v>
      </c>
      <c r="Z1877">
        <v>3994.2199354541499</v>
      </c>
      <c r="AA1877">
        <v>4.71035</v>
      </c>
      <c r="AB1877">
        <v>-74.030416666666696</v>
      </c>
      <c r="AC1877">
        <v>2570</v>
      </c>
      <c r="AD1877">
        <v>10</v>
      </c>
      <c r="AE1877" t="s">
        <v>80</v>
      </c>
      <c r="AF1877" t="s">
        <v>107</v>
      </c>
      <c r="AG1877" t="s">
        <v>82</v>
      </c>
      <c r="AH1877" t="s">
        <v>83</v>
      </c>
      <c r="AI1877" t="s">
        <v>108</v>
      </c>
      <c r="AJ1877">
        <v>2.6407045324744001</v>
      </c>
      <c r="AK1877">
        <v>0.48875716121864698</v>
      </c>
      <c r="AL1877">
        <v>0.45826802298006403</v>
      </c>
      <c r="AM1877">
        <v>0.37554409112237502</v>
      </c>
      <c r="AN1877">
        <v>0.57410411898594205</v>
      </c>
      <c r="AO1877">
        <v>0.28707075346713701</v>
      </c>
      <c r="AP1877">
        <v>0.28707075346713701</v>
      </c>
      <c r="AQ1877">
        <v>0</v>
      </c>
      <c r="AR1877">
        <v>0</v>
      </c>
      <c r="AS1877">
        <v>2</v>
      </c>
      <c r="AT1877">
        <v>42</v>
      </c>
      <c r="AU1877">
        <v>3</v>
      </c>
      <c r="AV1877">
        <v>5</v>
      </c>
      <c r="AW1877">
        <v>1</v>
      </c>
      <c r="AX1877">
        <v>0</v>
      </c>
      <c r="AY1877">
        <v>15.5</v>
      </c>
      <c r="AZ1877">
        <v>2.4</v>
      </c>
      <c r="BA1877">
        <v>10.9</v>
      </c>
      <c r="BB1877">
        <v>564</v>
      </c>
      <c r="BC1877">
        <v>68</v>
      </c>
      <c r="BD1877">
        <v>1.5</v>
      </c>
      <c r="BE1877">
        <v>135</v>
      </c>
      <c r="BF1877">
        <v>0</v>
      </c>
      <c r="BG1877">
        <v>162</v>
      </c>
      <c r="BH1877">
        <v>9.1</v>
      </c>
      <c r="BI1877">
        <v>9.1999999999999993</v>
      </c>
      <c r="BJ1877">
        <v>18.3</v>
      </c>
      <c r="BK1877">
        <v>0.34</v>
      </c>
      <c r="BL1877">
        <v>7.3</v>
      </c>
      <c r="BM1877">
        <v>0.9</v>
      </c>
      <c r="BN1877">
        <v>7.5</v>
      </c>
      <c r="BO1877">
        <v>2.9</v>
      </c>
      <c r="BP1877">
        <f t="shared" si="58"/>
        <v>1.9694510528612701</v>
      </c>
      <c r="BQ1877">
        <f t="shared" si="59"/>
        <v>9.9036315269693436</v>
      </c>
    </row>
    <row r="1878" spans="1:69" hidden="1" x14ac:dyDescent="0.2">
      <c r="A1878" t="s">
        <v>4143</v>
      </c>
      <c r="B1878" t="s">
        <v>68</v>
      </c>
      <c r="C1878" t="s">
        <v>3294</v>
      </c>
      <c r="D1878" t="s">
        <v>70</v>
      </c>
      <c r="E1878" t="s">
        <v>326</v>
      </c>
      <c r="F1878">
        <v>4</v>
      </c>
      <c r="G1878">
        <v>35.08</v>
      </c>
      <c r="H1878">
        <v>1</v>
      </c>
      <c r="I1878">
        <v>1</v>
      </c>
      <c r="J1878">
        <v>1</v>
      </c>
      <c r="K1878" t="s">
        <v>110</v>
      </c>
      <c r="L1878" t="s">
        <v>111</v>
      </c>
      <c r="M1878" s="4">
        <v>235000000</v>
      </c>
      <c r="N1878">
        <v>0</v>
      </c>
      <c r="O1878">
        <v>4.7473778720000004</v>
      </c>
      <c r="P1878">
        <v>-74.025344849999996</v>
      </c>
      <c r="Q1878" t="s">
        <v>4144</v>
      </c>
      <c r="R1878">
        <v>6698973.7740000002</v>
      </c>
      <c r="S1878">
        <v>0</v>
      </c>
      <c r="T1878" t="s">
        <v>104</v>
      </c>
      <c r="U1878" t="s">
        <v>105</v>
      </c>
      <c r="V1878" t="s">
        <v>77</v>
      </c>
      <c r="W1878" t="s">
        <v>104</v>
      </c>
      <c r="X1878" t="s">
        <v>106</v>
      </c>
      <c r="Y1878">
        <v>4.1601507162880598</v>
      </c>
      <c r="Z1878">
        <v>4160.1507162880598</v>
      </c>
      <c r="AA1878">
        <v>4.71035</v>
      </c>
      <c r="AB1878">
        <v>-74.030416666666696</v>
      </c>
      <c r="AC1878">
        <v>2570</v>
      </c>
      <c r="AD1878">
        <v>10</v>
      </c>
      <c r="AE1878" t="s">
        <v>80</v>
      </c>
      <c r="AF1878" t="s">
        <v>107</v>
      </c>
      <c r="AG1878" t="s">
        <v>82</v>
      </c>
      <c r="AH1878" t="s">
        <v>83</v>
      </c>
      <c r="AI1878" t="s">
        <v>108</v>
      </c>
      <c r="AJ1878">
        <v>2.4306188228005201</v>
      </c>
      <c r="AK1878">
        <v>0.57043560649590697</v>
      </c>
      <c r="AL1878">
        <v>0.20659774556529101</v>
      </c>
      <c r="AM1878">
        <v>0.62851379511449801</v>
      </c>
      <c r="AN1878">
        <v>0.66351148287764905</v>
      </c>
      <c r="AO1878">
        <v>0.441633084097802</v>
      </c>
      <c r="AP1878">
        <v>0.441633084097802</v>
      </c>
      <c r="AQ1878">
        <v>0</v>
      </c>
      <c r="AR1878">
        <v>0</v>
      </c>
      <c r="AS1878">
        <v>0</v>
      </c>
      <c r="AT1878">
        <v>29</v>
      </c>
      <c r="AU1878">
        <v>3</v>
      </c>
      <c r="AV1878">
        <v>4</v>
      </c>
      <c r="AW1878">
        <v>1</v>
      </c>
      <c r="AX1878">
        <v>0</v>
      </c>
      <c r="AY1878">
        <v>15.5</v>
      </c>
      <c r="AZ1878">
        <v>2.4</v>
      </c>
      <c r="BA1878">
        <v>10.9</v>
      </c>
      <c r="BB1878">
        <v>564</v>
      </c>
      <c r="BC1878">
        <v>68</v>
      </c>
      <c r="BD1878">
        <v>1.5</v>
      </c>
      <c r="BE1878">
        <v>135</v>
      </c>
      <c r="BF1878">
        <v>0</v>
      </c>
      <c r="BG1878">
        <v>162</v>
      </c>
      <c r="BH1878">
        <v>9.1</v>
      </c>
      <c r="BI1878">
        <v>9.1999999999999993</v>
      </c>
      <c r="BJ1878">
        <v>18.3</v>
      </c>
      <c r="BK1878">
        <v>0.34</v>
      </c>
      <c r="BL1878">
        <v>7.3</v>
      </c>
      <c r="BM1878">
        <v>0.9</v>
      </c>
      <c r="BN1878">
        <v>7.5</v>
      </c>
      <c r="BO1878">
        <v>2.9</v>
      </c>
      <c r="BP1878">
        <f t="shared" si="58"/>
        <v>1.953341072410071</v>
      </c>
      <c r="BQ1878">
        <f t="shared" si="59"/>
        <v>9.8642703382850971</v>
      </c>
    </row>
    <row r="1879" spans="1:69" hidden="1" x14ac:dyDescent="0.2">
      <c r="A1879" t="s">
        <v>4583</v>
      </c>
      <c r="B1879" t="s">
        <v>68</v>
      </c>
      <c r="C1879" t="s">
        <v>3294</v>
      </c>
      <c r="D1879" t="s">
        <v>70</v>
      </c>
      <c r="E1879" t="s">
        <v>4584</v>
      </c>
      <c r="F1879">
        <v>3</v>
      </c>
      <c r="G1879">
        <v>35</v>
      </c>
      <c r="H1879">
        <v>1</v>
      </c>
      <c r="I1879">
        <v>1</v>
      </c>
      <c r="J1879">
        <v>0</v>
      </c>
      <c r="K1879" t="s">
        <v>110</v>
      </c>
      <c r="L1879" t="s">
        <v>111</v>
      </c>
      <c r="M1879" s="4">
        <v>225000000</v>
      </c>
      <c r="N1879">
        <v>0</v>
      </c>
      <c r="O1879">
        <v>4.7488400999999998</v>
      </c>
      <c r="P1879">
        <v>-74.027181400000003</v>
      </c>
      <c r="Q1879" t="s">
        <v>4585</v>
      </c>
      <c r="R1879">
        <v>6428571.4289999995</v>
      </c>
      <c r="S1879">
        <v>0</v>
      </c>
      <c r="T1879" t="s">
        <v>104</v>
      </c>
      <c r="U1879" t="s">
        <v>105</v>
      </c>
      <c r="V1879" t="s">
        <v>77</v>
      </c>
      <c r="W1879" t="s">
        <v>104</v>
      </c>
      <c r="X1879" t="s">
        <v>106</v>
      </c>
      <c r="Y1879">
        <v>4.2997051913261899</v>
      </c>
      <c r="Z1879">
        <v>4299.7051913261903</v>
      </c>
      <c r="AA1879">
        <v>4.71035</v>
      </c>
      <c r="AB1879">
        <v>-74.030416666666696</v>
      </c>
      <c r="AC1879">
        <v>2570</v>
      </c>
      <c r="AD1879">
        <v>10</v>
      </c>
      <c r="AE1879" t="s">
        <v>80</v>
      </c>
      <c r="AF1879" t="s">
        <v>107</v>
      </c>
      <c r="AG1879" t="s">
        <v>82</v>
      </c>
      <c r="AH1879" t="s">
        <v>83</v>
      </c>
      <c r="AI1879" t="s">
        <v>108</v>
      </c>
      <c r="AJ1879">
        <v>2.1868079186565499</v>
      </c>
      <c r="AK1879">
        <v>0.74301093231608595</v>
      </c>
      <c r="AL1879">
        <v>0.17315534963458901</v>
      </c>
      <c r="AM1879">
        <v>0.812274986499817</v>
      </c>
      <c r="AN1879">
        <v>0.80857017245351104</v>
      </c>
      <c r="AO1879">
        <v>0.22128988675810901</v>
      </c>
      <c r="AP1879">
        <v>0.22128988675810901</v>
      </c>
      <c r="AQ1879">
        <v>0</v>
      </c>
      <c r="AR1879">
        <v>0</v>
      </c>
      <c r="AS1879">
        <v>0</v>
      </c>
      <c r="AT1879">
        <v>11</v>
      </c>
      <c r="AU1879">
        <v>3</v>
      </c>
      <c r="AV1879">
        <v>2</v>
      </c>
      <c r="AW1879">
        <v>1</v>
      </c>
      <c r="AX1879">
        <v>0</v>
      </c>
      <c r="AY1879">
        <v>15.5</v>
      </c>
      <c r="AZ1879">
        <v>2.4</v>
      </c>
      <c r="BA1879">
        <v>10.9</v>
      </c>
      <c r="BB1879">
        <v>564</v>
      </c>
      <c r="BC1879">
        <v>68</v>
      </c>
      <c r="BD1879">
        <v>1.5</v>
      </c>
      <c r="BE1879">
        <v>135</v>
      </c>
      <c r="BF1879">
        <v>0</v>
      </c>
      <c r="BG1879">
        <v>162</v>
      </c>
      <c r="BH1879">
        <v>9.1</v>
      </c>
      <c r="BI1879">
        <v>9.1999999999999993</v>
      </c>
      <c r="BJ1879">
        <v>18.3</v>
      </c>
      <c r="BK1879">
        <v>0.34</v>
      </c>
      <c r="BL1879">
        <v>7.3</v>
      </c>
      <c r="BM1879">
        <v>0.9</v>
      </c>
      <c r="BN1879">
        <v>7.5</v>
      </c>
      <c r="BO1879">
        <v>2.9</v>
      </c>
      <c r="BP1879">
        <f t="shared" si="58"/>
        <v>1.9398939960737487</v>
      </c>
      <c r="BQ1879">
        <f t="shared" si="59"/>
        <v>9.8312871309201277</v>
      </c>
    </row>
    <row r="1880" spans="1:69" hidden="1" x14ac:dyDescent="0.2">
      <c r="A1880" t="s">
        <v>4065</v>
      </c>
      <c r="B1880" t="s">
        <v>68</v>
      </c>
      <c r="C1880" t="s">
        <v>3294</v>
      </c>
      <c r="D1880" t="s">
        <v>70</v>
      </c>
      <c r="E1880" t="s">
        <v>4066</v>
      </c>
      <c r="F1880">
        <v>4</v>
      </c>
      <c r="G1880">
        <v>35</v>
      </c>
      <c r="H1880">
        <v>1</v>
      </c>
      <c r="I1880">
        <v>1</v>
      </c>
      <c r="J1880">
        <v>0</v>
      </c>
      <c r="K1880" t="s">
        <v>110</v>
      </c>
      <c r="L1880" t="s">
        <v>111</v>
      </c>
      <c r="M1880" s="4">
        <v>220000000</v>
      </c>
      <c r="N1880">
        <v>0</v>
      </c>
      <c r="O1880">
        <v>4.7488400999999998</v>
      </c>
      <c r="P1880">
        <v>-74.027181400000003</v>
      </c>
      <c r="Q1880" t="s">
        <v>4067</v>
      </c>
      <c r="R1880">
        <v>6285714.2860000003</v>
      </c>
      <c r="S1880">
        <v>0</v>
      </c>
      <c r="T1880" t="s">
        <v>104</v>
      </c>
      <c r="U1880" t="s">
        <v>105</v>
      </c>
      <c r="V1880" t="s">
        <v>77</v>
      </c>
      <c r="W1880" t="s">
        <v>104</v>
      </c>
      <c r="X1880" t="s">
        <v>106</v>
      </c>
      <c r="Y1880">
        <v>4.2997051913261899</v>
      </c>
      <c r="Z1880">
        <v>4299.7051913261903</v>
      </c>
      <c r="AA1880">
        <v>4.71035</v>
      </c>
      <c r="AB1880">
        <v>-74.030416666666696</v>
      </c>
      <c r="AC1880">
        <v>2570</v>
      </c>
      <c r="AD1880">
        <v>10</v>
      </c>
      <c r="AE1880" t="s">
        <v>80</v>
      </c>
      <c r="AF1880" t="s">
        <v>107</v>
      </c>
      <c r="AG1880" t="s">
        <v>82</v>
      </c>
      <c r="AH1880" t="s">
        <v>83</v>
      </c>
      <c r="AI1880" t="s">
        <v>108</v>
      </c>
      <c r="AJ1880">
        <v>2.1868079186565499</v>
      </c>
      <c r="AK1880">
        <v>0.74301093231608595</v>
      </c>
      <c r="AL1880">
        <v>0.17315534963458901</v>
      </c>
      <c r="AM1880">
        <v>0.812274986499817</v>
      </c>
      <c r="AN1880">
        <v>0.80857017245351104</v>
      </c>
      <c r="AO1880">
        <v>0.22128988675810901</v>
      </c>
      <c r="AP1880">
        <v>0.22128988675810901</v>
      </c>
      <c r="AQ1880">
        <v>0</v>
      </c>
      <c r="AR1880">
        <v>0</v>
      </c>
      <c r="AS1880">
        <v>0</v>
      </c>
      <c r="AT1880">
        <v>11</v>
      </c>
      <c r="AU1880">
        <v>3</v>
      </c>
      <c r="AV1880">
        <v>2</v>
      </c>
      <c r="AW1880">
        <v>1</v>
      </c>
      <c r="AX1880">
        <v>0</v>
      </c>
      <c r="AY1880">
        <v>15.5</v>
      </c>
      <c r="AZ1880">
        <v>2.4</v>
      </c>
      <c r="BA1880">
        <v>10.9</v>
      </c>
      <c r="BB1880">
        <v>564</v>
      </c>
      <c r="BC1880">
        <v>68</v>
      </c>
      <c r="BD1880">
        <v>1.5</v>
      </c>
      <c r="BE1880">
        <v>135</v>
      </c>
      <c r="BF1880">
        <v>0</v>
      </c>
      <c r="BG1880">
        <v>162</v>
      </c>
      <c r="BH1880">
        <v>9.1</v>
      </c>
      <c r="BI1880">
        <v>9.1999999999999993</v>
      </c>
      <c r="BJ1880">
        <v>18.3</v>
      </c>
      <c r="BK1880">
        <v>0.34</v>
      </c>
      <c r="BL1880">
        <v>7.3</v>
      </c>
      <c r="BM1880">
        <v>0.9</v>
      </c>
      <c r="BN1880">
        <v>7.5</v>
      </c>
      <c r="BO1880">
        <v>2.9</v>
      </c>
      <c r="BP1880">
        <f t="shared" si="58"/>
        <v>1.9398939960737487</v>
      </c>
      <c r="BQ1880">
        <f t="shared" si="59"/>
        <v>9.8312871309201277</v>
      </c>
    </row>
    <row r="1881" spans="1:69" hidden="1" x14ac:dyDescent="0.2">
      <c r="A1881" t="s">
        <v>4095</v>
      </c>
      <c r="B1881" t="s">
        <v>68</v>
      </c>
      <c r="C1881" t="s">
        <v>3294</v>
      </c>
      <c r="D1881" t="s">
        <v>70</v>
      </c>
      <c r="E1881" t="s">
        <v>326</v>
      </c>
      <c r="F1881">
        <v>4</v>
      </c>
      <c r="G1881">
        <v>35</v>
      </c>
      <c r="H1881">
        <v>1</v>
      </c>
      <c r="I1881">
        <v>1</v>
      </c>
      <c r="J1881">
        <v>1</v>
      </c>
      <c r="K1881" t="s">
        <v>110</v>
      </c>
      <c r="L1881" t="s">
        <v>111</v>
      </c>
      <c r="M1881" s="4">
        <v>231000000</v>
      </c>
      <c r="N1881">
        <v>0</v>
      </c>
      <c r="O1881">
        <v>4.7480945590000001</v>
      </c>
      <c r="P1881">
        <v>-74.027259830000006</v>
      </c>
      <c r="Q1881" t="s">
        <v>4096</v>
      </c>
      <c r="R1881">
        <v>6600000</v>
      </c>
      <c r="S1881">
        <v>0</v>
      </c>
      <c r="T1881" t="s">
        <v>104</v>
      </c>
      <c r="U1881" t="s">
        <v>105</v>
      </c>
      <c r="V1881" t="s">
        <v>77</v>
      </c>
      <c r="W1881" t="s">
        <v>104</v>
      </c>
      <c r="X1881" t="s">
        <v>106</v>
      </c>
      <c r="Y1881">
        <v>4.21627565727242</v>
      </c>
      <c r="Z1881">
        <v>4216.2756572724202</v>
      </c>
      <c r="AA1881">
        <v>4.71035</v>
      </c>
      <c r="AB1881">
        <v>-74.030416666666696</v>
      </c>
      <c r="AC1881">
        <v>2570</v>
      </c>
      <c r="AD1881">
        <v>10</v>
      </c>
      <c r="AE1881" t="s">
        <v>80</v>
      </c>
      <c r="AF1881" t="s">
        <v>107</v>
      </c>
      <c r="AG1881" t="s">
        <v>82</v>
      </c>
      <c r="AH1881" t="s">
        <v>83</v>
      </c>
      <c r="AI1881" t="s">
        <v>108</v>
      </c>
      <c r="AJ1881">
        <v>2.2040718727106401</v>
      </c>
      <c r="AK1881">
        <v>0.75926271503128495</v>
      </c>
      <c r="AL1881">
        <v>9.0944935654953707E-2</v>
      </c>
      <c r="AM1881">
        <v>0.73765152346276697</v>
      </c>
      <c r="AN1881">
        <v>0.72700206218890195</v>
      </c>
      <c r="AO1881">
        <v>0.21937538717999899</v>
      </c>
      <c r="AP1881">
        <v>0.21937538717999899</v>
      </c>
      <c r="AQ1881">
        <v>0</v>
      </c>
      <c r="AR1881">
        <v>0</v>
      </c>
      <c r="AS1881">
        <v>0</v>
      </c>
      <c r="AT1881">
        <v>13</v>
      </c>
      <c r="AU1881">
        <v>3</v>
      </c>
      <c r="AV1881">
        <v>3</v>
      </c>
      <c r="AW1881">
        <v>1</v>
      </c>
      <c r="AX1881">
        <v>0</v>
      </c>
      <c r="AY1881">
        <v>15.5</v>
      </c>
      <c r="AZ1881">
        <v>2.4</v>
      </c>
      <c r="BA1881">
        <v>10.9</v>
      </c>
      <c r="BB1881">
        <v>564</v>
      </c>
      <c r="BC1881">
        <v>68</v>
      </c>
      <c r="BD1881">
        <v>1.5</v>
      </c>
      <c r="BE1881">
        <v>135</v>
      </c>
      <c r="BF1881">
        <v>0</v>
      </c>
      <c r="BG1881">
        <v>162</v>
      </c>
      <c r="BH1881">
        <v>9.1</v>
      </c>
      <c r="BI1881">
        <v>9.1999999999999993</v>
      </c>
      <c r="BJ1881">
        <v>18.3</v>
      </c>
      <c r="BK1881">
        <v>0.34</v>
      </c>
      <c r="BL1881">
        <v>7.3</v>
      </c>
      <c r="BM1881">
        <v>0.9</v>
      </c>
      <c r="BN1881">
        <v>7.5</v>
      </c>
      <c r="BO1881">
        <v>2.9</v>
      </c>
      <c r="BP1881">
        <f t="shared" si="58"/>
        <v>1.9479218616352063</v>
      </c>
      <c r="BQ1881">
        <f t="shared" si="59"/>
        <v>9.8509921249858614</v>
      </c>
    </row>
    <row r="1882" spans="1:69" hidden="1" x14ac:dyDescent="0.2">
      <c r="A1882" t="s">
        <v>1596</v>
      </c>
      <c r="B1882" t="s">
        <v>68</v>
      </c>
      <c r="C1882" t="s">
        <v>69</v>
      </c>
      <c r="D1882" t="s">
        <v>70</v>
      </c>
      <c r="E1882" t="s">
        <v>326</v>
      </c>
      <c r="F1882">
        <v>4</v>
      </c>
      <c r="G1882">
        <v>35</v>
      </c>
      <c r="H1882">
        <v>1</v>
      </c>
      <c r="I1882">
        <v>1</v>
      </c>
      <c r="J1882">
        <v>0</v>
      </c>
      <c r="K1882" t="s">
        <v>110</v>
      </c>
      <c r="L1882" t="s">
        <v>111</v>
      </c>
      <c r="M1882" s="4">
        <v>240000000</v>
      </c>
      <c r="N1882">
        <v>0</v>
      </c>
      <c r="O1882">
        <v>4.7475705149999996</v>
      </c>
      <c r="P1882">
        <v>-74.027061459999999</v>
      </c>
      <c r="Q1882" t="s">
        <v>1597</v>
      </c>
      <c r="R1882">
        <v>6857142.8569999998</v>
      </c>
      <c r="S1882">
        <v>0</v>
      </c>
      <c r="T1882" t="s">
        <v>104</v>
      </c>
      <c r="U1882" t="s">
        <v>105</v>
      </c>
      <c r="V1882" t="s">
        <v>77</v>
      </c>
      <c r="W1882" t="s">
        <v>104</v>
      </c>
      <c r="X1882" t="s">
        <v>106</v>
      </c>
      <c r="Y1882">
        <v>4.1600551476860304</v>
      </c>
      <c r="Z1882">
        <v>4160.0551476860301</v>
      </c>
      <c r="AA1882">
        <v>4.71035</v>
      </c>
      <c r="AB1882">
        <v>-74.030416666666696</v>
      </c>
      <c r="AC1882">
        <v>2570</v>
      </c>
      <c r="AD1882">
        <v>10</v>
      </c>
      <c r="AE1882" t="s">
        <v>80</v>
      </c>
      <c r="AF1882" t="s">
        <v>107</v>
      </c>
      <c r="AG1882" t="s">
        <v>82</v>
      </c>
      <c r="AH1882" t="s">
        <v>83</v>
      </c>
      <c r="AI1882" t="s">
        <v>108</v>
      </c>
      <c r="AJ1882">
        <v>2.2440630832381601</v>
      </c>
      <c r="AK1882">
        <v>0.74802179859555495</v>
      </c>
      <c r="AL1882">
        <v>3.6503519856919901E-2</v>
      </c>
      <c r="AM1882">
        <v>0.70296385751198898</v>
      </c>
      <c r="AN1882">
        <v>0.66773011009583505</v>
      </c>
      <c r="AO1882">
        <v>0.25209549042093599</v>
      </c>
      <c r="AP1882">
        <v>0.25209549042093599</v>
      </c>
      <c r="AQ1882">
        <v>0</v>
      </c>
      <c r="AR1882">
        <v>0</v>
      </c>
      <c r="AS1882">
        <v>0</v>
      </c>
      <c r="AT1882">
        <v>18</v>
      </c>
      <c r="AU1882">
        <v>3</v>
      </c>
      <c r="AV1882">
        <v>5</v>
      </c>
      <c r="AW1882">
        <v>1</v>
      </c>
      <c r="AX1882">
        <v>0</v>
      </c>
      <c r="AY1882">
        <v>15.5</v>
      </c>
      <c r="AZ1882">
        <v>2.4</v>
      </c>
      <c r="BA1882">
        <v>10.9</v>
      </c>
      <c r="BB1882">
        <v>564</v>
      </c>
      <c r="BC1882">
        <v>68</v>
      </c>
      <c r="BD1882">
        <v>1.5</v>
      </c>
      <c r="BE1882">
        <v>135</v>
      </c>
      <c r="BF1882">
        <v>0</v>
      </c>
      <c r="BG1882">
        <v>162</v>
      </c>
      <c r="BH1882">
        <v>9.1</v>
      </c>
      <c r="BI1882">
        <v>9.1999999999999993</v>
      </c>
      <c r="BJ1882">
        <v>18.3</v>
      </c>
      <c r="BK1882">
        <v>0.34</v>
      </c>
      <c r="BL1882">
        <v>7.3</v>
      </c>
      <c r="BM1882">
        <v>0.9</v>
      </c>
      <c r="BN1882">
        <v>7.5</v>
      </c>
      <c r="BO1882">
        <v>2.9</v>
      </c>
      <c r="BP1882">
        <f t="shared" si="58"/>
        <v>1.9533503129966692</v>
      </c>
      <c r="BQ1882">
        <f t="shared" si="59"/>
        <v>9.8642929634596737</v>
      </c>
    </row>
    <row r="1883" spans="1:69" hidden="1" x14ac:dyDescent="0.2">
      <c r="A1883" t="s">
        <v>3982</v>
      </c>
      <c r="B1883" t="s">
        <v>68</v>
      </c>
      <c r="C1883" t="s">
        <v>3294</v>
      </c>
      <c r="D1883" t="s">
        <v>70</v>
      </c>
      <c r="E1883" t="s">
        <v>1074</v>
      </c>
      <c r="F1883">
        <v>6</v>
      </c>
      <c r="G1883">
        <v>35</v>
      </c>
      <c r="H1883">
        <v>1</v>
      </c>
      <c r="I1883">
        <v>1</v>
      </c>
      <c r="J1883">
        <v>1</v>
      </c>
      <c r="K1883" t="s">
        <v>110</v>
      </c>
      <c r="L1883" t="s">
        <v>111</v>
      </c>
      <c r="M1883" s="4">
        <v>490000000</v>
      </c>
      <c r="N1883">
        <v>0</v>
      </c>
      <c r="O1883">
        <v>4.6832242009999998</v>
      </c>
      <c r="P1883">
        <v>-74.055984499999994</v>
      </c>
      <c r="Q1883" t="s">
        <v>3983</v>
      </c>
      <c r="R1883">
        <v>14000000</v>
      </c>
      <c r="S1883">
        <v>0</v>
      </c>
      <c r="T1883" t="s">
        <v>104</v>
      </c>
      <c r="U1883" t="s">
        <v>105</v>
      </c>
      <c r="V1883" t="s">
        <v>77</v>
      </c>
      <c r="W1883" t="s">
        <v>104</v>
      </c>
      <c r="X1883" t="s">
        <v>106</v>
      </c>
      <c r="Y1883">
        <v>4.14302979186738</v>
      </c>
      <c r="Z1883">
        <v>4143.0297918673796</v>
      </c>
      <c r="AA1883">
        <v>4.71035</v>
      </c>
      <c r="AB1883">
        <v>-74.030416666666696</v>
      </c>
      <c r="AC1883">
        <v>2570</v>
      </c>
      <c r="AD1883">
        <v>10</v>
      </c>
      <c r="AE1883" t="s">
        <v>80</v>
      </c>
      <c r="AF1883" t="s">
        <v>107</v>
      </c>
      <c r="AG1883" t="s">
        <v>82</v>
      </c>
      <c r="AH1883" t="s">
        <v>83</v>
      </c>
      <c r="AI1883" t="s">
        <v>130</v>
      </c>
      <c r="AJ1883">
        <v>0.207668106354437</v>
      </c>
      <c r="AK1883">
        <v>2.09329747401237</v>
      </c>
      <c r="AL1883">
        <v>0.45002325994134401</v>
      </c>
      <c r="AM1883">
        <v>0.103851541631804</v>
      </c>
      <c r="AN1883">
        <v>3.0520333267352102</v>
      </c>
      <c r="AO1883">
        <v>0.25056051684137098</v>
      </c>
      <c r="AP1883">
        <v>0.25056051684137098</v>
      </c>
      <c r="AQ1883">
        <v>1</v>
      </c>
      <c r="AR1883">
        <v>3</v>
      </c>
      <c r="AS1883">
        <v>0</v>
      </c>
      <c r="AT1883">
        <v>0</v>
      </c>
      <c r="AU1883">
        <v>5</v>
      </c>
      <c r="AV1883">
        <v>249</v>
      </c>
      <c r="AW1883">
        <v>0</v>
      </c>
      <c r="AX1883">
        <v>0</v>
      </c>
      <c r="AY1883">
        <v>15.5</v>
      </c>
      <c r="AZ1883">
        <v>2.4</v>
      </c>
      <c r="BA1883">
        <v>10.9</v>
      </c>
      <c r="BB1883">
        <v>564</v>
      </c>
      <c r="BC1883">
        <v>68</v>
      </c>
      <c r="BD1883">
        <v>1.5</v>
      </c>
      <c r="BE1883">
        <v>135</v>
      </c>
      <c r="BF1883">
        <v>0</v>
      </c>
      <c r="BG1883">
        <v>162</v>
      </c>
      <c r="BH1883">
        <v>9.1</v>
      </c>
      <c r="BI1883">
        <v>9.1999999999999993</v>
      </c>
      <c r="BJ1883">
        <v>18.3</v>
      </c>
      <c r="BK1883">
        <v>0.34</v>
      </c>
      <c r="BL1883">
        <v>7.3</v>
      </c>
      <c r="BM1883">
        <v>0.9</v>
      </c>
      <c r="BN1883">
        <v>7.5</v>
      </c>
      <c r="BO1883">
        <v>2.9</v>
      </c>
      <c r="BP1883">
        <f t="shared" si="58"/>
        <v>1.9549972028254108</v>
      </c>
      <c r="BQ1883">
        <f t="shared" si="59"/>
        <v>9.8683244213901062</v>
      </c>
    </row>
    <row r="1884" spans="1:69" hidden="1" x14ac:dyDescent="0.2">
      <c r="A1884" t="s">
        <v>3986</v>
      </c>
      <c r="B1884" t="s">
        <v>68</v>
      </c>
      <c r="C1884" t="s">
        <v>3294</v>
      </c>
      <c r="D1884" t="s">
        <v>70</v>
      </c>
      <c r="E1884" t="s">
        <v>1074</v>
      </c>
      <c r="F1884">
        <v>6</v>
      </c>
      <c r="G1884">
        <v>35</v>
      </c>
      <c r="H1884">
        <v>1</v>
      </c>
      <c r="I1884">
        <v>1</v>
      </c>
      <c r="J1884">
        <v>1</v>
      </c>
      <c r="K1884" t="s">
        <v>110</v>
      </c>
      <c r="L1884" t="s">
        <v>111</v>
      </c>
      <c r="M1884" s="4">
        <v>490000000</v>
      </c>
      <c r="N1884">
        <v>0</v>
      </c>
      <c r="O1884">
        <v>4.6832242009999998</v>
      </c>
      <c r="P1884">
        <v>-74.055984499999994</v>
      </c>
      <c r="Q1884" t="s">
        <v>3987</v>
      </c>
      <c r="R1884">
        <v>14000000</v>
      </c>
      <c r="S1884">
        <v>0</v>
      </c>
      <c r="T1884" t="s">
        <v>104</v>
      </c>
      <c r="U1884" t="s">
        <v>105</v>
      </c>
      <c r="V1884" t="s">
        <v>77</v>
      </c>
      <c r="W1884" t="s">
        <v>104</v>
      </c>
      <c r="X1884" t="s">
        <v>106</v>
      </c>
      <c r="Y1884">
        <v>4.14302979186738</v>
      </c>
      <c r="Z1884">
        <v>4143.0297918673796</v>
      </c>
      <c r="AA1884">
        <v>4.71035</v>
      </c>
      <c r="AB1884">
        <v>-74.030416666666696</v>
      </c>
      <c r="AC1884">
        <v>2570</v>
      </c>
      <c r="AD1884">
        <v>10</v>
      </c>
      <c r="AE1884" t="s">
        <v>80</v>
      </c>
      <c r="AF1884" t="s">
        <v>107</v>
      </c>
      <c r="AG1884" t="s">
        <v>82</v>
      </c>
      <c r="AH1884" t="s">
        <v>83</v>
      </c>
      <c r="AI1884" t="s">
        <v>130</v>
      </c>
      <c r="AJ1884">
        <v>0.207668106354437</v>
      </c>
      <c r="AK1884">
        <v>2.09329747401237</v>
      </c>
      <c r="AL1884">
        <v>0.45002325994134401</v>
      </c>
      <c r="AM1884">
        <v>0.103851541631804</v>
      </c>
      <c r="AN1884">
        <v>3.0520333267352102</v>
      </c>
      <c r="AO1884">
        <v>0.25056051684137098</v>
      </c>
      <c r="AP1884">
        <v>0.25056051684137098</v>
      </c>
      <c r="AQ1884">
        <v>1</v>
      </c>
      <c r="AR1884">
        <v>3</v>
      </c>
      <c r="AS1884">
        <v>0</v>
      </c>
      <c r="AT1884">
        <v>0</v>
      </c>
      <c r="AU1884">
        <v>5</v>
      </c>
      <c r="AV1884">
        <v>249</v>
      </c>
      <c r="AW1884">
        <v>0</v>
      </c>
      <c r="AX1884">
        <v>0</v>
      </c>
      <c r="AY1884">
        <v>15.5</v>
      </c>
      <c r="AZ1884">
        <v>2.4</v>
      </c>
      <c r="BA1884">
        <v>10.9</v>
      </c>
      <c r="BB1884">
        <v>564</v>
      </c>
      <c r="BC1884">
        <v>68</v>
      </c>
      <c r="BD1884">
        <v>1.5</v>
      </c>
      <c r="BE1884">
        <v>135</v>
      </c>
      <c r="BF1884">
        <v>0</v>
      </c>
      <c r="BG1884">
        <v>162</v>
      </c>
      <c r="BH1884">
        <v>9.1</v>
      </c>
      <c r="BI1884">
        <v>9.1999999999999993</v>
      </c>
      <c r="BJ1884">
        <v>18.3</v>
      </c>
      <c r="BK1884">
        <v>0.34</v>
      </c>
      <c r="BL1884">
        <v>7.3</v>
      </c>
      <c r="BM1884">
        <v>0.9</v>
      </c>
      <c r="BN1884">
        <v>7.5</v>
      </c>
      <c r="BO1884">
        <v>2.9</v>
      </c>
      <c r="BP1884">
        <f t="shared" si="58"/>
        <v>1.9549972028254108</v>
      </c>
      <c r="BQ1884">
        <f t="shared" si="59"/>
        <v>9.8683244213901062</v>
      </c>
    </row>
    <row r="1885" spans="1:69" hidden="1" x14ac:dyDescent="0.2">
      <c r="A1885" t="s">
        <v>3954</v>
      </c>
      <c r="B1885" t="s">
        <v>68</v>
      </c>
      <c r="C1885" t="s">
        <v>3294</v>
      </c>
      <c r="D1885" t="s">
        <v>70</v>
      </c>
      <c r="E1885" t="s">
        <v>132</v>
      </c>
      <c r="F1885">
        <v>6</v>
      </c>
      <c r="G1885">
        <v>35</v>
      </c>
      <c r="H1885">
        <v>1</v>
      </c>
      <c r="I1885">
        <v>1</v>
      </c>
      <c r="J1885">
        <v>1</v>
      </c>
      <c r="K1885" t="s">
        <v>110</v>
      </c>
      <c r="L1885" t="s">
        <v>111</v>
      </c>
      <c r="M1885" s="4">
        <v>490000000</v>
      </c>
      <c r="N1885">
        <v>0</v>
      </c>
      <c r="O1885">
        <v>4.6832241000000003</v>
      </c>
      <c r="P1885">
        <v>-74.055982799999995</v>
      </c>
      <c r="Q1885" t="s">
        <v>3955</v>
      </c>
      <c r="R1885">
        <v>14000000</v>
      </c>
      <c r="S1885">
        <v>0</v>
      </c>
      <c r="T1885" t="s">
        <v>104</v>
      </c>
      <c r="U1885" t="s">
        <v>105</v>
      </c>
      <c r="V1885" t="s">
        <v>77</v>
      </c>
      <c r="W1885" t="s">
        <v>104</v>
      </c>
      <c r="X1885" t="s">
        <v>106</v>
      </c>
      <c r="Y1885">
        <v>4.1429088536875804</v>
      </c>
      <c r="Z1885">
        <v>4142.9088536875797</v>
      </c>
      <c r="AA1885">
        <v>4.71035</v>
      </c>
      <c r="AB1885">
        <v>-74.030416666666696</v>
      </c>
      <c r="AC1885">
        <v>2570</v>
      </c>
      <c r="AD1885">
        <v>10</v>
      </c>
      <c r="AE1885" t="s">
        <v>80</v>
      </c>
      <c r="AF1885" t="s">
        <v>107</v>
      </c>
      <c r="AG1885" t="s">
        <v>82</v>
      </c>
      <c r="AH1885" t="s">
        <v>83</v>
      </c>
      <c r="AI1885" t="s">
        <v>130</v>
      </c>
      <c r="AJ1885">
        <v>0.20784631608352799</v>
      </c>
      <c r="AK1885">
        <v>2.09312842343143</v>
      </c>
      <c r="AL1885">
        <v>0.44988270891597099</v>
      </c>
      <c r="AM1885">
        <v>0.104016267640442</v>
      </c>
      <c r="AN1885">
        <v>3.0522067366010002</v>
      </c>
      <c r="AO1885">
        <v>0.25074803894300801</v>
      </c>
      <c r="AP1885">
        <v>0.25074803894300801</v>
      </c>
      <c r="AQ1885">
        <v>1</v>
      </c>
      <c r="AR1885">
        <v>3</v>
      </c>
      <c r="AS1885">
        <v>0</v>
      </c>
      <c r="AT1885">
        <v>0</v>
      </c>
      <c r="AU1885">
        <v>5</v>
      </c>
      <c r="AV1885">
        <v>249</v>
      </c>
      <c r="AW1885">
        <v>0</v>
      </c>
      <c r="AX1885">
        <v>0</v>
      </c>
      <c r="AY1885">
        <v>15.5</v>
      </c>
      <c r="AZ1885">
        <v>2.4</v>
      </c>
      <c r="BA1885">
        <v>10.9</v>
      </c>
      <c r="BB1885">
        <v>564</v>
      </c>
      <c r="BC1885">
        <v>68</v>
      </c>
      <c r="BD1885">
        <v>1.5</v>
      </c>
      <c r="BE1885">
        <v>135</v>
      </c>
      <c r="BF1885">
        <v>0</v>
      </c>
      <c r="BG1885">
        <v>162</v>
      </c>
      <c r="BH1885">
        <v>9.1</v>
      </c>
      <c r="BI1885">
        <v>9.1999999999999993</v>
      </c>
      <c r="BJ1885">
        <v>18.3</v>
      </c>
      <c r="BK1885">
        <v>0.34</v>
      </c>
      <c r="BL1885">
        <v>7.3</v>
      </c>
      <c r="BM1885">
        <v>0.9</v>
      </c>
      <c r="BN1885">
        <v>7.5</v>
      </c>
      <c r="BO1885">
        <v>2.9</v>
      </c>
      <c r="BP1885">
        <f t="shared" si="58"/>
        <v>1.9550089063337017</v>
      </c>
      <c r="BQ1885">
        <f t="shared" si="59"/>
        <v>9.868353064404312</v>
      </c>
    </row>
    <row r="1886" spans="1:69" hidden="1" x14ac:dyDescent="0.2">
      <c r="A1886" t="s">
        <v>4334</v>
      </c>
      <c r="B1886" t="s">
        <v>68</v>
      </c>
      <c r="C1886" t="s">
        <v>3294</v>
      </c>
      <c r="D1886" t="s">
        <v>70</v>
      </c>
      <c r="E1886" t="s">
        <v>193</v>
      </c>
      <c r="F1886">
        <v>5</v>
      </c>
      <c r="G1886">
        <v>34.9</v>
      </c>
      <c r="H1886">
        <v>1</v>
      </c>
      <c r="I1886">
        <v>1</v>
      </c>
      <c r="J1886">
        <v>0</v>
      </c>
      <c r="K1886" t="s">
        <v>110</v>
      </c>
      <c r="L1886" t="s">
        <v>111</v>
      </c>
      <c r="M1886" s="4">
        <v>360000000</v>
      </c>
      <c r="N1886">
        <v>0</v>
      </c>
      <c r="O1886">
        <v>4.6969859549999997</v>
      </c>
      <c r="P1886">
        <v>-74.032680990000003</v>
      </c>
      <c r="Q1886" t="s">
        <v>4335</v>
      </c>
      <c r="R1886">
        <v>10315186.25</v>
      </c>
      <c r="S1886">
        <v>0</v>
      </c>
      <c r="T1886" t="s">
        <v>104</v>
      </c>
      <c r="U1886" t="s">
        <v>105</v>
      </c>
      <c r="V1886" t="s">
        <v>77</v>
      </c>
      <c r="W1886" t="s">
        <v>104</v>
      </c>
      <c r="X1886" t="s">
        <v>106</v>
      </c>
      <c r="Y1886">
        <v>1.5087400523179999</v>
      </c>
      <c r="Z1886">
        <v>1508.7400523179999</v>
      </c>
      <c r="AA1886">
        <v>4.71035</v>
      </c>
      <c r="AB1886">
        <v>-74.030416666666696</v>
      </c>
      <c r="AC1886">
        <v>2570</v>
      </c>
      <c r="AD1886">
        <v>10</v>
      </c>
      <c r="AE1886" t="s">
        <v>80</v>
      </c>
      <c r="AF1886" t="s">
        <v>107</v>
      </c>
      <c r="AG1886" t="s">
        <v>82</v>
      </c>
      <c r="AH1886" t="s">
        <v>83</v>
      </c>
      <c r="AI1886" t="s">
        <v>108</v>
      </c>
      <c r="AJ1886">
        <v>2.5120856105127198</v>
      </c>
      <c r="AK1886">
        <v>0.75784026608077903</v>
      </c>
      <c r="AL1886">
        <v>0.43211103286762298</v>
      </c>
      <c r="AM1886">
        <v>5.3394259741391802E-2</v>
      </c>
      <c r="AN1886">
        <v>4.9674135295922</v>
      </c>
      <c r="AO1886">
        <v>9.8890011000324005E-2</v>
      </c>
      <c r="AP1886">
        <v>9.8890011000324005E-2</v>
      </c>
      <c r="AQ1886">
        <v>0</v>
      </c>
      <c r="AR1886">
        <v>0</v>
      </c>
      <c r="AS1886">
        <v>0</v>
      </c>
      <c r="AT1886">
        <v>17</v>
      </c>
      <c r="AU1886">
        <v>2</v>
      </c>
      <c r="AV1886">
        <v>140</v>
      </c>
      <c r="AW1886">
        <v>0</v>
      </c>
      <c r="AX1886">
        <v>0</v>
      </c>
      <c r="AY1886">
        <v>15.5</v>
      </c>
      <c r="AZ1886">
        <v>2.4</v>
      </c>
      <c r="BA1886">
        <v>10.9</v>
      </c>
      <c r="BB1886">
        <v>564</v>
      </c>
      <c r="BC1886">
        <v>68</v>
      </c>
      <c r="BD1886">
        <v>1.5</v>
      </c>
      <c r="BE1886">
        <v>135</v>
      </c>
      <c r="BF1886">
        <v>0</v>
      </c>
      <c r="BG1886">
        <v>162</v>
      </c>
      <c r="BH1886">
        <v>9.1</v>
      </c>
      <c r="BI1886">
        <v>9.1999999999999993</v>
      </c>
      <c r="BJ1886">
        <v>18.3</v>
      </c>
      <c r="BK1886">
        <v>0.34</v>
      </c>
      <c r="BL1886">
        <v>7.3</v>
      </c>
      <c r="BM1886">
        <v>0.9</v>
      </c>
      <c r="BN1886">
        <v>7.5</v>
      </c>
      <c r="BO1886">
        <v>2.9</v>
      </c>
      <c r="BP1886">
        <f t="shared" si="58"/>
        <v>2.2272911246478246</v>
      </c>
      <c r="BQ1886">
        <f t="shared" si="59"/>
        <v>10.512373878934261</v>
      </c>
    </row>
    <row r="1887" spans="1:69" hidden="1" x14ac:dyDescent="0.2">
      <c r="A1887" t="s">
        <v>4563</v>
      </c>
      <c r="B1887" t="s">
        <v>68</v>
      </c>
      <c r="C1887" t="s">
        <v>3294</v>
      </c>
      <c r="D1887" t="s">
        <v>70</v>
      </c>
      <c r="E1887" t="s">
        <v>394</v>
      </c>
      <c r="F1887">
        <v>4</v>
      </c>
      <c r="G1887">
        <v>34.1</v>
      </c>
      <c r="H1887">
        <v>1</v>
      </c>
      <c r="I1887">
        <v>1</v>
      </c>
      <c r="J1887">
        <v>1</v>
      </c>
      <c r="K1887" t="s">
        <v>110</v>
      </c>
      <c r="L1887" t="s">
        <v>162</v>
      </c>
      <c r="M1887" s="4">
        <v>305000000</v>
      </c>
      <c r="N1887">
        <v>0</v>
      </c>
      <c r="O1887">
        <v>4.7234654000000003</v>
      </c>
      <c r="P1887">
        <v>-74.034615000000002</v>
      </c>
      <c r="Q1887" t="s">
        <v>4564</v>
      </c>
      <c r="R1887">
        <v>8944281.5250000004</v>
      </c>
      <c r="S1887">
        <v>0</v>
      </c>
      <c r="T1887" t="s">
        <v>104</v>
      </c>
      <c r="U1887" t="s">
        <v>105</v>
      </c>
      <c r="V1887" t="s">
        <v>77</v>
      </c>
      <c r="W1887" t="s">
        <v>104</v>
      </c>
      <c r="X1887" t="s">
        <v>106</v>
      </c>
      <c r="Y1887">
        <v>1.5324959708308801</v>
      </c>
      <c r="Z1887">
        <v>1532.49597083088</v>
      </c>
      <c r="AA1887">
        <v>4.71035</v>
      </c>
      <c r="AB1887">
        <v>-74.030416666666696</v>
      </c>
      <c r="AC1887">
        <v>2570</v>
      </c>
      <c r="AD1887">
        <v>10</v>
      </c>
      <c r="AE1887" t="s">
        <v>80</v>
      </c>
      <c r="AF1887" t="s">
        <v>107</v>
      </c>
      <c r="AG1887" t="s">
        <v>82</v>
      </c>
      <c r="AH1887" t="s">
        <v>83</v>
      </c>
      <c r="AI1887" t="s">
        <v>108</v>
      </c>
      <c r="AJ1887">
        <v>1.8008651917848999</v>
      </c>
      <c r="AK1887">
        <v>1.29390741779257</v>
      </c>
      <c r="AL1887">
        <v>1.1984289013663101</v>
      </c>
      <c r="AM1887">
        <v>0.43323795691124201</v>
      </c>
      <c r="AN1887">
        <v>2.1800233223363099</v>
      </c>
      <c r="AO1887">
        <v>8.00606232200291E-3</v>
      </c>
      <c r="AP1887">
        <v>8.00606232200291E-3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31</v>
      </c>
      <c r="AW1887">
        <v>0</v>
      </c>
      <c r="AX1887">
        <v>0</v>
      </c>
      <c r="AY1887">
        <v>15.5</v>
      </c>
      <c r="AZ1887">
        <v>2.4</v>
      </c>
      <c r="BA1887">
        <v>10.9</v>
      </c>
      <c r="BB1887">
        <v>564</v>
      </c>
      <c r="BC1887">
        <v>68</v>
      </c>
      <c r="BD1887">
        <v>1.5</v>
      </c>
      <c r="BE1887">
        <v>135</v>
      </c>
      <c r="BF1887">
        <v>0</v>
      </c>
      <c r="BG1887">
        <v>162</v>
      </c>
      <c r="BH1887">
        <v>9.1</v>
      </c>
      <c r="BI1887">
        <v>9.1999999999999993</v>
      </c>
      <c r="BJ1887">
        <v>18.3</v>
      </c>
      <c r="BK1887">
        <v>0.34</v>
      </c>
      <c r="BL1887">
        <v>7.3</v>
      </c>
      <c r="BM1887">
        <v>0.9</v>
      </c>
      <c r="BN1887">
        <v>7.5</v>
      </c>
      <c r="BO1887">
        <v>2.9</v>
      </c>
      <c r="BP1887">
        <f t="shared" si="58"/>
        <v>2.2246735523247652</v>
      </c>
      <c r="BQ1887">
        <f t="shared" si="59"/>
        <v>10.506382040862096</v>
      </c>
    </row>
    <row r="1888" spans="1:69" hidden="1" x14ac:dyDescent="0.2">
      <c r="A1888" t="s">
        <v>4420</v>
      </c>
      <c r="B1888" t="s">
        <v>68</v>
      </c>
      <c r="C1888" t="s">
        <v>3294</v>
      </c>
      <c r="D1888" t="s">
        <v>70</v>
      </c>
      <c r="E1888" t="s">
        <v>1010</v>
      </c>
      <c r="F1888">
        <v>5</v>
      </c>
      <c r="G1888">
        <v>34</v>
      </c>
      <c r="H1888">
        <v>2</v>
      </c>
      <c r="I1888">
        <v>1</v>
      </c>
      <c r="J1888">
        <v>1</v>
      </c>
      <c r="K1888" t="s">
        <v>110</v>
      </c>
      <c r="L1888" t="s">
        <v>162</v>
      </c>
      <c r="M1888" s="4">
        <v>330000000</v>
      </c>
      <c r="N1888">
        <v>0</v>
      </c>
      <c r="O1888">
        <v>4.6956100000000003</v>
      </c>
      <c r="P1888">
        <v>-74.062740000000005</v>
      </c>
      <c r="Q1888" t="s">
        <v>4421</v>
      </c>
      <c r="R1888">
        <v>9705882.3530000001</v>
      </c>
      <c r="S1888">
        <v>0</v>
      </c>
      <c r="T1888" t="s">
        <v>104</v>
      </c>
      <c r="U1888" t="s">
        <v>105</v>
      </c>
      <c r="V1888" t="s">
        <v>77</v>
      </c>
      <c r="W1888" t="s">
        <v>104</v>
      </c>
      <c r="X1888" t="s">
        <v>106</v>
      </c>
      <c r="Y1888">
        <v>3.94366780084186</v>
      </c>
      <c r="Z1888">
        <v>3943.6678008418598</v>
      </c>
      <c r="AA1888">
        <v>4.71035</v>
      </c>
      <c r="AB1888">
        <v>-74.030416666666696</v>
      </c>
      <c r="AC1888">
        <v>2570</v>
      </c>
      <c r="AD1888">
        <v>10</v>
      </c>
      <c r="AE1888" t="s">
        <v>80</v>
      </c>
      <c r="AF1888" t="s">
        <v>107</v>
      </c>
      <c r="AG1888" t="s">
        <v>82</v>
      </c>
      <c r="AH1888" t="s">
        <v>83</v>
      </c>
      <c r="AI1888" t="s">
        <v>121</v>
      </c>
      <c r="AJ1888">
        <v>0.55237414807976903</v>
      </c>
      <c r="AK1888">
        <v>3.4808350843065501</v>
      </c>
      <c r="AL1888">
        <v>0.80016779760589396</v>
      </c>
      <c r="AM1888">
        <v>0.13032911905208</v>
      </c>
      <c r="AN1888">
        <v>3.2091216675737302</v>
      </c>
      <c r="AO1888">
        <v>2.3623444433478798E-3</v>
      </c>
      <c r="AP1888">
        <v>2.3623444433478798E-3</v>
      </c>
      <c r="AQ1888">
        <v>0</v>
      </c>
      <c r="AR1888">
        <v>5</v>
      </c>
      <c r="AS1888">
        <v>0</v>
      </c>
      <c r="AT1888">
        <v>0</v>
      </c>
      <c r="AU1888">
        <v>1</v>
      </c>
      <c r="AV1888">
        <v>104</v>
      </c>
      <c r="AW1888">
        <v>0</v>
      </c>
      <c r="AX1888">
        <v>0</v>
      </c>
      <c r="AY1888">
        <v>15.5</v>
      </c>
      <c r="AZ1888">
        <v>2.4</v>
      </c>
      <c r="BA1888">
        <v>10.9</v>
      </c>
      <c r="BB1888">
        <v>564</v>
      </c>
      <c r="BC1888">
        <v>68</v>
      </c>
      <c r="BD1888">
        <v>1.5</v>
      </c>
      <c r="BE1888">
        <v>135</v>
      </c>
      <c r="BF1888">
        <v>0</v>
      </c>
      <c r="BG1888">
        <v>162</v>
      </c>
      <c r="BH1888">
        <v>9.1</v>
      </c>
      <c r="BI1888">
        <v>9.1999999999999993</v>
      </c>
      <c r="BJ1888">
        <v>18.3</v>
      </c>
      <c r="BK1888">
        <v>0.34</v>
      </c>
      <c r="BL1888">
        <v>7.3</v>
      </c>
      <c r="BM1888">
        <v>0.9</v>
      </c>
      <c r="BN1888">
        <v>7.5</v>
      </c>
      <c r="BO1888">
        <v>2.9</v>
      </c>
      <c r="BP1888">
        <f t="shared" si="58"/>
        <v>1.9743854417822928</v>
      </c>
      <c r="BQ1888">
        <f t="shared" si="59"/>
        <v>9.9156544120230485</v>
      </c>
    </row>
    <row r="1889" spans="1:69" hidden="1" x14ac:dyDescent="0.2">
      <c r="A1889" t="s">
        <v>3849</v>
      </c>
      <c r="B1889" t="s">
        <v>68</v>
      </c>
      <c r="C1889" t="s">
        <v>3294</v>
      </c>
      <c r="D1889" t="s">
        <v>70</v>
      </c>
      <c r="E1889" t="s">
        <v>1025</v>
      </c>
      <c r="F1889">
        <v>3</v>
      </c>
      <c r="G1889">
        <v>33.450000000000003</v>
      </c>
      <c r="H1889">
        <v>1</v>
      </c>
      <c r="I1889">
        <v>1</v>
      </c>
      <c r="J1889">
        <v>0</v>
      </c>
      <c r="K1889" t="s">
        <v>110</v>
      </c>
      <c r="L1889" t="s">
        <v>111</v>
      </c>
      <c r="M1889" s="4">
        <v>265000000</v>
      </c>
      <c r="N1889">
        <v>0</v>
      </c>
      <c r="O1889">
        <v>4.7466804690000002</v>
      </c>
      <c r="P1889">
        <v>-74.023503439999999</v>
      </c>
      <c r="Q1889" t="s">
        <v>3850</v>
      </c>
      <c r="R1889">
        <v>7922272.0480000004</v>
      </c>
      <c r="S1889">
        <v>0</v>
      </c>
      <c r="T1889" t="s">
        <v>104</v>
      </c>
      <c r="U1889" t="s">
        <v>105</v>
      </c>
      <c r="V1889" t="s">
        <v>77</v>
      </c>
      <c r="W1889" t="s">
        <v>104</v>
      </c>
      <c r="X1889" t="s">
        <v>106</v>
      </c>
      <c r="Y1889">
        <v>4.1163697556817702</v>
      </c>
      <c r="Z1889">
        <v>4116.3697556817697</v>
      </c>
      <c r="AA1889">
        <v>4.71035</v>
      </c>
      <c r="AB1889">
        <v>-74.030416666666696</v>
      </c>
      <c r="AC1889">
        <v>2570</v>
      </c>
      <c r="AD1889">
        <v>10</v>
      </c>
      <c r="AE1889" t="s">
        <v>80</v>
      </c>
      <c r="AF1889" t="s">
        <v>107</v>
      </c>
      <c r="AG1889" t="s">
        <v>82</v>
      </c>
      <c r="AH1889" t="s">
        <v>83</v>
      </c>
      <c r="AI1889" t="s">
        <v>108</v>
      </c>
      <c r="AJ1889">
        <v>2.6338789860962</v>
      </c>
      <c r="AK1889">
        <v>0.42444877782194101</v>
      </c>
      <c r="AL1889">
        <v>0.41562887648425301</v>
      </c>
      <c r="AM1889">
        <v>0.50027122222223097</v>
      </c>
      <c r="AN1889">
        <v>0.67169544207848497</v>
      </c>
      <c r="AO1889">
        <v>0.39144339377048898</v>
      </c>
      <c r="AP1889">
        <v>0.39144339377048898</v>
      </c>
      <c r="AQ1889">
        <v>0</v>
      </c>
      <c r="AR1889">
        <v>0</v>
      </c>
      <c r="AS1889">
        <v>3</v>
      </c>
      <c r="AT1889">
        <v>40</v>
      </c>
      <c r="AU1889">
        <v>3</v>
      </c>
      <c r="AV1889">
        <v>5</v>
      </c>
      <c r="AW1889">
        <v>1</v>
      </c>
      <c r="AX1889">
        <v>0</v>
      </c>
      <c r="AY1889">
        <v>15.5</v>
      </c>
      <c r="AZ1889">
        <v>2.4</v>
      </c>
      <c r="BA1889">
        <v>10.9</v>
      </c>
      <c r="BB1889">
        <v>564</v>
      </c>
      <c r="BC1889">
        <v>68</v>
      </c>
      <c r="BD1889">
        <v>1.5</v>
      </c>
      <c r="BE1889">
        <v>135</v>
      </c>
      <c r="BF1889">
        <v>0</v>
      </c>
      <c r="BG1889">
        <v>162</v>
      </c>
      <c r="BH1889">
        <v>9.1</v>
      </c>
      <c r="BI1889">
        <v>9.1999999999999993</v>
      </c>
      <c r="BJ1889">
        <v>18.3</v>
      </c>
      <c r="BK1889">
        <v>0.34</v>
      </c>
      <c r="BL1889">
        <v>7.3</v>
      </c>
      <c r="BM1889">
        <v>0.9</v>
      </c>
      <c r="BN1889">
        <v>7.5</v>
      </c>
      <c r="BO1889">
        <v>2.9</v>
      </c>
      <c r="BP1889">
        <f t="shared" si="58"/>
        <v>1.9575788605816178</v>
      </c>
      <c r="BQ1889">
        <f t="shared" si="59"/>
        <v>9.8746405991169173</v>
      </c>
    </row>
    <row r="1890" spans="1:69" hidden="1" x14ac:dyDescent="0.2">
      <c r="A1890" t="s">
        <v>4320</v>
      </c>
      <c r="B1890" t="s">
        <v>68</v>
      </c>
      <c r="C1890" t="s">
        <v>3294</v>
      </c>
      <c r="D1890" t="s">
        <v>70</v>
      </c>
      <c r="E1890" t="s">
        <v>748</v>
      </c>
      <c r="F1890">
        <v>6</v>
      </c>
      <c r="G1890">
        <v>33</v>
      </c>
      <c r="H1890">
        <v>1</v>
      </c>
      <c r="I1890">
        <v>1</v>
      </c>
      <c r="J1890">
        <v>0</v>
      </c>
      <c r="K1890" t="s">
        <v>110</v>
      </c>
      <c r="L1890" t="s">
        <v>111</v>
      </c>
      <c r="M1890" s="4">
        <v>485000000</v>
      </c>
      <c r="N1890">
        <v>0</v>
      </c>
      <c r="O1890">
        <v>4.6924999999999999</v>
      </c>
      <c r="P1890">
        <v>-74.04401</v>
      </c>
      <c r="Q1890" t="s">
        <v>4321</v>
      </c>
      <c r="R1890">
        <v>14696969.699999999</v>
      </c>
      <c r="S1890">
        <v>0</v>
      </c>
      <c r="T1890" t="s">
        <v>104</v>
      </c>
      <c r="U1890" t="s">
        <v>105</v>
      </c>
      <c r="V1890" t="s">
        <v>77</v>
      </c>
      <c r="W1890" t="s">
        <v>104</v>
      </c>
      <c r="X1890" t="s">
        <v>106</v>
      </c>
      <c r="Y1890">
        <v>2.4945499957916599</v>
      </c>
      <c r="Z1890">
        <v>2494.54999579166</v>
      </c>
      <c r="AA1890">
        <v>4.71035</v>
      </c>
      <c r="AB1890">
        <v>-74.030416666666696</v>
      </c>
      <c r="AC1890">
        <v>2570</v>
      </c>
      <c r="AD1890">
        <v>10</v>
      </c>
      <c r="AE1890" t="s">
        <v>80</v>
      </c>
      <c r="AF1890" t="s">
        <v>107</v>
      </c>
      <c r="AG1890" t="s">
        <v>82</v>
      </c>
      <c r="AH1890" t="s">
        <v>83</v>
      </c>
      <c r="AI1890" t="s">
        <v>108</v>
      </c>
      <c r="AJ1890">
        <v>1.3507165133889001</v>
      </c>
      <c r="AK1890">
        <v>1.75424828386524</v>
      </c>
      <c r="AL1890">
        <v>0.65350620488393396</v>
      </c>
      <c r="AM1890">
        <v>0.10316499666072999</v>
      </c>
      <c r="AN1890">
        <v>4.6776413668190697</v>
      </c>
      <c r="AO1890">
        <v>9.7001735012145901E-2</v>
      </c>
      <c r="AP1890">
        <v>9.7001735012145901E-2</v>
      </c>
      <c r="AQ1890">
        <v>0</v>
      </c>
      <c r="AR1890">
        <v>0</v>
      </c>
      <c r="AS1890">
        <v>0</v>
      </c>
      <c r="AT1890">
        <v>0</v>
      </c>
      <c r="AU1890">
        <v>3</v>
      </c>
      <c r="AV1890">
        <v>104</v>
      </c>
      <c r="AW1890">
        <v>0</v>
      </c>
      <c r="AX1890">
        <v>0</v>
      </c>
      <c r="AY1890">
        <v>15.5</v>
      </c>
      <c r="AZ1890">
        <v>2.4</v>
      </c>
      <c r="BA1890">
        <v>10.9</v>
      </c>
      <c r="BB1890">
        <v>564</v>
      </c>
      <c r="BC1890">
        <v>68</v>
      </c>
      <c r="BD1890">
        <v>1.5</v>
      </c>
      <c r="BE1890">
        <v>135</v>
      </c>
      <c r="BF1890">
        <v>0</v>
      </c>
      <c r="BG1890">
        <v>162</v>
      </c>
      <c r="BH1890">
        <v>9.1</v>
      </c>
      <c r="BI1890">
        <v>9.1999999999999993</v>
      </c>
      <c r="BJ1890">
        <v>18.3</v>
      </c>
      <c r="BK1890">
        <v>0.34</v>
      </c>
      <c r="BL1890">
        <v>7.3</v>
      </c>
      <c r="BM1890">
        <v>0.9</v>
      </c>
      <c r="BN1890">
        <v>7.5</v>
      </c>
      <c r="BO1890">
        <v>2.9</v>
      </c>
      <c r="BP1890">
        <f t="shared" si="58"/>
        <v>2.1212138860175034</v>
      </c>
      <c r="BQ1890">
        <f t="shared" si="59"/>
        <v>10.266576197451979</v>
      </c>
    </row>
    <row r="1891" spans="1:69" hidden="1" x14ac:dyDescent="0.2">
      <c r="A1891" t="s">
        <v>4277</v>
      </c>
      <c r="B1891" t="s">
        <v>68</v>
      </c>
      <c r="C1891" t="s">
        <v>3294</v>
      </c>
      <c r="D1891" t="s">
        <v>70</v>
      </c>
      <c r="E1891" t="s">
        <v>229</v>
      </c>
      <c r="F1891">
        <v>6</v>
      </c>
      <c r="G1891">
        <v>32.71</v>
      </c>
      <c r="H1891">
        <v>1</v>
      </c>
      <c r="I1891">
        <v>1</v>
      </c>
      <c r="J1891">
        <v>0</v>
      </c>
      <c r="K1891" t="s">
        <v>110</v>
      </c>
      <c r="L1891" t="s">
        <v>111</v>
      </c>
      <c r="M1891" s="4">
        <v>516000000</v>
      </c>
      <c r="N1891">
        <v>0</v>
      </c>
      <c r="O1891">
        <v>4.6808500000000004</v>
      </c>
      <c r="P1891">
        <v>-74.049549999999996</v>
      </c>
      <c r="Q1891" t="s">
        <v>4278</v>
      </c>
      <c r="R1891">
        <v>15774992.359999999</v>
      </c>
      <c r="S1891">
        <v>0</v>
      </c>
      <c r="T1891" t="s">
        <v>104</v>
      </c>
      <c r="U1891" t="s">
        <v>105</v>
      </c>
      <c r="V1891" t="s">
        <v>77</v>
      </c>
      <c r="W1891" t="s">
        <v>104</v>
      </c>
      <c r="X1891" t="s">
        <v>106</v>
      </c>
      <c r="Y1891">
        <v>3.9102801956763402</v>
      </c>
      <c r="Z1891">
        <v>3910.2801956763401</v>
      </c>
      <c r="AA1891">
        <v>4.71035</v>
      </c>
      <c r="AB1891">
        <v>-74.030416666666696</v>
      </c>
      <c r="AC1891">
        <v>2570</v>
      </c>
      <c r="AD1891">
        <v>10</v>
      </c>
      <c r="AE1891" t="s">
        <v>80</v>
      </c>
      <c r="AF1891" t="s">
        <v>107</v>
      </c>
      <c r="AG1891" t="s">
        <v>82</v>
      </c>
      <c r="AH1891" t="s">
        <v>83</v>
      </c>
      <c r="AI1891" t="s">
        <v>130</v>
      </c>
      <c r="AJ1891">
        <v>0.96768736969246005</v>
      </c>
      <c r="AK1891">
        <v>1.34757869465154</v>
      </c>
      <c r="AL1891">
        <v>0.59656586523973498</v>
      </c>
      <c r="AM1891">
        <v>8.3875531942313494E-2</v>
      </c>
      <c r="AN1891">
        <v>3.6662367035488401</v>
      </c>
      <c r="AO1891">
        <v>1.0078348188533299</v>
      </c>
      <c r="AP1891">
        <v>1.0078348188533299</v>
      </c>
      <c r="AQ1891">
        <v>0</v>
      </c>
      <c r="AR1891">
        <v>1</v>
      </c>
      <c r="AS1891">
        <v>0</v>
      </c>
      <c r="AT1891">
        <v>0</v>
      </c>
      <c r="AU1891">
        <v>4</v>
      </c>
      <c r="AV1891">
        <v>182</v>
      </c>
      <c r="AW1891">
        <v>0</v>
      </c>
      <c r="AX1891">
        <v>0</v>
      </c>
      <c r="AY1891">
        <v>15.5</v>
      </c>
      <c r="AZ1891">
        <v>2.4</v>
      </c>
      <c r="BA1891">
        <v>10.9</v>
      </c>
      <c r="BB1891">
        <v>564</v>
      </c>
      <c r="BC1891">
        <v>68</v>
      </c>
      <c r="BD1891">
        <v>1.5</v>
      </c>
      <c r="BE1891">
        <v>135</v>
      </c>
      <c r="BF1891">
        <v>0</v>
      </c>
      <c r="BG1891">
        <v>162</v>
      </c>
      <c r="BH1891">
        <v>9.1</v>
      </c>
      <c r="BI1891">
        <v>9.1999999999999993</v>
      </c>
      <c r="BJ1891">
        <v>18.3</v>
      </c>
      <c r="BK1891">
        <v>0.34</v>
      </c>
      <c r="BL1891">
        <v>7.3</v>
      </c>
      <c r="BM1891">
        <v>0.9</v>
      </c>
      <c r="BN1891">
        <v>7.5</v>
      </c>
      <c r="BO1891">
        <v>2.9</v>
      </c>
      <c r="BP1891">
        <f t="shared" si="58"/>
        <v>1.9776511797373584</v>
      </c>
      <c r="BQ1891">
        <f t="shared" si="59"/>
        <v>9.923603035130812</v>
      </c>
    </row>
    <row r="1892" spans="1:69" hidden="1" x14ac:dyDescent="0.2">
      <c r="A1892" t="s">
        <v>4659</v>
      </c>
      <c r="B1892" t="s">
        <v>68</v>
      </c>
      <c r="C1892" t="s">
        <v>3294</v>
      </c>
      <c r="D1892" t="s">
        <v>70</v>
      </c>
      <c r="E1892" t="s">
        <v>2292</v>
      </c>
      <c r="F1892">
        <v>3</v>
      </c>
      <c r="G1892">
        <v>32</v>
      </c>
      <c r="H1892">
        <v>1</v>
      </c>
      <c r="I1892">
        <v>1</v>
      </c>
      <c r="J1892">
        <v>0</v>
      </c>
      <c r="K1892" t="s">
        <v>110</v>
      </c>
      <c r="L1892" t="s">
        <v>111</v>
      </c>
      <c r="M1892" s="4">
        <v>260000000</v>
      </c>
      <c r="N1892">
        <v>0</v>
      </c>
      <c r="O1892">
        <v>4.7315500000000004</v>
      </c>
      <c r="P1892">
        <v>-74.022599999999997</v>
      </c>
      <c r="Q1892" t="s">
        <v>4660</v>
      </c>
      <c r="R1892">
        <v>8125000</v>
      </c>
      <c r="S1892">
        <v>0</v>
      </c>
      <c r="T1892" t="s">
        <v>104</v>
      </c>
      <c r="U1892" t="s">
        <v>105</v>
      </c>
      <c r="V1892" t="s">
        <v>77</v>
      </c>
      <c r="W1892" t="s">
        <v>104</v>
      </c>
      <c r="X1892" t="s">
        <v>106</v>
      </c>
      <c r="Y1892">
        <v>2.5142595591491101</v>
      </c>
      <c r="Z1892">
        <v>2514.2595591491099</v>
      </c>
      <c r="AA1892">
        <v>4.71035</v>
      </c>
      <c r="AB1892">
        <v>-74.030416666666696</v>
      </c>
      <c r="AC1892">
        <v>2570</v>
      </c>
      <c r="AD1892">
        <v>10</v>
      </c>
      <c r="AE1892" t="s">
        <v>80</v>
      </c>
      <c r="AF1892" t="s">
        <v>107</v>
      </c>
      <c r="AG1892" t="s">
        <v>82</v>
      </c>
      <c r="AH1892" t="s">
        <v>83</v>
      </c>
      <c r="AI1892" t="s">
        <v>108</v>
      </c>
      <c r="AJ1892">
        <v>2.9711347460175599</v>
      </c>
      <c r="AK1892">
        <v>0.117174286426988</v>
      </c>
      <c r="AL1892">
        <v>1.8110797654255799</v>
      </c>
      <c r="AM1892">
        <v>0.23925116547598499</v>
      </c>
      <c r="AN1892">
        <v>1.19501476528981</v>
      </c>
      <c r="AO1892">
        <v>0.17459008640104801</v>
      </c>
      <c r="AP1892">
        <v>0.17459008640104801</v>
      </c>
      <c r="AQ1892">
        <v>0</v>
      </c>
      <c r="AR1892">
        <v>0</v>
      </c>
      <c r="AS1892">
        <v>12</v>
      </c>
      <c r="AT1892">
        <v>34</v>
      </c>
      <c r="AU1892">
        <v>0</v>
      </c>
      <c r="AV1892">
        <v>9</v>
      </c>
      <c r="AW1892">
        <v>0</v>
      </c>
      <c r="AX1892">
        <v>0</v>
      </c>
      <c r="AY1892">
        <v>15.5</v>
      </c>
      <c r="AZ1892">
        <v>2.4</v>
      </c>
      <c r="BA1892">
        <v>10.9</v>
      </c>
      <c r="BB1892">
        <v>564</v>
      </c>
      <c r="BC1892">
        <v>68</v>
      </c>
      <c r="BD1892">
        <v>1.5</v>
      </c>
      <c r="BE1892">
        <v>135</v>
      </c>
      <c r="BF1892">
        <v>0</v>
      </c>
      <c r="BG1892">
        <v>162</v>
      </c>
      <c r="BH1892">
        <v>9.1</v>
      </c>
      <c r="BI1892">
        <v>9.1999999999999993</v>
      </c>
      <c r="BJ1892">
        <v>18.3</v>
      </c>
      <c r="BK1892">
        <v>0.34</v>
      </c>
      <c r="BL1892">
        <v>7.3</v>
      </c>
      <c r="BM1892">
        <v>0.9</v>
      </c>
      <c r="BN1892">
        <v>7.5</v>
      </c>
      <c r="BO1892">
        <v>2.9</v>
      </c>
      <c r="BP1892">
        <f t="shared" si="58"/>
        <v>2.1191453893441232</v>
      </c>
      <c r="BQ1892">
        <f t="shared" si="59"/>
        <v>10.261720952262998</v>
      </c>
    </row>
    <row r="1893" spans="1:69" hidden="1" x14ac:dyDescent="0.2">
      <c r="A1893" t="s">
        <v>1091</v>
      </c>
      <c r="B1893" t="s">
        <v>68</v>
      </c>
      <c r="C1893" t="s">
        <v>69</v>
      </c>
      <c r="D1893" t="s">
        <v>70</v>
      </c>
      <c r="E1893" t="s">
        <v>394</v>
      </c>
      <c r="F1893">
        <v>4</v>
      </c>
      <c r="G1893">
        <v>32</v>
      </c>
      <c r="H1893">
        <v>1</v>
      </c>
      <c r="I1893">
        <v>1</v>
      </c>
      <c r="J1893">
        <v>1</v>
      </c>
      <c r="K1893" t="s">
        <v>110</v>
      </c>
      <c r="L1893" t="s">
        <v>111</v>
      </c>
      <c r="M1893" s="4">
        <v>295000000</v>
      </c>
      <c r="N1893">
        <v>0</v>
      </c>
      <c r="O1893">
        <v>4.7260059999999999</v>
      </c>
      <c r="P1893">
        <v>-74.040053999999998</v>
      </c>
      <c r="Q1893" t="s">
        <v>1092</v>
      </c>
      <c r="R1893">
        <v>9218750</v>
      </c>
      <c r="S1893">
        <v>0</v>
      </c>
      <c r="T1893" t="s">
        <v>104</v>
      </c>
      <c r="U1893" t="s">
        <v>105</v>
      </c>
      <c r="V1893" t="s">
        <v>77</v>
      </c>
      <c r="W1893" t="s">
        <v>104</v>
      </c>
      <c r="X1893" t="s">
        <v>106</v>
      </c>
      <c r="Y1893">
        <v>2.0446458205176099</v>
      </c>
      <c r="Z1893">
        <v>2044.64582051761</v>
      </c>
      <c r="AA1893">
        <v>4.71035</v>
      </c>
      <c r="AB1893">
        <v>-74.030416666666696</v>
      </c>
      <c r="AC1893">
        <v>2570</v>
      </c>
      <c r="AD1893">
        <v>10</v>
      </c>
      <c r="AE1893" t="s">
        <v>80</v>
      </c>
      <c r="AF1893" t="s">
        <v>107</v>
      </c>
      <c r="AG1893" t="s">
        <v>82</v>
      </c>
      <c r="AH1893" t="s">
        <v>83</v>
      </c>
      <c r="AI1893" t="s">
        <v>108</v>
      </c>
      <c r="AJ1893">
        <v>1.1622997361799601</v>
      </c>
      <c r="AK1893">
        <v>1.9559269550678</v>
      </c>
      <c r="AL1893">
        <v>0.76015812780472003</v>
      </c>
      <c r="AM1893">
        <v>0.436967775795851</v>
      </c>
      <c r="AN1893">
        <v>2.2644231103952102</v>
      </c>
      <c r="AO1893">
        <v>1.09310648498745E-2</v>
      </c>
      <c r="AP1893">
        <v>1.09310648498745E-2</v>
      </c>
      <c r="AQ1893">
        <v>0</v>
      </c>
      <c r="AR1893">
        <v>0</v>
      </c>
      <c r="AS1893">
        <v>0</v>
      </c>
      <c r="AT1893">
        <v>0</v>
      </c>
      <c r="AU1893">
        <v>1</v>
      </c>
      <c r="AV1893">
        <v>27</v>
      </c>
      <c r="AW1893">
        <v>0</v>
      </c>
      <c r="AX1893">
        <v>0</v>
      </c>
      <c r="AY1893">
        <v>15.5</v>
      </c>
      <c r="AZ1893">
        <v>2.4</v>
      </c>
      <c r="BA1893">
        <v>10.9</v>
      </c>
      <c r="BB1893">
        <v>564</v>
      </c>
      <c r="BC1893">
        <v>68</v>
      </c>
      <c r="BD1893">
        <v>1.5</v>
      </c>
      <c r="BE1893">
        <v>135</v>
      </c>
      <c r="BF1893">
        <v>0</v>
      </c>
      <c r="BG1893">
        <v>162</v>
      </c>
      <c r="BH1893">
        <v>9.1</v>
      </c>
      <c r="BI1893">
        <v>9.1999999999999993</v>
      </c>
      <c r="BJ1893">
        <v>18.3</v>
      </c>
      <c r="BK1893">
        <v>0.34</v>
      </c>
      <c r="BL1893">
        <v>7.3</v>
      </c>
      <c r="BM1893">
        <v>0.9</v>
      </c>
      <c r="BN1893">
        <v>7.5</v>
      </c>
      <c r="BO1893">
        <v>2.9</v>
      </c>
      <c r="BP1893">
        <f t="shared" si="58"/>
        <v>2.1689838136669866</v>
      </c>
      <c r="BQ1893">
        <f t="shared" si="59"/>
        <v>10.378032261071134</v>
      </c>
    </row>
    <row r="1894" spans="1:69" hidden="1" x14ac:dyDescent="0.2">
      <c r="A1894" t="s">
        <v>4074</v>
      </c>
      <c r="B1894" t="s">
        <v>68</v>
      </c>
      <c r="C1894" t="s">
        <v>3294</v>
      </c>
      <c r="D1894" t="s">
        <v>70</v>
      </c>
      <c r="E1894" t="s">
        <v>193</v>
      </c>
      <c r="F1894">
        <v>6</v>
      </c>
      <c r="G1894">
        <v>32</v>
      </c>
      <c r="H1894">
        <v>1</v>
      </c>
      <c r="I1894">
        <v>1</v>
      </c>
      <c r="J1894">
        <v>0</v>
      </c>
      <c r="K1894" t="s">
        <v>110</v>
      </c>
      <c r="L1894" t="s">
        <v>111</v>
      </c>
      <c r="M1894" s="4">
        <v>390000000</v>
      </c>
      <c r="N1894">
        <v>0</v>
      </c>
      <c r="O1894">
        <v>4.6970465780000001</v>
      </c>
      <c r="P1894">
        <v>-74.032221719999995</v>
      </c>
      <c r="Q1894" t="s">
        <v>4075</v>
      </c>
      <c r="R1894">
        <v>12187500</v>
      </c>
      <c r="S1894">
        <v>0</v>
      </c>
      <c r="T1894" t="s">
        <v>104</v>
      </c>
      <c r="U1894" t="s">
        <v>105</v>
      </c>
      <c r="V1894" t="s">
        <v>77</v>
      </c>
      <c r="W1894" t="s">
        <v>104</v>
      </c>
      <c r="X1894" t="s">
        <v>106</v>
      </c>
      <c r="Y1894">
        <v>1.49440910289608</v>
      </c>
      <c r="Z1894">
        <v>1494.40910289608</v>
      </c>
      <c r="AA1894">
        <v>4.71035</v>
      </c>
      <c r="AB1894">
        <v>-74.030416666666696</v>
      </c>
      <c r="AC1894">
        <v>2570</v>
      </c>
      <c r="AD1894">
        <v>10</v>
      </c>
      <c r="AE1894" t="s">
        <v>80</v>
      </c>
      <c r="AF1894" t="s">
        <v>107</v>
      </c>
      <c r="AG1894" t="s">
        <v>82</v>
      </c>
      <c r="AH1894" t="s">
        <v>83</v>
      </c>
      <c r="AI1894" t="s">
        <v>108</v>
      </c>
      <c r="AJ1894">
        <v>2.5626243482554001</v>
      </c>
      <c r="AK1894">
        <v>0.70654262396220602</v>
      </c>
      <c r="AL1894">
        <v>0.39942484468820599</v>
      </c>
      <c r="AM1894">
        <v>3.3317300986875499E-2</v>
      </c>
      <c r="AN1894">
        <v>4.9542596820476303</v>
      </c>
      <c r="AO1894">
        <v>0.15009471552465001</v>
      </c>
      <c r="AP1894">
        <v>0.15009471552465001</v>
      </c>
      <c r="AQ1894">
        <v>0</v>
      </c>
      <c r="AR1894">
        <v>0</v>
      </c>
      <c r="AS1894">
        <v>0</v>
      </c>
      <c r="AT1894">
        <v>17</v>
      </c>
      <c r="AU1894">
        <v>2</v>
      </c>
      <c r="AV1894">
        <v>137</v>
      </c>
      <c r="AW1894">
        <v>0</v>
      </c>
      <c r="AX1894">
        <v>0</v>
      </c>
      <c r="AY1894">
        <v>15.5</v>
      </c>
      <c r="AZ1894">
        <v>2.4</v>
      </c>
      <c r="BA1894">
        <v>10.9</v>
      </c>
      <c r="BB1894">
        <v>564</v>
      </c>
      <c r="BC1894">
        <v>68</v>
      </c>
      <c r="BD1894">
        <v>1.5</v>
      </c>
      <c r="BE1894">
        <v>135</v>
      </c>
      <c r="BF1894">
        <v>0</v>
      </c>
      <c r="BG1894">
        <v>162</v>
      </c>
      <c r="BH1894">
        <v>9.1</v>
      </c>
      <c r="BI1894">
        <v>9.1999999999999993</v>
      </c>
      <c r="BJ1894">
        <v>18.3</v>
      </c>
      <c r="BK1894">
        <v>0.34</v>
      </c>
      <c r="BL1894">
        <v>7.3</v>
      </c>
      <c r="BM1894">
        <v>0.9</v>
      </c>
      <c r="BN1894">
        <v>7.5</v>
      </c>
      <c r="BO1894">
        <v>2.9</v>
      </c>
      <c r="BP1894">
        <f t="shared" si="58"/>
        <v>2.2288716854167538</v>
      </c>
      <c r="BQ1894">
        <f t="shared" si="59"/>
        <v>10.515990155955528</v>
      </c>
    </row>
    <row r="1895" spans="1:69" hidden="1" x14ac:dyDescent="0.2">
      <c r="A1895" t="s">
        <v>3469</v>
      </c>
      <c r="B1895" t="s">
        <v>68</v>
      </c>
      <c r="C1895" t="s">
        <v>3294</v>
      </c>
      <c r="D1895" t="s">
        <v>70</v>
      </c>
      <c r="E1895" t="s">
        <v>219</v>
      </c>
      <c r="F1895">
        <v>4</v>
      </c>
      <c r="G1895">
        <v>31.15</v>
      </c>
      <c r="H1895">
        <v>1</v>
      </c>
      <c r="I1895">
        <v>1</v>
      </c>
      <c r="J1895">
        <v>0</v>
      </c>
      <c r="K1895" t="s">
        <v>110</v>
      </c>
      <c r="L1895" t="s">
        <v>111</v>
      </c>
      <c r="M1895" s="4">
        <v>247000000</v>
      </c>
      <c r="N1895">
        <v>0</v>
      </c>
      <c r="O1895">
        <v>4.731813431</v>
      </c>
      <c r="P1895">
        <v>-74.022468570000001</v>
      </c>
      <c r="Q1895" t="s">
        <v>3470</v>
      </c>
      <c r="R1895">
        <v>7929373.9970000004</v>
      </c>
      <c r="S1895">
        <v>0</v>
      </c>
      <c r="T1895" t="s">
        <v>104</v>
      </c>
      <c r="U1895" t="s">
        <v>105</v>
      </c>
      <c r="V1895" t="s">
        <v>77</v>
      </c>
      <c r="W1895" t="s">
        <v>104</v>
      </c>
      <c r="X1895" t="s">
        <v>106</v>
      </c>
      <c r="Y1895">
        <v>2.5468166686135301</v>
      </c>
      <c r="Z1895">
        <v>2546.8166686135301</v>
      </c>
      <c r="AA1895">
        <v>4.71035</v>
      </c>
      <c r="AB1895">
        <v>-74.030416666666696</v>
      </c>
      <c r="AC1895">
        <v>2570</v>
      </c>
      <c r="AD1895">
        <v>10</v>
      </c>
      <c r="AE1895" t="s">
        <v>80</v>
      </c>
      <c r="AF1895" t="s">
        <v>107</v>
      </c>
      <c r="AG1895" t="s">
        <v>82</v>
      </c>
      <c r="AH1895" t="s">
        <v>83</v>
      </c>
      <c r="AI1895" t="s">
        <v>108</v>
      </c>
      <c r="AJ1895">
        <v>2.98247911088297</v>
      </c>
      <c r="AK1895">
        <v>9.9979562617553697E-2</v>
      </c>
      <c r="AL1895">
        <v>1.7873945447483</v>
      </c>
      <c r="AM1895">
        <v>0.232690751419248</v>
      </c>
      <c r="AN1895">
        <v>1.1739712717522099</v>
      </c>
      <c r="AO1895">
        <v>0.18961918266319999</v>
      </c>
      <c r="AP1895">
        <v>0.18961918266319999</v>
      </c>
      <c r="AQ1895">
        <v>0</v>
      </c>
      <c r="AR1895">
        <v>0</v>
      </c>
      <c r="AS1895">
        <v>12</v>
      </c>
      <c r="AT1895">
        <v>34</v>
      </c>
      <c r="AU1895">
        <v>0</v>
      </c>
      <c r="AV1895">
        <v>9</v>
      </c>
      <c r="AW1895">
        <v>0</v>
      </c>
      <c r="AX1895">
        <v>0</v>
      </c>
      <c r="AY1895">
        <v>15.5</v>
      </c>
      <c r="AZ1895">
        <v>2.4</v>
      </c>
      <c r="BA1895">
        <v>10.9</v>
      </c>
      <c r="BB1895">
        <v>564</v>
      </c>
      <c r="BC1895">
        <v>68</v>
      </c>
      <c r="BD1895">
        <v>1.5</v>
      </c>
      <c r="BE1895">
        <v>135</v>
      </c>
      <c r="BF1895">
        <v>0</v>
      </c>
      <c r="BG1895">
        <v>162</v>
      </c>
      <c r="BH1895">
        <v>9.1</v>
      </c>
      <c r="BI1895">
        <v>9.1999999999999993</v>
      </c>
      <c r="BJ1895">
        <v>18.3</v>
      </c>
      <c r="BK1895">
        <v>0.34</v>
      </c>
      <c r="BL1895">
        <v>7.3</v>
      </c>
      <c r="BM1895">
        <v>0.9</v>
      </c>
      <c r="BN1895">
        <v>7.5</v>
      </c>
      <c r="BO1895">
        <v>2.9</v>
      </c>
      <c r="BP1895">
        <f t="shared" si="58"/>
        <v>2.1157329739712147</v>
      </c>
      <c r="BQ1895">
        <f t="shared" si="59"/>
        <v>10.253705876707031</v>
      </c>
    </row>
    <row r="1896" spans="1:69" hidden="1" x14ac:dyDescent="0.2">
      <c r="A1896" t="s">
        <v>4435</v>
      </c>
      <c r="B1896" t="s">
        <v>68</v>
      </c>
      <c r="C1896" t="s">
        <v>3294</v>
      </c>
      <c r="D1896" t="s">
        <v>70</v>
      </c>
      <c r="E1896" t="s">
        <v>193</v>
      </c>
      <c r="F1896">
        <v>6</v>
      </c>
      <c r="G1896">
        <v>31</v>
      </c>
      <c r="H1896">
        <v>1</v>
      </c>
      <c r="I1896">
        <v>1</v>
      </c>
      <c r="J1896">
        <v>1</v>
      </c>
      <c r="K1896" t="s">
        <v>110</v>
      </c>
      <c r="L1896" t="s">
        <v>162</v>
      </c>
      <c r="M1896" s="4">
        <v>275000000</v>
      </c>
      <c r="N1896">
        <v>0</v>
      </c>
      <c r="O1896">
        <v>4.6961305299999996</v>
      </c>
      <c r="P1896">
        <v>-74.038560390000001</v>
      </c>
      <c r="Q1896" t="s">
        <v>4436</v>
      </c>
      <c r="R1896">
        <v>8870967.7420000006</v>
      </c>
      <c r="S1896">
        <v>0</v>
      </c>
      <c r="T1896" t="s">
        <v>104</v>
      </c>
      <c r="U1896" t="s">
        <v>105</v>
      </c>
      <c r="V1896" t="s">
        <v>77</v>
      </c>
      <c r="W1896" t="s">
        <v>104</v>
      </c>
      <c r="X1896" t="s">
        <v>106</v>
      </c>
      <c r="Y1896">
        <v>1.8226086828906001</v>
      </c>
      <c r="Z1896">
        <v>1822.6086828906</v>
      </c>
      <c r="AA1896">
        <v>4.71035</v>
      </c>
      <c r="AB1896">
        <v>-74.030416666666696</v>
      </c>
      <c r="AC1896">
        <v>2570</v>
      </c>
      <c r="AD1896">
        <v>10</v>
      </c>
      <c r="AE1896" t="s">
        <v>80</v>
      </c>
      <c r="AF1896" t="s">
        <v>107</v>
      </c>
      <c r="AG1896" t="s">
        <v>82</v>
      </c>
      <c r="AH1896" t="s">
        <v>83</v>
      </c>
      <c r="AI1896" t="s">
        <v>108</v>
      </c>
      <c r="AJ1896">
        <v>1.87008724982177</v>
      </c>
      <c r="AK1896">
        <v>1.41290271281609</v>
      </c>
      <c r="AL1896">
        <v>0.88740935522117104</v>
      </c>
      <c r="AM1896">
        <v>8.60626047699867E-2</v>
      </c>
      <c r="AN1896">
        <v>5.1865123903179704</v>
      </c>
      <c r="AO1896">
        <v>0.15732796945729299</v>
      </c>
      <c r="AP1896">
        <v>0.15732796945729299</v>
      </c>
      <c r="AQ1896">
        <v>0</v>
      </c>
      <c r="AR1896">
        <v>0</v>
      </c>
      <c r="AS1896">
        <v>0</v>
      </c>
      <c r="AT1896">
        <v>0</v>
      </c>
      <c r="AU1896">
        <v>2</v>
      </c>
      <c r="AV1896">
        <v>166</v>
      </c>
      <c r="AW1896">
        <v>0</v>
      </c>
      <c r="AX1896">
        <v>0</v>
      </c>
      <c r="AY1896">
        <v>15.5</v>
      </c>
      <c r="AZ1896">
        <v>2.4</v>
      </c>
      <c r="BA1896">
        <v>10.9</v>
      </c>
      <c r="BB1896">
        <v>564</v>
      </c>
      <c r="BC1896">
        <v>68</v>
      </c>
      <c r="BD1896">
        <v>1.5</v>
      </c>
      <c r="BE1896">
        <v>135</v>
      </c>
      <c r="BF1896">
        <v>0</v>
      </c>
      <c r="BG1896">
        <v>162</v>
      </c>
      <c r="BH1896">
        <v>9.1</v>
      </c>
      <c r="BI1896">
        <v>9.1999999999999993</v>
      </c>
      <c r="BJ1896">
        <v>18.3</v>
      </c>
      <c r="BK1896">
        <v>0.34</v>
      </c>
      <c r="BL1896">
        <v>7.3</v>
      </c>
      <c r="BM1896">
        <v>0.9</v>
      </c>
      <c r="BN1896">
        <v>7.5</v>
      </c>
      <c r="BO1896">
        <v>2.9</v>
      </c>
      <c r="BP1896">
        <f t="shared" si="58"/>
        <v>2.1929542503635489</v>
      </c>
      <c r="BQ1896">
        <f t="shared" si="59"/>
        <v>10.433483281940799</v>
      </c>
    </row>
    <row r="1897" spans="1:69" hidden="1" x14ac:dyDescent="0.2">
      <c r="A1897" t="s">
        <v>4620</v>
      </c>
      <c r="B1897" t="s">
        <v>68</v>
      </c>
      <c r="C1897" t="s">
        <v>3294</v>
      </c>
      <c r="D1897" t="s">
        <v>70</v>
      </c>
      <c r="E1897" t="s">
        <v>326</v>
      </c>
      <c r="F1897">
        <v>4</v>
      </c>
      <c r="G1897">
        <v>30.84</v>
      </c>
      <c r="H1897">
        <v>1</v>
      </c>
      <c r="I1897">
        <v>1</v>
      </c>
      <c r="J1897">
        <v>0</v>
      </c>
      <c r="K1897" t="s">
        <v>110</v>
      </c>
      <c r="L1897" t="s">
        <v>111</v>
      </c>
      <c r="M1897" s="4">
        <v>246000000</v>
      </c>
      <c r="N1897">
        <v>0</v>
      </c>
      <c r="O1897">
        <v>4.7478775979999996</v>
      </c>
      <c r="P1897">
        <v>-74.026672360000006</v>
      </c>
      <c r="Q1897" t="s">
        <v>4621</v>
      </c>
      <c r="R1897">
        <v>7976653.6960000005</v>
      </c>
      <c r="S1897">
        <v>0</v>
      </c>
      <c r="T1897" t="s">
        <v>104</v>
      </c>
      <c r="U1897" t="s">
        <v>105</v>
      </c>
      <c r="V1897" t="s">
        <v>77</v>
      </c>
      <c r="W1897" t="s">
        <v>104</v>
      </c>
      <c r="X1897" t="s">
        <v>106</v>
      </c>
      <c r="Y1897">
        <v>4.1981547336817799</v>
      </c>
      <c r="Z1897">
        <v>4198.1547336817803</v>
      </c>
      <c r="AA1897">
        <v>4.71035</v>
      </c>
      <c r="AB1897">
        <v>-74.030416666666696</v>
      </c>
      <c r="AC1897">
        <v>2570</v>
      </c>
      <c r="AD1897">
        <v>10</v>
      </c>
      <c r="AE1897" t="s">
        <v>80</v>
      </c>
      <c r="AF1897" t="s">
        <v>107</v>
      </c>
      <c r="AG1897" t="s">
        <v>82</v>
      </c>
      <c r="AH1897" t="s">
        <v>83</v>
      </c>
      <c r="AI1897" t="s">
        <v>108</v>
      </c>
      <c r="AJ1897">
        <v>2.2734646765875399</v>
      </c>
      <c r="AK1897">
        <v>0.69889194804321197</v>
      </c>
      <c r="AL1897">
        <v>8.9163675748887894E-2</v>
      </c>
      <c r="AM1897">
        <v>0.74702321168520103</v>
      </c>
      <c r="AN1897">
        <v>0.70069776005708395</v>
      </c>
      <c r="AO1897">
        <v>0.28679128773746498</v>
      </c>
      <c r="AP1897">
        <v>0.28679128773746498</v>
      </c>
      <c r="AQ1897">
        <v>0</v>
      </c>
      <c r="AR1897">
        <v>0</v>
      </c>
      <c r="AS1897">
        <v>0</v>
      </c>
      <c r="AT1897">
        <v>19</v>
      </c>
      <c r="AU1897">
        <v>3</v>
      </c>
      <c r="AV1897">
        <v>3</v>
      </c>
      <c r="AW1897">
        <v>1</v>
      </c>
      <c r="AX1897">
        <v>0</v>
      </c>
      <c r="AY1897">
        <v>15.5</v>
      </c>
      <c r="AZ1897">
        <v>2.4</v>
      </c>
      <c r="BA1897">
        <v>10.9</v>
      </c>
      <c r="BB1897">
        <v>564</v>
      </c>
      <c r="BC1897">
        <v>68</v>
      </c>
      <c r="BD1897">
        <v>1.5</v>
      </c>
      <c r="BE1897">
        <v>135</v>
      </c>
      <c r="BF1897">
        <v>0</v>
      </c>
      <c r="BG1897">
        <v>162</v>
      </c>
      <c r="BH1897">
        <v>9.1</v>
      </c>
      <c r="BI1897">
        <v>9.1999999999999993</v>
      </c>
      <c r="BJ1897">
        <v>18.3</v>
      </c>
      <c r="BK1897">
        <v>0.34</v>
      </c>
      <c r="BL1897">
        <v>7.3</v>
      </c>
      <c r="BM1897">
        <v>0.9</v>
      </c>
      <c r="BN1897">
        <v>7.5</v>
      </c>
      <c r="BO1897">
        <v>2.9</v>
      </c>
      <c r="BP1897">
        <f t="shared" si="58"/>
        <v>1.9496699035914911</v>
      </c>
      <c r="BQ1897">
        <f t="shared" si="59"/>
        <v>9.8552772745428658</v>
      </c>
    </row>
    <row r="1898" spans="1:69" hidden="1" x14ac:dyDescent="0.2">
      <c r="A1898" t="s">
        <v>3341</v>
      </c>
      <c r="B1898" t="s">
        <v>68</v>
      </c>
      <c r="C1898" t="s">
        <v>3294</v>
      </c>
      <c r="D1898" t="s">
        <v>70</v>
      </c>
      <c r="E1898" t="s">
        <v>1010</v>
      </c>
      <c r="F1898">
        <v>5</v>
      </c>
      <c r="G1898">
        <v>30.51</v>
      </c>
      <c r="H1898">
        <v>1</v>
      </c>
      <c r="I1898">
        <v>1</v>
      </c>
      <c r="J1898">
        <v>0</v>
      </c>
      <c r="K1898" t="s">
        <v>110</v>
      </c>
      <c r="L1898" t="s">
        <v>111</v>
      </c>
      <c r="M1898" s="4">
        <v>365000000</v>
      </c>
      <c r="N1898">
        <v>0</v>
      </c>
      <c r="O1898">
        <v>4.6888100000000001</v>
      </c>
      <c r="P1898">
        <v>-74.060460000000006</v>
      </c>
      <c r="Q1898" t="s">
        <v>3342</v>
      </c>
      <c r="R1898">
        <v>11963290.720000001</v>
      </c>
      <c r="S1898">
        <v>0</v>
      </c>
      <c r="T1898" t="s">
        <v>104</v>
      </c>
      <c r="U1898" t="s">
        <v>105</v>
      </c>
      <c r="V1898" t="s">
        <v>77</v>
      </c>
      <c r="W1898" t="s">
        <v>104</v>
      </c>
      <c r="X1898" t="s">
        <v>106</v>
      </c>
      <c r="Y1898">
        <v>4.1060365094645501</v>
      </c>
      <c r="Z1898">
        <v>4106.0365094645504</v>
      </c>
      <c r="AA1898">
        <v>4.71035</v>
      </c>
      <c r="AB1898">
        <v>-74.030416666666696</v>
      </c>
      <c r="AC1898">
        <v>2570</v>
      </c>
      <c r="AD1898">
        <v>10</v>
      </c>
      <c r="AE1898" t="s">
        <v>80</v>
      </c>
      <c r="AF1898" t="s">
        <v>107</v>
      </c>
      <c r="AG1898" t="s">
        <v>82</v>
      </c>
      <c r="AH1898" t="s">
        <v>83</v>
      </c>
      <c r="AI1898" t="s">
        <v>121</v>
      </c>
      <c r="AJ1898">
        <v>0.48625971962562398</v>
      </c>
      <c r="AK1898">
        <v>2.8422555165182</v>
      </c>
      <c r="AL1898">
        <v>0.91296222255048998</v>
      </c>
      <c r="AM1898">
        <v>2.4469659980457501E-2</v>
      </c>
      <c r="AN1898">
        <v>2.8945796070264</v>
      </c>
      <c r="AO1898">
        <v>0.13289012363238201</v>
      </c>
      <c r="AP1898">
        <v>0.13289012363238201</v>
      </c>
      <c r="AQ1898">
        <v>1</v>
      </c>
      <c r="AR1898">
        <v>5</v>
      </c>
      <c r="AS1898">
        <v>0</v>
      </c>
      <c r="AT1898">
        <v>0</v>
      </c>
      <c r="AU1898">
        <v>1</v>
      </c>
      <c r="AV1898">
        <v>198</v>
      </c>
      <c r="AW1898">
        <v>0</v>
      </c>
      <c r="AX1898">
        <v>0</v>
      </c>
      <c r="AY1898">
        <v>15.5</v>
      </c>
      <c r="AZ1898">
        <v>2.4</v>
      </c>
      <c r="BA1898">
        <v>10.9</v>
      </c>
      <c r="BB1898">
        <v>564</v>
      </c>
      <c r="BC1898">
        <v>68</v>
      </c>
      <c r="BD1898">
        <v>1.5</v>
      </c>
      <c r="BE1898">
        <v>135</v>
      </c>
      <c r="BF1898">
        <v>0</v>
      </c>
      <c r="BG1898">
        <v>162</v>
      </c>
      <c r="BH1898">
        <v>9.1</v>
      </c>
      <c r="BI1898">
        <v>9.1999999999999993</v>
      </c>
      <c r="BJ1898">
        <v>18.3</v>
      </c>
      <c r="BK1898">
        <v>0.34</v>
      </c>
      <c r="BL1898">
        <v>7.3</v>
      </c>
      <c r="BM1898">
        <v>0.9</v>
      </c>
      <c r="BN1898">
        <v>7.5</v>
      </c>
      <c r="BO1898">
        <v>2.9</v>
      </c>
      <c r="BP1898">
        <f t="shared" si="58"/>
        <v>1.9585804098494703</v>
      </c>
      <c r="BQ1898">
        <f t="shared" si="59"/>
        <v>9.8770897930246626</v>
      </c>
    </row>
    <row r="1899" spans="1:69" hidden="1" x14ac:dyDescent="0.2">
      <c r="A1899" t="s">
        <v>4657</v>
      </c>
      <c r="B1899" t="s">
        <v>68</v>
      </c>
      <c r="C1899" t="s">
        <v>3294</v>
      </c>
      <c r="D1899" t="s">
        <v>70</v>
      </c>
      <c r="E1899" t="s">
        <v>108</v>
      </c>
      <c r="F1899">
        <v>4</v>
      </c>
      <c r="G1899">
        <v>30.5</v>
      </c>
      <c r="H1899">
        <v>1</v>
      </c>
      <c r="I1899">
        <v>1</v>
      </c>
      <c r="J1899">
        <v>0</v>
      </c>
      <c r="K1899" t="s">
        <v>110</v>
      </c>
      <c r="L1899" t="s">
        <v>111</v>
      </c>
      <c r="M1899" s="4">
        <v>225000000</v>
      </c>
      <c r="N1899">
        <v>0</v>
      </c>
      <c r="O1899">
        <v>4.7318134000000001</v>
      </c>
      <c r="P1899">
        <v>-74.022466300000005</v>
      </c>
      <c r="Q1899" t="s">
        <v>4658</v>
      </c>
      <c r="R1899">
        <v>7377049.1799999997</v>
      </c>
      <c r="S1899">
        <v>0</v>
      </c>
      <c r="T1899" t="s">
        <v>104</v>
      </c>
      <c r="U1899" t="s">
        <v>105</v>
      </c>
      <c r="V1899" t="s">
        <v>77</v>
      </c>
      <c r="W1899" t="s">
        <v>104</v>
      </c>
      <c r="X1899" t="s">
        <v>106</v>
      </c>
      <c r="Y1899">
        <v>2.54690063524647</v>
      </c>
      <c r="Z1899">
        <v>2546.9006352464698</v>
      </c>
      <c r="AA1899">
        <v>4.71035</v>
      </c>
      <c r="AB1899">
        <v>-74.030416666666696</v>
      </c>
      <c r="AC1899">
        <v>2570</v>
      </c>
      <c r="AD1899">
        <v>10</v>
      </c>
      <c r="AE1899" t="s">
        <v>80</v>
      </c>
      <c r="AF1899" t="s">
        <v>107</v>
      </c>
      <c r="AG1899" t="s">
        <v>82</v>
      </c>
      <c r="AH1899" t="s">
        <v>83</v>
      </c>
      <c r="AI1899" t="s">
        <v>108</v>
      </c>
      <c r="AJ1899">
        <v>2.9827298070096102</v>
      </c>
      <c r="AK1899">
        <v>9.9822699924580705E-2</v>
      </c>
      <c r="AL1899">
        <v>1.7874717820480699</v>
      </c>
      <c r="AM1899">
        <v>0.232900600376058</v>
      </c>
      <c r="AN1899">
        <v>1.1740757658537899</v>
      </c>
      <c r="AO1899">
        <v>0.18986944181578799</v>
      </c>
      <c r="AP1899">
        <v>0.18986944181578799</v>
      </c>
      <c r="AQ1899">
        <v>0</v>
      </c>
      <c r="AR1899">
        <v>0</v>
      </c>
      <c r="AS1899">
        <v>12</v>
      </c>
      <c r="AT1899">
        <v>34</v>
      </c>
      <c r="AU1899">
        <v>0</v>
      </c>
      <c r="AV1899">
        <v>9</v>
      </c>
      <c r="AW1899">
        <v>0</v>
      </c>
      <c r="AX1899">
        <v>0</v>
      </c>
      <c r="AY1899">
        <v>15.5</v>
      </c>
      <c r="AZ1899">
        <v>2.4</v>
      </c>
      <c r="BA1899">
        <v>10.9</v>
      </c>
      <c r="BB1899">
        <v>564</v>
      </c>
      <c r="BC1899">
        <v>68</v>
      </c>
      <c r="BD1899">
        <v>1.5</v>
      </c>
      <c r="BE1899">
        <v>135</v>
      </c>
      <c r="BF1899">
        <v>0</v>
      </c>
      <c r="BG1899">
        <v>162</v>
      </c>
      <c r="BH1899">
        <v>9.1</v>
      </c>
      <c r="BI1899">
        <v>9.1999999999999993</v>
      </c>
      <c r="BJ1899">
        <v>18.3</v>
      </c>
      <c r="BK1899">
        <v>0.34</v>
      </c>
      <c r="BL1899">
        <v>7.3</v>
      </c>
      <c r="BM1899">
        <v>0.9</v>
      </c>
      <c r="BN1899">
        <v>7.5</v>
      </c>
      <c r="BO1899">
        <v>2.9</v>
      </c>
      <c r="BP1899">
        <f t="shared" si="58"/>
        <v>2.1157241802662754</v>
      </c>
      <c r="BQ1899">
        <f t="shared" si="59"/>
        <v>10.253685213468067</v>
      </c>
    </row>
    <row r="1900" spans="1:69" hidden="1" x14ac:dyDescent="0.2">
      <c r="A1900" t="s">
        <v>3687</v>
      </c>
      <c r="B1900" t="s">
        <v>68</v>
      </c>
      <c r="C1900" t="s">
        <v>3294</v>
      </c>
      <c r="D1900" t="s">
        <v>70</v>
      </c>
      <c r="E1900" t="s">
        <v>580</v>
      </c>
      <c r="F1900">
        <v>4</v>
      </c>
      <c r="G1900">
        <v>30.49</v>
      </c>
      <c r="H1900">
        <v>1</v>
      </c>
      <c r="I1900">
        <v>1</v>
      </c>
      <c r="J1900">
        <v>0</v>
      </c>
      <c r="K1900" t="s">
        <v>110</v>
      </c>
      <c r="L1900" t="s">
        <v>111</v>
      </c>
      <c r="M1900" s="4">
        <v>250000000</v>
      </c>
      <c r="N1900">
        <v>0</v>
      </c>
      <c r="O1900">
        <v>4.7392716410000002</v>
      </c>
      <c r="P1900">
        <v>-74.022033690000001</v>
      </c>
      <c r="Q1900" t="s">
        <v>3688</v>
      </c>
      <c r="R1900">
        <v>8199409.6430000002</v>
      </c>
      <c r="S1900">
        <v>0</v>
      </c>
      <c r="T1900" t="s">
        <v>104</v>
      </c>
      <c r="U1900" t="s">
        <v>105</v>
      </c>
      <c r="V1900" t="s">
        <v>77</v>
      </c>
      <c r="W1900" t="s">
        <v>104</v>
      </c>
      <c r="X1900" t="s">
        <v>106</v>
      </c>
      <c r="Y1900">
        <v>3.3511767408325599</v>
      </c>
      <c r="Z1900">
        <v>3351.17674083256</v>
      </c>
      <c r="AA1900">
        <v>4.71035</v>
      </c>
      <c r="AB1900">
        <v>-74.030416666666696</v>
      </c>
      <c r="AC1900">
        <v>2570</v>
      </c>
      <c r="AD1900">
        <v>10</v>
      </c>
      <c r="AE1900" t="s">
        <v>80</v>
      </c>
      <c r="AF1900" t="s">
        <v>107</v>
      </c>
      <c r="AG1900" t="s">
        <v>82</v>
      </c>
      <c r="AH1900" t="s">
        <v>83</v>
      </c>
      <c r="AI1900" t="s">
        <v>108</v>
      </c>
      <c r="AJ1900">
        <v>2.8937236701939799</v>
      </c>
      <c r="AK1900">
        <v>0.31814474964195499</v>
      </c>
      <c r="AL1900">
        <v>1.0539119085458599</v>
      </c>
      <c r="AM1900">
        <v>0.130083741570274</v>
      </c>
      <c r="AN1900">
        <v>0.57795931007566204</v>
      </c>
      <c r="AO1900">
        <v>0.15510707214339201</v>
      </c>
      <c r="AP1900">
        <v>0.15510707214339201</v>
      </c>
      <c r="AQ1900">
        <v>0</v>
      </c>
      <c r="AR1900">
        <v>0</v>
      </c>
      <c r="AS1900">
        <v>11</v>
      </c>
      <c r="AT1900">
        <v>59</v>
      </c>
      <c r="AU1900">
        <v>0</v>
      </c>
      <c r="AV1900">
        <v>9</v>
      </c>
      <c r="AW1900">
        <v>1</v>
      </c>
      <c r="AX1900">
        <v>0</v>
      </c>
      <c r="AY1900">
        <v>15.5</v>
      </c>
      <c r="AZ1900">
        <v>2.4</v>
      </c>
      <c r="BA1900">
        <v>10.9</v>
      </c>
      <c r="BB1900">
        <v>564</v>
      </c>
      <c r="BC1900">
        <v>68</v>
      </c>
      <c r="BD1900">
        <v>1.5</v>
      </c>
      <c r="BE1900">
        <v>135</v>
      </c>
      <c r="BF1900">
        <v>0</v>
      </c>
      <c r="BG1900">
        <v>162</v>
      </c>
      <c r="BH1900">
        <v>9.1</v>
      </c>
      <c r="BI1900">
        <v>9.1999999999999993</v>
      </c>
      <c r="BJ1900">
        <v>18.3</v>
      </c>
      <c r="BK1900">
        <v>0.34</v>
      </c>
      <c r="BL1900">
        <v>7.3</v>
      </c>
      <c r="BM1900">
        <v>0.9</v>
      </c>
      <c r="BN1900">
        <v>7.5</v>
      </c>
      <c r="BO1900">
        <v>2.9</v>
      </c>
      <c r="BP1900">
        <f t="shared" si="58"/>
        <v>2.0331483209664016</v>
      </c>
      <c r="BQ1900">
        <f t="shared" si="59"/>
        <v>10.057660142958312</v>
      </c>
    </row>
    <row r="1901" spans="1:69" hidden="1" x14ac:dyDescent="0.2">
      <c r="A1901" t="s">
        <v>1513</v>
      </c>
      <c r="B1901" t="s">
        <v>68</v>
      </c>
      <c r="C1901" t="s">
        <v>69</v>
      </c>
      <c r="D1901" t="s">
        <v>70</v>
      </c>
      <c r="E1901" t="s">
        <v>1514</v>
      </c>
      <c r="F1901">
        <v>6</v>
      </c>
      <c r="G1901">
        <v>30.23</v>
      </c>
      <c r="H1901">
        <v>1</v>
      </c>
      <c r="I1901">
        <v>1</v>
      </c>
      <c r="J1901">
        <v>0</v>
      </c>
      <c r="K1901" t="s">
        <v>110</v>
      </c>
      <c r="L1901" t="s">
        <v>111</v>
      </c>
      <c r="M1901" s="4">
        <v>299000000</v>
      </c>
      <c r="N1901">
        <v>0</v>
      </c>
      <c r="O1901">
        <v>4.6843991279999999</v>
      </c>
      <c r="P1901">
        <v>-74.057159420000005</v>
      </c>
      <c r="Q1901" t="s">
        <v>1515</v>
      </c>
      <c r="R1901">
        <v>9890836.9169999994</v>
      </c>
      <c r="S1901">
        <v>0</v>
      </c>
      <c r="T1901" t="s">
        <v>104</v>
      </c>
      <c r="U1901" t="s">
        <v>105</v>
      </c>
      <c r="V1901" t="s">
        <v>77</v>
      </c>
      <c r="W1901" t="s">
        <v>104</v>
      </c>
      <c r="X1901" t="s">
        <v>106</v>
      </c>
      <c r="Y1901">
        <v>4.1410645974576497</v>
      </c>
      <c r="Z1901">
        <v>4141.0645974576501</v>
      </c>
      <c r="AA1901">
        <v>4.71035</v>
      </c>
      <c r="AB1901">
        <v>-74.030416666666696</v>
      </c>
      <c r="AC1901">
        <v>2570</v>
      </c>
      <c r="AD1901">
        <v>10</v>
      </c>
      <c r="AE1901" t="s">
        <v>80</v>
      </c>
      <c r="AF1901" t="s">
        <v>107</v>
      </c>
      <c r="AG1901" t="s">
        <v>82</v>
      </c>
      <c r="AH1901" t="s">
        <v>83</v>
      </c>
      <c r="AI1901" t="s">
        <v>130</v>
      </c>
      <c r="AJ1901">
        <v>7.8916409255592804E-2</v>
      </c>
      <c r="AK1901">
        <v>2.2713820162593801</v>
      </c>
      <c r="AL1901">
        <v>0.505334387126538</v>
      </c>
      <c r="AM1901">
        <v>2.80841291755786E-2</v>
      </c>
      <c r="AN1901">
        <v>2.9784622358682</v>
      </c>
      <c r="AO1901">
        <v>0.144571219649474</v>
      </c>
      <c r="AP1901">
        <v>0.144571219649474</v>
      </c>
      <c r="AQ1901">
        <v>1</v>
      </c>
      <c r="AR1901">
        <v>6</v>
      </c>
      <c r="AS1901">
        <v>0</v>
      </c>
      <c r="AT1901">
        <v>0</v>
      </c>
      <c r="AU1901">
        <v>5</v>
      </c>
      <c r="AV1901">
        <v>234</v>
      </c>
      <c r="AW1901">
        <v>0</v>
      </c>
      <c r="AX1901">
        <v>0</v>
      </c>
      <c r="AY1901">
        <v>15.5</v>
      </c>
      <c r="AZ1901">
        <v>2.4</v>
      </c>
      <c r="BA1901">
        <v>10.9</v>
      </c>
      <c r="BB1901">
        <v>564</v>
      </c>
      <c r="BC1901">
        <v>68</v>
      </c>
      <c r="BD1901">
        <v>1.5</v>
      </c>
      <c r="BE1901">
        <v>135</v>
      </c>
      <c r="BF1901">
        <v>0</v>
      </c>
      <c r="BG1901">
        <v>162</v>
      </c>
      <c r="BH1901">
        <v>9.1</v>
      </c>
      <c r="BI1901">
        <v>9.1999999999999993</v>
      </c>
      <c r="BJ1901">
        <v>18.3</v>
      </c>
      <c r="BK1901">
        <v>0.34</v>
      </c>
      <c r="BL1901">
        <v>7.3</v>
      </c>
      <c r="BM1901">
        <v>0.9</v>
      </c>
      <c r="BN1901">
        <v>7.5</v>
      </c>
      <c r="BO1901">
        <v>2.9</v>
      </c>
      <c r="BP1901">
        <f t="shared" si="58"/>
        <v>1.955187388579537</v>
      </c>
      <c r="BQ1901">
        <f t="shared" si="59"/>
        <v>9.8687898685900244</v>
      </c>
    </row>
    <row r="1902" spans="1:69" hidden="1" x14ac:dyDescent="0.2">
      <c r="A1902" t="s">
        <v>4081</v>
      </c>
      <c r="B1902" t="s">
        <v>68</v>
      </c>
      <c r="C1902" t="s">
        <v>3294</v>
      </c>
      <c r="D1902" t="s">
        <v>70</v>
      </c>
      <c r="E1902" t="s">
        <v>205</v>
      </c>
      <c r="F1902">
        <v>4</v>
      </c>
      <c r="G1902">
        <v>30.23</v>
      </c>
      <c r="H1902">
        <v>1</v>
      </c>
      <c r="I1902">
        <v>1</v>
      </c>
      <c r="J1902">
        <v>1</v>
      </c>
      <c r="K1902" t="s">
        <v>110</v>
      </c>
      <c r="L1902" t="s">
        <v>162</v>
      </c>
      <c r="M1902" s="4">
        <v>285000000</v>
      </c>
      <c r="N1902">
        <v>0</v>
      </c>
      <c r="O1902">
        <v>4.7263127000000003</v>
      </c>
      <c r="P1902">
        <v>-74.041955599999994</v>
      </c>
      <c r="Q1902" t="s">
        <v>4082</v>
      </c>
      <c r="R1902">
        <v>9427720.807</v>
      </c>
      <c r="S1902">
        <v>0</v>
      </c>
      <c r="T1902" t="s">
        <v>104</v>
      </c>
      <c r="U1902" t="s">
        <v>105</v>
      </c>
      <c r="V1902" t="s">
        <v>77</v>
      </c>
      <c r="W1902" t="s">
        <v>104</v>
      </c>
      <c r="X1902" t="s">
        <v>106</v>
      </c>
      <c r="Y1902">
        <v>2.1900645461394501</v>
      </c>
      <c r="Z1902">
        <v>2190.0645461394502</v>
      </c>
      <c r="AA1902">
        <v>4.71035</v>
      </c>
      <c r="AB1902">
        <v>-74.030416666666696</v>
      </c>
      <c r="AC1902">
        <v>2570</v>
      </c>
      <c r="AD1902">
        <v>10</v>
      </c>
      <c r="AE1902" t="s">
        <v>80</v>
      </c>
      <c r="AF1902" t="s">
        <v>107</v>
      </c>
      <c r="AG1902" t="s">
        <v>82</v>
      </c>
      <c r="AH1902" t="s">
        <v>83</v>
      </c>
      <c r="AI1902" t="s">
        <v>108</v>
      </c>
      <c r="AJ1902">
        <v>0.949573067124446</v>
      </c>
      <c r="AK1902">
        <v>2.1657504360411601</v>
      </c>
      <c r="AL1902">
        <v>0.75876864599722305</v>
      </c>
      <c r="AM1902">
        <v>0.30368454974172598</v>
      </c>
      <c r="AN1902">
        <v>2.3832072992173501</v>
      </c>
      <c r="AO1902">
        <v>1.3784862024644601E-2</v>
      </c>
      <c r="AP1902">
        <v>1.3784862024644601E-2</v>
      </c>
      <c r="AQ1902">
        <v>0</v>
      </c>
      <c r="AR1902">
        <v>1</v>
      </c>
      <c r="AS1902">
        <v>0</v>
      </c>
      <c r="AT1902">
        <v>0</v>
      </c>
      <c r="AU1902">
        <v>1</v>
      </c>
      <c r="AV1902">
        <v>37</v>
      </c>
      <c r="AW1902">
        <v>0</v>
      </c>
      <c r="AX1902">
        <v>0</v>
      </c>
      <c r="AY1902">
        <v>15.5</v>
      </c>
      <c r="AZ1902">
        <v>2.4</v>
      </c>
      <c r="BA1902">
        <v>10.9</v>
      </c>
      <c r="BB1902">
        <v>564</v>
      </c>
      <c r="BC1902">
        <v>68</v>
      </c>
      <c r="BD1902">
        <v>1.5</v>
      </c>
      <c r="BE1902">
        <v>135</v>
      </c>
      <c r="BF1902">
        <v>0</v>
      </c>
      <c r="BG1902">
        <v>162</v>
      </c>
      <c r="BH1902">
        <v>9.1</v>
      </c>
      <c r="BI1902">
        <v>9.1999999999999993</v>
      </c>
      <c r="BJ1902">
        <v>18.3</v>
      </c>
      <c r="BK1902">
        <v>0.34</v>
      </c>
      <c r="BL1902">
        <v>7.3</v>
      </c>
      <c r="BM1902">
        <v>0.9</v>
      </c>
      <c r="BN1902">
        <v>7.5</v>
      </c>
      <c r="BO1902">
        <v>2.9</v>
      </c>
      <c r="BP1902">
        <f t="shared" si="58"/>
        <v>2.1534270337821324</v>
      </c>
      <c r="BQ1902">
        <f t="shared" si="59"/>
        <v>10.341875546710614</v>
      </c>
    </row>
    <row r="1903" spans="1:69" hidden="1" x14ac:dyDescent="0.2">
      <c r="A1903" t="s">
        <v>4103</v>
      </c>
      <c r="B1903" t="s">
        <v>68</v>
      </c>
      <c r="C1903" t="s">
        <v>3294</v>
      </c>
      <c r="D1903" t="s">
        <v>70</v>
      </c>
      <c r="E1903" t="s">
        <v>205</v>
      </c>
      <c r="F1903">
        <v>4</v>
      </c>
      <c r="G1903">
        <v>30.23</v>
      </c>
      <c r="H1903">
        <v>1</v>
      </c>
      <c r="I1903">
        <v>1</v>
      </c>
      <c r="J1903">
        <v>1</v>
      </c>
      <c r="K1903" t="s">
        <v>110</v>
      </c>
      <c r="L1903" t="s">
        <v>162</v>
      </c>
      <c r="M1903" s="4">
        <v>285000000</v>
      </c>
      <c r="N1903">
        <v>0</v>
      </c>
      <c r="O1903">
        <v>4.7263127000000003</v>
      </c>
      <c r="P1903">
        <v>-74.041955599999994</v>
      </c>
      <c r="Q1903" t="s">
        <v>4104</v>
      </c>
      <c r="R1903">
        <v>9427720.807</v>
      </c>
      <c r="S1903">
        <v>0</v>
      </c>
      <c r="T1903" t="s">
        <v>104</v>
      </c>
      <c r="U1903" t="s">
        <v>105</v>
      </c>
      <c r="V1903" t="s">
        <v>77</v>
      </c>
      <c r="W1903" t="s">
        <v>104</v>
      </c>
      <c r="X1903" t="s">
        <v>106</v>
      </c>
      <c r="Y1903">
        <v>2.1900645461394501</v>
      </c>
      <c r="Z1903">
        <v>2190.0645461394502</v>
      </c>
      <c r="AA1903">
        <v>4.71035</v>
      </c>
      <c r="AB1903">
        <v>-74.030416666666696</v>
      </c>
      <c r="AC1903">
        <v>2570</v>
      </c>
      <c r="AD1903">
        <v>10</v>
      </c>
      <c r="AE1903" t="s">
        <v>80</v>
      </c>
      <c r="AF1903" t="s">
        <v>107</v>
      </c>
      <c r="AG1903" t="s">
        <v>82</v>
      </c>
      <c r="AH1903" t="s">
        <v>83</v>
      </c>
      <c r="AI1903" t="s">
        <v>108</v>
      </c>
      <c r="AJ1903">
        <v>0.949573067124446</v>
      </c>
      <c r="AK1903">
        <v>2.1657504360411601</v>
      </c>
      <c r="AL1903">
        <v>0.75876864599722305</v>
      </c>
      <c r="AM1903">
        <v>0.30368454974172598</v>
      </c>
      <c r="AN1903">
        <v>2.3832072992173501</v>
      </c>
      <c r="AO1903">
        <v>1.3784862024644601E-2</v>
      </c>
      <c r="AP1903">
        <v>1.3784862024644601E-2</v>
      </c>
      <c r="AQ1903">
        <v>0</v>
      </c>
      <c r="AR1903">
        <v>1</v>
      </c>
      <c r="AS1903">
        <v>0</v>
      </c>
      <c r="AT1903">
        <v>0</v>
      </c>
      <c r="AU1903">
        <v>1</v>
      </c>
      <c r="AV1903">
        <v>37</v>
      </c>
      <c r="AW1903">
        <v>0</v>
      </c>
      <c r="AX1903">
        <v>0</v>
      </c>
      <c r="AY1903">
        <v>15.5</v>
      </c>
      <c r="AZ1903">
        <v>2.4</v>
      </c>
      <c r="BA1903">
        <v>10.9</v>
      </c>
      <c r="BB1903">
        <v>564</v>
      </c>
      <c r="BC1903">
        <v>68</v>
      </c>
      <c r="BD1903">
        <v>1.5</v>
      </c>
      <c r="BE1903">
        <v>135</v>
      </c>
      <c r="BF1903">
        <v>0</v>
      </c>
      <c r="BG1903">
        <v>162</v>
      </c>
      <c r="BH1903">
        <v>9.1</v>
      </c>
      <c r="BI1903">
        <v>9.1999999999999993</v>
      </c>
      <c r="BJ1903">
        <v>18.3</v>
      </c>
      <c r="BK1903">
        <v>0.34</v>
      </c>
      <c r="BL1903">
        <v>7.3</v>
      </c>
      <c r="BM1903">
        <v>0.9</v>
      </c>
      <c r="BN1903">
        <v>7.5</v>
      </c>
      <c r="BO1903">
        <v>2.9</v>
      </c>
      <c r="BP1903">
        <f t="shared" si="58"/>
        <v>2.1534270337821324</v>
      </c>
      <c r="BQ1903">
        <f t="shared" si="59"/>
        <v>10.341875546710614</v>
      </c>
    </row>
    <row r="1904" spans="1:69" hidden="1" x14ac:dyDescent="0.2">
      <c r="A1904" t="s">
        <v>3345</v>
      </c>
      <c r="B1904" t="s">
        <v>68</v>
      </c>
      <c r="C1904" t="s">
        <v>3294</v>
      </c>
      <c r="D1904" t="s">
        <v>70</v>
      </c>
      <c r="E1904" t="s">
        <v>2292</v>
      </c>
      <c r="F1904">
        <v>4</v>
      </c>
      <c r="G1904">
        <v>30.04</v>
      </c>
      <c r="H1904">
        <v>1</v>
      </c>
      <c r="I1904">
        <v>1</v>
      </c>
      <c r="J1904">
        <v>0</v>
      </c>
      <c r="K1904" t="s">
        <v>110</v>
      </c>
      <c r="L1904" t="s">
        <v>111</v>
      </c>
      <c r="M1904" s="4">
        <v>238000000</v>
      </c>
      <c r="N1904">
        <v>0</v>
      </c>
      <c r="O1904">
        <v>4.7313000000000001</v>
      </c>
      <c r="P1904">
        <v>-74.023219999999995</v>
      </c>
      <c r="Q1904" t="s">
        <v>3346</v>
      </c>
      <c r="R1904">
        <v>7922769.6399999997</v>
      </c>
      <c r="S1904">
        <v>0</v>
      </c>
      <c r="T1904" t="s">
        <v>104</v>
      </c>
      <c r="U1904" t="s">
        <v>105</v>
      </c>
      <c r="V1904" t="s">
        <v>77</v>
      </c>
      <c r="W1904" t="s">
        <v>104</v>
      </c>
      <c r="X1904" t="s">
        <v>106</v>
      </c>
      <c r="Y1904">
        <v>2.4650260421176302</v>
      </c>
      <c r="Z1904">
        <v>2465.0260421176299</v>
      </c>
      <c r="AA1904">
        <v>4.71035</v>
      </c>
      <c r="AB1904">
        <v>-74.030416666666696</v>
      </c>
      <c r="AC1904">
        <v>2570</v>
      </c>
      <c r="AD1904">
        <v>10</v>
      </c>
      <c r="AE1904" t="s">
        <v>80</v>
      </c>
      <c r="AF1904" t="s">
        <v>107</v>
      </c>
      <c r="AG1904" t="s">
        <v>82</v>
      </c>
      <c r="AH1904" t="s">
        <v>83</v>
      </c>
      <c r="AI1904" t="s">
        <v>108</v>
      </c>
      <c r="AJ1904">
        <v>2.9061713715426101</v>
      </c>
      <c r="AK1904">
        <v>0.185712414394894</v>
      </c>
      <c r="AL1904">
        <v>1.81970185697041</v>
      </c>
      <c r="AM1904">
        <v>0.217179238185951</v>
      </c>
      <c r="AN1904">
        <v>1.19647519291853</v>
      </c>
      <c r="AO1904">
        <v>0.11246448652397301</v>
      </c>
      <c r="AP1904">
        <v>0.11246448652397301</v>
      </c>
      <c r="AQ1904">
        <v>0</v>
      </c>
      <c r="AR1904">
        <v>0</v>
      </c>
      <c r="AS1904">
        <v>11</v>
      </c>
      <c r="AT1904">
        <v>32</v>
      </c>
      <c r="AU1904">
        <v>0</v>
      </c>
      <c r="AV1904">
        <v>9</v>
      </c>
      <c r="AW1904">
        <v>0</v>
      </c>
      <c r="AX1904">
        <v>0</v>
      </c>
      <c r="AY1904">
        <v>15.5</v>
      </c>
      <c r="AZ1904">
        <v>2.4</v>
      </c>
      <c r="BA1904">
        <v>10.9</v>
      </c>
      <c r="BB1904">
        <v>564</v>
      </c>
      <c r="BC1904">
        <v>68</v>
      </c>
      <c r="BD1904">
        <v>1.5</v>
      </c>
      <c r="BE1904">
        <v>135</v>
      </c>
      <c r="BF1904">
        <v>0</v>
      </c>
      <c r="BG1904">
        <v>162</v>
      </c>
      <c r="BH1904">
        <v>9.1</v>
      </c>
      <c r="BI1904">
        <v>9.1999999999999993</v>
      </c>
      <c r="BJ1904">
        <v>18.3</v>
      </c>
      <c r="BK1904">
        <v>0.34</v>
      </c>
      <c r="BL1904">
        <v>7.3</v>
      </c>
      <c r="BM1904">
        <v>0.9</v>
      </c>
      <c r="BN1904">
        <v>7.5</v>
      </c>
      <c r="BO1904">
        <v>2.9</v>
      </c>
      <c r="BP1904">
        <f t="shared" si="58"/>
        <v>2.1243161700746191</v>
      </c>
      <c r="BQ1904">
        <f t="shared" si="59"/>
        <v>10.273853413454827</v>
      </c>
    </row>
    <row r="1905" spans="1:69" hidden="1" x14ac:dyDescent="0.2">
      <c r="A1905" t="s">
        <v>3448</v>
      </c>
      <c r="B1905" t="s">
        <v>68</v>
      </c>
      <c r="C1905" t="s">
        <v>3294</v>
      </c>
      <c r="D1905" t="s">
        <v>70</v>
      </c>
      <c r="E1905" t="s">
        <v>3444</v>
      </c>
      <c r="F1905">
        <v>6</v>
      </c>
      <c r="G1905">
        <v>30</v>
      </c>
      <c r="H1905">
        <v>1</v>
      </c>
      <c r="I1905">
        <v>1</v>
      </c>
      <c r="J1905">
        <v>0</v>
      </c>
      <c r="K1905" t="s">
        <v>110</v>
      </c>
      <c r="L1905" t="s">
        <v>111</v>
      </c>
      <c r="M1905" s="4">
        <v>416000000</v>
      </c>
      <c r="N1905">
        <v>0</v>
      </c>
      <c r="O1905">
        <v>4.681571484</v>
      </c>
      <c r="P1905">
        <v>-74.047111509999993</v>
      </c>
      <c r="Q1905" t="s">
        <v>3449</v>
      </c>
      <c r="R1905">
        <v>13866666.67</v>
      </c>
      <c r="S1905">
        <v>0</v>
      </c>
      <c r="T1905" t="s">
        <v>104</v>
      </c>
      <c r="U1905" t="s">
        <v>105</v>
      </c>
      <c r="V1905" t="s">
        <v>77</v>
      </c>
      <c r="W1905" t="s">
        <v>104</v>
      </c>
      <c r="X1905" t="s">
        <v>106</v>
      </c>
      <c r="Y1905">
        <v>3.70051956049703</v>
      </c>
      <c r="Z1905">
        <v>3700.5195604970299</v>
      </c>
      <c r="AA1905">
        <v>4.71035</v>
      </c>
      <c r="AB1905">
        <v>-74.030416666666696</v>
      </c>
      <c r="AC1905">
        <v>2570</v>
      </c>
      <c r="AD1905">
        <v>10</v>
      </c>
      <c r="AE1905" t="s">
        <v>80</v>
      </c>
      <c r="AF1905" t="s">
        <v>107</v>
      </c>
      <c r="AG1905" t="s">
        <v>82</v>
      </c>
      <c r="AH1905" t="s">
        <v>83</v>
      </c>
      <c r="AI1905" t="s">
        <v>130</v>
      </c>
      <c r="AJ1905">
        <v>1.20443720653357</v>
      </c>
      <c r="AK1905">
        <v>1.1828957651232499</v>
      </c>
      <c r="AL1905">
        <v>0.66107939540462701</v>
      </c>
      <c r="AM1905">
        <v>9.5329901531055902E-2</v>
      </c>
      <c r="AN1905">
        <v>3.9474311373359301</v>
      </c>
      <c r="AO1905">
        <v>0.926553221130472</v>
      </c>
      <c r="AP1905">
        <v>0.926553221130472</v>
      </c>
      <c r="AQ1905">
        <v>0</v>
      </c>
      <c r="AR1905">
        <v>0</v>
      </c>
      <c r="AS1905">
        <v>0</v>
      </c>
      <c r="AT1905">
        <v>0</v>
      </c>
      <c r="AU1905">
        <v>5</v>
      </c>
      <c r="AV1905">
        <v>126</v>
      </c>
      <c r="AW1905">
        <v>0</v>
      </c>
      <c r="AX1905">
        <v>0</v>
      </c>
      <c r="AY1905">
        <v>15.5</v>
      </c>
      <c r="AZ1905">
        <v>2.4</v>
      </c>
      <c r="BA1905">
        <v>10.9</v>
      </c>
      <c r="BB1905">
        <v>564</v>
      </c>
      <c r="BC1905">
        <v>68</v>
      </c>
      <c r="BD1905">
        <v>1.5</v>
      </c>
      <c r="BE1905">
        <v>135</v>
      </c>
      <c r="BF1905">
        <v>0</v>
      </c>
      <c r="BG1905">
        <v>162</v>
      </c>
      <c r="BH1905">
        <v>9.1</v>
      </c>
      <c r="BI1905">
        <v>9.1999999999999993</v>
      </c>
      <c r="BJ1905">
        <v>18.3</v>
      </c>
      <c r="BK1905">
        <v>0.34</v>
      </c>
      <c r="BL1905">
        <v>7.3</v>
      </c>
      <c r="BM1905">
        <v>0.9</v>
      </c>
      <c r="BN1905">
        <v>7.5</v>
      </c>
      <c r="BO1905">
        <v>2.9</v>
      </c>
      <c r="BP1905">
        <f t="shared" si="58"/>
        <v>1.9982924064828016</v>
      </c>
      <c r="BQ1905">
        <f t="shared" si="59"/>
        <v>9.973686947576212</v>
      </c>
    </row>
    <row r="1906" spans="1:69" hidden="1" x14ac:dyDescent="0.2">
      <c r="A1906" t="s">
        <v>4089</v>
      </c>
      <c r="B1906" t="s">
        <v>68</v>
      </c>
      <c r="C1906" t="s">
        <v>3294</v>
      </c>
      <c r="D1906" t="s">
        <v>70</v>
      </c>
      <c r="E1906" t="s">
        <v>229</v>
      </c>
      <c r="F1906">
        <v>6</v>
      </c>
      <c r="G1906">
        <v>30</v>
      </c>
      <c r="H1906">
        <v>1</v>
      </c>
      <c r="I1906">
        <v>1</v>
      </c>
      <c r="J1906">
        <v>0</v>
      </c>
      <c r="K1906" t="s">
        <v>110</v>
      </c>
      <c r="L1906" t="s">
        <v>111</v>
      </c>
      <c r="M1906" s="4">
        <v>410000000</v>
      </c>
      <c r="N1906">
        <v>0</v>
      </c>
      <c r="O1906">
        <v>4.6816199999999997</v>
      </c>
      <c r="P1906">
        <v>-74.047139999999999</v>
      </c>
      <c r="Q1906" t="s">
        <v>4090</v>
      </c>
      <c r="R1906">
        <v>13666666.67</v>
      </c>
      <c r="S1906">
        <v>0</v>
      </c>
      <c r="T1906" t="s">
        <v>104</v>
      </c>
      <c r="U1906" t="s">
        <v>105</v>
      </c>
      <c r="V1906" t="s">
        <v>77</v>
      </c>
      <c r="W1906" t="s">
        <v>104</v>
      </c>
      <c r="X1906" t="s">
        <v>106</v>
      </c>
      <c r="Y1906">
        <v>3.6974300751556402</v>
      </c>
      <c r="Z1906">
        <v>3697.4300751556402</v>
      </c>
      <c r="AA1906">
        <v>4.71035</v>
      </c>
      <c r="AB1906">
        <v>-74.030416666666696</v>
      </c>
      <c r="AC1906">
        <v>2570</v>
      </c>
      <c r="AD1906">
        <v>10</v>
      </c>
      <c r="AE1906" t="s">
        <v>80</v>
      </c>
      <c r="AF1906" t="s">
        <v>107</v>
      </c>
      <c r="AG1906" t="s">
        <v>82</v>
      </c>
      <c r="AH1906" t="s">
        <v>83</v>
      </c>
      <c r="AI1906" t="s">
        <v>130</v>
      </c>
      <c r="AJ1906">
        <v>1.20019307229707</v>
      </c>
      <c r="AK1906">
        <v>1.18883715800353</v>
      </c>
      <c r="AL1906">
        <v>0.65498137780241705</v>
      </c>
      <c r="AM1906">
        <v>9.2125053842393195E-2</v>
      </c>
      <c r="AN1906">
        <v>3.9455166185888699</v>
      </c>
      <c r="AO1906">
        <v>0.92328563608887004</v>
      </c>
      <c r="AP1906">
        <v>0.92328563608887004</v>
      </c>
      <c r="AQ1906">
        <v>0</v>
      </c>
      <c r="AR1906">
        <v>0</v>
      </c>
      <c r="AS1906">
        <v>0</v>
      </c>
      <c r="AT1906">
        <v>0</v>
      </c>
      <c r="AU1906">
        <v>5</v>
      </c>
      <c r="AV1906">
        <v>127</v>
      </c>
      <c r="AW1906">
        <v>0</v>
      </c>
      <c r="AX1906">
        <v>0</v>
      </c>
      <c r="AY1906">
        <v>15.5</v>
      </c>
      <c r="AZ1906">
        <v>2.4</v>
      </c>
      <c r="BA1906">
        <v>10.9</v>
      </c>
      <c r="BB1906">
        <v>564</v>
      </c>
      <c r="BC1906">
        <v>68</v>
      </c>
      <c r="BD1906">
        <v>1.5</v>
      </c>
      <c r="BE1906">
        <v>135</v>
      </c>
      <c r="BF1906">
        <v>0</v>
      </c>
      <c r="BG1906">
        <v>162</v>
      </c>
      <c r="BH1906">
        <v>9.1</v>
      </c>
      <c r="BI1906">
        <v>9.1999999999999993</v>
      </c>
      <c r="BJ1906">
        <v>18.3</v>
      </c>
      <c r="BK1906">
        <v>0.34</v>
      </c>
      <c r="BL1906">
        <v>7.3</v>
      </c>
      <c r="BM1906">
        <v>0.9</v>
      </c>
      <c r="BN1906">
        <v>7.5</v>
      </c>
      <c r="BO1906">
        <v>2.9</v>
      </c>
      <c r="BP1906">
        <f t="shared" si="58"/>
        <v>1.9985980277587974</v>
      </c>
      <c r="BQ1906">
        <f t="shared" si="59"/>
        <v>9.9744265004249044</v>
      </c>
    </row>
    <row r="1907" spans="1:69" hidden="1" x14ac:dyDescent="0.2">
      <c r="A1907" t="s">
        <v>826</v>
      </c>
      <c r="B1907" t="s">
        <v>68</v>
      </c>
      <c r="C1907" t="s">
        <v>69</v>
      </c>
      <c r="D1907" t="s">
        <v>70</v>
      </c>
      <c r="E1907" t="s">
        <v>226</v>
      </c>
      <c r="F1907">
        <v>6</v>
      </c>
      <c r="G1907">
        <v>30</v>
      </c>
      <c r="H1907">
        <v>1</v>
      </c>
      <c r="I1907">
        <v>1</v>
      </c>
      <c r="J1907">
        <v>1</v>
      </c>
      <c r="K1907" t="s">
        <v>110</v>
      </c>
      <c r="L1907" t="s">
        <v>111</v>
      </c>
      <c r="M1907" s="4">
        <v>420000000</v>
      </c>
      <c r="N1907">
        <v>0</v>
      </c>
      <c r="O1907">
        <v>4.6888860000000001</v>
      </c>
      <c r="P1907">
        <v>-74.041610000000006</v>
      </c>
      <c r="Q1907" t="s">
        <v>827</v>
      </c>
      <c r="R1907">
        <v>14000000</v>
      </c>
      <c r="S1907">
        <v>0</v>
      </c>
      <c r="T1907" t="s">
        <v>104</v>
      </c>
      <c r="U1907" t="s">
        <v>105</v>
      </c>
      <c r="V1907" t="s">
        <v>77</v>
      </c>
      <c r="W1907" t="s">
        <v>104</v>
      </c>
      <c r="X1907" t="s">
        <v>106</v>
      </c>
      <c r="Y1907">
        <v>2.692811235098</v>
      </c>
      <c r="Z1907">
        <v>2692.811235098</v>
      </c>
      <c r="AA1907">
        <v>4.71035</v>
      </c>
      <c r="AB1907">
        <v>-74.030416666666696</v>
      </c>
      <c r="AC1907">
        <v>2570</v>
      </c>
      <c r="AD1907">
        <v>10</v>
      </c>
      <c r="AE1907" t="s">
        <v>80</v>
      </c>
      <c r="AF1907" t="s">
        <v>107</v>
      </c>
      <c r="AG1907" t="s">
        <v>82</v>
      </c>
      <c r="AH1907" t="s">
        <v>83</v>
      </c>
      <c r="AI1907" t="s">
        <v>108</v>
      </c>
      <c r="AJ1907">
        <v>1.6780012466688401</v>
      </c>
      <c r="AK1907">
        <v>1.2755607094858099</v>
      </c>
      <c r="AL1907">
        <v>0.76249044381227404</v>
      </c>
      <c r="AM1907">
        <v>0.27827109945364298</v>
      </c>
      <c r="AN1907">
        <v>4.7639089227974498</v>
      </c>
      <c r="AO1907">
        <v>6.5620508835930999E-2</v>
      </c>
      <c r="AP1907">
        <v>6.5620508835930999E-2</v>
      </c>
      <c r="AQ1907">
        <v>0</v>
      </c>
      <c r="AR1907">
        <v>0</v>
      </c>
      <c r="AS1907">
        <v>0</v>
      </c>
      <c r="AT1907">
        <v>0</v>
      </c>
      <c r="AU1907">
        <v>3</v>
      </c>
      <c r="AV1907">
        <v>95</v>
      </c>
      <c r="AW1907">
        <v>0</v>
      </c>
      <c r="AX1907">
        <v>0</v>
      </c>
      <c r="AY1907">
        <v>15.5</v>
      </c>
      <c r="AZ1907">
        <v>2.4</v>
      </c>
      <c r="BA1907">
        <v>10.9</v>
      </c>
      <c r="BB1907">
        <v>564</v>
      </c>
      <c r="BC1907">
        <v>68</v>
      </c>
      <c r="BD1907">
        <v>1.5</v>
      </c>
      <c r="BE1907">
        <v>135</v>
      </c>
      <c r="BF1907">
        <v>0</v>
      </c>
      <c r="BG1907">
        <v>162</v>
      </c>
      <c r="BH1907">
        <v>9.1</v>
      </c>
      <c r="BI1907">
        <v>9.1999999999999993</v>
      </c>
      <c r="BJ1907">
        <v>18.3</v>
      </c>
      <c r="BK1907">
        <v>0.34</v>
      </c>
      <c r="BL1907">
        <v>7.3</v>
      </c>
      <c r="BM1907">
        <v>0.9</v>
      </c>
      <c r="BN1907">
        <v>7.5</v>
      </c>
      <c r="BO1907">
        <v>2.9</v>
      </c>
      <c r="BP1907">
        <f t="shared" si="58"/>
        <v>2.1004982557229419</v>
      </c>
      <c r="BQ1907">
        <f t="shared" si="59"/>
        <v>10.217841097890112</v>
      </c>
    </row>
    <row r="1908" spans="1:69" hidden="1" x14ac:dyDescent="0.2">
      <c r="A1908" t="s">
        <v>3391</v>
      </c>
      <c r="B1908" t="s">
        <v>68</v>
      </c>
      <c r="C1908" t="s">
        <v>3294</v>
      </c>
      <c r="D1908" t="s">
        <v>70</v>
      </c>
      <c r="E1908" t="s">
        <v>370</v>
      </c>
      <c r="F1908">
        <v>4</v>
      </c>
      <c r="G1908">
        <v>30</v>
      </c>
      <c r="H1908">
        <v>1</v>
      </c>
      <c r="I1908">
        <v>1</v>
      </c>
      <c r="J1908">
        <v>0</v>
      </c>
      <c r="K1908" t="s">
        <v>110</v>
      </c>
      <c r="L1908" t="s">
        <v>111</v>
      </c>
      <c r="M1908" s="4">
        <v>245000000</v>
      </c>
      <c r="N1908">
        <v>0</v>
      </c>
      <c r="O1908">
        <v>4.7317323179999997</v>
      </c>
      <c r="P1908">
        <v>-74.022307710000007</v>
      </c>
      <c r="Q1908" t="s">
        <v>3392</v>
      </c>
      <c r="R1908">
        <v>8166666.6670000004</v>
      </c>
      <c r="S1908">
        <v>0</v>
      </c>
      <c r="T1908" t="s">
        <v>104</v>
      </c>
      <c r="U1908" t="s">
        <v>105</v>
      </c>
      <c r="V1908" t="s">
        <v>77</v>
      </c>
      <c r="W1908" t="s">
        <v>104</v>
      </c>
      <c r="X1908" t="s">
        <v>106</v>
      </c>
      <c r="Y1908">
        <v>2.5446020604132702</v>
      </c>
      <c r="Z1908">
        <v>2544.60206041327</v>
      </c>
      <c r="AA1908">
        <v>4.71035</v>
      </c>
      <c r="AB1908">
        <v>-74.030416666666696</v>
      </c>
      <c r="AC1908">
        <v>2570</v>
      </c>
      <c r="AD1908">
        <v>10</v>
      </c>
      <c r="AE1908" t="s">
        <v>80</v>
      </c>
      <c r="AF1908" t="s">
        <v>107</v>
      </c>
      <c r="AG1908" t="s">
        <v>82</v>
      </c>
      <c r="AH1908" t="s">
        <v>83</v>
      </c>
      <c r="AI1908" t="s">
        <v>108</v>
      </c>
      <c r="AJ1908">
        <v>3.0011495978562501</v>
      </c>
      <c r="AK1908">
        <v>9.0422092883768707E-2</v>
      </c>
      <c r="AL1908">
        <v>1.8012605592655</v>
      </c>
      <c r="AM1908">
        <v>0.25248867785946699</v>
      </c>
      <c r="AN1908">
        <v>1.1894254114373499</v>
      </c>
      <c r="AO1908">
        <v>0.20680978865952801</v>
      </c>
      <c r="AP1908">
        <v>0.20680978865952801</v>
      </c>
      <c r="AQ1908">
        <v>0</v>
      </c>
      <c r="AR1908">
        <v>0</v>
      </c>
      <c r="AS1908">
        <v>12</v>
      </c>
      <c r="AT1908">
        <v>36</v>
      </c>
      <c r="AU1908">
        <v>0</v>
      </c>
      <c r="AV1908">
        <v>9</v>
      </c>
      <c r="AW1908">
        <v>0</v>
      </c>
      <c r="AX1908">
        <v>0</v>
      </c>
      <c r="AY1908">
        <v>15.5</v>
      </c>
      <c r="AZ1908">
        <v>2.4</v>
      </c>
      <c r="BA1908">
        <v>10.9</v>
      </c>
      <c r="BB1908">
        <v>564</v>
      </c>
      <c r="BC1908">
        <v>68</v>
      </c>
      <c r="BD1908">
        <v>1.5</v>
      </c>
      <c r="BE1908">
        <v>135</v>
      </c>
      <c r="BF1908">
        <v>0</v>
      </c>
      <c r="BG1908">
        <v>162</v>
      </c>
      <c r="BH1908">
        <v>9.1</v>
      </c>
      <c r="BI1908">
        <v>9.1999999999999993</v>
      </c>
      <c r="BJ1908">
        <v>18.3</v>
      </c>
      <c r="BK1908">
        <v>0.34</v>
      </c>
      <c r="BL1908">
        <v>7.3</v>
      </c>
      <c r="BM1908">
        <v>0.9</v>
      </c>
      <c r="BN1908">
        <v>7.5</v>
      </c>
      <c r="BO1908">
        <v>2.9</v>
      </c>
      <c r="BP1908">
        <f t="shared" si="58"/>
        <v>2.1159649199041879</v>
      </c>
      <c r="BQ1908">
        <f t="shared" si="59"/>
        <v>10.254250881777397</v>
      </c>
    </row>
    <row r="1909" spans="1:69" hidden="1" x14ac:dyDescent="0.2">
      <c r="A1909" t="s">
        <v>3617</v>
      </c>
      <c r="B1909" t="s">
        <v>68</v>
      </c>
      <c r="C1909" t="s">
        <v>3294</v>
      </c>
      <c r="D1909" t="s">
        <v>70</v>
      </c>
      <c r="E1909" t="s">
        <v>219</v>
      </c>
      <c r="F1909">
        <v>6</v>
      </c>
      <c r="G1909">
        <v>30</v>
      </c>
      <c r="H1909">
        <v>1</v>
      </c>
      <c r="I1909">
        <v>1</v>
      </c>
      <c r="J1909">
        <v>0</v>
      </c>
      <c r="K1909" t="s">
        <v>110</v>
      </c>
      <c r="L1909" t="s">
        <v>111</v>
      </c>
      <c r="M1909" s="4">
        <v>220000000</v>
      </c>
      <c r="N1909">
        <v>0</v>
      </c>
      <c r="O1909">
        <v>4.7317781449999998</v>
      </c>
      <c r="P1909">
        <v>-74.022499080000003</v>
      </c>
      <c r="Q1909" t="s">
        <v>3618</v>
      </c>
      <c r="R1909">
        <v>7333333.3329999996</v>
      </c>
      <c r="S1909">
        <v>0</v>
      </c>
      <c r="T1909" t="s">
        <v>104</v>
      </c>
      <c r="U1909" t="s">
        <v>105</v>
      </c>
      <c r="V1909" t="s">
        <v>77</v>
      </c>
      <c r="W1909" t="s">
        <v>104</v>
      </c>
      <c r="X1909" t="s">
        <v>106</v>
      </c>
      <c r="Y1909">
        <v>2.54196032945053</v>
      </c>
      <c r="Z1909">
        <v>2541.96032945053</v>
      </c>
      <c r="AA1909">
        <v>4.71035</v>
      </c>
      <c r="AB1909">
        <v>-74.030416666666696</v>
      </c>
      <c r="AC1909">
        <v>2570</v>
      </c>
      <c r="AD1909">
        <v>10</v>
      </c>
      <c r="AE1909" t="s">
        <v>80</v>
      </c>
      <c r="AF1909" t="s">
        <v>107</v>
      </c>
      <c r="AG1909" t="s">
        <v>82</v>
      </c>
      <c r="AH1909" t="s">
        <v>83</v>
      </c>
      <c r="AI1909" t="s">
        <v>108</v>
      </c>
      <c r="AJ1909">
        <v>2.9795184107983501</v>
      </c>
      <c r="AK1909">
        <v>0.105139987549831</v>
      </c>
      <c r="AL1909">
        <v>1.7901333957296</v>
      </c>
      <c r="AM1909">
        <v>0.232151677575855</v>
      </c>
      <c r="AN1909">
        <v>1.17618795041769</v>
      </c>
      <c r="AO1909">
        <v>0.185921151547154</v>
      </c>
      <c r="AP1909">
        <v>0.185921151547154</v>
      </c>
      <c r="AQ1909">
        <v>0</v>
      </c>
      <c r="AR1909">
        <v>0</v>
      </c>
      <c r="AS1909">
        <v>12</v>
      </c>
      <c r="AT1909">
        <v>34</v>
      </c>
      <c r="AU1909">
        <v>0</v>
      </c>
      <c r="AV1909">
        <v>9</v>
      </c>
      <c r="AW1909">
        <v>0</v>
      </c>
      <c r="AX1909">
        <v>0</v>
      </c>
      <c r="AY1909">
        <v>15.5</v>
      </c>
      <c r="AZ1909">
        <v>2.4</v>
      </c>
      <c r="BA1909">
        <v>10.9</v>
      </c>
      <c r="BB1909">
        <v>564</v>
      </c>
      <c r="BC1909">
        <v>68</v>
      </c>
      <c r="BD1909">
        <v>1.5</v>
      </c>
      <c r="BE1909">
        <v>135</v>
      </c>
      <c r="BF1909">
        <v>0</v>
      </c>
      <c r="BG1909">
        <v>162</v>
      </c>
      <c r="BH1909">
        <v>9.1</v>
      </c>
      <c r="BI1909">
        <v>9.1999999999999993</v>
      </c>
      <c r="BJ1909">
        <v>18.3</v>
      </c>
      <c r="BK1909">
        <v>0.34</v>
      </c>
      <c r="BL1909">
        <v>7.3</v>
      </c>
      <c r="BM1909">
        <v>0.9</v>
      </c>
      <c r="BN1909">
        <v>7.5</v>
      </c>
      <c r="BO1909">
        <v>2.9</v>
      </c>
      <c r="BP1909">
        <f t="shared" si="58"/>
        <v>2.1162416335933476</v>
      </c>
      <c r="BQ1909">
        <f t="shared" si="59"/>
        <v>10.254901037716921</v>
      </c>
    </row>
    <row r="1910" spans="1:69" hidden="1" x14ac:dyDescent="0.2">
      <c r="A1910" t="s">
        <v>4270</v>
      </c>
      <c r="B1910" t="s">
        <v>68</v>
      </c>
      <c r="C1910" t="s">
        <v>3294</v>
      </c>
      <c r="D1910" t="s">
        <v>70</v>
      </c>
      <c r="E1910" t="s">
        <v>4271</v>
      </c>
      <c r="F1910">
        <v>4</v>
      </c>
      <c r="G1910">
        <v>30</v>
      </c>
      <c r="H1910">
        <v>1</v>
      </c>
      <c r="I1910">
        <v>1</v>
      </c>
      <c r="J1910">
        <v>0</v>
      </c>
      <c r="K1910" t="s">
        <v>110</v>
      </c>
      <c r="L1910" t="s">
        <v>111</v>
      </c>
      <c r="M1910" s="4">
        <v>240000000</v>
      </c>
      <c r="N1910">
        <v>0</v>
      </c>
      <c r="O1910">
        <v>4.7315499000000001</v>
      </c>
      <c r="P1910">
        <v>-74.022604799999996</v>
      </c>
      <c r="Q1910" t="s">
        <v>4272</v>
      </c>
      <c r="R1910">
        <v>8000000</v>
      </c>
      <c r="S1910">
        <v>0</v>
      </c>
      <c r="T1910" t="s">
        <v>104</v>
      </c>
      <c r="U1910" t="s">
        <v>105</v>
      </c>
      <c r="V1910" t="s">
        <v>77</v>
      </c>
      <c r="W1910" t="s">
        <v>104</v>
      </c>
      <c r="X1910" t="s">
        <v>106</v>
      </c>
      <c r="Y1910">
        <v>2.51406548710401</v>
      </c>
      <c r="Z1910">
        <v>2514.0654871040101</v>
      </c>
      <c r="AA1910">
        <v>4.71035</v>
      </c>
      <c r="AB1910">
        <v>-74.030416666666696</v>
      </c>
      <c r="AC1910">
        <v>2570</v>
      </c>
      <c r="AD1910">
        <v>10</v>
      </c>
      <c r="AE1910" t="s">
        <v>80</v>
      </c>
      <c r="AF1910" t="s">
        <v>107</v>
      </c>
      <c r="AG1910" t="s">
        <v>82</v>
      </c>
      <c r="AH1910" t="s">
        <v>83</v>
      </c>
      <c r="AI1910" t="s">
        <v>108</v>
      </c>
      <c r="AJ1910">
        <v>2.9706072235857599</v>
      </c>
      <c r="AK1910">
        <v>0.11770180254054299</v>
      </c>
      <c r="AL1910">
        <v>1.81094040492997</v>
      </c>
      <c r="AM1910">
        <v>0.23886375166889701</v>
      </c>
      <c r="AN1910">
        <v>1.1948210589327499</v>
      </c>
      <c r="AO1910">
        <v>0.17405976493016201</v>
      </c>
      <c r="AP1910">
        <v>0.17405976493016201</v>
      </c>
      <c r="AQ1910">
        <v>0</v>
      </c>
      <c r="AR1910">
        <v>0</v>
      </c>
      <c r="AS1910">
        <v>12</v>
      </c>
      <c r="AT1910">
        <v>34</v>
      </c>
      <c r="AU1910">
        <v>0</v>
      </c>
      <c r="AV1910">
        <v>9</v>
      </c>
      <c r="AW1910">
        <v>0</v>
      </c>
      <c r="AX1910">
        <v>0</v>
      </c>
      <c r="AY1910">
        <v>15.5</v>
      </c>
      <c r="AZ1910">
        <v>2.4</v>
      </c>
      <c r="BA1910">
        <v>10.9</v>
      </c>
      <c r="BB1910">
        <v>564</v>
      </c>
      <c r="BC1910">
        <v>68</v>
      </c>
      <c r="BD1910">
        <v>1.5</v>
      </c>
      <c r="BE1910">
        <v>135</v>
      </c>
      <c r="BF1910">
        <v>0</v>
      </c>
      <c r="BG1910">
        <v>162</v>
      </c>
      <c r="BH1910">
        <v>9.1</v>
      </c>
      <c r="BI1910">
        <v>9.1999999999999993</v>
      </c>
      <c r="BJ1910">
        <v>18.3</v>
      </c>
      <c r="BK1910">
        <v>0.34</v>
      </c>
      <c r="BL1910">
        <v>7.3</v>
      </c>
      <c r="BM1910">
        <v>0.9</v>
      </c>
      <c r="BN1910">
        <v>7.5</v>
      </c>
      <c r="BO1910">
        <v>2.9</v>
      </c>
      <c r="BP1910">
        <f t="shared" si="58"/>
        <v>2.1191657471524463</v>
      </c>
      <c r="BQ1910">
        <f t="shared" si="59"/>
        <v>10.261768748690423</v>
      </c>
    </row>
    <row r="1911" spans="1:69" hidden="1" x14ac:dyDescent="0.2">
      <c r="A1911" t="s">
        <v>4569</v>
      </c>
      <c r="B1911" t="s">
        <v>68</v>
      </c>
      <c r="C1911" t="s">
        <v>3294</v>
      </c>
      <c r="D1911" t="s">
        <v>70</v>
      </c>
      <c r="E1911" t="s">
        <v>2292</v>
      </c>
      <c r="F1911">
        <v>4</v>
      </c>
      <c r="G1911">
        <v>30</v>
      </c>
      <c r="H1911">
        <v>1</v>
      </c>
      <c r="I1911">
        <v>1</v>
      </c>
      <c r="J1911">
        <v>1</v>
      </c>
      <c r="K1911" t="s">
        <v>110</v>
      </c>
      <c r="L1911" t="s">
        <v>111</v>
      </c>
      <c r="M1911" s="4">
        <v>230000000</v>
      </c>
      <c r="N1911">
        <v>0</v>
      </c>
      <c r="O1911">
        <v>4.7313000000000001</v>
      </c>
      <c r="P1911">
        <v>-74.023219999999995</v>
      </c>
      <c r="Q1911" t="s">
        <v>4570</v>
      </c>
      <c r="R1911">
        <v>7666666.6670000004</v>
      </c>
      <c r="S1911">
        <v>0</v>
      </c>
      <c r="T1911" t="s">
        <v>104</v>
      </c>
      <c r="U1911" t="s">
        <v>105</v>
      </c>
      <c r="V1911" t="s">
        <v>77</v>
      </c>
      <c r="W1911" t="s">
        <v>104</v>
      </c>
      <c r="X1911" t="s">
        <v>106</v>
      </c>
      <c r="Y1911">
        <v>2.4650260421176302</v>
      </c>
      <c r="Z1911">
        <v>2465.0260421176299</v>
      </c>
      <c r="AA1911">
        <v>4.71035</v>
      </c>
      <c r="AB1911">
        <v>-74.030416666666696</v>
      </c>
      <c r="AC1911">
        <v>2570</v>
      </c>
      <c r="AD1911">
        <v>10</v>
      </c>
      <c r="AE1911" t="s">
        <v>80</v>
      </c>
      <c r="AF1911" t="s">
        <v>107</v>
      </c>
      <c r="AG1911" t="s">
        <v>82</v>
      </c>
      <c r="AH1911" t="s">
        <v>83</v>
      </c>
      <c r="AI1911" t="s">
        <v>108</v>
      </c>
      <c r="AJ1911">
        <v>2.9061713715426101</v>
      </c>
      <c r="AK1911">
        <v>0.185712414394894</v>
      </c>
      <c r="AL1911">
        <v>1.81970185697041</v>
      </c>
      <c r="AM1911">
        <v>0.217179238185951</v>
      </c>
      <c r="AN1911">
        <v>1.19647519291853</v>
      </c>
      <c r="AO1911">
        <v>0.11246448652397301</v>
      </c>
      <c r="AP1911">
        <v>0.11246448652397301</v>
      </c>
      <c r="AQ1911">
        <v>0</v>
      </c>
      <c r="AR1911">
        <v>0</v>
      </c>
      <c r="AS1911">
        <v>11</v>
      </c>
      <c r="AT1911">
        <v>32</v>
      </c>
      <c r="AU1911">
        <v>0</v>
      </c>
      <c r="AV1911">
        <v>9</v>
      </c>
      <c r="AW1911">
        <v>0</v>
      </c>
      <c r="AX1911">
        <v>0</v>
      </c>
      <c r="AY1911">
        <v>15.5</v>
      </c>
      <c r="AZ1911">
        <v>2.4</v>
      </c>
      <c r="BA1911">
        <v>10.9</v>
      </c>
      <c r="BB1911">
        <v>564</v>
      </c>
      <c r="BC1911">
        <v>68</v>
      </c>
      <c r="BD1911">
        <v>1.5</v>
      </c>
      <c r="BE1911">
        <v>135</v>
      </c>
      <c r="BF1911">
        <v>0</v>
      </c>
      <c r="BG1911">
        <v>162</v>
      </c>
      <c r="BH1911">
        <v>9.1</v>
      </c>
      <c r="BI1911">
        <v>9.1999999999999993</v>
      </c>
      <c r="BJ1911">
        <v>18.3</v>
      </c>
      <c r="BK1911">
        <v>0.34</v>
      </c>
      <c r="BL1911">
        <v>7.3</v>
      </c>
      <c r="BM1911">
        <v>0.9</v>
      </c>
      <c r="BN1911">
        <v>7.5</v>
      </c>
      <c r="BO1911">
        <v>2.9</v>
      </c>
      <c r="BP1911">
        <f t="shared" si="58"/>
        <v>2.1243161700746191</v>
      </c>
      <c r="BQ1911">
        <f t="shared" si="59"/>
        <v>10.273853413454827</v>
      </c>
    </row>
    <row r="1912" spans="1:69" hidden="1" x14ac:dyDescent="0.2">
      <c r="A1912" t="s">
        <v>1889</v>
      </c>
      <c r="B1912" t="s">
        <v>68</v>
      </c>
      <c r="C1912" t="s">
        <v>69</v>
      </c>
      <c r="D1912" t="s">
        <v>70</v>
      </c>
      <c r="E1912" t="s">
        <v>102</v>
      </c>
      <c r="F1912">
        <v>5</v>
      </c>
      <c r="G1912">
        <v>30</v>
      </c>
      <c r="H1912">
        <v>1</v>
      </c>
      <c r="I1912">
        <v>1</v>
      </c>
      <c r="J1912">
        <v>1</v>
      </c>
      <c r="K1912" t="s">
        <v>110</v>
      </c>
      <c r="L1912" t="s">
        <v>133</v>
      </c>
      <c r="M1912" s="4">
        <v>415000000</v>
      </c>
      <c r="N1912">
        <v>0</v>
      </c>
      <c r="O1912">
        <v>4.6974999999999998</v>
      </c>
      <c r="P1912">
        <v>-74.041409999999999</v>
      </c>
      <c r="Q1912" t="s">
        <v>1890</v>
      </c>
      <c r="R1912">
        <v>13833333.33</v>
      </c>
      <c r="S1912">
        <v>0</v>
      </c>
      <c r="T1912" t="s">
        <v>104</v>
      </c>
      <c r="U1912" t="s">
        <v>105</v>
      </c>
      <c r="V1912" t="s">
        <v>77</v>
      </c>
      <c r="W1912" t="s">
        <v>104</v>
      </c>
      <c r="X1912" t="s">
        <v>106</v>
      </c>
      <c r="Y1912">
        <v>1.8798270452232499</v>
      </c>
      <c r="Z1912">
        <v>1879.82704522325</v>
      </c>
      <c r="AA1912">
        <v>4.71035</v>
      </c>
      <c r="AB1912">
        <v>-74.030416666666696</v>
      </c>
      <c r="AC1912">
        <v>2570</v>
      </c>
      <c r="AD1912">
        <v>10</v>
      </c>
      <c r="AE1912" t="s">
        <v>80</v>
      </c>
      <c r="AF1912" t="s">
        <v>107</v>
      </c>
      <c r="AG1912" t="s">
        <v>82</v>
      </c>
      <c r="AH1912" t="s">
        <v>83</v>
      </c>
      <c r="AI1912" t="s">
        <v>108</v>
      </c>
      <c r="AJ1912">
        <v>1.5426248557867299</v>
      </c>
      <c r="AK1912">
        <v>1.72311195651267</v>
      </c>
      <c r="AL1912">
        <v>1.0449798793457299</v>
      </c>
      <c r="AM1912">
        <v>0.13868346002323001</v>
      </c>
      <c r="AN1912">
        <v>5.1315205321761699</v>
      </c>
      <c r="AO1912">
        <v>0.13913018548756401</v>
      </c>
      <c r="AP1912">
        <v>0.13913018548756401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124</v>
      </c>
      <c r="AW1912">
        <v>0</v>
      </c>
      <c r="AX1912">
        <v>0</v>
      </c>
      <c r="AY1912">
        <v>15.5</v>
      </c>
      <c r="AZ1912">
        <v>2.4</v>
      </c>
      <c r="BA1912">
        <v>10.9</v>
      </c>
      <c r="BB1912">
        <v>564</v>
      </c>
      <c r="BC1912">
        <v>68</v>
      </c>
      <c r="BD1912">
        <v>1.5</v>
      </c>
      <c r="BE1912">
        <v>135</v>
      </c>
      <c r="BF1912">
        <v>0</v>
      </c>
      <c r="BG1912">
        <v>162</v>
      </c>
      <c r="BH1912">
        <v>9.1</v>
      </c>
      <c r="BI1912">
        <v>9.1999999999999993</v>
      </c>
      <c r="BJ1912">
        <v>18.3</v>
      </c>
      <c r="BK1912">
        <v>0.34</v>
      </c>
      <c r="BL1912">
        <v>7.3</v>
      </c>
      <c r="BM1912">
        <v>0.9</v>
      </c>
      <c r="BN1912">
        <v>7.5</v>
      </c>
      <c r="BO1912">
        <v>2.9</v>
      </c>
      <c r="BP1912">
        <f t="shared" si="58"/>
        <v>2.1867519140576936</v>
      </c>
      <c r="BQ1912">
        <f t="shared" si="59"/>
        <v>10.419165431274818</v>
      </c>
    </row>
    <row r="1913" spans="1:69" hidden="1" x14ac:dyDescent="0.2">
      <c r="A1913" t="s">
        <v>4011</v>
      </c>
      <c r="B1913" t="s">
        <v>68</v>
      </c>
      <c r="C1913" t="s">
        <v>3294</v>
      </c>
      <c r="D1913" t="s">
        <v>70</v>
      </c>
      <c r="E1913" t="s">
        <v>213</v>
      </c>
      <c r="F1913">
        <v>6</v>
      </c>
      <c r="G1913">
        <v>30</v>
      </c>
      <c r="H1913">
        <v>1</v>
      </c>
      <c r="I1913">
        <v>1</v>
      </c>
      <c r="J1913">
        <v>1</v>
      </c>
      <c r="K1913" t="s">
        <v>110</v>
      </c>
      <c r="L1913" t="s">
        <v>124</v>
      </c>
      <c r="M1913" s="4">
        <v>315000000</v>
      </c>
      <c r="N1913">
        <v>0</v>
      </c>
      <c r="O1913">
        <v>4.6963934900000002</v>
      </c>
      <c r="P1913">
        <v>-74.039695739999999</v>
      </c>
      <c r="Q1913" t="s">
        <v>4012</v>
      </c>
      <c r="R1913">
        <v>10500000</v>
      </c>
      <c r="S1913">
        <v>0</v>
      </c>
      <c r="T1913" t="s">
        <v>104</v>
      </c>
      <c r="U1913" t="s">
        <v>105</v>
      </c>
      <c r="V1913" t="s">
        <v>77</v>
      </c>
      <c r="W1913" t="s">
        <v>104</v>
      </c>
      <c r="X1913" t="s">
        <v>106</v>
      </c>
      <c r="Y1913">
        <v>1.8637504916774901</v>
      </c>
      <c r="Z1913">
        <v>1863.7504916774899</v>
      </c>
      <c r="AA1913">
        <v>4.71035</v>
      </c>
      <c r="AB1913">
        <v>-74.030416666666696</v>
      </c>
      <c r="AC1913">
        <v>2570</v>
      </c>
      <c r="AD1913">
        <v>10</v>
      </c>
      <c r="AE1913" t="s">
        <v>80</v>
      </c>
      <c r="AF1913" t="s">
        <v>107</v>
      </c>
      <c r="AG1913" t="s">
        <v>82</v>
      </c>
      <c r="AH1913" t="s">
        <v>83</v>
      </c>
      <c r="AI1913" t="s">
        <v>108</v>
      </c>
      <c r="AJ1913">
        <v>1.74170913261755</v>
      </c>
      <c r="AK1913">
        <v>1.5383692377937299</v>
      </c>
      <c r="AL1913">
        <v>0.97002313966184694</v>
      </c>
      <c r="AM1913">
        <v>0.120095682751647</v>
      </c>
      <c r="AN1913">
        <v>5.1918339481690001</v>
      </c>
      <c r="AO1913">
        <v>3.0124725053893402E-2</v>
      </c>
      <c r="AP1913">
        <v>3.0124725053893402E-2</v>
      </c>
      <c r="AQ1913">
        <v>0</v>
      </c>
      <c r="AR1913">
        <v>0</v>
      </c>
      <c r="AS1913">
        <v>0</v>
      </c>
      <c r="AT1913">
        <v>0</v>
      </c>
      <c r="AU1913">
        <v>1</v>
      </c>
      <c r="AV1913">
        <v>154</v>
      </c>
      <c r="AW1913">
        <v>0</v>
      </c>
      <c r="AX1913">
        <v>0</v>
      </c>
      <c r="AY1913">
        <v>15.5</v>
      </c>
      <c r="AZ1913">
        <v>2.4</v>
      </c>
      <c r="BA1913">
        <v>10.9</v>
      </c>
      <c r="BB1913">
        <v>564</v>
      </c>
      <c r="BC1913">
        <v>68</v>
      </c>
      <c r="BD1913">
        <v>1.5</v>
      </c>
      <c r="BE1913">
        <v>135</v>
      </c>
      <c r="BF1913">
        <v>0</v>
      </c>
      <c r="BG1913">
        <v>162</v>
      </c>
      <c r="BH1913">
        <v>9.1</v>
      </c>
      <c r="BI1913">
        <v>9.1999999999999993</v>
      </c>
      <c r="BJ1913">
        <v>18.3</v>
      </c>
      <c r="BK1913">
        <v>0.34</v>
      </c>
      <c r="BL1913">
        <v>7.3</v>
      </c>
      <c r="BM1913">
        <v>0.9</v>
      </c>
      <c r="BN1913">
        <v>7.5</v>
      </c>
      <c r="BO1913">
        <v>2.9</v>
      </c>
      <c r="BP1913">
        <f t="shared" si="58"/>
        <v>2.188492800650133</v>
      </c>
      <c r="BQ1913">
        <f t="shared" si="59"/>
        <v>10.423186309430283</v>
      </c>
    </row>
    <row r="1914" spans="1:69" hidden="1" x14ac:dyDescent="0.2">
      <c r="A1914" t="s">
        <v>3500</v>
      </c>
      <c r="B1914" t="s">
        <v>68</v>
      </c>
      <c r="C1914" t="s">
        <v>3294</v>
      </c>
      <c r="D1914" t="s">
        <v>70</v>
      </c>
      <c r="E1914" t="s">
        <v>130</v>
      </c>
      <c r="F1914">
        <v>4</v>
      </c>
      <c r="G1914">
        <v>29.5</v>
      </c>
      <c r="H1914">
        <v>1</v>
      </c>
      <c r="I1914">
        <v>1</v>
      </c>
      <c r="J1914">
        <v>0</v>
      </c>
      <c r="K1914" t="s">
        <v>110</v>
      </c>
      <c r="L1914" t="s">
        <v>111</v>
      </c>
      <c r="M1914" s="4">
        <v>295000000</v>
      </c>
      <c r="N1914">
        <v>0</v>
      </c>
      <c r="O1914">
        <v>4.7239965000000002</v>
      </c>
      <c r="P1914">
        <v>-74.037540000000007</v>
      </c>
      <c r="Q1914" t="s">
        <v>3501</v>
      </c>
      <c r="R1914">
        <v>10000000</v>
      </c>
      <c r="S1914">
        <v>0</v>
      </c>
      <c r="T1914" t="s">
        <v>104</v>
      </c>
      <c r="U1914" t="s">
        <v>105</v>
      </c>
      <c r="V1914" t="s">
        <v>77</v>
      </c>
      <c r="W1914" t="s">
        <v>104</v>
      </c>
      <c r="X1914" t="s">
        <v>106</v>
      </c>
      <c r="Y1914">
        <v>1.71238787275652</v>
      </c>
      <c r="Z1914">
        <v>1712.38787275652</v>
      </c>
      <c r="AA1914">
        <v>4.71035</v>
      </c>
      <c r="AB1914">
        <v>-74.030416666666696</v>
      </c>
      <c r="AC1914">
        <v>2570</v>
      </c>
      <c r="AD1914">
        <v>10</v>
      </c>
      <c r="AE1914" t="s">
        <v>80</v>
      </c>
      <c r="AF1914" t="s">
        <v>107</v>
      </c>
      <c r="AG1914" t="s">
        <v>82</v>
      </c>
      <c r="AH1914" t="s">
        <v>83</v>
      </c>
      <c r="AI1914" t="s">
        <v>108</v>
      </c>
      <c r="AJ1914">
        <v>1.4714764570483001</v>
      </c>
      <c r="AK1914">
        <v>1.62073392617005</v>
      </c>
      <c r="AL1914">
        <v>1.0185295898990201</v>
      </c>
      <c r="AM1914">
        <v>0.47703354267353099</v>
      </c>
      <c r="AN1914">
        <v>2.27893811124162</v>
      </c>
      <c r="AO1914">
        <v>7.4246388033248706E-2</v>
      </c>
      <c r="AP1914">
        <v>7.4246388033248706E-2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21</v>
      </c>
      <c r="AW1914">
        <v>0</v>
      </c>
      <c r="AX1914">
        <v>0</v>
      </c>
      <c r="AY1914">
        <v>15.5</v>
      </c>
      <c r="AZ1914">
        <v>2.4</v>
      </c>
      <c r="BA1914">
        <v>10.9</v>
      </c>
      <c r="BB1914">
        <v>564</v>
      </c>
      <c r="BC1914">
        <v>68</v>
      </c>
      <c r="BD1914">
        <v>1.5</v>
      </c>
      <c r="BE1914">
        <v>135</v>
      </c>
      <c r="BF1914">
        <v>0</v>
      </c>
      <c r="BG1914">
        <v>162</v>
      </c>
      <c r="BH1914">
        <v>9.1</v>
      </c>
      <c r="BI1914">
        <v>9.1999999999999993</v>
      </c>
      <c r="BJ1914">
        <v>18.3</v>
      </c>
      <c r="BK1914">
        <v>0.34</v>
      </c>
      <c r="BL1914">
        <v>7.3</v>
      </c>
      <c r="BM1914">
        <v>0.9</v>
      </c>
      <c r="BN1914">
        <v>7.5</v>
      </c>
      <c r="BO1914">
        <v>2.9</v>
      </c>
      <c r="BP1914">
        <f t="shared" si="58"/>
        <v>2.2049515539339946</v>
      </c>
      <c r="BQ1914">
        <f t="shared" si="59"/>
        <v>10.461119506386286</v>
      </c>
    </row>
    <row r="1915" spans="1:69" hidden="1" x14ac:dyDescent="0.2">
      <c r="A1915" t="s">
        <v>3933</v>
      </c>
      <c r="B1915" t="s">
        <v>68</v>
      </c>
      <c r="C1915" t="s">
        <v>3294</v>
      </c>
      <c r="D1915" t="s">
        <v>70</v>
      </c>
      <c r="E1915" t="s">
        <v>262</v>
      </c>
      <c r="F1915">
        <v>5</v>
      </c>
      <c r="G1915">
        <v>29.18</v>
      </c>
      <c r="H1915">
        <v>1</v>
      </c>
      <c r="I1915">
        <v>1</v>
      </c>
      <c r="J1915">
        <v>1</v>
      </c>
      <c r="K1915" t="s">
        <v>110</v>
      </c>
      <c r="L1915" t="s">
        <v>111</v>
      </c>
      <c r="M1915" s="4">
        <v>380000000</v>
      </c>
      <c r="N1915">
        <v>0</v>
      </c>
      <c r="O1915">
        <v>4.7081626999999999</v>
      </c>
      <c r="P1915">
        <v>-74.031427899999997</v>
      </c>
      <c r="Q1915" t="s">
        <v>3934</v>
      </c>
      <c r="R1915">
        <v>13022618.23</v>
      </c>
      <c r="S1915">
        <v>0</v>
      </c>
      <c r="T1915" t="s">
        <v>104</v>
      </c>
      <c r="U1915" t="s">
        <v>105</v>
      </c>
      <c r="V1915" t="s">
        <v>77</v>
      </c>
      <c r="W1915" t="s">
        <v>104</v>
      </c>
      <c r="X1915" t="s">
        <v>106</v>
      </c>
      <c r="Y1915">
        <v>0.268092408504149</v>
      </c>
      <c r="Z1915">
        <v>268.09240850414898</v>
      </c>
      <c r="AA1915">
        <v>4.71035</v>
      </c>
      <c r="AB1915">
        <v>-74.030416666666696</v>
      </c>
      <c r="AC1915">
        <v>2570</v>
      </c>
      <c r="AD1915">
        <v>10</v>
      </c>
      <c r="AE1915" t="s">
        <v>80</v>
      </c>
      <c r="AF1915" t="s">
        <v>107</v>
      </c>
      <c r="AG1915" t="s">
        <v>82</v>
      </c>
      <c r="AH1915" t="s">
        <v>83</v>
      </c>
      <c r="AI1915" t="s">
        <v>108</v>
      </c>
      <c r="AJ1915">
        <v>2.44713607405739</v>
      </c>
      <c r="AK1915">
        <v>0.71423104424506401</v>
      </c>
      <c r="AL1915">
        <v>0.32194808016231002</v>
      </c>
      <c r="AM1915">
        <v>0.269855200129481</v>
      </c>
      <c r="AN1915">
        <v>3.72483941057867</v>
      </c>
      <c r="AO1915">
        <v>0.20474179692008401</v>
      </c>
      <c r="AP1915">
        <v>0.20474179692008401</v>
      </c>
      <c r="AQ1915">
        <v>0</v>
      </c>
      <c r="AR1915">
        <v>0</v>
      </c>
      <c r="AS1915">
        <v>0</v>
      </c>
      <c r="AT1915">
        <v>21</v>
      </c>
      <c r="AU1915">
        <v>2</v>
      </c>
      <c r="AV1915">
        <v>106</v>
      </c>
      <c r="AW1915">
        <v>0</v>
      </c>
      <c r="AX1915">
        <v>0</v>
      </c>
      <c r="AY1915">
        <v>15.5</v>
      </c>
      <c r="AZ1915">
        <v>2.4</v>
      </c>
      <c r="BA1915">
        <v>10.9</v>
      </c>
      <c r="BB1915">
        <v>564</v>
      </c>
      <c r="BC1915">
        <v>68</v>
      </c>
      <c r="BD1915">
        <v>1.5</v>
      </c>
      <c r="BE1915">
        <v>135</v>
      </c>
      <c r="BF1915">
        <v>0</v>
      </c>
      <c r="BG1915">
        <v>162</v>
      </c>
      <c r="BH1915">
        <v>9.1</v>
      </c>
      <c r="BI1915">
        <v>9.1999999999999993</v>
      </c>
      <c r="BJ1915">
        <v>18.3</v>
      </c>
      <c r="BK1915">
        <v>0.34</v>
      </c>
      <c r="BL1915">
        <v>7.3</v>
      </c>
      <c r="BM1915">
        <v>0.9</v>
      </c>
      <c r="BN1915">
        <v>7.5</v>
      </c>
      <c r="BO1915">
        <v>2.9</v>
      </c>
      <c r="BP1915">
        <f t="shared" si="58"/>
        <v>2.3683610199086282</v>
      </c>
      <c r="BQ1915">
        <f t="shared" si="59"/>
        <v>10.83009216822021</v>
      </c>
    </row>
    <row r="1916" spans="1:69" hidden="1" x14ac:dyDescent="0.2">
      <c r="A1916" t="s">
        <v>3941</v>
      </c>
      <c r="B1916" t="s">
        <v>68</v>
      </c>
      <c r="C1916" t="s">
        <v>3294</v>
      </c>
      <c r="D1916" t="s">
        <v>70</v>
      </c>
      <c r="E1916" t="s">
        <v>3942</v>
      </c>
      <c r="F1916">
        <v>5</v>
      </c>
      <c r="G1916">
        <v>29</v>
      </c>
      <c r="H1916">
        <v>1</v>
      </c>
      <c r="I1916">
        <v>1</v>
      </c>
      <c r="J1916">
        <v>0</v>
      </c>
      <c r="K1916" t="s">
        <v>110</v>
      </c>
      <c r="L1916" t="s">
        <v>124</v>
      </c>
      <c r="M1916" s="4">
        <v>250000000</v>
      </c>
      <c r="N1916">
        <v>0</v>
      </c>
      <c r="O1916">
        <v>4.6925186999999999</v>
      </c>
      <c r="P1916">
        <v>-74.062584000000001</v>
      </c>
      <c r="Q1916" t="s">
        <v>3943</v>
      </c>
      <c r="R1916">
        <v>8620689.6549999993</v>
      </c>
      <c r="S1916">
        <v>0</v>
      </c>
      <c r="T1916" t="s">
        <v>104</v>
      </c>
      <c r="U1916" t="s">
        <v>105</v>
      </c>
      <c r="V1916" t="s">
        <v>77</v>
      </c>
      <c r="W1916" t="s">
        <v>104</v>
      </c>
      <c r="X1916" t="s">
        <v>106</v>
      </c>
      <c r="Y1916">
        <v>4.0836826699688098</v>
      </c>
      <c r="Z1916">
        <v>4083.6826699688099</v>
      </c>
      <c r="AA1916">
        <v>4.71035</v>
      </c>
      <c r="AB1916">
        <v>-74.030416666666696</v>
      </c>
      <c r="AC1916">
        <v>2570</v>
      </c>
      <c r="AD1916">
        <v>10</v>
      </c>
      <c r="AE1916" t="s">
        <v>80</v>
      </c>
      <c r="AF1916" t="s">
        <v>107</v>
      </c>
      <c r="AG1916" t="s">
        <v>82</v>
      </c>
      <c r="AH1916" t="s">
        <v>83</v>
      </c>
      <c r="AI1916" t="s">
        <v>121</v>
      </c>
      <c r="AJ1916">
        <v>0.52197040801986505</v>
      </c>
      <c r="AK1916">
        <v>3.2750073295976998</v>
      </c>
      <c r="AL1916">
        <v>0.97511510340173702</v>
      </c>
      <c r="AM1916">
        <v>9.65231706738328E-2</v>
      </c>
      <c r="AN1916">
        <v>2.97370297489792</v>
      </c>
      <c r="AO1916">
        <v>8.7896968583359106E-3</v>
      </c>
      <c r="AP1916">
        <v>8.7896968583359106E-3</v>
      </c>
      <c r="AQ1916">
        <v>0</v>
      </c>
      <c r="AR1916">
        <v>4</v>
      </c>
      <c r="AS1916">
        <v>0</v>
      </c>
      <c r="AT1916">
        <v>0</v>
      </c>
      <c r="AU1916">
        <v>1</v>
      </c>
      <c r="AV1916">
        <v>121</v>
      </c>
      <c r="AW1916">
        <v>0</v>
      </c>
      <c r="AX1916">
        <v>0</v>
      </c>
      <c r="AY1916">
        <v>15.5</v>
      </c>
      <c r="AZ1916">
        <v>2.4</v>
      </c>
      <c r="BA1916">
        <v>10.9</v>
      </c>
      <c r="BB1916">
        <v>564</v>
      </c>
      <c r="BC1916">
        <v>68</v>
      </c>
      <c r="BD1916">
        <v>1.5</v>
      </c>
      <c r="BE1916">
        <v>135</v>
      </c>
      <c r="BF1916">
        <v>0</v>
      </c>
      <c r="BG1916">
        <v>162</v>
      </c>
      <c r="BH1916">
        <v>9.1</v>
      </c>
      <c r="BI1916">
        <v>9.1999999999999993</v>
      </c>
      <c r="BJ1916">
        <v>18.3</v>
      </c>
      <c r="BK1916">
        <v>0.34</v>
      </c>
      <c r="BL1916">
        <v>7.3</v>
      </c>
      <c r="BM1916">
        <v>0.9</v>
      </c>
      <c r="BN1916">
        <v>7.5</v>
      </c>
      <c r="BO1916">
        <v>2.9</v>
      </c>
      <c r="BP1916">
        <f t="shared" si="58"/>
        <v>1.9607488080208402</v>
      </c>
      <c r="BQ1916">
        <f t="shared" si="59"/>
        <v>9.8823901958278118</v>
      </c>
    </row>
    <row r="1917" spans="1:69" hidden="1" x14ac:dyDescent="0.2">
      <c r="A1917" t="s">
        <v>4220</v>
      </c>
      <c r="B1917" t="s">
        <v>68</v>
      </c>
      <c r="C1917" t="s">
        <v>3294</v>
      </c>
      <c r="D1917" t="s">
        <v>70</v>
      </c>
      <c r="E1917" t="s">
        <v>1564</v>
      </c>
      <c r="F1917">
        <v>3</v>
      </c>
      <c r="G1917">
        <v>29</v>
      </c>
      <c r="H1917">
        <v>2</v>
      </c>
      <c r="I1917">
        <v>1</v>
      </c>
      <c r="J1917">
        <v>0</v>
      </c>
      <c r="K1917" t="s">
        <v>110</v>
      </c>
      <c r="L1917" t="s">
        <v>111</v>
      </c>
      <c r="M1917" s="4">
        <v>168000000</v>
      </c>
      <c r="N1917">
        <v>0</v>
      </c>
      <c r="O1917">
        <v>4.7361125949999998</v>
      </c>
      <c r="P1917">
        <v>-74.025253300000003</v>
      </c>
      <c r="Q1917" t="s">
        <v>4221</v>
      </c>
      <c r="R1917">
        <v>5793103.4479999999</v>
      </c>
      <c r="S1917">
        <v>0</v>
      </c>
      <c r="T1917" t="s">
        <v>104</v>
      </c>
      <c r="U1917" t="s">
        <v>105</v>
      </c>
      <c r="V1917" t="s">
        <v>77</v>
      </c>
      <c r="W1917" t="s">
        <v>104</v>
      </c>
      <c r="X1917" t="s">
        <v>106</v>
      </c>
      <c r="Y1917">
        <v>2.92452826181023</v>
      </c>
      <c r="Z1917">
        <v>2924.5282618102301</v>
      </c>
      <c r="AA1917">
        <v>4.71035</v>
      </c>
      <c r="AB1917">
        <v>-74.030416666666696</v>
      </c>
      <c r="AC1917">
        <v>2570</v>
      </c>
      <c r="AD1917">
        <v>10</v>
      </c>
      <c r="AE1917" t="s">
        <v>80</v>
      </c>
      <c r="AF1917" t="s">
        <v>107</v>
      </c>
      <c r="AG1917" t="s">
        <v>82</v>
      </c>
      <c r="AH1917" t="s">
        <v>83</v>
      </c>
      <c r="AI1917" t="s">
        <v>108</v>
      </c>
      <c r="AJ1917">
        <v>2.6022353303511498</v>
      </c>
      <c r="AK1917">
        <v>0.49106132297135802</v>
      </c>
      <c r="AL1917">
        <v>1.2522404888837599</v>
      </c>
      <c r="AM1917">
        <v>0.31269028977774799</v>
      </c>
      <c r="AN1917">
        <v>0.62151085233754699</v>
      </c>
      <c r="AO1917">
        <v>0.23268449132251801</v>
      </c>
      <c r="AP1917">
        <v>0.23268449132251801</v>
      </c>
      <c r="AQ1917">
        <v>0</v>
      </c>
      <c r="AR1917">
        <v>0</v>
      </c>
      <c r="AS1917">
        <v>1</v>
      </c>
      <c r="AT1917">
        <v>22</v>
      </c>
      <c r="AU1917">
        <v>0</v>
      </c>
      <c r="AV1917">
        <v>11</v>
      </c>
      <c r="AW1917">
        <v>1</v>
      </c>
      <c r="AX1917">
        <v>0</v>
      </c>
      <c r="AY1917">
        <v>15.5</v>
      </c>
      <c r="AZ1917">
        <v>2.4</v>
      </c>
      <c r="BA1917">
        <v>10.9</v>
      </c>
      <c r="BB1917">
        <v>564</v>
      </c>
      <c r="BC1917">
        <v>68</v>
      </c>
      <c r="BD1917">
        <v>1.5</v>
      </c>
      <c r="BE1917">
        <v>135</v>
      </c>
      <c r="BF1917">
        <v>0</v>
      </c>
      <c r="BG1917">
        <v>162</v>
      </c>
      <c r="BH1917">
        <v>9.1</v>
      </c>
      <c r="BI1917">
        <v>9.1999999999999993</v>
      </c>
      <c r="BJ1917">
        <v>18.3</v>
      </c>
      <c r="BK1917">
        <v>0.34</v>
      </c>
      <c r="BL1917">
        <v>7.3</v>
      </c>
      <c r="BM1917">
        <v>0.9</v>
      </c>
      <c r="BN1917">
        <v>7.5</v>
      </c>
      <c r="BO1917">
        <v>2.9</v>
      </c>
      <c r="BP1917">
        <f t="shared" si="58"/>
        <v>2.0765432005900024</v>
      </c>
      <c r="BQ1917">
        <f t="shared" si="59"/>
        <v>10.161175262990698</v>
      </c>
    </row>
    <row r="1918" spans="1:69" hidden="1" x14ac:dyDescent="0.2">
      <c r="A1918" t="s">
        <v>3767</v>
      </c>
      <c r="B1918" t="s">
        <v>68</v>
      </c>
      <c r="C1918" t="s">
        <v>3294</v>
      </c>
      <c r="D1918" t="s">
        <v>70</v>
      </c>
      <c r="E1918" t="s">
        <v>1879</v>
      </c>
      <c r="F1918">
        <v>6</v>
      </c>
      <c r="G1918">
        <v>29</v>
      </c>
      <c r="H1918">
        <v>1</v>
      </c>
      <c r="I1918">
        <v>1</v>
      </c>
      <c r="J1918">
        <v>0</v>
      </c>
      <c r="K1918" t="s">
        <v>110</v>
      </c>
      <c r="L1918" t="s">
        <v>111</v>
      </c>
      <c r="M1918" s="4">
        <v>450000000</v>
      </c>
      <c r="N1918">
        <v>0</v>
      </c>
      <c r="O1918">
        <v>4.6883880250000001</v>
      </c>
      <c r="P1918">
        <v>-74.041752209999999</v>
      </c>
      <c r="Q1918" t="s">
        <v>3768</v>
      </c>
      <c r="R1918">
        <v>15517241.380000001</v>
      </c>
      <c r="S1918">
        <v>0</v>
      </c>
      <c r="T1918" t="s">
        <v>104</v>
      </c>
      <c r="U1918" t="s">
        <v>105</v>
      </c>
      <c r="V1918" t="s">
        <v>77</v>
      </c>
      <c r="W1918" t="s">
        <v>104</v>
      </c>
      <c r="X1918" t="s">
        <v>106</v>
      </c>
      <c r="Y1918">
        <v>2.74929939869594</v>
      </c>
      <c r="Z1918">
        <v>2749.29939869594</v>
      </c>
      <c r="AA1918">
        <v>4.71035</v>
      </c>
      <c r="AB1918">
        <v>-74.030416666666696</v>
      </c>
      <c r="AC1918">
        <v>2570</v>
      </c>
      <c r="AD1918">
        <v>10</v>
      </c>
      <c r="AE1918" t="s">
        <v>80</v>
      </c>
      <c r="AF1918" t="s">
        <v>107</v>
      </c>
      <c r="AG1918" t="s">
        <v>82</v>
      </c>
      <c r="AH1918" t="s">
        <v>83</v>
      </c>
      <c r="AI1918" t="s">
        <v>108</v>
      </c>
      <c r="AJ1918">
        <v>1.6786424364619099</v>
      </c>
      <c r="AK1918">
        <v>1.2356291420460099</v>
      </c>
      <c r="AL1918">
        <v>0.71704611766128701</v>
      </c>
      <c r="AM1918">
        <v>0.23275116489092099</v>
      </c>
      <c r="AN1918">
        <v>4.73011783858413</v>
      </c>
      <c r="AO1918">
        <v>4.8328023927265103E-2</v>
      </c>
      <c r="AP1918">
        <v>4.8328023927265103E-2</v>
      </c>
      <c r="AQ1918">
        <v>0</v>
      </c>
      <c r="AR1918">
        <v>0</v>
      </c>
      <c r="AS1918">
        <v>0</v>
      </c>
      <c r="AT1918">
        <v>0</v>
      </c>
      <c r="AU1918">
        <v>3</v>
      </c>
      <c r="AV1918">
        <v>90</v>
      </c>
      <c r="AW1918">
        <v>0</v>
      </c>
      <c r="AX1918">
        <v>0</v>
      </c>
      <c r="AY1918">
        <v>15.5</v>
      </c>
      <c r="AZ1918">
        <v>2.4</v>
      </c>
      <c r="BA1918">
        <v>10.9</v>
      </c>
      <c r="BB1918">
        <v>564</v>
      </c>
      <c r="BC1918">
        <v>68</v>
      </c>
      <c r="BD1918">
        <v>1.5</v>
      </c>
      <c r="BE1918">
        <v>135</v>
      </c>
      <c r="BF1918">
        <v>0</v>
      </c>
      <c r="BG1918">
        <v>162</v>
      </c>
      <c r="BH1918">
        <v>9.1</v>
      </c>
      <c r="BI1918">
        <v>9.1999999999999993</v>
      </c>
      <c r="BJ1918">
        <v>18.3</v>
      </c>
      <c r="BK1918">
        <v>0.34</v>
      </c>
      <c r="BL1918">
        <v>7.3</v>
      </c>
      <c r="BM1918">
        <v>0.9</v>
      </c>
      <c r="BN1918">
        <v>7.5</v>
      </c>
      <c r="BO1918">
        <v>2.9</v>
      </c>
      <c r="BP1918">
        <f t="shared" si="58"/>
        <v>2.0946331216721989</v>
      </c>
      <c r="BQ1918">
        <f t="shared" si="59"/>
        <v>10.203997993759415</v>
      </c>
    </row>
    <row r="1919" spans="1:69" hidden="1" x14ac:dyDescent="0.2">
      <c r="A1919" t="s">
        <v>4386</v>
      </c>
      <c r="B1919" t="s">
        <v>68</v>
      </c>
      <c r="C1919" t="s">
        <v>3294</v>
      </c>
      <c r="D1919" t="s">
        <v>70</v>
      </c>
      <c r="E1919" t="s">
        <v>213</v>
      </c>
      <c r="F1919">
        <v>6</v>
      </c>
      <c r="G1919">
        <v>29</v>
      </c>
      <c r="H1919">
        <v>1</v>
      </c>
      <c r="I1919">
        <v>1</v>
      </c>
      <c r="J1919">
        <v>1</v>
      </c>
      <c r="K1919" t="s">
        <v>110</v>
      </c>
      <c r="L1919" t="s">
        <v>111</v>
      </c>
      <c r="M1919" s="4">
        <v>405000000</v>
      </c>
      <c r="N1919">
        <v>0</v>
      </c>
      <c r="O1919">
        <v>4.6985239979999998</v>
      </c>
      <c r="P1919">
        <v>-74.039764399999996</v>
      </c>
      <c r="Q1919" t="s">
        <v>4387</v>
      </c>
      <c r="R1919">
        <v>13965517.24</v>
      </c>
      <c r="S1919">
        <v>0</v>
      </c>
      <c r="T1919" t="s">
        <v>104</v>
      </c>
      <c r="U1919" t="s">
        <v>105</v>
      </c>
      <c r="V1919" t="s">
        <v>77</v>
      </c>
      <c r="W1919" t="s">
        <v>104</v>
      </c>
      <c r="X1919" t="s">
        <v>106</v>
      </c>
      <c r="Y1919">
        <v>1.6758914486936201</v>
      </c>
      <c r="Z1919">
        <v>1675.8914486936201</v>
      </c>
      <c r="AA1919">
        <v>4.71035</v>
      </c>
      <c r="AB1919">
        <v>-74.030416666666696</v>
      </c>
      <c r="AC1919">
        <v>2570</v>
      </c>
      <c r="AD1919">
        <v>10</v>
      </c>
      <c r="AE1919" t="s">
        <v>80</v>
      </c>
      <c r="AF1919" t="s">
        <v>107</v>
      </c>
      <c r="AG1919" t="s">
        <v>82</v>
      </c>
      <c r="AH1919" t="s">
        <v>83</v>
      </c>
      <c r="AI1919" t="s">
        <v>108</v>
      </c>
      <c r="AJ1919">
        <v>1.7240858589161601</v>
      </c>
      <c r="AK1919">
        <v>1.5403830424793701</v>
      </c>
      <c r="AL1919">
        <v>0.86692975388434601</v>
      </c>
      <c r="AM1919">
        <v>1.2339469185830201E-2</v>
      </c>
      <c r="AN1919">
        <v>4.9682273203250498</v>
      </c>
      <c r="AO1919">
        <v>1.02295090272361E-2</v>
      </c>
      <c r="AP1919">
        <v>1.02295090272361E-2</v>
      </c>
      <c r="AQ1919">
        <v>0</v>
      </c>
      <c r="AR1919">
        <v>0</v>
      </c>
      <c r="AS1919">
        <v>0</v>
      </c>
      <c r="AT1919">
        <v>0</v>
      </c>
      <c r="AU1919">
        <v>1</v>
      </c>
      <c r="AV1919">
        <v>155</v>
      </c>
      <c r="AW1919">
        <v>0</v>
      </c>
      <c r="AX1919">
        <v>0</v>
      </c>
      <c r="AY1919">
        <v>15.5</v>
      </c>
      <c r="AZ1919">
        <v>2.4</v>
      </c>
      <c r="BA1919">
        <v>10.9</v>
      </c>
      <c r="BB1919">
        <v>564</v>
      </c>
      <c r="BC1919">
        <v>68</v>
      </c>
      <c r="BD1919">
        <v>1.5</v>
      </c>
      <c r="BE1919">
        <v>135</v>
      </c>
      <c r="BF1919">
        <v>0</v>
      </c>
      <c r="BG1919">
        <v>162</v>
      </c>
      <c r="BH1919">
        <v>9.1</v>
      </c>
      <c r="BI1919">
        <v>9.1999999999999993</v>
      </c>
      <c r="BJ1919">
        <v>18.3</v>
      </c>
      <c r="BK1919">
        <v>0.34</v>
      </c>
      <c r="BL1919">
        <v>7.3</v>
      </c>
      <c r="BM1919">
        <v>0.9</v>
      </c>
      <c r="BN1919">
        <v>7.5</v>
      </c>
      <c r="BO1919">
        <v>2.9</v>
      </c>
      <c r="BP1919">
        <f t="shared" si="58"/>
        <v>2.2089385601825797</v>
      </c>
      <c r="BQ1919">
        <f t="shared" si="59"/>
        <v>10.470286563466082</v>
      </c>
    </row>
    <row r="1920" spans="1:69" hidden="1" x14ac:dyDescent="0.2">
      <c r="A1920" t="s">
        <v>4527</v>
      </c>
      <c r="B1920" t="s">
        <v>68</v>
      </c>
      <c r="C1920" t="s">
        <v>3294</v>
      </c>
      <c r="D1920" t="s">
        <v>70</v>
      </c>
      <c r="E1920" t="s">
        <v>132</v>
      </c>
      <c r="F1920">
        <v>6</v>
      </c>
      <c r="G1920">
        <v>28</v>
      </c>
      <c r="H1920">
        <v>1</v>
      </c>
      <c r="I1920">
        <v>1</v>
      </c>
      <c r="J1920">
        <v>1</v>
      </c>
      <c r="K1920" t="s">
        <v>110</v>
      </c>
      <c r="L1920" t="s">
        <v>111</v>
      </c>
      <c r="M1920" s="4">
        <v>380000000</v>
      </c>
      <c r="N1920">
        <v>0</v>
      </c>
      <c r="O1920">
        <v>4.6825685760000004</v>
      </c>
      <c r="P1920">
        <v>-74.054326040000007</v>
      </c>
      <c r="Q1920" t="s">
        <v>4528</v>
      </c>
      <c r="R1920">
        <v>13571428.57</v>
      </c>
      <c r="S1920">
        <v>0</v>
      </c>
      <c r="T1920" t="s">
        <v>104</v>
      </c>
      <c r="U1920" t="s">
        <v>105</v>
      </c>
      <c r="V1920" t="s">
        <v>77</v>
      </c>
      <c r="W1920" t="s">
        <v>104</v>
      </c>
      <c r="X1920" t="s">
        <v>106</v>
      </c>
      <c r="Y1920">
        <v>4.0744048975108003</v>
      </c>
      <c r="Z1920">
        <v>4074.4048975107999</v>
      </c>
      <c r="AA1920">
        <v>4.71035</v>
      </c>
      <c r="AB1920">
        <v>-74.030416666666696</v>
      </c>
      <c r="AC1920">
        <v>2570</v>
      </c>
      <c r="AD1920">
        <v>10</v>
      </c>
      <c r="AE1920" t="s">
        <v>80</v>
      </c>
      <c r="AF1920" t="s">
        <v>107</v>
      </c>
      <c r="AG1920" t="s">
        <v>82</v>
      </c>
      <c r="AH1920" t="s">
        <v>83</v>
      </c>
      <c r="AI1920" t="s">
        <v>130</v>
      </c>
      <c r="AJ1920">
        <v>0.40529576526553202</v>
      </c>
      <c r="AK1920">
        <v>1.8979490623442701</v>
      </c>
      <c r="AL1920">
        <v>0.39071038290309501</v>
      </c>
      <c r="AM1920">
        <v>0.16924359636021</v>
      </c>
      <c r="AN1920">
        <v>3.2028953533159998</v>
      </c>
      <c r="AO1920">
        <v>0.44603499438577199</v>
      </c>
      <c r="AP1920">
        <v>0.44603499438577199</v>
      </c>
      <c r="AQ1920">
        <v>1</v>
      </c>
      <c r="AR1920">
        <v>2</v>
      </c>
      <c r="AS1920">
        <v>0</v>
      </c>
      <c r="AT1920">
        <v>0</v>
      </c>
      <c r="AU1920">
        <v>5</v>
      </c>
      <c r="AV1920">
        <v>256</v>
      </c>
      <c r="AW1920">
        <v>0</v>
      </c>
      <c r="AX1920">
        <v>0</v>
      </c>
      <c r="AY1920">
        <v>15.5</v>
      </c>
      <c r="AZ1920">
        <v>2.4</v>
      </c>
      <c r="BA1920">
        <v>10.9</v>
      </c>
      <c r="BB1920">
        <v>564</v>
      </c>
      <c r="BC1920">
        <v>68</v>
      </c>
      <c r="BD1920">
        <v>1.5</v>
      </c>
      <c r="BE1920">
        <v>135</v>
      </c>
      <c r="BF1920">
        <v>0</v>
      </c>
      <c r="BG1920">
        <v>162</v>
      </c>
      <c r="BH1920">
        <v>9.1</v>
      </c>
      <c r="BI1920">
        <v>9.1999999999999993</v>
      </c>
      <c r="BJ1920">
        <v>18.3</v>
      </c>
      <c r="BK1920">
        <v>0.34</v>
      </c>
      <c r="BL1920">
        <v>7.3</v>
      </c>
      <c r="BM1920">
        <v>0.9</v>
      </c>
      <c r="BN1920">
        <v>7.5</v>
      </c>
      <c r="BO1920">
        <v>2.9</v>
      </c>
      <c r="BP1920">
        <f t="shared" si="58"/>
        <v>1.9616494881973392</v>
      </c>
      <c r="BQ1920">
        <f t="shared" si="59"/>
        <v>9.88459091845424</v>
      </c>
    </row>
    <row r="1921" spans="1:69" hidden="1" x14ac:dyDescent="0.2">
      <c r="A1921" t="s">
        <v>3603</v>
      </c>
      <c r="B1921" t="s">
        <v>68</v>
      </c>
      <c r="C1921" t="s">
        <v>3294</v>
      </c>
      <c r="D1921" t="s">
        <v>70</v>
      </c>
      <c r="E1921" t="s">
        <v>2292</v>
      </c>
      <c r="F1921">
        <v>4</v>
      </c>
      <c r="G1921">
        <v>27.91</v>
      </c>
      <c r="H1921">
        <v>1</v>
      </c>
      <c r="I1921">
        <v>1</v>
      </c>
      <c r="J1921">
        <v>0</v>
      </c>
      <c r="K1921" t="s">
        <v>110</v>
      </c>
      <c r="L1921" t="s">
        <v>111</v>
      </c>
      <c r="M1921" s="4">
        <v>260000000</v>
      </c>
      <c r="N1921">
        <v>0</v>
      </c>
      <c r="O1921">
        <v>4.7313000000000001</v>
      </c>
      <c r="P1921">
        <v>-74.023219999999995</v>
      </c>
      <c r="Q1921" t="s">
        <v>3604</v>
      </c>
      <c r="R1921">
        <v>9315657.4700000007</v>
      </c>
      <c r="S1921">
        <v>0</v>
      </c>
      <c r="T1921" t="s">
        <v>104</v>
      </c>
      <c r="U1921" t="s">
        <v>105</v>
      </c>
      <c r="V1921" t="s">
        <v>77</v>
      </c>
      <c r="W1921" t="s">
        <v>104</v>
      </c>
      <c r="X1921" t="s">
        <v>106</v>
      </c>
      <c r="Y1921">
        <v>2.4650260421176302</v>
      </c>
      <c r="Z1921">
        <v>2465.0260421176299</v>
      </c>
      <c r="AA1921">
        <v>4.71035</v>
      </c>
      <c r="AB1921">
        <v>-74.030416666666696</v>
      </c>
      <c r="AC1921">
        <v>2570</v>
      </c>
      <c r="AD1921">
        <v>10</v>
      </c>
      <c r="AE1921" t="s">
        <v>80</v>
      </c>
      <c r="AF1921" t="s">
        <v>107</v>
      </c>
      <c r="AG1921" t="s">
        <v>82</v>
      </c>
      <c r="AH1921" t="s">
        <v>83</v>
      </c>
      <c r="AI1921" t="s">
        <v>108</v>
      </c>
      <c r="AJ1921">
        <v>2.9061713715426101</v>
      </c>
      <c r="AK1921">
        <v>0.185712414394894</v>
      </c>
      <c r="AL1921">
        <v>1.81970185697041</v>
      </c>
      <c r="AM1921">
        <v>0.217179238185951</v>
      </c>
      <c r="AN1921">
        <v>1.19647519291853</v>
      </c>
      <c r="AO1921">
        <v>0.11246448652397301</v>
      </c>
      <c r="AP1921">
        <v>0.11246448652397301</v>
      </c>
      <c r="AQ1921">
        <v>0</v>
      </c>
      <c r="AR1921">
        <v>0</v>
      </c>
      <c r="AS1921">
        <v>11</v>
      </c>
      <c r="AT1921">
        <v>32</v>
      </c>
      <c r="AU1921">
        <v>0</v>
      </c>
      <c r="AV1921">
        <v>9</v>
      </c>
      <c r="AW1921">
        <v>0</v>
      </c>
      <c r="AX1921">
        <v>0</v>
      </c>
      <c r="AY1921">
        <v>15.5</v>
      </c>
      <c r="AZ1921">
        <v>2.4</v>
      </c>
      <c r="BA1921">
        <v>10.9</v>
      </c>
      <c r="BB1921">
        <v>564</v>
      </c>
      <c r="BC1921">
        <v>68</v>
      </c>
      <c r="BD1921">
        <v>1.5</v>
      </c>
      <c r="BE1921">
        <v>135</v>
      </c>
      <c r="BF1921">
        <v>0</v>
      </c>
      <c r="BG1921">
        <v>162</v>
      </c>
      <c r="BH1921">
        <v>9.1</v>
      </c>
      <c r="BI1921">
        <v>9.1999999999999993</v>
      </c>
      <c r="BJ1921">
        <v>18.3</v>
      </c>
      <c r="BK1921">
        <v>0.34</v>
      </c>
      <c r="BL1921">
        <v>7.3</v>
      </c>
      <c r="BM1921">
        <v>0.9</v>
      </c>
      <c r="BN1921">
        <v>7.5</v>
      </c>
      <c r="BO1921">
        <v>2.9</v>
      </c>
      <c r="BP1921">
        <f t="shared" si="58"/>
        <v>2.1243161700746191</v>
      </c>
      <c r="BQ1921">
        <f t="shared" si="59"/>
        <v>10.273853413454827</v>
      </c>
    </row>
    <row r="1922" spans="1:69" hidden="1" x14ac:dyDescent="0.2">
      <c r="A1922" t="s">
        <v>3544</v>
      </c>
      <c r="B1922" t="s">
        <v>68</v>
      </c>
      <c r="C1922" t="s">
        <v>3294</v>
      </c>
      <c r="D1922" t="s">
        <v>70</v>
      </c>
      <c r="E1922" t="s">
        <v>3545</v>
      </c>
      <c r="F1922">
        <v>4</v>
      </c>
      <c r="G1922">
        <v>27.74</v>
      </c>
      <c r="H1922">
        <v>1</v>
      </c>
      <c r="I1922">
        <v>1</v>
      </c>
      <c r="J1922">
        <v>1</v>
      </c>
      <c r="K1922" t="s">
        <v>110</v>
      </c>
      <c r="L1922" t="s">
        <v>111</v>
      </c>
      <c r="M1922" s="4">
        <v>350000000</v>
      </c>
      <c r="N1922">
        <v>0</v>
      </c>
      <c r="O1922">
        <v>4.7217200000000004</v>
      </c>
      <c r="P1922">
        <v>-74.026439999999994</v>
      </c>
      <c r="Q1922" t="s">
        <v>3546</v>
      </c>
      <c r="R1922">
        <v>12617159.34</v>
      </c>
      <c r="S1922">
        <v>0</v>
      </c>
      <c r="T1922" t="s">
        <v>104</v>
      </c>
      <c r="U1922" t="s">
        <v>105</v>
      </c>
      <c r="V1922" t="s">
        <v>77</v>
      </c>
      <c r="W1922" t="s">
        <v>104</v>
      </c>
      <c r="X1922" t="s">
        <v>106</v>
      </c>
      <c r="Y1922">
        <v>1.34038966609233</v>
      </c>
      <c r="Z1922">
        <v>1340.3896660923299</v>
      </c>
      <c r="AA1922">
        <v>4.71035</v>
      </c>
      <c r="AB1922">
        <v>-74.030416666666696</v>
      </c>
      <c r="AC1922">
        <v>2570</v>
      </c>
      <c r="AD1922">
        <v>10</v>
      </c>
      <c r="AE1922" t="s">
        <v>80</v>
      </c>
      <c r="AF1922" t="s">
        <v>107</v>
      </c>
      <c r="AG1922" t="s">
        <v>82</v>
      </c>
      <c r="AH1922" t="s">
        <v>83</v>
      </c>
      <c r="AI1922" t="s">
        <v>108</v>
      </c>
      <c r="AJ1922">
        <v>2.72755055117061</v>
      </c>
      <c r="AK1922">
        <v>0.38501551056948002</v>
      </c>
      <c r="AL1922">
        <v>1.40207384982004</v>
      </c>
      <c r="AM1922">
        <v>0.16923092221835001</v>
      </c>
      <c r="AN1922">
        <v>2.1902780505225499</v>
      </c>
      <c r="AO1922">
        <v>0.18827265624861</v>
      </c>
      <c r="AP1922">
        <v>0.18827265624861</v>
      </c>
      <c r="AQ1922">
        <v>0</v>
      </c>
      <c r="AR1922">
        <v>0</v>
      </c>
      <c r="AS1922">
        <v>5</v>
      </c>
      <c r="AT1922">
        <v>36</v>
      </c>
      <c r="AU1922">
        <v>0</v>
      </c>
      <c r="AV1922">
        <v>26</v>
      </c>
      <c r="AW1922">
        <v>0</v>
      </c>
      <c r="AX1922">
        <v>0</v>
      </c>
      <c r="AY1922">
        <v>15.5</v>
      </c>
      <c r="AZ1922">
        <v>2.4</v>
      </c>
      <c r="BA1922">
        <v>10.9</v>
      </c>
      <c r="BB1922">
        <v>564</v>
      </c>
      <c r="BC1922">
        <v>68</v>
      </c>
      <c r="BD1922">
        <v>1.5</v>
      </c>
      <c r="BE1922">
        <v>135</v>
      </c>
      <c r="BF1922">
        <v>0</v>
      </c>
      <c r="BG1922">
        <v>162</v>
      </c>
      <c r="BH1922">
        <v>9.1</v>
      </c>
      <c r="BI1922">
        <v>9.1999999999999993</v>
      </c>
      <c r="BJ1922">
        <v>18.3</v>
      </c>
      <c r="BK1922">
        <v>0.34</v>
      </c>
      <c r="BL1922">
        <v>7.3</v>
      </c>
      <c r="BM1922">
        <v>0.9</v>
      </c>
      <c r="BN1922">
        <v>7.5</v>
      </c>
      <c r="BO1922">
        <v>2.9</v>
      </c>
      <c r="BP1922">
        <f t="shared" ref="BP1922:BP1973" si="60">+AZ1922*EXP(-0.0495*Y1922)</f>
        <v>2.245929460011157</v>
      </c>
      <c r="BQ1922">
        <f t="shared" ref="BQ1922:BQ1973" si="61">+BA1922*EXP(-0.024*Y1922)</f>
        <v>10.554934094243213</v>
      </c>
    </row>
    <row r="1923" spans="1:69" hidden="1" x14ac:dyDescent="0.2">
      <c r="A1923" t="s">
        <v>101</v>
      </c>
      <c r="B1923" t="s">
        <v>68</v>
      </c>
      <c r="C1923" t="s">
        <v>69</v>
      </c>
      <c r="D1923" t="s">
        <v>70</v>
      </c>
      <c r="E1923" t="s">
        <v>102</v>
      </c>
      <c r="F1923">
        <v>6</v>
      </c>
      <c r="G1923">
        <v>27.7</v>
      </c>
      <c r="H1923">
        <v>1</v>
      </c>
      <c r="I1923">
        <v>1</v>
      </c>
      <c r="J1923">
        <v>0</v>
      </c>
      <c r="K1923" t="s">
        <v>72</v>
      </c>
      <c r="L1923" t="s">
        <v>73</v>
      </c>
      <c r="M1923" s="4">
        <v>395205000</v>
      </c>
      <c r="N1923">
        <v>0</v>
      </c>
      <c r="O1923">
        <v>4.6949915999999998</v>
      </c>
      <c r="P1923">
        <v>-74.039370000000005</v>
      </c>
      <c r="Q1923" t="s">
        <v>103</v>
      </c>
      <c r="R1923">
        <v>14267328.52</v>
      </c>
      <c r="S1923">
        <v>0</v>
      </c>
      <c r="T1923" t="s">
        <v>104</v>
      </c>
      <c r="U1923" t="s">
        <v>105</v>
      </c>
      <c r="V1923" t="s">
        <v>77</v>
      </c>
      <c r="W1923" t="s">
        <v>104</v>
      </c>
      <c r="X1923" t="s">
        <v>106</v>
      </c>
      <c r="Y1923">
        <v>1.9773043353594899</v>
      </c>
      <c r="Z1923">
        <v>1977.3043353594901</v>
      </c>
      <c r="AA1923">
        <v>4.71035</v>
      </c>
      <c r="AB1923">
        <v>-74.030416666666696</v>
      </c>
      <c r="AC1923">
        <v>2570</v>
      </c>
      <c r="AD1923">
        <v>10</v>
      </c>
      <c r="AE1923" t="s">
        <v>80</v>
      </c>
      <c r="AF1923" t="s">
        <v>107</v>
      </c>
      <c r="AG1923" t="s">
        <v>82</v>
      </c>
      <c r="AH1923" t="s">
        <v>83</v>
      </c>
      <c r="AI1923" t="s">
        <v>108</v>
      </c>
      <c r="AJ1923">
        <v>1.80090721070268</v>
      </c>
      <c r="AK1923">
        <v>1.45768378741854</v>
      </c>
      <c r="AL1923">
        <v>1.03802311037081</v>
      </c>
      <c r="AM1923">
        <v>0.18999110572962999</v>
      </c>
      <c r="AN1923">
        <v>5.2608645533437501</v>
      </c>
      <c r="AO1923">
        <v>0.111946210164812</v>
      </c>
      <c r="AP1923">
        <v>0.111946210164812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147</v>
      </c>
      <c r="AW1923">
        <v>0</v>
      </c>
      <c r="AX1923">
        <v>0</v>
      </c>
      <c r="AY1923">
        <v>15.5</v>
      </c>
      <c r="AZ1923">
        <v>2.4</v>
      </c>
      <c r="BA1923">
        <v>10.9</v>
      </c>
      <c r="BB1923">
        <v>564</v>
      </c>
      <c r="BC1923">
        <v>68</v>
      </c>
      <c r="BD1923">
        <v>1.5</v>
      </c>
      <c r="BE1923">
        <v>135</v>
      </c>
      <c r="BF1923">
        <v>0</v>
      </c>
      <c r="BG1923">
        <v>162</v>
      </c>
      <c r="BH1923">
        <v>9.1</v>
      </c>
      <c r="BI1923">
        <v>9.1999999999999993</v>
      </c>
      <c r="BJ1923">
        <v>18.3</v>
      </c>
      <c r="BK1923">
        <v>0.34</v>
      </c>
      <c r="BL1923">
        <v>7.3</v>
      </c>
      <c r="BM1923">
        <v>0.9</v>
      </c>
      <c r="BN1923">
        <v>7.5</v>
      </c>
      <c r="BO1923">
        <v>2.9</v>
      </c>
      <c r="BP1923">
        <f t="shared" si="60"/>
        <v>2.1762259757544449</v>
      </c>
      <c r="BQ1923">
        <f t="shared" si="61"/>
        <v>10.394818753076281</v>
      </c>
    </row>
    <row r="1924" spans="1:69" hidden="1" x14ac:dyDescent="0.2">
      <c r="A1924" t="s">
        <v>4348</v>
      </c>
      <c r="B1924" t="s">
        <v>68</v>
      </c>
      <c r="C1924" t="s">
        <v>3294</v>
      </c>
      <c r="D1924" t="s">
        <v>70</v>
      </c>
      <c r="E1924" t="s">
        <v>4349</v>
      </c>
      <c r="F1924">
        <v>5</v>
      </c>
      <c r="G1924">
        <v>27.63</v>
      </c>
      <c r="H1924">
        <v>1</v>
      </c>
      <c r="I1924">
        <v>1</v>
      </c>
      <c r="J1924">
        <v>0</v>
      </c>
      <c r="K1924" t="s">
        <v>110</v>
      </c>
      <c r="L1924" t="s">
        <v>111</v>
      </c>
      <c r="M1924" s="4">
        <v>480000000</v>
      </c>
      <c r="N1924">
        <v>0</v>
      </c>
      <c r="O1924">
        <v>4.6855840679999998</v>
      </c>
      <c r="P1924">
        <v>-74.047561650000006</v>
      </c>
      <c r="Q1924" t="s">
        <v>4350</v>
      </c>
      <c r="R1924">
        <v>17372421.280000001</v>
      </c>
      <c r="S1924">
        <v>0</v>
      </c>
      <c r="T1924" t="s">
        <v>104</v>
      </c>
      <c r="U1924" t="s">
        <v>105</v>
      </c>
      <c r="V1924" t="s">
        <v>77</v>
      </c>
      <c r="W1924" t="s">
        <v>104</v>
      </c>
      <c r="X1924" t="s">
        <v>106</v>
      </c>
      <c r="Y1924">
        <v>3.3494589707550402</v>
      </c>
      <c r="Z1924">
        <v>3349.4589707550399</v>
      </c>
      <c r="AA1924">
        <v>4.71035</v>
      </c>
      <c r="AB1924">
        <v>-74.030416666666696</v>
      </c>
      <c r="AC1924">
        <v>2570</v>
      </c>
      <c r="AD1924">
        <v>10</v>
      </c>
      <c r="AE1924" t="s">
        <v>80</v>
      </c>
      <c r="AF1924" t="s">
        <v>107</v>
      </c>
      <c r="AG1924" t="s">
        <v>82</v>
      </c>
      <c r="AH1924" t="s">
        <v>83</v>
      </c>
      <c r="AI1924" t="s">
        <v>108</v>
      </c>
      <c r="AJ1924">
        <v>1.1399088679265601</v>
      </c>
      <c r="AK1924">
        <v>1.46591020665927</v>
      </c>
      <c r="AL1924">
        <v>0.39499934196108599</v>
      </c>
      <c r="AM1924">
        <v>0.121478599688216</v>
      </c>
      <c r="AN1924">
        <v>4.0195943065691102</v>
      </c>
      <c r="AO1924">
        <v>0.56584337963667397</v>
      </c>
      <c r="AP1924">
        <v>0.56584337963667397</v>
      </c>
      <c r="AQ1924">
        <v>0</v>
      </c>
      <c r="AR1924">
        <v>0</v>
      </c>
      <c r="AS1924">
        <v>0</v>
      </c>
      <c r="AT1924">
        <v>0</v>
      </c>
      <c r="AU1924">
        <v>6</v>
      </c>
      <c r="AV1924">
        <v>133</v>
      </c>
      <c r="AW1924">
        <v>0</v>
      </c>
      <c r="AX1924">
        <v>0</v>
      </c>
      <c r="AY1924">
        <v>15.5</v>
      </c>
      <c r="AZ1924">
        <v>2.4</v>
      </c>
      <c r="BA1924">
        <v>10.9</v>
      </c>
      <c r="BB1924">
        <v>564</v>
      </c>
      <c r="BC1924">
        <v>68</v>
      </c>
      <c r="BD1924">
        <v>1.5</v>
      </c>
      <c r="BE1924">
        <v>135</v>
      </c>
      <c r="BF1924">
        <v>0</v>
      </c>
      <c r="BG1924">
        <v>162</v>
      </c>
      <c r="BH1924">
        <v>9.1</v>
      </c>
      <c r="BI1924">
        <v>9.1999999999999993</v>
      </c>
      <c r="BJ1924">
        <v>18.3</v>
      </c>
      <c r="BK1924">
        <v>0.34</v>
      </c>
      <c r="BL1924">
        <v>7.3</v>
      </c>
      <c r="BM1924">
        <v>0.9</v>
      </c>
      <c r="BN1924">
        <v>7.5</v>
      </c>
      <c r="BO1924">
        <v>2.9</v>
      </c>
      <c r="BP1924">
        <f t="shared" si="60"/>
        <v>2.0333212061432495</v>
      </c>
      <c r="BQ1924">
        <f t="shared" si="61"/>
        <v>10.058074793448988</v>
      </c>
    </row>
    <row r="1925" spans="1:69" hidden="1" x14ac:dyDescent="0.2">
      <c r="A1925" t="s">
        <v>3734</v>
      </c>
      <c r="B1925" t="s">
        <v>68</v>
      </c>
      <c r="C1925" t="s">
        <v>3294</v>
      </c>
      <c r="D1925" t="s">
        <v>70</v>
      </c>
      <c r="E1925" t="s">
        <v>370</v>
      </c>
      <c r="F1925">
        <v>4</v>
      </c>
      <c r="G1925">
        <v>27.4</v>
      </c>
      <c r="H1925">
        <v>1</v>
      </c>
      <c r="I1925">
        <v>1</v>
      </c>
      <c r="J1925">
        <v>0</v>
      </c>
      <c r="K1925" t="s">
        <v>110</v>
      </c>
      <c r="L1925" t="s">
        <v>111</v>
      </c>
      <c r="M1925" s="4">
        <v>280000000</v>
      </c>
      <c r="N1925">
        <v>0</v>
      </c>
      <c r="O1925">
        <v>4.7317324000000003</v>
      </c>
      <c r="P1925">
        <v>-74.022310000000004</v>
      </c>
      <c r="Q1925" t="s">
        <v>3735</v>
      </c>
      <c r="R1925">
        <v>10218978.1</v>
      </c>
      <c r="S1925">
        <v>0</v>
      </c>
      <c r="T1925" t="s">
        <v>104</v>
      </c>
      <c r="U1925" t="s">
        <v>105</v>
      </c>
      <c r="V1925" t="s">
        <v>77</v>
      </c>
      <c r="W1925" t="s">
        <v>104</v>
      </c>
      <c r="X1925" t="s">
        <v>106</v>
      </c>
      <c r="Y1925">
        <v>2.5445207908944298</v>
      </c>
      <c r="Z1925">
        <v>2544.5207908944299</v>
      </c>
      <c r="AA1925">
        <v>4.71035</v>
      </c>
      <c r="AB1925">
        <v>-74.030416666666696</v>
      </c>
      <c r="AC1925">
        <v>2570</v>
      </c>
      <c r="AD1925">
        <v>10</v>
      </c>
      <c r="AE1925" t="s">
        <v>80</v>
      </c>
      <c r="AF1925" t="s">
        <v>107</v>
      </c>
      <c r="AG1925" t="s">
        <v>82</v>
      </c>
      <c r="AH1925" t="s">
        <v>83</v>
      </c>
      <c r="AI1925" t="s">
        <v>108</v>
      </c>
      <c r="AJ1925">
        <v>3.0008961575838602</v>
      </c>
      <c r="AK1925">
        <v>9.0661379317431706E-2</v>
      </c>
      <c r="AL1925">
        <v>1.8011753971112201</v>
      </c>
      <c r="AM1925">
        <v>0.25227248505814098</v>
      </c>
      <c r="AN1925">
        <v>1.18931247035501</v>
      </c>
      <c r="AO1925">
        <v>0.20655650488695901</v>
      </c>
      <c r="AP1925">
        <v>0.20655650488695901</v>
      </c>
      <c r="AQ1925">
        <v>0</v>
      </c>
      <c r="AR1925">
        <v>0</v>
      </c>
      <c r="AS1925">
        <v>12</v>
      </c>
      <c r="AT1925">
        <v>36</v>
      </c>
      <c r="AU1925">
        <v>0</v>
      </c>
      <c r="AV1925">
        <v>9</v>
      </c>
      <c r="AW1925">
        <v>0</v>
      </c>
      <c r="AX1925">
        <v>0</v>
      </c>
      <c r="AY1925">
        <v>15.5</v>
      </c>
      <c r="AZ1925">
        <v>2.4</v>
      </c>
      <c r="BA1925">
        <v>10.9</v>
      </c>
      <c r="BB1925">
        <v>564</v>
      </c>
      <c r="BC1925">
        <v>68</v>
      </c>
      <c r="BD1925">
        <v>1.5</v>
      </c>
      <c r="BE1925">
        <v>135</v>
      </c>
      <c r="BF1925">
        <v>0</v>
      </c>
      <c r="BG1925">
        <v>162</v>
      </c>
      <c r="BH1925">
        <v>9.1</v>
      </c>
      <c r="BI1925">
        <v>9.1999999999999993</v>
      </c>
      <c r="BJ1925">
        <v>18.3</v>
      </c>
      <c r="BK1925">
        <v>0.34</v>
      </c>
      <c r="BL1925">
        <v>7.3</v>
      </c>
      <c r="BM1925">
        <v>0.9</v>
      </c>
      <c r="BN1925">
        <v>7.5</v>
      </c>
      <c r="BO1925">
        <v>2.9</v>
      </c>
      <c r="BP1925">
        <f t="shared" si="60"/>
        <v>2.1159734321121304</v>
      </c>
      <c r="BQ1925">
        <f t="shared" si="61"/>
        <v>10.254270882389747</v>
      </c>
    </row>
    <row r="1926" spans="1:69" hidden="1" x14ac:dyDescent="0.2">
      <c r="A1926" t="s">
        <v>4070</v>
      </c>
      <c r="B1926" t="s">
        <v>68</v>
      </c>
      <c r="C1926" t="s">
        <v>3294</v>
      </c>
      <c r="D1926" t="s">
        <v>70</v>
      </c>
      <c r="E1926" t="s">
        <v>226</v>
      </c>
      <c r="F1926">
        <v>6</v>
      </c>
      <c r="G1926">
        <v>27.24</v>
      </c>
      <c r="H1926">
        <v>1</v>
      </c>
      <c r="I1926">
        <v>1</v>
      </c>
      <c r="J1926">
        <v>0</v>
      </c>
      <c r="K1926" t="s">
        <v>110</v>
      </c>
      <c r="L1926" t="s">
        <v>111</v>
      </c>
      <c r="M1926" s="4">
        <v>450000000</v>
      </c>
      <c r="N1926">
        <v>0</v>
      </c>
      <c r="O1926">
        <v>4.68912</v>
      </c>
      <c r="P1926">
        <v>-74.041640000000001</v>
      </c>
      <c r="Q1926" t="s">
        <v>4071</v>
      </c>
      <c r="R1926">
        <v>16519823.789999999</v>
      </c>
      <c r="S1926">
        <v>0</v>
      </c>
      <c r="T1926" t="s">
        <v>104</v>
      </c>
      <c r="U1926" t="s">
        <v>105</v>
      </c>
      <c r="V1926" t="s">
        <v>77</v>
      </c>
      <c r="W1926" t="s">
        <v>104</v>
      </c>
      <c r="X1926" t="s">
        <v>106</v>
      </c>
      <c r="Y1926">
        <v>2.6712746484706198</v>
      </c>
      <c r="Z1926">
        <v>2671.2746484706199</v>
      </c>
      <c r="AA1926">
        <v>4.71035</v>
      </c>
      <c r="AB1926">
        <v>-74.030416666666696</v>
      </c>
      <c r="AC1926">
        <v>2570</v>
      </c>
      <c r="AD1926">
        <v>10</v>
      </c>
      <c r="AE1926" t="s">
        <v>80</v>
      </c>
      <c r="AF1926" t="s">
        <v>107</v>
      </c>
      <c r="AG1926" t="s">
        <v>82</v>
      </c>
      <c r="AH1926" t="s">
        <v>83</v>
      </c>
      <c r="AI1926" t="s">
        <v>108</v>
      </c>
      <c r="AJ1926">
        <v>1.66799377388294</v>
      </c>
      <c r="AK1926">
        <v>1.2998505576694099</v>
      </c>
      <c r="AL1926">
        <v>0.78793565775835495</v>
      </c>
      <c r="AM1926">
        <v>0.29331951466365702</v>
      </c>
      <c r="AN1926">
        <v>4.7699021769303798</v>
      </c>
      <c r="AO1926">
        <v>7.8811837028247803E-2</v>
      </c>
      <c r="AP1926">
        <v>7.8811837028247803E-2</v>
      </c>
      <c r="AQ1926">
        <v>0</v>
      </c>
      <c r="AR1926">
        <v>0</v>
      </c>
      <c r="AS1926">
        <v>0</v>
      </c>
      <c r="AT1926">
        <v>0</v>
      </c>
      <c r="AU1926">
        <v>3</v>
      </c>
      <c r="AV1926">
        <v>92</v>
      </c>
      <c r="AW1926">
        <v>0</v>
      </c>
      <c r="AX1926">
        <v>0</v>
      </c>
      <c r="AY1926">
        <v>15.5</v>
      </c>
      <c r="AZ1926">
        <v>2.4</v>
      </c>
      <c r="BA1926">
        <v>10.9</v>
      </c>
      <c r="BB1926">
        <v>564</v>
      </c>
      <c r="BC1926">
        <v>68</v>
      </c>
      <c r="BD1926">
        <v>1.5</v>
      </c>
      <c r="BE1926">
        <v>135</v>
      </c>
      <c r="BF1926">
        <v>0</v>
      </c>
      <c r="BG1926">
        <v>162</v>
      </c>
      <c r="BH1926">
        <v>9.1</v>
      </c>
      <c r="BI1926">
        <v>9.1999999999999993</v>
      </c>
      <c r="BJ1926">
        <v>18.3</v>
      </c>
      <c r="BK1926">
        <v>0.34</v>
      </c>
      <c r="BL1926">
        <v>7.3</v>
      </c>
      <c r="BM1926">
        <v>0.9</v>
      </c>
      <c r="BN1926">
        <v>7.5</v>
      </c>
      <c r="BO1926">
        <v>2.9</v>
      </c>
      <c r="BP1926">
        <f t="shared" si="60"/>
        <v>2.1027387090917067</v>
      </c>
      <c r="BQ1926">
        <f t="shared" si="61"/>
        <v>10.223123841118374</v>
      </c>
    </row>
    <row r="1927" spans="1:69" hidden="1" x14ac:dyDescent="0.2">
      <c r="A1927" t="s">
        <v>4655</v>
      </c>
      <c r="B1927" t="s">
        <v>68</v>
      </c>
      <c r="C1927" t="s">
        <v>3294</v>
      </c>
      <c r="D1927" t="s">
        <v>70</v>
      </c>
      <c r="E1927" t="s">
        <v>190</v>
      </c>
      <c r="F1927">
        <v>5</v>
      </c>
      <c r="G1927">
        <v>27.09</v>
      </c>
      <c r="H1927">
        <v>1</v>
      </c>
      <c r="I1927">
        <v>1</v>
      </c>
      <c r="J1927">
        <v>0</v>
      </c>
      <c r="K1927" t="s">
        <v>110</v>
      </c>
      <c r="L1927" t="s">
        <v>111</v>
      </c>
      <c r="M1927" s="4">
        <v>390000000</v>
      </c>
      <c r="N1927">
        <v>0</v>
      </c>
      <c r="O1927">
        <v>4.6857300000000004</v>
      </c>
      <c r="P1927">
        <v>-74.047510000000003</v>
      </c>
      <c r="Q1927" t="s">
        <v>4656</v>
      </c>
      <c r="R1927">
        <v>14396456.26</v>
      </c>
      <c r="S1927">
        <v>0</v>
      </c>
      <c r="T1927" t="s">
        <v>104</v>
      </c>
      <c r="U1927" t="s">
        <v>105</v>
      </c>
      <c r="V1927" t="s">
        <v>77</v>
      </c>
      <c r="W1927" t="s">
        <v>104</v>
      </c>
      <c r="X1927" t="s">
        <v>106</v>
      </c>
      <c r="Y1927">
        <v>3.3328363700155199</v>
      </c>
      <c r="Z1927">
        <v>3332.8363700155201</v>
      </c>
      <c r="AA1927">
        <v>4.71035</v>
      </c>
      <c r="AB1927">
        <v>-74.030416666666696</v>
      </c>
      <c r="AC1927">
        <v>2570</v>
      </c>
      <c r="AD1927">
        <v>10</v>
      </c>
      <c r="AE1927" t="s">
        <v>80</v>
      </c>
      <c r="AF1927" t="s">
        <v>107</v>
      </c>
      <c r="AG1927" t="s">
        <v>82</v>
      </c>
      <c r="AH1927" t="s">
        <v>83</v>
      </c>
      <c r="AI1927" t="s">
        <v>108</v>
      </c>
      <c r="AJ1927">
        <v>1.14821726105703</v>
      </c>
      <c r="AK1927">
        <v>1.4701983825251099</v>
      </c>
      <c r="AL1927">
        <v>0.39906582034170002</v>
      </c>
      <c r="AM1927">
        <v>0.11172995637069499</v>
      </c>
      <c r="AN1927">
        <v>4.0302546194838298</v>
      </c>
      <c r="AO1927">
        <v>0.54892161099664705</v>
      </c>
      <c r="AP1927">
        <v>0.54892161099664705</v>
      </c>
      <c r="AQ1927">
        <v>0</v>
      </c>
      <c r="AR1927">
        <v>0</v>
      </c>
      <c r="AS1927">
        <v>0</v>
      </c>
      <c r="AT1927">
        <v>0</v>
      </c>
      <c r="AU1927">
        <v>6</v>
      </c>
      <c r="AV1927">
        <v>132</v>
      </c>
      <c r="AW1927">
        <v>0</v>
      </c>
      <c r="AX1927">
        <v>0</v>
      </c>
      <c r="AY1927">
        <v>15.5</v>
      </c>
      <c r="AZ1927">
        <v>2.4</v>
      </c>
      <c r="BA1927">
        <v>10.9</v>
      </c>
      <c r="BB1927">
        <v>564</v>
      </c>
      <c r="BC1927">
        <v>68</v>
      </c>
      <c r="BD1927">
        <v>1.5</v>
      </c>
      <c r="BE1927">
        <v>135</v>
      </c>
      <c r="BF1927">
        <v>0</v>
      </c>
      <c r="BG1927">
        <v>162</v>
      </c>
      <c r="BH1927">
        <v>9.1</v>
      </c>
      <c r="BI1927">
        <v>9.1999999999999993</v>
      </c>
      <c r="BJ1927">
        <v>18.3</v>
      </c>
      <c r="BK1927">
        <v>0.34</v>
      </c>
      <c r="BL1927">
        <v>7.3</v>
      </c>
      <c r="BM1927">
        <v>0.9</v>
      </c>
      <c r="BN1927">
        <v>7.5</v>
      </c>
      <c r="BO1927">
        <v>2.9</v>
      </c>
      <c r="BP1927">
        <f t="shared" si="60"/>
        <v>2.0349949494284392</v>
      </c>
      <c r="BQ1927">
        <f t="shared" si="61"/>
        <v>10.06208818662814</v>
      </c>
    </row>
    <row r="1928" spans="1:69" hidden="1" x14ac:dyDescent="0.2">
      <c r="A1928" t="s">
        <v>3900</v>
      </c>
      <c r="B1928" t="s">
        <v>68</v>
      </c>
      <c r="C1928" t="s">
        <v>3294</v>
      </c>
      <c r="D1928" t="s">
        <v>70</v>
      </c>
      <c r="E1928" t="s">
        <v>1486</v>
      </c>
      <c r="F1928">
        <v>6</v>
      </c>
      <c r="G1928">
        <v>27</v>
      </c>
      <c r="H1928">
        <v>1</v>
      </c>
      <c r="I1928">
        <v>1</v>
      </c>
      <c r="J1928">
        <v>0</v>
      </c>
      <c r="K1928" t="s">
        <v>110</v>
      </c>
      <c r="L1928" t="s">
        <v>111</v>
      </c>
      <c r="M1928" s="4">
        <v>400000000</v>
      </c>
      <c r="N1928">
        <v>0</v>
      </c>
      <c r="O1928">
        <v>4.6822752090000002</v>
      </c>
      <c r="P1928">
        <v>-74.054417490000006</v>
      </c>
      <c r="Q1928" t="s">
        <v>3901</v>
      </c>
      <c r="R1928">
        <v>14814814.810000001</v>
      </c>
      <c r="S1928">
        <v>0</v>
      </c>
      <c r="T1928" t="s">
        <v>104</v>
      </c>
      <c r="U1928" t="s">
        <v>105</v>
      </c>
      <c r="V1928" t="s">
        <v>77</v>
      </c>
      <c r="W1928" t="s">
        <v>104</v>
      </c>
      <c r="X1928" t="s">
        <v>106</v>
      </c>
      <c r="Y1928">
        <v>4.1058213458538297</v>
      </c>
      <c r="Z1928">
        <v>4105.8213458538303</v>
      </c>
      <c r="AA1928">
        <v>4.71035</v>
      </c>
      <c r="AB1928">
        <v>-74.030416666666696</v>
      </c>
      <c r="AC1928">
        <v>2570</v>
      </c>
      <c r="AD1928">
        <v>10</v>
      </c>
      <c r="AE1928" t="s">
        <v>80</v>
      </c>
      <c r="AF1928" t="s">
        <v>107</v>
      </c>
      <c r="AG1928" t="s">
        <v>82</v>
      </c>
      <c r="AH1928" t="s">
        <v>83</v>
      </c>
      <c r="AI1928" t="s">
        <v>130</v>
      </c>
      <c r="AJ1928">
        <v>0.40951064950143001</v>
      </c>
      <c r="AK1928">
        <v>1.89040423407114</v>
      </c>
      <c r="AL1928">
        <v>0.42436413044886501</v>
      </c>
      <c r="AM1928">
        <v>0.15017758669467901</v>
      </c>
      <c r="AN1928">
        <v>3.18355606706093</v>
      </c>
      <c r="AO1928">
        <v>0.446010547764981</v>
      </c>
      <c r="AP1928">
        <v>0.446010547764981</v>
      </c>
      <c r="AQ1928">
        <v>1</v>
      </c>
      <c r="AR1928">
        <v>2</v>
      </c>
      <c r="AS1928">
        <v>0</v>
      </c>
      <c r="AT1928">
        <v>0</v>
      </c>
      <c r="AU1928">
        <v>5</v>
      </c>
      <c r="AV1928">
        <v>254</v>
      </c>
      <c r="AW1928">
        <v>0</v>
      </c>
      <c r="AX1928">
        <v>0</v>
      </c>
      <c r="AY1928">
        <v>15.5</v>
      </c>
      <c r="AZ1928">
        <v>2.4</v>
      </c>
      <c r="BA1928">
        <v>10.9</v>
      </c>
      <c r="BB1928">
        <v>564</v>
      </c>
      <c r="BC1928">
        <v>68</v>
      </c>
      <c r="BD1928">
        <v>1.5</v>
      </c>
      <c r="BE1928">
        <v>135</v>
      </c>
      <c r="BF1928">
        <v>0</v>
      </c>
      <c r="BG1928">
        <v>162</v>
      </c>
      <c r="BH1928">
        <v>9.1</v>
      </c>
      <c r="BI1928">
        <v>9.1999999999999993</v>
      </c>
      <c r="BJ1928">
        <v>18.3</v>
      </c>
      <c r="BK1928">
        <v>0.34</v>
      </c>
      <c r="BL1928">
        <v>7.3</v>
      </c>
      <c r="BM1928">
        <v>0.9</v>
      </c>
      <c r="BN1928">
        <v>7.5</v>
      </c>
      <c r="BO1928">
        <v>2.9</v>
      </c>
      <c r="BP1928">
        <f t="shared" si="60"/>
        <v>1.9586012700145836</v>
      </c>
      <c r="BQ1928">
        <f t="shared" si="61"/>
        <v>9.8771407977236336</v>
      </c>
    </row>
    <row r="1929" spans="1:69" hidden="1" x14ac:dyDescent="0.2">
      <c r="A1929" t="s">
        <v>4517</v>
      </c>
      <c r="B1929" t="s">
        <v>68</v>
      </c>
      <c r="C1929" t="s">
        <v>3294</v>
      </c>
      <c r="D1929" t="s">
        <v>70</v>
      </c>
      <c r="E1929" t="s">
        <v>1486</v>
      </c>
      <c r="F1929">
        <v>6</v>
      </c>
      <c r="G1929">
        <v>27</v>
      </c>
      <c r="H1929">
        <v>1</v>
      </c>
      <c r="I1929">
        <v>1</v>
      </c>
      <c r="J1929">
        <v>0</v>
      </c>
      <c r="K1929" t="s">
        <v>110</v>
      </c>
      <c r="L1929" t="s">
        <v>111</v>
      </c>
      <c r="M1929" s="4">
        <v>400000000</v>
      </c>
      <c r="N1929">
        <v>0</v>
      </c>
      <c r="O1929">
        <v>4.6822752090000002</v>
      </c>
      <c r="P1929">
        <v>-74.054417490000006</v>
      </c>
      <c r="Q1929" t="s">
        <v>4518</v>
      </c>
      <c r="R1929">
        <v>14814814.810000001</v>
      </c>
      <c r="S1929">
        <v>0</v>
      </c>
      <c r="T1929" t="s">
        <v>104</v>
      </c>
      <c r="U1929" t="s">
        <v>105</v>
      </c>
      <c r="V1929" t="s">
        <v>77</v>
      </c>
      <c r="W1929" t="s">
        <v>104</v>
      </c>
      <c r="X1929" t="s">
        <v>106</v>
      </c>
      <c r="Y1929">
        <v>4.1058213458538297</v>
      </c>
      <c r="Z1929">
        <v>4105.8213458538303</v>
      </c>
      <c r="AA1929">
        <v>4.71035</v>
      </c>
      <c r="AB1929">
        <v>-74.030416666666696</v>
      </c>
      <c r="AC1929">
        <v>2570</v>
      </c>
      <c r="AD1929">
        <v>10</v>
      </c>
      <c r="AE1929" t="s">
        <v>80</v>
      </c>
      <c r="AF1929" t="s">
        <v>107</v>
      </c>
      <c r="AG1929" t="s">
        <v>82</v>
      </c>
      <c r="AH1929" t="s">
        <v>83</v>
      </c>
      <c r="AI1929" t="s">
        <v>130</v>
      </c>
      <c r="AJ1929">
        <v>0.40951064950143001</v>
      </c>
      <c r="AK1929">
        <v>1.89040423407114</v>
      </c>
      <c r="AL1929">
        <v>0.42436413044886501</v>
      </c>
      <c r="AM1929">
        <v>0.15017758669467901</v>
      </c>
      <c r="AN1929">
        <v>3.18355606706093</v>
      </c>
      <c r="AO1929">
        <v>0.446010547764981</v>
      </c>
      <c r="AP1929">
        <v>0.446010547764981</v>
      </c>
      <c r="AQ1929">
        <v>1</v>
      </c>
      <c r="AR1929">
        <v>2</v>
      </c>
      <c r="AS1929">
        <v>0</v>
      </c>
      <c r="AT1929">
        <v>0</v>
      </c>
      <c r="AU1929">
        <v>5</v>
      </c>
      <c r="AV1929">
        <v>254</v>
      </c>
      <c r="AW1929">
        <v>0</v>
      </c>
      <c r="AX1929">
        <v>0</v>
      </c>
      <c r="AY1929">
        <v>15.5</v>
      </c>
      <c r="AZ1929">
        <v>2.4</v>
      </c>
      <c r="BA1929">
        <v>10.9</v>
      </c>
      <c r="BB1929">
        <v>564</v>
      </c>
      <c r="BC1929">
        <v>68</v>
      </c>
      <c r="BD1929">
        <v>1.5</v>
      </c>
      <c r="BE1929">
        <v>135</v>
      </c>
      <c r="BF1929">
        <v>0</v>
      </c>
      <c r="BG1929">
        <v>162</v>
      </c>
      <c r="BH1929">
        <v>9.1</v>
      </c>
      <c r="BI1929">
        <v>9.1999999999999993</v>
      </c>
      <c r="BJ1929">
        <v>18.3</v>
      </c>
      <c r="BK1929">
        <v>0.34</v>
      </c>
      <c r="BL1929">
        <v>7.3</v>
      </c>
      <c r="BM1929">
        <v>0.9</v>
      </c>
      <c r="BN1929">
        <v>7.5</v>
      </c>
      <c r="BO1929">
        <v>2.9</v>
      </c>
      <c r="BP1929">
        <f t="shared" si="60"/>
        <v>1.9586012700145836</v>
      </c>
      <c r="BQ1929">
        <f t="shared" si="61"/>
        <v>9.8771407977236336</v>
      </c>
    </row>
    <row r="1930" spans="1:69" hidden="1" x14ac:dyDescent="0.2">
      <c r="A1930" t="s">
        <v>3673</v>
      </c>
      <c r="B1930" t="s">
        <v>68</v>
      </c>
      <c r="C1930" t="s">
        <v>3294</v>
      </c>
      <c r="D1930" t="s">
        <v>70</v>
      </c>
      <c r="E1930" t="s">
        <v>219</v>
      </c>
      <c r="F1930">
        <v>4</v>
      </c>
      <c r="G1930">
        <v>27</v>
      </c>
      <c r="H1930">
        <v>1</v>
      </c>
      <c r="I1930">
        <v>1</v>
      </c>
      <c r="J1930">
        <v>1</v>
      </c>
      <c r="K1930" t="s">
        <v>110</v>
      </c>
      <c r="L1930" t="s">
        <v>111</v>
      </c>
      <c r="M1930" s="4">
        <v>230000000</v>
      </c>
      <c r="N1930">
        <v>0</v>
      </c>
      <c r="O1930">
        <v>4.731813431</v>
      </c>
      <c r="P1930">
        <v>-74.022468570000001</v>
      </c>
      <c r="Q1930" t="s">
        <v>3674</v>
      </c>
      <c r="R1930">
        <v>8518518.5189999994</v>
      </c>
      <c r="S1930">
        <v>0</v>
      </c>
      <c r="T1930" t="s">
        <v>104</v>
      </c>
      <c r="U1930" t="s">
        <v>105</v>
      </c>
      <c r="V1930" t="s">
        <v>77</v>
      </c>
      <c r="W1930" t="s">
        <v>104</v>
      </c>
      <c r="X1930" t="s">
        <v>106</v>
      </c>
      <c r="Y1930">
        <v>2.5468166686135301</v>
      </c>
      <c r="Z1930">
        <v>2546.8166686135301</v>
      </c>
      <c r="AA1930">
        <v>4.71035</v>
      </c>
      <c r="AB1930">
        <v>-74.030416666666696</v>
      </c>
      <c r="AC1930">
        <v>2570</v>
      </c>
      <c r="AD1930">
        <v>10</v>
      </c>
      <c r="AE1930" t="s">
        <v>80</v>
      </c>
      <c r="AF1930" t="s">
        <v>107</v>
      </c>
      <c r="AG1930" t="s">
        <v>82</v>
      </c>
      <c r="AH1930" t="s">
        <v>83</v>
      </c>
      <c r="AI1930" t="s">
        <v>108</v>
      </c>
      <c r="AJ1930">
        <v>2.98247911088297</v>
      </c>
      <c r="AK1930">
        <v>9.9979562617553697E-2</v>
      </c>
      <c r="AL1930">
        <v>1.7873945447483</v>
      </c>
      <c r="AM1930">
        <v>0.232690751419248</v>
      </c>
      <c r="AN1930">
        <v>1.1739712717522099</v>
      </c>
      <c r="AO1930">
        <v>0.18961918266319999</v>
      </c>
      <c r="AP1930">
        <v>0.18961918266319999</v>
      </c>
      <c r="AQ1930">
        <v>0</v>
      </c>
      <c r="AR1930">
        <v>0</v>
      </c>
      <c r="AS1930">
        <v>12</v>
      </c>
      <c r="AT1930">
        <v>34</v>
      </c>
      <c r="AU1930">
        <v>0</v>
      </c>
      <c r="AV1930">
        <v>9</v>
      </c>
      <c r="AW1930">
        <v>0</v>
      </c>
      <c r="AX1930">
        <v>0</v>
      </c>
      <c r="AY1930">
        <v>15.5</v>
      </c>
      <c r="AZ1930">
        <v>2.4</v>
      </c>
      <c r="BA1930">
        <v>10.9</v>
      </c>
      <c r="BB1930">
        <v>564</v>
      </c>
      <c r="BC1930">
        <v>68</v>
      </c>
      <c r="BD1930">
        <v>1.5</v>
      </c>
      <c r="BE1930">
        <v>135</v>
      </c>
      <c r="BF1930">
        <v>0</v>
      </c>
      <c r="BG1930">
        <v>162</v>
      </c>
      <c r="BH1930">
        <v>9.1</v>
      </c>
      <c r="BI1930">
        <v>9.1999999999999993</v>
      </c>
      <c r="BJ1930">
        <v>18.3</v>
      </c>
      <c r="BK1930">
        <v>0.34</v>
      </c>
      <c r="BL1930">
        <v>7.3</v>
      </c>
      <c r="BM1930">
        <v>0.9</v>
      </c>
      <c r="BN1930">
        <v>7.5</v>
      </c>
      <c r="BO1930">
        <v>2.9</v>
      </c>
      <c r="BP1930">
        <f t="shared" si="60"/>
        <v>2.1157329739712147</v>
      </c>
      <c r="BQ1930">
        <f t="shared" si="61"/>
        <v>10.253705876707031</v>
      </c>
    </row>
    <row r="1931" spans="1:69" hidden="1" x14ac:dyDescent="0.2">
      <c r="A1931" t="s">
        <v>3516</v>
      </c>
      <c r="B1931" t="s">
        <v>68</v>
      </c>
      <c r="C1931" t="s">
        <v>3294</v>
      </c>
      <c r="D1931" t="s">
        <v>70</v>
      </c>
      <c r="E1931" t="s">
        <v>1032</v>
      </c>
      <c r="F1931">
        <v>4</v>
      </c>
      <c r="G1931">
        <v>27</v>
      </c>
      <c r="H1931">
        <v>1</v>
      </c>
      <c r="I1931">
        <v>1</v>
      </c>
      <c r="J1931">
        <v>0</v>
      </c>
      <c r="K1931" t="s">
        <v>110</v>
      </c>
      <c r="L1931" t="s">
        <v>111</v>
      </c>
      <c r="M1931" s="4">
        <v>300000000</v>
      </c>
      <c r="N1931">
        <v>0</v>
      </c>
      <c r="O1931">
        <v>4.7231579999999997</v>
      </c>
      <c r="P1931">
        <v>-74.042693999999997</v>
      </c>
      <c r="Q1931" t="s">
        <v>3517</v>
      </c>
      <c r="R1931">
        <v>11111111.109999999</v>
      </c>
      <c r="S1931">
        <v>0</v>
      </c>
      <c r="T1931" t="s">
        <v>104</v>
      </c>
      <c r="U1931" t="s">
        <v>105</v>
      </c>
      <c r="V1931" t="s">
        <v>77</v>
      </c>
      <c r="W1931" t="s">
        <v>104</v>
      </c>
      <c r="X1931" t="s">
        <v>106</v>
      </c>
      <c r="Y1931">
        <v>1.97182786959996</v>
      </c>
      <c r="Z1931">
        <v>1971.82786959996</v>
      </c>
      <c r="AA1931">
        <v>4.71035</v>
      </c>
      <c r="AB1931">
        <v>-74.030416666666696</v>
      </c>
      <c r="AC1931">
        <v>2570</v>
      </c>
      <c r="AD1931">
        <v>10</v>
      </c>
      <c r="AE1931" t="s">
        <v>80</v>
      </c>
      <c r="AF1931" t="s">
        <v>107</v>
      </c>
      <c r="AG1931" t="s">
        <v>82</v>
      </c>
      <c r="AH1931" t="s">
        <v>83</v>
      </c>
      <c r="AI1931" t="s">
        <v>108</v>
      </c>
      <c r="AJ1931">
        <v>0.95716854937450502</v>
      </c>
      <c r="AK1931">
        <v>2.1556884728084</v>
      </c>
      <c r="AL1931">
        <v>1.11639510867431</v>
      </c>
      <c r="AM1931">
        <v>0.12728113106510699</v>
      </c>
      <c r="AN1931">
        <v>2.6939636035417101</v>
      </c>
      <c r="AO1931">
        <v>7.0448757815429003E-2</v>
      </c>
      <c r="AP1931">
        <v>7.0448757815429003E-2</v>
      </c>
      <c r="AQ1931">
        <v>0</v>
      </c>
      <c r="AR1931">
        <v>2</v>
      </c>
      <c r="AS1931">
        <v>0</v>
      </c>
      <c r="AT1931">
        <v>0</v>
      </c>
      <c r="AU1931">
        <v>0</v>
      </c>
      <c r="AV1931">
        <v>44</v>
      </c>
      <c r="AW1931">
        <v>0</v>
      </c>
      <c r="AX1931">
        <v>0</v>
      </c>
      <c r="AY1931">
        <v>15.5</v>
      </c>
      <c r="AZ1931">
        <v>2.4</v>
      </c>
      <c r="BA1931">
        <v>10.9</v>
      </c>
      <c r="BB1931">
        <v>564</v>
      </c>
      <c r="BC1931">
        <v>68</v>
      </c>
      <c r="BD1931">
        <v>1.5</v>
      </c>
      <c r="BE1931">
        <v>135</v>
      </c>
      <c r="BF1931">
        <v>0</v>
      </c>
      <c r="BG1931">
        <v>162</v>
      </c>
      <c r="BH1931">
        <v>9.1</v>
      </c>
      <c r="BI1931">
        <v>9.1999999999999993</v>
      </c>
      <c r="BJ1931">
        <v>18.3</v>
      </c>
      <c r="BK1931">
        <v>0.34</v>
      </c>
      <c r="BL1931">
        <v>7.3</v>
      </c>
      <c r="BM1931">
        <v>0.9</v>
      </c>
      <c r="BN1931">
        <v>7.5</v>
      </c>
      <c r="BO1931">
        <v>2.9</v>
      </c>
      <c r="BP1931">
        <f t="shared" si="60"/>
        <v>2.1768159980624868</v>
      </c>
      <c r="BQ1931">
        <f t="shared" si="61"/>
        <v>10.396185087721999</v>
      </c>
    </row>
    <row r="1932" spans="1:69" hidden="1" x14ac:dyDescent="0.2">
      <c r="A1932" t="s">
        <v>3948</v>
      </c>
      <c r="B1932" t="s">
        <v>68</v>
      </c>
      <c r="C1932" t="s">
        <v>3294</v>
      </c>
      <c r="D1932" t="s">
        <v>70</v>
      </c>
      <c r="E1932" t="s">
        <v>370</v>
      </c>
      <c r="F1932">
        <v>4</v>
      </c>
      <c r="G1932">
        <v>26.98</v>
      </c>
      <c r="H1932">
        <v>1</v>
      </c>
      <c r="I1932">
        <v>1</v>
      </c>
      <c r="J1932">
        <v>0</v>
      </c>
      <c r="K1932" t="s">
        <v>110</v>
      </c>
      <c r="L1932" t="s">
        <v>111</v>
      </c>
      <c r="M1932" s="4">
        <v>235000000</v>
      </c>
      <c r="N1932">
        <v>0</v>
      </c>
      <c r="O1932">
        <v>4.7321520000000001</v>
      </c>
      <c r="P1932">
        <v>-74.023650000000004</v>
      </c>
      <c r="Q1932" t="s">
        <v>3949</v>
      </c>
      <c r="R1932">
        <v>8710155.6710000001</v>
      </c>
      <c r="S1932">
        <v>0</v>
      </c>
      <c r="T1932" t="s">
        <v>104</v>
      </c>
      <c r="U1932" t="s">
        <v>105</v>
      </c>
      <c r="V1932" t="s">
        <v>77</v>
      </c>
      <c r="W1932" t="s">
        <v>104</v>
      </c>
      <c r="X1932" t="s">
        <v>106</v>
      </c>
      <c r="Y1932">
        <v>2.5404385498304198</v>
      </c>
      <c r="Z1932">
        <v>2540.43854983042</v>
      </c>
      <c r="AA1932">
        <v>4.71035</v>
      </c>
      <c r="AB1932">
        <v>-74.030416666666696</v>
      </c>
      <c r="AC1932">
        <v>2570</v>
      </c>
      <c r="AD1932">
        <v>10</v>
      </c>
      <c r="AE1932" t="s">
        <v>80</v>
      </c>
      <c r="AF1932" t="s">
        <v>107</v>
      </c>
      <c r="AG1932" t="s">
        <v>82</v>
      </c>
      <c r="AH1932" t="s">
        <v>83</v>
      </c>
      <c r="AI1932" t="s">
        <v>108</v>
      </c>
      <c r="AJ1932">
        <v>2.84843769096386</v>
      </c>
      <c r="AK1932">
        <v>0.192319295846965</v>
      </c>
      <c r="AL1932">
        <v>1.7169474241415901</v>
      </c>
      <c r="AM1932">
        <v>0.11196841691129</v>
      </c>
      <c r="AN1932">
        <v>1.0920256016160801</v>
      </c>
      <c r="AO1932">
        <v>7.9879782069307806E-2</v>
      </c>
      <c r="AP1932">
        <v>7.9879782069307806E-2</v>
      </c>
      <c r="AQ1932">
        <v>0</v>
      </c>
      <c r="AR1932">
        <v>0</v>
      </c>
      <c r="AS1932">
        <v>9</v>
      </c>
      <c r="AT1932">
        <v>32</v>
      </c>
      <c r="AU1932">
        <v>0</v>
      </c>
      <c r="AV1932">
        <v>9</v>
      </c>
      <c r="AW1932">
        <v>0</v>
      </c>
      <c r="AX1932">
        <v>0</v>
      </c>
      <c r="AY1932">
        <v>15.5</v>
      </c>
      <c r="AZ1932">
        <v>2.4</v>
      </c>
      <c r="BA1932">
        <v>10.9</v>
      </c>
      <c r="BB1932">
        <v>564</v>
      </c>
      <c r="BC1932">
        <v>68</v>
      </c>
      <c r="BD1932">
        <v>1.5</v>
      </c>
      <c r="BE1932">
        <v>135</v>
      </c>
      <c r="BF1932">
        <v>0</v>
      </c>
      <c r="BG1932">
        <v>162</v>
      </c>
      <c r="BH1932">
        <v>9.1</v>
      </c>
      <c r="BI1932">
        <v>9.1999999999999993</v>
      </c>
      <c r="BJ1932">
        <v>18.3</v>
      </c>
      <c r="BK1932">
        <v>0.34</v>
      </c>
      <c r="BL1932">
        <v>7.3</v>
      </c>
      <c r="BM1932">
        <v>0.9</v>
      </c>
      <c r="BN1932">
        <v>7.5</v>
      </c>
      <c r="BO1932">
        <v>2.9</v>
      </c>
      <c r="BP1932">
        <f t="shared" si="60"/>
        <v>2.1164010520403829</v>
      </c>
      <c r="BQ1932">
        <f t="shared" si="61"/>
        <v>10.255275581342286</v>
      </c>
    </row>
    <row r="1933" spans="1:69" hidden="1" x14ac:dyDescent="0.2">
      <c r="A1933" t="s">
        <v>3771</v>
      </c>
      <c r="B1933" t="s">
        <v>68</v>
      </c>
      <c r="C1933" t="s">
        <v>3294</v>
      </c>
      <c r="D1933" t="s">
        <v>70</v>
      </c>
      <c r="E1933" t="s">
        <v>748</v>
      </c>
      <c r="F1933">
        <v>5</v>
      </c>
      <c r="G1933">
        <v>26.76</v>
      </c>
      <c r="H1933">
        <v>1</v>
      </c>
      <c r="I1933">
        <v>1</v>
      </c>
      <c r="J1933">
        <v>0</v>
      </c>
      <c r="K1933" t="s">
        <v>110</v>
      </c>
      <c r="L1933" t="s">
        <v>111</v>
      </c>
      <c r="M1933" s="4">
        <v>450000000</v>
      </c>
      <c r="N1933">
        <v>0</v>
      </c>
      <c r="O1933">
        <v>4.6858399999999998</v>
      </c>
      <c r="P1933">
        <v>-74.047200000000004</v>
      </c>
      <c r="Q1933" t="s">
        <v>3772</v>
      </c>
      <c r="R1933">
        <v>16816143.5</v>
      </c>
      <c r="S1933">
        <v>0</v>
      </c>
      <c r="T1933" t="s">
        <v>104</v>
      </c>
      <c r="U1933" t="s">
        <v>105</v>
      </c>
      <c r="V1933" t="s">
        <v>77</v>
      </c>
      <c r="W1933" t="s">
        <v>104</v>
      </c>
      <c r="X1933" t="s">
        <v>106</v>
      </c>
      <c r="Y1933">
        <v>3.3032653988577598</v>
      </c>
      <c r="Z1933">
        <v>3303.2653988577599</v>
      </c>
      <c r="AA1933">
        <v>4.71035</v>
      </c>
      <c r="AB1933">
        <v>-74.030416666666696</v>
      </c>
      <c r="AC1933">
        <v>2570</v>
      </c>
      <c r="AD1933">
        <v>10</v>
      </c>
      <c r="AE1933" t="s">
        <v>80</v>
      </c>
      <c r="AF1933" t="s">
        <v>107</v>
      </c>
      <c r="AG1933" t="s">
        <v>82</v>
      </c>
      <c r="AH1933" t="s">
        <v>83</v>
      </c>
      <c r="AI1933" t="s">
        <v>108</v>
      </c>
      <c r="AJ1933">
        <v>1.1841803108234901</v>
      </c>
      <c r="AK1933">
        <v>1.4489962134057099</v>
      </c>
      <c r="AL1933">
        <v>0.43260666452410101</v>
      </c>
      <c r="AM1933">
        <v>9.2177635564789404E-2</v>
      </c>
      <c r="AN1933">
        <v>4.0667127091092503</v>
      </c>
      <c r="AO1933">
        <v>0.52197529245593499</v>
      </c>
      <c r="AP1933">
        <v>0.52197529245593499</v>
      </c>
      <c r="AQ1933">
        <v>0</v>
      </c>
      <c r="AR1933">
        <v>0</v>
      </c>
      <c r="AS1933">
        <v>0</v>
      </c>
      <c r="AT1933">
        <v>0</v>
      </c>
      <c r="AU1933">
        <v>6</v>
      </c>
      <c r="AV1933">
        <v>132</v>
      </c>
      <c r="AW1933">
        <v>0</v>
      </c>
      <c r="AX1933">
        <v>0</v>
      </c>
      <c r="AY1933">
        <v>15.5</v>
      </c>
      <c r="AZ1933">
        <v>2.4</v>
      </c>
      <c r="BA1933">
        <v>10.9</v>
      </c>
      <c r="BB1933">
        <v>564</v>
      </c>
      <c r="BC1933">
        <v>68</v>
      </c>
      <c r="BD1933">
        <v>1.5</v>
      </c>
      <c r="BE1933">
        <v>135</v>
      </c>
      <c r="BF1933">
        <v>0</v>
      </c>
      <c r="BG1933">
        <v>162</v>
      </c>
      <c r="BH1933">
        <v>9.1</v>
      </c>
      <c r="BI1933">
        <v>9.1999999999999993</v>
      </c>
      <c r="BJ1933">
        <v>18.3</v>
      </c>
      <c r="BK1933">
        <v>0.34</v>
      </c>
      <c r="BL1933">
        <v>7.3</v>
      </c>
      <c r="BM1933">
        <v>0.9</v>
      </c>
      <c r="BN1933">
        <v>7.5</v>
      </c>
      <c r="BO1933">
        <v>2.9</v>
      </c>
      <c r="BP1933">
        <f t="shared" si="60"/>
        <v>2.037975881044312</v>
      </c>
      <c r="BQ1933">
        <f t="shared" si="61"/>
        <v>10.069231818527181</v>
      </c>
    </row>
    <row r="1934" spans="1:69" hidden="1" x14ac:dyDescent="0.2">
      <c r="A1934" t="s">
        <v>3512</v>
      </c>
      <c r="B1934" t="s">
        <v>68</v>
      </c>
      <c r="C1934" t="s">
        <v>3294</v>
      </c>
      <c r="D1934" t="s">
        <v>70</v>
      </c>
      <c r="E1934" t="s">
        <v>1658</v>
      </c>
      <c r="F1934">
        <v>6</v>
      </c>
      <c r="G1934">
        <v>26.42</v>
      </c>
      <c r="H1934">
        <v>1</v>
      </c>
      <c r="I1934">
        <v>1</v>
      </c>
      <c r="J1934">
        <v>0</v>
      </c>
      <c r="K1934" t="s">
        <v>110</v>
      </c>
      <c r="L1934" t="s">
        <v>111</v>
      </c>
      <c r="M1934" s="4">
        <v>400000000</v>
      </c>
      <c r="N1934">
        <v>0</v>
      </c>
      <c r="O1934">
        <v>4.6825299999999999</v>
      </c>
      <c r="P1934">
        <v>-74.054259999999999</v>
      </c>
      <c r="Q1934" t="s">
        <v>3513</v>
      </c>
      <c r="R1934">
        <v>15140045.42</v>
      </c>
      <c r="S1934">
        <v>0</v>
      </c>
      <c r="T1934" t="s">
        <v>104</v>
      </c>
      <c r="U1934" t="s">
        <v>105</v>
      </c>
      <c r="V1934" t="s">
        <v>77</v>
      </c>
      <c r="W1934" t="s">
        <v>104</v>
      </c>
      <c r="X1934" t="s">
        <v>106</v>
      </c>
      <c r="Y1934">
        <v>4.0729028586758798</v>
      </c>
      <c r="Z1934">
        <v>4072.90285867588</v>
      </c>
      <c r="AA1934">
        <v>4.71035</v>
      </c>
      <c r="AB1934">
        <v>-74.030416666666696</v>
      </c>
      <c r="AC1934">
        <v>2570</v>
      </c>
      <c r="AD1934">
        <v>10</v>
      </c>
      <c r="AE1934" t="s">
        <v>80</v>
      </c>
      <c r="AF1934" t="s">
        <v>107</v>
      </c>
      <c r="AG1934" t="s">
        <v>82</v>
      </c>
      <c r="AH1934" t="s">
        <v>83</v>
      </c>
      <c r="AI1934" t="s">
        <v>130</v>
      </c>
      <c r="AJ1934">
        <v>0.41368629750202801</v>
      </c>
      <c r="AK1934">
        <v>1.8894761185403099</v>
      </c>
      <c r="AL1934">
        <v>0.39149464069274198</v>
      </c>
      <c r="AM1934">
        <v>0.174600221156619</v>
      </c>
      <c r="AN1934">
        <v>3.20859388958125</v>
      </c>
      <c r="AO1934">
        <v>0.454222310942895</v>
      </c>
      <c r="AP1934">
        <v>0.454222310942895</v>
      </c>
      <c r="AQ1934">
        <v>1</v>
      </c>
      <c r="AR1934">
        <v>2</v>
      </c>
      <c r="AS1934">
        <v>0</v>
      </c>
      <c r="AT1934">
        <v>0</v>
      </c>
      <c r="AU1934">
        <v>5</v>
      </c>
      <c r="AV1934">
        <v>256</v>
      </c>
      <c r="AW1934">
        <v>0</v>
      </c>
      <c r="AX1934">
        <v>0</v>
      </c>
      <c r="AY1934">
        <v>15.5</v>
      </c>
      <c r="AZ1934">
        <v>2.4</v>
      </c>
      <c r="BA1934">
        <v>10.9</v>
      </c>
      <c r="BB1934">
        <v>564</v>
      </c>
      <c r="BC1934">
        <v>68</v>
      </c>
      <c r="BD1934">
        <v>1.5</v>
      </c>
      <c r="BE1934">
        <v>135</v>
      </c>
      <c r="BF1934">
        <v>0</v>
      </c>
      <c r="BG1934">
        <v>162</v>
      </c>
      <c r="BH1934">
        <v>9.1</v>
      </c>
      <c r="BI1934">
        <v>9.1999999999999993</v>
      </c>
      <c r="BJ1934">
        <v>18.3</v>
      </c>
      <c r="BK1934">
        <v>0.34</v>
      </c>
      <c r="BL1934">
        <v>7.3</v>
      </c>
      <c r="BM1934">
        <v>0.9</v>
      </c>
      <c r="BN1934">
        <v>7.5</v>
      </c>
      <c r="BO1934">
        <v>2.9</v>
      </c>
      <c r="BP1934">
        <f t="shared" si="60"/>
        <v>1.9617953440682641</v>
      </c>
      <c r="BQ1934">
        <f t="shared" si="61"/>
        <v>9.8849472538231993</v>
      </c>
    </row>
    <row r="1935" spans="1:69" hidden="1" x14ac:dyDescent="0.2">
      <c r="A1935" t="s">
        <v>3663</v>
      </c>
      <c r="B1935" t="s">
        <v>68</v>
      </c>
      <c r="C1935" t="s">
        <v>3294</v>
      </c>
      <c r="D1935" t="s">
        <v>70</v>
      </c>
      <c r="E1935" t="s">
        <v>132</v>
      </c>
      <c r="F1935">
        <v>6</v>
      </c>
      <c r="G1935">
        <v>26</v>
      </c>
      <c r="H1935">
        <v>1</v>
      </c>
      <c r="I1935">
        <v>1</v>
      </c>
      <c r="J1935">
        <v>1</v>
      </c>
      <c r="K1935" t="s">
        <v>110</v>
      </c>
      <c r="L1935" t="s">
        <v>111</v>
      </c>
      <c r="M1935" s="4">
        <v>400000000</v>
      </c>
      <c r="N1935">
        <v>0</v>
      </c>
      <c r="O1935">
        <v>4.6821567530000001</v>
      </c>
      <c r="P1935">
        <v>-74.054186999999999</v>
      </c>
      <c r="Q1935" t="s">
        <v>3664</v>
      </c>
      <c r="R1935">
        <v>15384615.380000001</v>
      </c>
      <c r="S1935">
        <v>0</v>
      </c>
      <c r="T1935" t="s">
        <v>104</v>
      </c>
      <c r="U1935" t="s">
        <v>105</v>
      </c>
      <c r="V1935" t="s">
        <v>77</v>
      </c>
      <c r="W1935" t="s">
        <v>104</v>
      </c>
      <c r="X1935" t="s">
        <v>106</v>
      </c>
      <c r="Y1935">
        <v>4.0993701169922696</v>
      </c>
      <c r="Z1935">
        <v>4099.3701169922697</v>
      </c>
      <c r="AA1935">
        <v>4.71035</v>
      </c>
      <c r="AB1935">
        <v>-74.030416666666696</v>
      </c>
      <c r="AC1935">
        <v>2570</v>
      </c>
      <c r="AD1935">
        <v>10</v>
      </c>
      <c r="AE1935" t="s">
        <v>80</v>
      </c>
      <c r="AF1935" t="s">
        <v>107</v>
      </c>
      <c r="AG1935" t="s">
        <v>82</v>
      </c>
      <c r="AH1935" t="s">
        <v>83</v>
      </c>
      <c r="AI1935" t="s">
        <v>130</v>
      </c>
      <c r="AJ1935">
        <v>0.43822484502763398</v>
      </c>
      <c r="AK1935">
        <v>1.86171945064736</v>
      </c>
      <c r="AL1935">
        <v>0.42646151693648299</v>
      </c>
      <c r="AM1935">
        <v>0.173521572563858</v>
      </c>
      <c r="AN1935">
        <v>3.2042021026085101</v>
      </c>
      <c r="AO1935">
        <v>0.47448713731507097</v>
      </c>
      <c r="AP1935">
        <v>0.47448713731507097</v>
      </c>
      <c r="AQ1935">
        <v>1</v>
      </c>
      <c r="AR1935">
        <v>2</v>
      </c>
      <c r="AS1935">
        <v>0</v>
      </c>
      <c r="AT1935">
        <v>0</v>
      </c>
      <c r="AU1935">
        <v>5</v>
      </c>
      <c r="AV1935">
        <v>254</v>
      </c>
      <c r="AW1935">
        <v>0</v>
      </c>
      <c r="AX1935">
        <v>0</v>
      </c>
      <c r="AY1935">
        <v>15.5</v>
      </c>
      <c r="AZ1935">
        <v>2.4</v>
      </c>
      <c r="BA1935">
        <v>10.9</v>
      </c>
      <c r="BB1935">
        <v>564</v>
      </c>
      <c r="BC1935">
        <v>68</v>
      </c>
      <c r="BD1935">
        <v>1.5</v>
      </c>
      <c r="BE1935">
        <v>135</v>
      </c>
      <c r="BF1935">
        <v>0</v>
      </c>
      <c r="BG1935">
        <v>162</v>
      </c>
      <c r="BH1935">
        <v>9.1</v>
      </c>
      <c r="BI1935">
        <v>9.1999999999999993</v>
      </c>
      <c r="BJ1935">
        <v>18.3</v>
      </c>
      <c r="BK1935">
        <v>0.34</v>
      </c>
      <c r="BL1935">
        <v>7.3</v>
      </c>
      <c r="BM1935">
        <v>0.9</v>
      </c>
      <c r="BN1935">
        <v>7.5</v>
      </c>
      <c r="BO1935">
        <v>2.9</v>
      </c>
      <c r="BP1935">
        <f t="shared" si="60"/>
        <v>1.9592268214493103</v>
      </c>
      <c r="BQ1935">
        <f t="shared" si="61"/>
        <v>9.878670188816816</v>
      </c>
    </row>
    <row r="1936" spans="1:69" hidden="1" x14ac:dyDescent="0.2">
      <c r="A1936" t="s">
        <v>4523</v>
      </c>
      <c r="B1936" t="s">
        <v>68</v>
      </c>
      <c r="C1936" t="s">
        <v>3294</v>
      </c>
      <c r="D1936" t="s">
        <v>70</v>
      </c>
      <c r="E1936" t="s">
        <v>219</v>
      </c>
      <c r="F1936">
        <v>6</v>
      </c>
      <c r="G1936">
        <v>26</v>
      </c>
      <c r="H1936">
        <v>1</v>
      </c>
      <c r="I1936">
        <v>1</v>
      </c>
      <c r="J1936">
        <v>0</v>
      </c>
      <c r="K1936" t="s">
        <v>110</v>
      </c>
      <c r="L1936" t="s">
        <v>111</v>
      </c>
      <c r="M1936" s="4">
        <v>227000000</v>
      </c>
      <c r="N1936">
        <v>0</v>
      </c>
      <c r="O1936">
        <v>4.731813431</v>
      </c>
      <c r="P1936">
        <v>-74.022468570000001</v>
      </c>
      <c r="Q1936" t="s">
        <v>4524</v>
      </c>
      <c r="R1936">
        <v>8730769.2310000006</v>
      </c>
      <c r="S1936">
        <v>0</v>
      </c>
      <c r="T1936" t="s">
        <v>104</v>
      </c>
      <c r="U1936" t="s">
        <v>105</v>
      </c>
      <c r="V1936" t="s">
        <v>77</v>
      </c>
      <c r="W1936" t="s">
        <v>104</v>
      </c>
      <c r="X1936" t="s">
        <v>106</v>
      </c>
      <c r="Y1936">
        <v>2.5468166686135301</v>
      </c>
      <c r="Z1936">
        <v>2546.8166686135301</v>
      </c>
      <c r="AA1936">
        <v>4.71035</v>
      </c>
      <c r="AB1936">
        <v>-74.030416666666696</v>
      </c>
      <c r="AC1936">
        <v>2570</v>
      </c>
      <c r="AD1936">
        <v>10</v>
      </c>
      <c r="AE1936" t="s">
        <v>80</v>
      </c>
      <c r="AF1936" t="s">
        <v>107</v>
      </c>
      <c r="AG1936" t="s">
        <v>82</v>
      </c>
      <c r="AH1936" t="s">
        <v>83</v>
      </c>
      <c r="AI1936" t="s">
        <v>108</v>
      </c>
      <c r="AJ1936">
        <v>2.98247911088297</v>
      </c>
      <c r="AK1936">
        <v>9.9979562617553697E-2</v>
      </c>
      <c r="AL1936">
        <v>1.7873945447483</v>
      </c>
      <c r="AM1936">
        <v>0.232690751419248</v>
      </c>
      <c r="AN1936">
        <v>1.1739712717522099</v>
      </c>
      <c r="AO1936">
        <v>0.18961918266319999</v>
      </c>
      <c r="AP1936">
        <v>0.18961918266319999</v>
      </c>
      <c r="AQ1936">
        <v>0</v>
      </c>
      <c r="AR1936">
        <v>0</v>
      </c>
      <c r="AS1936">
        <v>12</v>
      </c>
      <c r="AT1936">
        <v>34</v>
      </c>
      <c r="AU1936">
        <v>0</v>
      </c>
      <c r="AV1936">
        <v>9</v>
      </c>
      <c r="AW1936">
        <v>0</v>
      </c>
      <c r="AX1936">
        <v>0</v>
      </c>
      <c r="AY1936">
        <v>15.5</v>
      </c>
      <c r="AZ1936">
        <v>2.4</v>
      </c>
      <c r="BA1936">
        <v>10.9</v>
      </c>
      <c r="BB1936">
        <v>564</v>
      </c>
      <c r="BC1936">
        <v>68</v>
      </c>
      <c r="BD1936">
        <v>1.5</v>
      </c>
      <c r="BE1936">
        <v>135</v>
      </c>
      <c r="BF1936">
        <v>0</v>
      </c>
      <c r="BG1936">
        <v>162</v>
      </c>
      <c r="BH1936">
        <v>9.1</v>
      </c>
      <c r="BI1936">
        <v>9.1999999999999993</v>
      </c>
      <c r="BJ1936">
        <v>18.3</v>
      </c>
      <c r="BK1936">
        <v>0.34</v>
      </c>
      <c r="BL1936">
        <v>7.3</v>
      </c>
      <c r="BM1936">
        <v>0.9</v>
      </c>
      <c r="BN1936">
        <v>7.5</v>
      </c>
      <c r="BO1936">
        <v>2.9</v>
      </c>
      <c r="BP1936">
        <f t="shared" si="60"/>
        <v>2.1157329739712147</v>
      </c>
      <c r="BQ1936">
        <f t="shared" si="61"/>
        <v>10.253705876707031</v>
      </c>
    </row>
    <row r="1937" spans="1:69" hidden="1" x14ac:dyDescent="0.2">
      <c r="A1937" t="s">
        <v>3960</v>
      </c>
      <c r="B1937" t="s">
        <v>68</v>
      </c>
      <c r="C1937" t="s">
        <v>3294</v>
      </c>
      <c r="D1937" t="s">
        <v>70</v>
      </c>
      <c r="E1937" t="s">
        <v>196</v>
      </c>
      <c r="F1937">
        <v>6</v>
      </c>
      <c r="G1937">
        <v>25</v>
      </c>
      <c r="H1937">
        <v>1</v>
      </c>
      <c r="I1937">
        <v>1</v>
      </c>
      <c r="J1937">
        <v>0</v>
      </c>
      <c r="K1937" t="s">
        <v>110</v>
      </c>
      <c r="L1937" t="s">
        <v>111</v>
      </c>
      <c r="M1937" s="4">
        <v>445000000</v>
      </c>
      <c r="N1937">
        <v>0</v>
      </c>
      <c r="O1937">
        <v>4.6817698480000001</v>
      </c>
      <c r="P1937">
        <v>-74.04142761</v>
      </c>
      <c r="Q1937" t="s">
        <v>3961</v>
      </c>
      <c r="R1937">
        <v>17800000</v>
      </c>
      <c r="S1937">
        <v>0</v>
      </c>
      <c r="T1937" t="s">
        <v>104</v>
      </c>
      <c r="U1937" t="s">
        <v>105</v>
      </c>
      <c r="V1937" t="s">
        <v>77</v>
      </c>
      <c r="W1937" t="s">
        <v>104</v>
      </c>
      <c r="X1937" t="s">
        <v>106</v>
      </c>
      <c r="Y1937">
        <v>3.4080009291498201</v>
      </c>
      <c r="Z1937">
        <v>3408.00092914982</v>
      </c>
      <c r="AA1937">
        <v>4.71035</v>
      </c>
      <c r="AB1937">
        <v>-74.030416666666696</v>
      </c>
      <c r="AC1937">
        <v>2570</v>
      </c>
      <c r="AD1937">
        <v>10</v>
      </c>
      <c r="AE1937" t="s">
        <v>80</v>
      </c>
      <c r="AF1937" t="s">
        <v>107</v>
      </c>
      <c r="AG1937" t="s">
        <v>82</v>
      </c>
      <c r="AH1937" t="s">
        <v>83</v>
      </c>
      <c r="AI1937" t="s">
        <v>108</v>
      </c>
      <c r="AJ1937">
        <v>1.8216445456495101</v>
      </c>
      <c r="AK1937">
        <v>0.666762105683811</v>
      </c>
      <c r="AL1937">
        <v>0.25234511898740702</v>
      </c>
      <c r="AM1937">
        <v>0.117411184703169</v>
      </c>
      <c r="AN1937">
        <v>4.5688381168447902</v>
      </c>
      <c r="AO1937">
        <v>0.61746327305670801</v>
      </c>
      <c r="AP1937">
        <v>0.61746327305670801</v>
      </c>
      <c r="AQ1937">
        <v>0</v>
      </c>
      <c r="AR1937">
        <v>0</v>
      </c>
      <c r="AS1937">
        <v>0</v>
      </c>
      <c r="AT1937">
        <v>1</v>
      </c>
      <c r="AU1937">
        <v>3</v>
      </c>
      <c r="AV1937">
        <v>72</v>
      </c>
      <c r="AW1937">
        <v>0</v>
      </c>
      <c r="AX1937">
        <v>0</v>
      </c>
      <c r="AY1937">
        <v>15.5</v>
      </c>
      <c r="AZ1937">
        <v>2.4</v>
      </c>
      <c r="BA1937">
        <v>10.9</v>
      </c>
      <c r="BB1937">
        <v>564</v>
      </c>
      <c r="BC1937">
        <v>68</v>
      </c>
      <c r="BD1937">
        <v>1.5</v>
      </c>
      <c r="BE1937">
        <v>135</v>
      </c>
      <c r="BF1937">
        <v>0</v>
      </c>
      <c r="BG1937">
        <v>162</v>
      </c>
      <c r="BH1937">
        <v>9.1</v>
      </c>
      <c r="BI1937">
        <v>9.1999999999999993</v>
      </c>
      <c r="BJ1937">
        <v>18.3</v>
      </c>
      <c r="BK1937">
        <v>0.34</v>
      </c>
      <c r="BL1937">
        <v>7.3</v>
      </c>
      <c r="BM1937">
        <v>0.9</v>
      </c>
      <c r="BN1937">
        <v>7.5</v>
      </c>
      <c r="BO1937">
        <v>2.9</v>
      </c>
      <c r="BP1937">
        <f t="shared" si="60"/>
        <v>2.0274375222394796</v>
      </c>
      <c r="BQ1937">
        <f t="shared" si="61"/>
        <v>10.043953050839534</v>
      </c>
    </row>
    <row r="1938" spans="1:69" hidden="1" x14ac:dyDescent="0.2">
      <c r="A1938" t="s">
        <v>3582</v>
      </c>
      <c r="B1938" t="s">
        <v>68</v>
      </c>
      <c r="C1938" t="s">
        <v>3294</v>
      </c>
      <c r="D1938" t="s">
        <v>70</v>
      </c>
      <c r="E1938" t="s">
        <v>190</v>
      </c>
      <c r="F1938">
        <v>6</v>
      </c>
      <c r="G1938">
        <v>25</v>
      </c>
      <c r="H1938">
        <v>1</v>
      </c>
      <c r="I1938">
        <v>1</v>
      </c>
      <c r="J1938">
        <v>1</v>
      </c>
      <c r="K1938" t="s">
        <v>110</v>
      </c>
      <c r="L1938" t="s">
        <v>111</v>
      </c>
      <c r="M1938" s="4">
        <v>415000000</v>
      </c>
      <c r="N1938">
        <v>0</v>
      </c>
      <c r="O1938">
        <v>4.6858456899999998</v>
      </c>
      <c r="P1938">
        <v>-74.047077290000004</v>
      </c>
      <c r="Q1938" t="s">
        <v>3583</v>
      </c>
      <c r="R1938">
        <v>16600000</v>
      </c>
      <c r="S1938">
        <v>0</v>
      </c>
      <c r="T1938" t="s">
        <v>104</v>
      </c>
      <c r="U1938" t="s">
        <v>105</v>
      </c>
      <c r="V1938" t="s">
        <v>77</v>
      </c>
      <c r="W1938" t="s">
        <v>104</v>
      </c>
      <c r="X1938" t="s">
        <v>106</v>
      </c>
      <c r="Y1938">
        <v>3.2950859862444899</v>
      </c>
      <c r="Z1938">
        <v>3295.08598624449</v>
      </c>
      <c r="AA1938">
        <v>4.71035</v>
      </c>
      <c r="AB1938">
        <v>-74.030416666666696</v>
      </c>
      <c r="AC1938">
        <v>2570</v>
      </c>
      <c r="AD1938">
        <v>10</v>
      </c>
      <c r="AE1938" t="s">
        <v>80</v>
      </c>
      <c r="AF1938" t="s">
        <v>107</v>
      </c>
      <c r="AG1938" t="s">
        <v>82</v>
      </c>
      <c r="AH1938" t="s">
        <v>83</v>
      </c>
      <c r="AI1938" t="s">
        <v>108</v>
      </c>
      <c r="AJ1938">
        <v>1.19768518957343</v>
      </c>
      <c r="AK1938">
        <v>1.4383163381904001</v>
      </c>
      <c r="AL1938">
        <v>0.44617112384864299</v>
      </c>
      <c r="AM1938">
        <v>8.9901793918189907E-2</v>
      </c>
      <c r="AN1938">
        <v>4.0797788531850498</v>
      </c>
      <c r="AO1938">
        <v>0.51498446204519399</v>
      </c>
      <c r="AP1938">
        <v>0.51498446204519399</v>
      </c>
      <c r="AQ1938">
        <v>0</v>
      </c>
      <c r="AR1938">
        <v>0</v>
      </c>
      <c r="AS1938">
        <v>0</v>
      </c>
      <c r="AT1938">
        <v>0</v>
      </c>
      <c r="AU1938">
        <v>6</v>
      </c>
      <c r="AV1938">
        <v>132</v>
      </c>
      <c r="AW1938">
        <v>0</v>
      </c>
      <c r="AX1938">
        <v>0</v>
      </c>
      <c r="AY1938">
        <v>15.5</v>
      </c>
      <c r="AZ1938">
        <v>2.4</v>
      </c>
      <c r="BA1938">
        <v>10.9</v>
      </c>
      <c r="BB1938">
        <v>564</v>
      </c>
      <c r="BC1938">
        <v>68</v>
      </c>
      <c r="BD1938">
        <v>1.5</v>
      </c>
      <c r="BE1938">
        <v>135</v>
      </c>
      <c r="BF1938">
        <v>0</v>
      </c>
      <c r="BG1938">
        <v>162</v>
      </c>
      <c r="BH1938">
        <v>9.1</v>
      </c>
      <c r="BI1938">
        <v>9.1999999999999993</v>
      </c>
      <c r="BJ1938">
        <v>18.3</v>
      </c>
      <c r="BK1938">
        <v>0.34</v>
      </c>
      <c r="BL1938">
        <v>7.3</v>
      </c>
      <c r="BM1938">
        <v>0.9</v>
      </c>
      <c r="BN1938">
        <v>7.5</v>
      </c>
      <c r="BO1938">
        <v>2.9</v>
      </c>
      <c r="BP1938">
        <f t="shared" si="60"/>
        <v>2.0388011856666215</v>
      </c>
      <c r="BQ1938">
        <f t="shared" si="61"/>
        <v>10.071208662195691</v>
      </c>
    </row>
    <row r="1939" spans="1:69" hidden="1" x14ac:dyDescent="0.2">
      <c r="A1939" t="s">
        <v>1100</v>
      </c>
      <c r="B1939" t="s">
        <v>68</v>
      </c>
      <c r="C1939" t="s">
        <v>69</v>
      </c>
      <c r="D1939" t="s">
        <v>70</v>
      </c>
      <c r="E1939" t="s">
        <v>102</v>
      </c>
      <c r="F1939">
        <v>6</v>
      </c>
      <c r="G1939">
        <v>24.88</v>
      </c>
      <c r="H1939">
        <v>1</v>
      </c>
      <c r="I1939">
        <v>1</v>
      </c>
      <c r="J1939">
        <v>0</v>
      </c>
      <c r="K1939" t="s">
        <v>72</v>
      </c>
      <c r="L1939" t="s">
        <v>73</v>
      </c>
      <c r="M1939" s="4">
        <v>311000000</v>
      </c>
      <c r="N1939">
        <v>0</v>
      </c>
      <c r="O1939">
        <v>4.6949915999999998</v>
      </c>
      <c r="P1939">
        <v>-74.039370000000005</v>
      </c>
      <c r="Q1939" t="s">
        <v>1101</v>
      </c>
      <c r="R1939">
        <v>12500000</v>
      </c>
      <c r="S1939">
        <v>0</v>
      </c>
      <c r="T1939" t="s">
        <v>104</v>
      </c>
      <c r="U1939" t="s">
        <v>105</v>
      </c>
      <c r="V1939" t="s">
        <v>77</v>
      </c>
      <c r="W1939" t="s">
        <v>104</v>
      </c>
      <c r="X1939" t="s">
        <v>106</v>
      </c>
      <c r="Y1939">
        <v>1.9773043353594899</v>
      </c>
      <c r="Z1939">
        <v>1977.3043353594901</v>
      </c>
      <c r="AA1939">
        <v>4.71035</v>
      </c>
      <c r="AB1939">
        <v>-74.030416666666696</v>
      </c>
      <c r="AC1939">
        <v>2570</v>
      </c>
      <c r="AD1939">
        <v>10</v>
      </c>
      <c r="AE1939" t="s">
        <v>80</v>
      </c>
      <c r="AF1939" t="s">
        <v>107</v>
      </c>
      <c r="AG1939" t="s">
        <v>82</v>
      </c>
      <c r="AH1939" t="s">
        <v>83</v>
      </c>
      <c r="AI1939" t="s">
        <v>108</v>
      </c>
      <c r="AJ1939">
        <v>1.80090721070268</v>
      </c>
      <c r="AK1939">
        <v>1.45768378741854</v>
      </c>
      <c r="AL1939">
        <v>1.03802311037081</v>
      </c>
      <c r="AM1939">
        <v>0.18999110572962999</v>
      </c>
      <c r="AN1939">
        <v>5.2608645533437501</v>
      </c>
      <c r="AO1939">
        <v>0.111946210164812</v>
      </c>
      <c r="AP1939">
        <v>0.111946210164812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147</v>
      </c>
      <c r="AW1939">
        <v>0</v>
      </c>
      <c r="AX1939">
        <v>0</v>
      </c>
      <c r="AY1939">
        <v>15.5</v>
      </c>
      <c r="AZ1939">
        <v>2.4</v>
      </c>
      <c r="BA1939">
        <v>10.9</v>
      </c>
      <c r="BB1939">
        <v>564</v>
      </c>
      <c r="BC1939">
        <v>68</v>
      </c>
      <c r="BD1939">
        <v>1.5</v>
      </c>
      <c r="BE1939">
        <v>135</v>
      </c>
      <c r="BF1939">
        <v>0</v>
      </c>
      <c r="BG1939">
        <v>162</v>
      </c>
      <c r="BH1939">
        <v>9.1</v>
      </c>
      <c r="BI1939">
        <v>9.1999999999999993</v>
      </c>
      <c r="BJ1939">
        <v>18.3</v>
      </c>
      <c r="BK1939">
        <v>0.34</v>
      </c>
      <c r="BL1939">
        <v>7.3</v>
      </c>
      <c r="BM1939">
        <v>0.9</v>
      </c>
      <c r="BN1939">
        <v>7.5</v>
      </c>
      <c r="BO1939">
        <v>2.9</v>
      </c>
      <c r="BP1939">
        <f t="shared" si="60"/>
        <v>2.1762259757544449</v>
      </c>
      <c r="BQ1939">
        <f t="shared" si="61"/>
        <v>10.394818753076281</v>
      </c>
    </row>
    <row r="1940" spans="1:69" hidden="1" x14ac:dyDescent="0.2">
      <c r="A1940" t="s">
        <v>3950</v>
      </c>
      <c r="B1940" t="s">
        <v>68</v>
      </c>
      <c r="C1940" t="s">
        <v>3294</v>
      </c>
      <c r="D1940" t="s">
        <v>70</v>
      </c>
      <c r="E1940" t="s">
        <v>229</v>
      </c>
      <c r="F1940">
        <v>5</v>
      </c>
      <c r="G1940">
        <v>24</v>
      </c>
      <c r="H1940">
        <v>1</v>
      </c>
      <c r="I1940">
        <v>1</v>
      </c>
      <c r="J1940">
        <v>0</v>
      </c>
      <c r="K1940" t="s">
        <v>110</v>
      </c>
      <c r="L1940" t="s">
        <v>111</v>
      </c>
      <c r="M1940" s="4">
        <v>280000000</v>
      </c>
      <c r="N1940">
        <v>0</v>
      </c>
      <c r="O1940">
        <v>4.6843700000000004</v>
      </c>
      <c r="P1940">
        <v>-74.057000000000002</v>
      </c>
      <c r="Q1940" t="s">
        <v>3951</v>
      </c>
      <c r="R1940">
        <v>11666666.67</v>
      </c>
      <c r="S1940">
        <v>0</v>
      </c>
      <c r="T1940" t="s">
        <v>104</v>
      </c>
      <c r="U1940" t="s">
        <v>105</v>
      </c>
      <c r="V1940" t="s">
        <v>77</v>
      </c>
      <c r="W1940" t="s">
        <v>104</v>
      </c>
      <c r="X1940" t="s">
        <v>106</v>
      </c>
      <c r="Y1940">
        <v>4.1306803205029103</v>
      </c>
      <c r="Z1940">
        <v>4130.68032050291</v>
      </c>
      <c r="AA1940">
        <v>4.71035</v>
      </c>
      <c r="AB1940">
        <v>-74.030416666666696</v>
      </c>
      <c r="AC1940">
        <v>2570</v>
      </c>
      <c r="AD1940">
        <v>10</v>
      </c>
      <c r="AE1940" t="s">
        <v>80</v>
      </c>
      <c r="AF1940" t="s">
        <v>107</v>
      </c>
      <c r="AG1940" t="s">
        <v>82</v>
      </c>
      <c r="AH1940" t="s">
        <v>83</v>
      </c>
      <c r="AI1940" t="s">
        <v>130</v>
      </c>
      <c r="AJ1940">
        <v>9.1640248674061398E-2</v>
      </c>
      <c r="AK1940">
        <v>2.25457420570633</v>
      </c>
      <c r="AL1940">
        <v>0.48948628962887097</v>
      </c>
      <c r="AM1940">
        <v>2.1414555690567199E-2</v>
      </c>
      <c r="AN1940">
        <v>2.9934698611111301</v>
      </c>
      <c r="AO1940">
        <v>0.157435058770825</v>
      </c>
      <c r="AP1940">
        <v>0.157435058770825</v>
      </c>
      <c r="AQ1940">
        <v>1</v>
      </c>
      <c r="AR1940">
        <v>6</v>
      </c>
      <c r="AS1940">
        <v>0</v>
      </c>
      <c r="AT1940">
        <v>0</v>
      </c>
      <c r="AU1940">
        <v>5</v>
      </c>
      <c r="AV1940">
        <v>234</v>
      </c>
      <c r="AW1940">
        <v>0</v>
      </c>
      <c r="AX1940">
        <v>0</v>
      </c>
      <c r="AY1940">
        <v>15.5</v>
      </c>
      <c r="AZ1940">
        <v>2.4</v>
      </c>
      <c r="BA1940">
        <v>10.9</v>
      </c>
      <c r="BB1940">
        <v>564</v>
      </c>
      <c r="BC1940">
        <v>68</v>
      </c>
      <c r="BD1940">
        <v>1.5</v>
      </c>
      <c r="BE1940">
        <v>135</v>
      </c>
      <c r="BF1940">
        <v>0</v>
      </c>
      <c r="BG1940">
        <v>162</v>
      </c>
      <c r="BH1940">
        <v>9.1</v>
      </c>
      <c r="BI1940">
        <v>9.1999999999999993</v>
      </c>
      <c r="BJ1940">
        <v>18.3</v>
      </c>
      <c r="BK1940">
        <v>0.34</v>
      </c>
      <c r="BL1940">
        <v>7.3</v>
      </c>
      <c r="BM1940">
        <v>0.9</v>
      </c>
      <c r="BN1940">
        <v>7.5</v>
      </c>
      <c r="BO1940">
        <v>2.9</v>
      </c>
      <c r="BP1940">
        <f t="shared" si="60"/>
        <v>1.9561926556853615</v>
      </c>
      <c r="BQ1940">
        <f t="shared" si="61"/>
        <v>9.8712497010331539</v>
      </c>
    </row>
    <row r="1941" spans="1:69" hidden="1" x14ac:dyDescent="0.2">
      <c r="A1941" t="s">
        <v>3307</v>
      </c>
      <c r="B1941" t="s">
        <v>68</v>
      </c>
      <c r="C1941" t="s">
        <v>3294</v>
      </c>
      <c r="D1941" t="s">
        <v>70</v>
      </c>
      <c r="E1941" t="s">
        <v>1486</v>
      </c>
      <c r="F1941">
        <v>6</v>
      </c>
      <c r="G1941">
        <v>24</v>
      </c>
      <c r="H1941">
        <v>1</v>
      </c>
      <c r="I1941">
        <v>1</v>
      </c>
      <c r="J1941">
        <v>1</v>
      </c>
      <c r="K1941" t="s">
        <v>110</v>
      </c>
      <c r="L1941" t="s">
        <v>111</v>
      </c>
      <c r="M1941" s="4">
        <v>400000000</v>
      </c>
      <c r="N1941">
        <v>0</v>
      </c>
      <c r="O1941">
        <v>4.682436</v>
      </c>
      <c r="P1941">
        <v>-74.054389999999998</v>
      </c>
      <c r="Q1941" t="s">
        <v>3308</v>
      </c>
      <c r="R1941">
        <v>16666666.67</v>
      </c>
      <c r="S1941">
        <v>0</v>
      </c>
      <c r="T1941" t="s">
        <v>104</v>
      </c>
      <c r="U1941" t="s">
        <v>105</v>
      </c>
      <c r="V1941" t="s">
        <v>77</v>
      </c>
      <c r="W1941" t="s">
        <v>104</v>
      </c>
      <c r="X1941" t="s">
        <v>106</v>
      </c>
      <c r="Y1941">
        <v>4.0902292059906404</v>
      </c>
      <c r="Z1941">
        <v>4090.2292059906399</v>
      </c>
      <c r="AA1941">
        <v>4.71035</v>
      </c>
      <c r="AB1941">
        <v>-74.030416666666696</v>
      </c>
      <c r="AC1941">
        <v>2570</v>
      </c>
      <c r="AD1941">
        <v>10</v>
      </c>
      <c r="AE1941" t="s">
        <v>80</v>
      </c>
      <c r="AF1941" t="s">
        <v>107</v>
      </c>
      <c r="AG1941" t="s">
        <v>82</v>
      </c>
      <c r="AH1941" t="s">
        <v>83</v>
      </c>
      <c r="AI1941" t="s">
        <v>130</v>
      </c>
      <c r="AJ1941">
        <v>0.40456848309661703</v>
      </c>
      <c r="AK1941">
        <v>1.89663874552134</v>
      </c>
      <c r="AL1941">
        <v>0.40698754691197397</v>
      </c>
      <c r="AM1941">
        <v>0.15762412773135701</v>
      </c>
      <c r="AN1941">
        <v>3.1917303330189699</v>
      </c>
      <c r="AO1941">
        <v>0.44330568235064199</v>
      </c>
      <c r="AP1941">
        <v>0.44330568235064199</v>
      </c>
      <c r="AQ1941">
        <v>1</v>
      </c>
      <c r="AR1941">
        <v>2</v>
      </c>
      <c r="AS1941">
        <v>0</v>
      </c>
      <c r="AT1941">
        <v>0</v>
      </c>
      <c r="AU1941">
        <v>5</v>
      </c>
      <c r="AV1941">
        <v>255</v>
      </c>
      <c r="AW1941">
        <v>0</v>
      </c>
      <c r="AX1941">
        <v>0</v>
      </c>
      <c r="AY1941">
        <v>15.5</v>
      </c>
      <c r="AZ1941">
        <v>2.4</v>
      </c>
      <c r="BA1941">
        <v>10.9</v>
      </c>
      <c r="BB1941">
        <v>564</v>
      </c>
      <c r="BC1941">
        <v>68</v>
      </c>
      <c r="BD1941">
        <v>1.5</v>
      </c>
      <c r="BE1941">
        <v>135</v>
      </c>
      <c r="BF1941">
        <v>0</v>
      </c>
      <c r="BG1941">
        <v>162</v>
      </c>
      <c r="BH1941">
        <v>9.1</v>
      </c>
      <c r="BI1941">
        <v>9.1999999999999993</v>
      </c>
      <c r="BJ1941">
        <v>18.3</v>
      </c>
      <c r="BK1941">
        <v>0.34</v>
      </c>
      <c r="BL1941">
        <v>7.3</v>
      </c>
      <c r="BM1941">
        <v>0.9</v>
      </c>
      <c r="BN1941">
        <v>7.5</v>
      </c>
      <c r="BO1941">
        <v>2.9</v>
      </c>
      <c r="BP1941">
        <f t="shared" si="60"/>
        <v>1.9601135233807925</v>
      </c>
      <c r="BQ1941">
        <f t="shared" si="61"/>
        <v>9.8808376276367582</v>
      </c>
    </row>
    <row r="1942" spans="1:69" hidden="1" x14ac:dyDescent="0.2">
      <c r="A1942" t="s">
        <v>3452</v>
      </c>
      <c r="B1942" t="s">
        <v>68</v>
      </c>
      <c r="C1942" t="s">
        <v>3294</v>
      </c>
      <c r="D1942" t="s">
        <v>70</v>
      </c>
      <c r="E1942" t="s">
        <v>229</v>
      </c>
      <c r="F1942">
        <v>6</v>
      </c>
      <c r="G1942">
        <v>24</v>
      </c>
      <c r="H1942">
        <v>1</v>
      </c>
      <c r="I1942">
        <v>1</v>
      </c>
      <c r="J1942">
        <v>0</v>
      </c>
      <c r="K1942" t="s">
        <v>110</v>
      </c>
      <c r="L1942" t="s">
        <v>111</v>
      </c>
      <c r="M1942" s="4">
        <v>400000000</v>
      </c>
      <c r="N1942">
        <v>0</v>
      </c>
      <c r="O1942">
        <v>4.682369907</v>
      </c>
      <c r="P1942">
        <v>-74.054298520000003</v>
      </c>
      <c r="Q1942" t="s">
        <v>3453</v>
      </c>
      <c r="R1942">
        <v>16666666.67</v>
      </c>
      <c r="S1942">
        <v>0</v>
      </c>
      <c r="T1942" t="s">
        <v>104</v>
      </c>
      <c r="U1942" t="s">
        <v>105</v>
      </c>
      <c r="V1942" t="s">
        <v>77</v>
      </c>
      <c r="W1942" t="s">
        <v>104</v>
      </c>
      <c r="X1942" t="s">
        <v>106</v>
      </c>
      <c r="Y1942">
        <v>4.0892381073830997</v>
      </c>
      <c r="Z1942">
        <v>4089.2381073831002</v>
      </c>
      <c r="AA1942">
        <v>4.71035</v>
      </c>
      <c r="AB1942">
        <v>-74.030416666666696</v>
      </c>
      <c r="AC1942">
        <v>2570</v>
      </c>
      <c r="AD1942">
        <v>10</v>
      </c>
      <c r="AE1942" t="s">
        <v>80</v>
      </c>
      <c r="AF1942" t="s">
        <v>107</v>
      </c>
      <c r="AG1942" t="s">
        <v>82</v>
      </c>
      <c r="AH1942" t="s">
        <v>83</v>
      </c>
      <c r="AI1942" t="s">
        <v>130</v>
      </c>
      <c r="AJ1942">
        <v>0.41683127879339898</v>
      </c>
      <c r="AK1942">
        <v>1.8841979738327499</v>
      </c>
      <c r="AL1942">
        <v>0.40939218362454299</v>
      </c>
      <c r="AM1942">
        <v>0.16537454465540699</v>
      </c>
      <c r="AN1942">
        <v>3.1992457084069499</v>
      </c>
      <c r="AO1942">
        <v>0.45517346823468802</v>
      </c>
      <c r="AP1942">
        <v>0.45517346823468802</v>
      </c>
      <c r="AQ1942">
        <v>1</v>
      </c>
      <c r="AR1942">
        <v>2</v>
      </c>
      <c r="AS1942">
        <v>0</v>
      </c>
      <c r="AT1942">
        <v>0</v>
      </c>
      <c r="AU1942">
        <v>5</v>
      </c>
      <c r="AV1942">
        <v>253</v>
      </c>
      <c r="AW1942">
        <v>0</v>
      </c>
      <c r="AX1942">
        <v>0</v>
      </c>
      <c r="AY1942">
        <v>15.5</v>
      </c>
      <c r="AZ1942">
        <v>2.4</v>
      </c>
      <c r="BA1942">
        <v>10.9</v>
      </c>
      <c r="BB1942">
        <v>564</v>
      </c>
      <c r="BC1942">
        <v>68</v>
      </c>
      <c r="BD1942">
        <v>1.5</v>
      </c>
      <c r="BE1942">
        <v>135</v>
      </c>
      <c r="BF1942">
        <v>0</v>
      </c>
      <c r="BG1942">
        <v>162</v>
      </c>
      <c r="BH1942">
        <v>9.1</v>
      </c>
      <c r="BI1942">
        <v>9.1999999999999993</v>
      </c>
      <c r="BJ1942">
        <v>18.3</v>
      </c>
      <c r="BK1942">
        <v>0.34</v>
      </c>
      <c r="BL1942">
        <v>7.3</v>
      </c>
      <c r="BM1942">
        <v>0.9</v>
      </c>
      <c r="BN1942">
        <v>7.5</v>
      </c>
      <c r="BO1942">
        <v>2.9</v>
      </c>
      <c r="BP1942">
        <f t="shared" si="60"/>
        <v>1.9602096876959445</v>
      </c>
      <c r="BQ1942">
        <f t="shared" si="61"/>
        <v>9.8810726596579634</v>
      </c>
    </row>
    <row r="1943" spans="1:69" hidden="1" x14ac:dyDescent="0.2">
      <c r="A1943" t="s">
        <v>3884</v>
      </c>
      <c r="B1943" t="s">
        <v>68</v>
      </c>
      <c r="C1943" t="s">
        <v>3294</v>
      </c>
      <c r="D1943" t="s">
        <v>70</v>
      </c>
      <c r="E1943" t="s">
        <v>132</v>
      </c>
      <c r="F1943">
        <v>6</v>
      </c>
      <c r="G1943">
        <v>24</v>
      </c>
      <c r="H1943">
        <v>1</v>
      </c>
      <c r="I1943">
        <v>1</v>
      </c>
      <c r="J1943">
        <v>0</v>
      </c>
      <c r="K1943" t="s">
        <v>110</v>
      </c>
      <c r="L1943" t="s">
        <v>111</v>
      </c>
      <c r="M1943" s="4">
        <v>400000000</v>
      </c>
      <c r="N1943">
        <v>0</v>
      </c>
      <c r="O1943">
        <v>4.6824865000000004</v>
      </c>
      <c r="P1943">
        <v>-74.054270299999999</v>
      </c>
      <c r="Q1943" t="s">
        <v>3885</v>
      </c>
      <c r="R1943">
        <v>16666666.67</v>
      </c>
      <c r="S1943">
        <v>0</v>
      </c>
      <c r="T1943" t="s">
        <v>104</v>
      </c>
      <c r="U1943" t="s">
        <v>105</v>
      </c>
      <c r="V1943" t="s">
        <v>77</v>
      </c>
      <c r="W1943" t="s">
        <v>104</v>
      </c>
      <c r="X1943" t="s">
        <v>106</v>
      </c>
      <c r="Y1943">
        <v>4.0773277564196704</v>
      </c>
      <c r="Z1943">
        <v>4077.3277564196701</v>
      </c>
      <c r="AA1943">
        <v>4.71035</v>
      </c>
      <c r="AB1943">
        <v>-74.030416666666696</v>
      </c>
      <c r="AC1943">
        <v>2570</v>
      </c>
      <c r="AD1943">
        <v>10</v>
      </c>
      <c r="AE1943" t="s">
        <v>80</v>
      </c>
      <c r="AF1943" t="s">
        <v>107</v>
      </c>
      <c r="AG1943" t="s">
        <v>82</v>
      </c>
      <c r="AH1943" t="s">
        <v>83</v>
      </c>
      <c r="AI1943" t="s">
        <v>130</v>
      </c>
      <c r="AJ1943">
        <v>0.41448113493807598</v>
      </c>
      <c r="AK1943">
        <v>1.8880141810704001</v>
      </c>
      <c r="AL1943">
        <v>0.39634742550188101</v>
      </c>
      <c r="AM1943">
        <v>0.171969423039149</v>
      </c>
      <c r="AN1943">
        <v>3.2060639246861999</v>
      </c>
      <c r="AO1943">
        <v>0.454426578232346</v>
      </c>
      <c r="AP1943">
        <v>0.454426578232346</v>
      </c>
      <c r="AQ1943">
        <v>1</v>
      </c>
      <c r="AR1943">
        <v>2</v>
      </c>
      <c r="AS1943">
        <v>0</v>
      </c>
      <c r="AT1943">
        <v>0</v>
      </c>
      <c r="AU1943">
        <v>5</v>
      </c>
      <c r="AV1943">
        <v>256</v>
      </c>
      <c r="AW1943">
        <v>0</v>
      </c>
      <c r="AX1943">
        <v>0</v>
      </c>
      <c r="AY1943">
        <v>15.5</v>
      </c>
      <c r="AZ1943">
        <v>2.4</v>
      </c>
      <c r="BA1943">
        <v>10.9</v>
      </c>
      <c r="BB1943">
        <v>564</v>
      </c>
      <c r="BC1943">
        <v>68</v>
      </c>
      <c r="BD1943">
        <v>1.5</v>
      </c>
      <c r="BE1943">
        <v>135</v>
      </c>
      <c r="BF1943">
        <v>0</v>
      </c>
      <c r="BG1943">
        <v>162</v>
      </c>
      <c r="BH1943">
        <v>9.1</v>
      </c>
      <c r="BI1943">
        <v>9.1999999999999993</v>
      </c>
      <c r="BJ1943">
        <v>18.3</v>
      </c>
      <c r="BK1943">
        <v>0.34</v>
      </c>
      <c r="BL1943">
        <v>7.3</v>
      </c>
      <c r="BM1943">
        <v>0.9</v>
      </c>
      <c r="BN1943">
        <v>7.5</v>
      </c>
      <c r="BO1943">
        <v>2.9</v>
      </c>
      <c r="BP1943">
        <f t="shared" si="60"/>
        <v>1.9613656943059079</v>
      </c>
      <c r="BQ1943">
        <f t="shared" si="61"/>
        <v>9.8838975524228214</v>
      </c>
    </row>
    <row r="1944" spans="1:69" hidden="1" x14ac:dyDescent="0.2">
      <c r="A1944" t="s">
        <v>4262</v>
      </c>
      <c r="B1944" t="s">
        <v>68</v>
      </c>
      <c r="C1944" t="s">
        <v>3294</v>
      </c>
      <c r="D1944" t="s">
        <v>70</v>
      </c>
      <c r="E1944" t="s">
        <v>1074</v>
      </c>
      <c r="F1944">
        <v>6</v>
      </c>
      <c r="G1944">
        <v>24</v>
      </c>
      <c r="H1944">
        <v>1</v>
      </c>
      <c r="I1944">
        <v>1</v>
      </c>
      <c r="J1944">
        <v>0</v>
      </c>
      <c r="K1944" t="s">
        <v>110</v>
      </c>
      <c r="L1944" t="s">
        <v>111</v>
      </c>
      <c r="M1944" s="4">
        <v>414750000</v>
      </c>
      <c r="N1944">
        <v>0</v>
      </c>
      <c r="O1944">
        <v>4.6824865339999997</v>
      </c>
      <c r="P1944">
        <v>-74.054267879999998</v>
      </c>
      <c r="Q1944" t="s">
        <v>4263</v>
      </c>
      <c r="R1944">
        <v>17281250</v>
      </c>
      <c r="S1944">
        <v>0</v>
      </c>
      <c r="T1944" t="s">
        <v>104</v>
      </c>
      <c r="U1944" t="s">
        <v>105</v>
      </c>
      <c r="V1944" t="s">
        <v>77</v>
      </c>
      <c r="W1944" t="s">
        <v>104</v>
      </c>
      <c r="X1944" t="s">
        <v>106</v>
      </c>
      <c r="Y1944">
        <v>4.0771506149668904</v>
      </c>
      <c r="Z1944">
        <v>4077.1506149668899</v>
      </c>
      <c r="AA1944">
        <v>4.71035</v>
      </c>
      <c r="AB1944">
        <v>-74.030416666666696</v>
      </c>
      <c r="AC1944">
        <v>2570</v>
      </c>
      <c r="AD1944">
        <v>10</v>
      </c>
      <c r="AE1944" t="s">
        <v>80</v>
      </c>
      <c r="AF1944" t="s">
        <v>107</v>
      </c>
      <c r="AG1944" t="s">
        <v>82</v>
      </c>
      <c r="AH1944" t="s">
        <v>83</v>
      </c>
      <c r="AI1944" t="s">
        <v>130</v>
      </c>
      <c r="AJ1944">
        <v>0.414726759267175</v>
      </c>
      <c r="AK1944">
        <v>1.88778506113773</v>
      </c>
      <c r="AL1944">
        <v>0.39623431679902399</v>
      </c>
      <c r="AM1944">
        <v>0.17222564475711499</v>
      </c>
      <c r="AN1944">
        <v>3.2063211051465399</v>
      </c>
      <c r="AO1944">
        <v>0.45468342462532801</v>
      </c>
      <c r="AP1944">
        <v>0.45468342462532801</v>
      </c>
      <c r="AQ1944">
        <v>1</v>
      </c>
      <c r="AR1944">
        <v>2</v>
      </c>
      <c r="AS1944">
        <v>0</v>
      </c>
      <c r="AT1944">
        <v>0</v>
      </c>
      <c r="AU1944">
        <v>5</v>
      </c>
      <c r="AV1944">
        <v>256</v>
      </c>
      <c r="AW1944">
        <v>0</v>
      </c>
      <c r="AX1944">
        <v>0</v>
      </c>
      <c r="AY1944">
        <v>15.5</v>
      </c>
      <c r="AZ1944">
        <v>2.4</v>
      </c>
      <c r="BA1944">
        <v>10.9</v>
      </c>
      <c r="BB1944">
        <v>564</v>
      </c>
      <c r="BC1944">
        <v>68</v>
      </c>
      <c r="BD1944">
        <v>1.5</v>
      </c>
      <c r="BE1944">
        <v>135</v>
      </c>
      <c r="BF1944">
        <v>0</v>
      </c>
      <c r="BG1944">
        <v>162</v>
      </c>
      <c r="BH1944">
        <v>9.1</v>
      </c>
      <c r="BI1944">
        <v>9.1999999999999993</v>
      </c>
      <c r="BJ1944">
        <v>18.3</v>
      </c>
      <c r="BK1944">
        <v>0.34</v>
      </c>
      <c r="BL1944">
        <v>7.3</v>
      </c>
      <c r="BM1944">
        <v>0.9</v>
      </c>
      <c r="BN1944">
        <v>7.5</v>
      </c>
      <c r="BO1944">
        <v>2.9</v>
      </c>
      <c r="BP1944">
        <f t="shared" si="60"/>
        <v>1.9613828926201513</v>
      </c>
      <c r="BQ1944">
        <f t="shared" si="61"/>
        <v>9.8839395728634596</v>
      </c>
    </row>
    <row r="1945" spans="1:69" hidden="1" x14ac:dyDescent="0.2">
      <c r="A1945" t="s">
        <v>3937</v>
      </c>
      <c r="B1945" t="s">
        <v>68</v>
      </c>
      <c r="C1945" t="s">
        <v>3294</v>
      </c>
      <c r="D1945" t="s">
        <v>70</v>
      </c>
      <c r="E1945" t="s">
        <v>1074</v>
      </c>
      <c r="F1945">
        <v>6</v>
      </c>
      <c r="G1945">
        <v>24</v>
      </c>
      <c r="H1945">
        <v>1</v>
      </c>
      <c r="I1945">
        <v>1</v>
      </c>
      <c r="J1945">
        <v>0</v>
      </c>
      <c r="K1945" t="s">
        <v>110</v>
      </c>
      <c r="L1945" t="s">
        <v>111</v>
      </c>
      <c r="M1945" s="4">
        <v>400000000</v>
      </c>
      <c r="N1945">
        <v>0</v>
      </c>
      <c r="O1945">
        <v>4.6824865339999997</v>
      </c>
      <c r="P1945">
        <v>-74.054267879999998</v>
      </c>
      <c r="Q1945" t="s">
        <v>3938</v>
      </c>
      <c r="R1945">
        <v>16666666.67</v>
      </c>
      <c r="S1945">
        <v>0</v>
      </c>
      <c r="T1945" t="s">
        <v>104</v>
      </c>
      <c r="U1945" t="s">
        <v>105</v>
      </c>
      <c r="V1945" t="s">
        <v>77</v>
      </c>
      <c r="W1945" t="s">
        <v>104</v>
      </c>
      <c r="X1945" t="s">
        <v>106</v>
      </c>
      <c r="Y1945">
        <v>4.0771506149668904</v>
      </c>
      <c r="Z1945">
        <v>4077.1506149668899</v>
      </c>
      <c r="AA1945">
        <v>4.71035</v>
      </c>
      <c r="AB1945">
        <v>-74.030416666666696</v>
      </c>
      <c r="AC1945">
        <v>2570</v>
      </c>
      <c r="AD1945">
        <v>10</v>
      </c>
      <c r="AE1945" t="s">
        <v>80</v>
      </c>
      <c r="AF1945" t="s">
        <v>107</v>
      </c>
      <c r="AG1945" t="s">
        <v>82</v>
      </c>
      <c r="AH1945" t="s">
        <v>83</v>
      </c>
      <c r="AI1945" t="s">
        <v>130</v>
      </c>
      <c r="AJ1945">
        <v>0.414726759267175</v>
      </c>
      <c r="AK1945">
        <v>1.88778506113773</v>
      </c>
      <c r="AL1945">
        <v>0.39623431679902399</v>
      </c>
      <c r="AM1945">
        <v>0.17222564475711499</v>
      </c>
      <c r="AN1945">
        <v>3.2063211051465399</v>
      </c>
      <c r="AO1945">
        <v>0.45468342462532801</v>
      </c>
      <c r="AP1945">
        <v>0.45468342462532801</v>
      </c>
      <c r="AQ1945">
        <v>1</v>
      </c>
      <c r="AR1945">
        <v>2</v>
      </c>
      <c r="AS1945">
        <v>0</v>
      </c>
      <c r="AT1945">
        <v>0</v>
      </c>
      <c r="AU1945">
        <v>5</v>
      </c>
      <c r="AV1945">
        <v>256</v>
      </c>
      <c r="AW1945">
        <v>0</v>
      </c>
      <c r="AX1945">
        <v>0</v>
      </c>
      <c r="AY1945">
        <v>15.5</v>
      </c>
      <c r="AZ1945">
        <v>2.4</v>
      </c>
      <c r="BA1945">
        <v>10.9</v>
      </c>
      <c r="BB1945">
        <v>564</v>
      </c>
      <c r="BC1945">
        <v>68</v>
      </c>
      <c r="BD1945">
        <v>1.5</v>
      </c>
      <c r="BE1945">
        <v>135</v>
      </c>
      <c r="BF1945">
        <v>0</v>
      </c>
      <c r="BG1945">
        <v>162</v>
      </c>
      <c r="BH1945">
        <v>9.1</v>
      </c>
      <c r="BI1945">
        <v>9.1999999999999993</v>
      </c>
      <c r="BJ1945">
        <v>18.3</v>
      </c>
      <c r="BK1945">
        <v>0.34</v>
      </c>
      <c r="BL1945">
        <v>7.3</v>
      </c>
      <c r="BM1945">
        <v>0.9</v>
      </c>
      <c r="BN1945">
        <v>7.5</v>
      </c>
      <c r="BO1945">
        <v>2.9</v>
      </c>
      <c r="BP1945">
        <f t="shared" si="60"/>
        <v>1.9613828926201513</v>
      </c>
      <c r="BQ1945">
        <f t="shared" si="61"/>
        <v>9.8839395728634596</v>
      </c>
    </row>
    <row r="1946" spans="1:69" hidden="1" x14ac:dyDescent="0.2">
      <c r="A1946" t="s">
        <v>4433</v>
      </c>
      <c r="B1946" t="s">
        <v>68</v>
      </c>
      <c r="C1946" t="s">
        <v>3294</v>
      </c>
      <c r="D1946" t="s">
        <v>70</v>
      </c>
      <c r="E1946" t="s">
        <v>132</v>
      </c>
      <c r="F1946">
        <v>6</v>
      </c>
      <c r="G1946">
        <v>24</v>
      </c>
      <c r="H1946">
        <v>1</v>
      </c>
      <c r="I1946">
        <v>1</v>
      </c>
      <c r="J1946">
        <v>0</v>
      </c>
      <c r="K1946" t="s">
        <v>110</v>
      </c>
      <c r="L1946" t="s">
        <v>111</v>
      </c>
      <c r="M1946" s="4">
        <v>400000000</v>
      </c>
      <c r="N1946">
        <v>0</v>
      </c>
      <c r="O1946">
        <v>4.6825576</v>
      </c>
      <c r="P1946">
        <v>-74.047128799999996</v>
      </c>
      <c r="Q1946" t="s">
        <v>4434</v>
      </c>
      <c r="R1946">
        <v>16666666.67</v>
      </c>
      <c r="S1946">
        <v>0</v>
      </c>
      <c r="T1946" t="s">
        <v>104</v>
      </c>
      <c r="U1946" t="s">
        <v>105</v>
      </c>
      <c r="V1946" t="s">
        <v>77</v>
      </c>
      <c r="W1946" t="s">
        <v>104</v>
      </c>
      <c r="X1946" t="s">
        <v>106</v>
      </c>
      <c r="Y1946">
        <v>3.60688987236674</v>
      </c>
      <c r="Z1946">
        <v>3606.8898723667398</v>
      </c>
      <c r="AA1946">
        <v>4.71035</v>
      </c>
      <c r="AB1946">
        <v>-74.030416666666696</v>
      </c>
      <c r="AC1946">
        <v>2570</v>
      </c>
      <c r="AD1946">
        <v>10</v>
      </c>
      <c r="AE1946" t="s">
        <v>80</v>
      </c>
      <c r="AF1946" t="s">
        <v>107</v>
      </c>
      <c r="AG1946" t="s">
        <v>82</v>
      </c>
      <c r="AH1946" t="s">
        <v>83</v>
      </c>
      <c r="AI1946" t="s">
        <v>130</v>
      </c>
      <c r="AJ1946">
        <v>1.1835384026898199</v>
      </c>
      <c r="AK1946">
        <v>1.25995555561518</v>
      </c>
      <c r="AL1946">
        <v>0.583145496072771</v>
      </c>
      <c r="AM1946">
        <v>1.94108840234931E-2</v>
      </c>
      <c r="AN1946">
        <v>3.9706673032372999</v>
      </c>
      <c r="AO1946">
        <v>0.83115486334749</v>
      </c>
      <c r="AP1946">
        <v>0.83115486334749</v>
      </c>
      <c r="AQ1946">
        <v>0</v>
      </c>
      <c r="AR1946">
        <v>0</v>
      </c>
      <c r="AS1946">
        <v>0</v>
      </c>
      <c r="AT1946">
        <v>0</v>
      </c>
      <c r="AU1946">
        <v>5</v>
      </c>
      <c r="AV1946">
        <v>126</v>
      </c>
      <c r="AW1946">
        <v>0</v>
      </c>
      <c r="AX1946">
        <v>0</v>
      </c>
      <c r="AY1946">
        <v>15.5</v>
      </c>
      <c r="AZ1946">
        <v>2.4</v>
      </c>
      <c r="BA1946">
        <v>10.9</v>
      </c>
      <c r="BB1946">
        <v>564</v>
      </c>
      <c r="BC1946">
        <v>68</v>
      </c>
      <c r="BD1946">
        <v>1.5</v>
      </c>
      <c r="BE1946">
        <v>135</v>
      </c>
      <c r="BF1946">
        <v>0</v>
      </c>
      <c r="BG1946">
        <v>162</v>
      </c>
      <c r="BH1946">
        <v>9.1</v>
      </c>
      <c r="BI1946">
        <v>9.1999999999999993</v>
      </c>
      <c r="BJ1946">
        <v>18.3</v>
      </c>
      <c r="BK1946">
        <v>0.34</v>
      </c>
      <c r="BL1946">
        <v>7.3</v>
      </c>
      <c r="BM1946">
        <v>0.9</v>
      </c>
      <c r="BN1946">
        <v>7.5</v>
      </c>
      <c r="BO1946">
        <v>2.9</v>
      </c>
      <c r="BP1946">
        <f t="shared" si="60"/>
        <v>2.0075753264928653</v>
      </c>
      <c r="BQ1946">
        <f t="shared" si="61"/>
        <v>9.9961241443494941</v>
      </c>
    </row>
    <row r="1947" spans="1:69" hidden="1" x14ac:dyDescent="0.2">
      <c r="A1947" t="s">
        <v>4316</v>
      </c>
      <c r="B1947" t="s">
        <v>68</v>
      </c>
      <c r="C1947" t="s">
        <v>3294</v>
      </c>
      <c r="D1947" t="s">
        <v>70</v>
      </c>
      <c r="E1947" t="s">
        <v>196</v>
      </c>
      <c r="F1947">
        <v>6</v>
      </c>
      <c r="G1947">
        <v>23.7</v>
      </c>
      <c r="H1947">
        <v>1</v>
      </c>
      <c r="I1947">
        <v>1</v>
      </c>
      <c r="J1947">
        <v>0</v>
      </c>
      <c r="K1947" t="s">
        <v>110</v>
      </c>
      <c r="L1947" t="s">
        <v>111</v>
      </c>
      <c r="M1947" s="4">
        <v>627214439</v>
      </c>
      <c r="N1947">
        <v>0</v>
      </c>
      <c r="O1947">
        <v>4.6815752980000003</v>
      </c>
      <c r="P1947">
        <v>-74.047248839999995</v>
      </c>
      <c r="Q1947" t="s">
        <v>4317</v>
      </c>
      <c r="R1947">
        <v>26464744.260000002</v>
      </c>
      <c r="S1947">
        <v>0</v>
      </c>
      <c r="T1947" t="s">
        <v>104</v>
      </c>
      <c r="U1947" t="s">
        <v>105</v>
      </c>
      <c r="V1947" t="s">
        <v>77</v>
      </c>
      <c r="W1947" t="s">
        <v>104</v>
      </c>
      <c r="X1947" t="s">
        <v>106</v>
      </c>
      <c r="Y1947">
        <v>3.7078023979466699</v>
      </c>
      <c r="Z1947">
        <v>3707.8023979466702</v>
      </c>
      <c r="AA1947">
        <v>4.71035</v>
      </c>
      <c r="AB1947">
        <v>-74.030416666666696</v>
      </c>
      <c r="AC1947">
        <v>2570</v>
      </c>
      <c r="AD1947">
        <v>10</v>
      </c>
      <c r="AE1947" t="s">
        <v>80</v>
      </c>
      <c r="AF1947" t="s">
        <v>107</v>
      </c>
      <c r="AG1947" t="s">
        <v>82</v>
      </c>
      <c r="AH1947" t="s">
        <v>83</v>
      </c>
      <c r="AI1947" t="s">
        <v>130</v>
      </c>
      <c r="AJ1947">
        <v>1.18948850049393</v>
      </c>
      <c r="AK1947">
        <v>1.19450958331129</v>
      </c>
      <c r="AL1947">
        <v>0.65067961373857097</v>
      </c>
      <c r="AM1947">
        <v>8.0097628695262393E-2</v>
      </c>
      <c r="AN1947">
        <v>3.9326608101898799</v>
      </c>
      <c r="AO1947">
        <v>0.93328694668251899</v>
      </c>
      <c r="AP1947">
        <v>0.93328694668251899</v>
      </c>
      <c r="AQ1947">
        <v>0</v>
      </c>
      <c r="AR1947">
        <v>0</v>
      </c>
      <c r="AS1947">
        <v>0</v>
      </c>
      <c r="AT1947">
        <v>0</v>
      </c>
      <c r="AU1947">
        <v>5</v>
      </c>
      <c r="AV1947">
        <v>127</v>
      </c>
      <c r="AW1947">
        <v>0</v>
      </c>
      <c r="AX1947">
        <v>0</v>
      </c>
      <c r="AY1947">
        <v>15.5</v>
      </c>
      <c r="AZ1947">
        <v>2.4</v>
      </c>
      <c r="BA1947">
        <v>10.9</v>
      </c>
      <c r="BB1947">
        <v>564</v>
      </c>
      <c r="BC1947">
        <v>68</v>
      </c>
      <c r="BD1947">
        <v>1.5</v>
      </c>
      <c r="BE1947">
        <v>135</v>
      </c>
      <c r="BF1947">
        <v>0</v>
      </c>
      <c r="BG1947">
        <v>162</v>
      </c>
      <c r="BH1947">
        <v>9.1</v>
      </c>
      <c r="BI1947">
        <v>9.1999999999999993</v>
      </c>
      <c r="BJ1947">
        <v>18.3</v>
      </c>
      <c r="BK1947">
        <v>0.34</v>
      </c>
      <c r="BL1947">
        <v>7.3</v>
      </c>
      <c r="BM1947">
        <v>0.9</v>
      </c>
      <c r="BN1947">
        <v>7.5</v>
      </c>
      <c r="BO1947">
        <v>2.9</v>
      </c>
      <c r="BP1947">
        <f t="shared" si="60"/>
        <v>1.9975721509975402</v>
      </c>
      <c r="BQ1947">
        <f t="shared" si="61"/>
        <v>9.971943818140284</v>
      </c>
    </row>
    <row r="1948" spans="1:69" hidden="1" x14ac:dyDescent="0.2">
      <c r="A1948" t="s">
        <v>3818</v>
      </c>
      <c r="B1948" t="s">
        <v>68</v>
      </c>
      <c r="C1948" t="s">
        <v>3294</v>
      </c>
      <c r="D1948" t="s">
        <v>70</v>
      </c>
      <c r="E1948" t="s">
        <v>3819</v>
      </c>
      <c r="F1948">
        <v>4</v>
      </c>
      <c r="G1948">
        <v>23.64</v>
      </c>
      <c r="H1948">
        <v>1</v>
      </c>
      <c r="I1948">
        <v>1</v>
      </c>
      <c r="J1948">
        <v>0</v>
      </c>
      <c r="K1948" t="s">
        <v>110</v>
      </c>
      <c r="L1948" t="s">
        <v>111</v>
      </c>
      <c r="M1948" s="4">
        <v>195000000</v>
      </c>
      <c r="N1948">
        <v>0</v>
      </c>
      <c r="O1948">
        <v>4.7313359999999998</v>
      </c>
      <c r="P1948">
        <v>-74.022632999999999</v>
      </c>
      <c r="Q1948" t="s">
        <v>3820</v>
      </c>
      <c r="R1948">
        <v>8248730.9639999997</v>
      </c>
      <c r="S1948">
        <v>0</v>
      </c>
      <c r="T1948" t="s">
        <v>104</v>
      </c>
      <c r="U1948" t="s">
        <v>105</v>
      </c>
      <c r="V1948" t="s">
        <v>77</v>
      </c>
      <c r="W1948" t="s">
        <v>104</v>
      </c>
      <c r="X1948" t="s">
        <v>106</v>
      </c>
      <c r="Y1948">
        <v>2.4906409240486198</v>
      </c>
      <c r="Z1948">
        <v>2490.64092404862</v>
      </c>
      <c r="AA1948">
        <v>4.71035</v>
      </c>
      <c r="AB1948">
        <v>-74.030416666666696</v>
      </c>
      <c r="AC1948">
        <v>2570</v>
      </c>
      <c r="AD1948">
        <v>10</v>
      </c>
      <c r="AE1948" t="s">
        <v>80</v>
      </c>
      <c r="AF1948" t="s">
        <v>107</v>
      </c>
      <c r="AG1948" t="s">
        <v>82</v>
      </c>
      <c r="AH1948" t="s">
        <v>83</v>
      </c>
      <c r="AI1948" t="s">
        <v>108</v>
      </c>
      <c r="AJ1948">
        <v>2.97026897195525</v>
      </c>
      <c r="AK1948">
        <v>0.120522508038946</v>
      </c>
      <c r="AL1948">
        <v>1.83276656632736</v>
      </c>
      <c r="AM1948">
        <v>0.25317067545621202</v>
      </c>
      <c r="AN1948">
        <v>1.2155184158136001</v>
      </c>
      <c r="AO1948">
        <v>0.174122087049701</v>
      </c>
      <c r="AP1948">
        <v>0.174122087049701</v>
      </c>
      <c r="AQ1948">
        <v>0</v>
      </c>
      <c r="AR1948">
        <v>0</v>
      </c>
      <c r="AS1948">
        <v>12</v>
      </c>
      <c r="AT1948">
        <v>33</v>
      </c>
      <c r="AU1948">
        <v>0</v>
      </c>
      <c r="AV1948">
        <v>9</v>
      </c>
      <c r="AW1948">
        <v>0</v>
      </c>
      <c r="AX1948">
        <v>0</v>
      </c>
      <c r="AY1948">
        <v>15.5</v>
      </c>
      <c r="AZ1948">
        <v>2.4</v>
      </c>
      <c r="BA1948">
        <v>10.9</v>
      </c>
      <c r="BB1948">
        <v>564</v>
      </c>
      <c r="BC1948">
        <v>68</v>
      </c>
      <c r="BD1948">
        <v>1.5</v>
      </c>
      <c r="BE1948">
        <v>135</v>
      </c>
      <c r="BF1948">
        <v>0</v>
      </c>
      <c r="BG1948">
        <v>162</v>
      </c>
      <c r="BH1948">
        <v>9.1</v>
      </c>
      <c r="BI1948">
        <v>9.1999999999999993</v>
      </c>
      <c r="BJ1948">
        <v>18.3</v>
      </c>
      <c r="BK1948">
        <v>0.34</v>
      </c>
      <c r="BL1948">
        <v>7.3</v>
      </c>
      <c r="BM1948">
        <v>0.9</v>
      </c>
      <c r="BN1948">
        <v>7.5</v>
      </c>
      <c r="BO1948">
        <v>2.9</v>
      </c>
      <c r="BP1948">
        <f t="shared" si="60"/>
        <v>2.1216243786056932</v>
      </c>
      <c r="BQ1948">
        <f t="shared" si="61"/>
        <v>10.267539429425256</v>
      </c>
    </row>
    <row r="1949" spans="1:69" hidden="1" x14ac:dyDescent="0.2">
      <c r="A1949" t="s">
        <v>4332</v>
      </c>
      <c r="B1949" t="s">
        <v>68</v>
      </c>
      <c r="C1949" t="s">
        <v>3294</v>
      </c>
      <c r="D1949" t="s">
        <v>70</v>
      </c>
      <c r="E1949" t="s">
        <v>1486</v>
      </c>
      <c r="F1949">
        <v>6</v>
      </c>
      <c r="G1949">
        <v>23</v>
      </c>
      <c r="H1949">
        <v>1</v>
      </c>
      <c r="I1949">
        <v>1</v>
      </c>
      <c r="J1949">
        <v>2</v>
      </c>
      <c r="K1949" t="s">
        <v>110</v>
      </c>
      <c r="L1949" t="s">
        <v>111</v>
      </c>
      <c r="M1949" s="4">
        <v>405000000</v>
      </c>
      <c r="N1949">
        <v>0</v>
      </c>
      <c r="O1949">
        <v>4.6824395000000001</v>
      </c>
      <c r="P1949">
        <v>-74.054392500000006</v>
      </c>
      <c r="Q1949" t="s">
        <v>4333</v>
      </c>
      <c r="R1949">
        <v>17608695.649999999</v>
      </c>
      <c r="S1949">
        <v>0</v>
      </c>
      <c r="T1949" t="s">
        <v>104</v>
      </c>
      <c r="U1949" t="s">
        <v>105</v>
      </c>
      <c r="V1949" t="s">
        <v>77</v>
      </c>
      <c r="W1949" t="s">
        <v>104</v>
      </c>
      <c r="X1949" t="s">
        <v>106</v>
      </c>
      <c r="Y1949">
        <v>4.0901135933813997</v>
      </c>
      <c r="Z1949">
        <v>4090.1135933813998</v>
      </c>
      <c r="AA1949">
        <v>4.71035</v>
      </c>
      <c r="AB1949">
        <v>-74.030416666666696</v>
      </c>
      <c r="AC1949">
        <v>2570</v>
      </c>
      <c r="AD1949">
        <v>10</v>
      </c>
      <c r="AE1949" t="s">
        <v>80</v>
      </c>
      <c r="AF1949" t="s">
        <v>107</v>
      </c>
      <c r="AG1949" t="s">
        <v>82</v>
      </c>
      <c r="AH1949" t="s">
        <v>83</v>
      </c>
      <c r="AI1949" t="s">
        <v>130</v>
      </c>
      <c r="AJ1949">
        <v>0.40415624444778903</v>
      </c>
      <c r="AK1949">
        <v>1.89707296692828</v>
      </c>
      <c r="AL1949">
        <v>0.40675818672570302</v>
      </c>
      <c r="AM1949">
        <v>0.157478167882178</v>
      </c>
      <c r="AN1949">
        <v>3.19158129934433</v>
      </c>
      <c r="AO1949">
        <v>0.442926533431305</v>
      </c>
      <c r="AP1949">
        <v>0.442926533431305</v>
      </c>
      <c r="AQ1949">
        <v>1</v>
      </c>
      <c r="AR1949">
        <v>2</v>
      </c>
      <c r="AS1949">
        <v>0</v>
      </c>
      <c r="AT1949">
        <v>0</v>
      </c>
      <c r="AU1949">
        <v>5</v>
      </c>
      <c r="AV1949">
        <v>255</v>
      </c>
      <c r="AW1949">
        <v>0</v>
      </c>
      <c r="AX1949">
        <v>0</v>
      </c>
      <c r="AY1949">
        <v>15.5</v>
      </c>
      <c r="AZ1949">
        <v>2.4</v>
      </c>
      <c r="BA1949">
        <v>10.9</v>
      </c>
      <c r="BB1949">
        <v>564</v>
      </c>
      <c r="BC1949">
        <v>68</v>
      </c>
      <c r="BD1949">
        <v>1.5</v>
      </c>
      <c r="BE1949">
        <v>135</v>
      </c>
      <c r="BF1949">
        <v>0</v>
      </c>
      <c r="BG1949">
        <v>162</v>
      </c>
      <c r="BH1949">
        <v>9.1</v>
      </c>
      <c r="BI1949">
        <v>9.1999999999999993</v>
      </c>
      <c r="BJ1949">
        <v>18.3</v>
      </c>
      <c r="BK1949">
        <v>0.34</v>
      </c>
      <c r="BL1949">
        <v>7.3</v>
      </c>
      <c r="BM1949">
        <v>0.9</v>
      </c>
      <c r="BN1949">
        <v>7.5</v>
      </c>
      <c r="BO1949">
        <v>2.9</v>
      </c>
      <c r="BP1949">
        <f t="shared" si="60"/>
        <v>1.960124740797913</v>
      </c>
      <c r="BQ1949">
        <f t="shared" si="61"/>
        <v>9.8808650440608652</v>
      </c>
    </row>
    <row r="1950" spans="1:69" hidden="1" x14ac:dyDescent="0.2">
      <c r="A1950" t="s">
        <v>3807</v>
      </c>
      <c r="B1950" t="s">
        <v>68</v>
      </c>
      <c r="C1950" t="s">
        <v>3294</v>
      </c>
      <c r="D1950" t="s">
        <v>70</v>
      </c>
      <c r="E1950" t="s">
        <v>468</v>
      </c>
      <c r="F1950">
        <v>6</v>
      </c>
      <c r="G1950">
        <v>23</v>
      </c>
      <c r="H1950">
        <v>1</v>
      </c>
      <c r="I1950">
        <v>1</v>
      </c>
      <c r="J1950">
        <v>1</v>
      </c>
      <c r="K1950" t="s">
        <v>110</v>
      </c>
      <c r="L1950" t="s">
        <v>133</v>
      </c>
      <c r="M1950" s="4">
        <v>299000000</v>
      </c>
      <c r="N1950">
        <v>0</v>
      </c>
      <c r="O1950">
        <v>4.6921710970000001</v>
      </c>
      <c r="P1950">
        <v>-74.050018309999999</v>
      </c>
      <c r="Q1950" t="s">
        <v>3808</v>
      </c>
      <c r="R1950">
        <v>13000000</v>
      </c>
      <c r="S1950">
        <v>0</v>
      </c>
      <c r="T1950" t="s">
        <v>104</v>
      </c>
      <c r="U1950" t="s">
        <v>105</v>
      </c>
      <c r="V1950" t="s">
        <v>77</v>
      </c>
      <c r="W1950" t="s">
        <v>104</v>
      </c>
      <c r="X1950" t="s">
        <v>106</v>
      </c>
      <c r="Y1950">
        <v>2.9706162498249902</v>
      </c>
      <c r="Z1950">
        <v>2970.6162498249901</v>
      </c>
      <c r="AA1950">
        <v>4.71035</v>
      </c>
      <c r="AB1950">
        <v>-74.030416666666696</v>
      </c>
      <c r="AC1950">
        <v>2570</v>
      </c>
      <c r="AD1950">
        <v>10</v>
      </c>
      <c r="AE1950" t="s">
        <v>80</v>
      </c>
      <c r="AF1950" t="s">
        <v>107</v>
      </c>
      <c r="AG1950" t="s">
        <v>82</v>
      </c>
      <c r="AH1950" t="s">
        <v>83</v>
      </c>
      <c r="AI1950" t="s">
        <v>108</v>
      </c>
      <c r="AJ1950">
        <v>0.68932914839718795</v>
      </c>
      <c r="AK1950">
        <v>2.14172559610124</v>
      </c>
      <c r="AL1950">
        <v>0.12541098188090599</v>
      </c>
      <c r="AM1950">
        <v>6.6239803156073099E-2</v>
      </c>
      <c r="AN1950">
        <v>4.0722494801043601</v>
      </c>
      <c r="AO1950">
        <v>2.0868178340658301E-2</v>
      </c>
      <c r="AP1950">
        <v>2.0868178340658301E-2</v>
      </c>
      <c r="AQ1950">
        <v>0</v>
      </c>
      <c r="AR1950">
        <v>2</v>
      </c>
      <c r="AS1950">
        <v>0</v>
      </c>
      <c r="AT1950">
        <v>0</v>
      </c>
      <c r="AU1950">
        <v>5</v>
      </c>
      <c r="AV1950">
        <v>165</v>
      </c>
      <c r="AW1950">
        <v>0</v>
      </c>
      <c r="AX1950">
        <v>0</v>
      </c>
      <c r="AY1950">
        <v>15.5</v>
      </c>
      <c r="AZ1950">
        <v>2.4</v>
      </c>
      <c r="BA1950">
        <v>10.9</v>
      </c>
      <c r="BB1950">
        <v>564</v>
      </c>
      <c r="BC1950">
        <v>68</v>
      </c>
      <c r="BD1950">
        <v>1.5</v>
      </c>
      <c r="BE1950">
        <v>135</v>
      </c>
      <c r="BF1950">
        <v>0</v>
      </c>
      <c r="BG1950">
        <v>162</v>
      </c>
      <c r="BH1950">
        <v>9.1</v>
      </c>
      <c r="BI1950">
        <v>9.1999999999999993</v>
      </c>
      <c r="BJ1950">
        <v>18.3</v>
      </c>
      <c r="BK1950">
        <v>0.34</v>
      </c>
      <c r="BL1950">
        <v>7.3</v>
      </c>
      <c r="BM1950">
        <v>0.9</v>
      </c>
      <c r="BN1950">
        <v>7.5</v>
      </c>
      <c r="BO1950">
        <v>2.9</v>
      </c>
      <c r="BP1950">
        <f t="shared" si="60"/>
        <v>2.0718112671952551</v>
      </c>
      <c r="BQ1950">
        <f t="shared" si="61"/>
        <v>10.149942081742992</v>
      </c>
    </row>
    <row r="1951" spans="1:69" hidden="1" x14ac:dyDescent="0.2">
      <c r="A1951" t="s">
        <v>4669</v>
      </c>
      <c r="B1951" t="s">
        <v>68</v>
      </c>
      <c r="C1951" t="s">
        <v>3294</v>
      </c>
      <c r="D1951" t="s">
        <v>70</v>
      </c>
      <c r="E1951" t="s">
        <v>226</v>
      </c>
      <c r="F1951">
        <v>5</v>
      </c>
      <c r="G1951">
        <v>23</v>
      </c>
      <c r="H1951">
        <v>1</v>
      </c>
      <c r="I1951">
        <v>1</v>
      </c>
      <c r="J1951">
        <v>1</v>
      </c>
      <c r="K1951" t="s">
        <v>110</v>
      </c>
      <c r="L1951" t="s">
        <v>162</v>
      </c>
      <c r="M1951" s="4">
        <v>249000000</v>
      </c>
      <c r="N1951">
        <v>0</v>
      </c>
      <c r="O1951">
        <v>4.6940264999999997</v>
      </c>
      <c r="P1951">
        <v>-74.038889999999995</v>
      </c>
      <c r="Q1951" t="s">
        <v>4670</v>
      </c>
      <c r="R1951">
        <v>10826086.960000001</v>
      </c>
      <c r="S1951">
        <v>0</v>
      </c>
      <c r="T1951" t="s">
        <v>104</v>
      </c>
      <c r="U1951" t="s">
        <v>105</v>
      </c>
      <c r="V1951" t="s">
        <v>77</v>
      </c>
      <c r="W1951" t="s">
        <v>104</v>
      </c>
      <c r="X1951" t="s">
        <v>106</v>
      </c>
      <c r="Y1951">
        <v>2.0458921590972898</v>
      </c>
      <c r="Z1951">
        <v>2045.89215909729</v>
      </c>
      <c r="AA1951">
        <v>4.71035</v>
      </c>
      <c r="AB1951">
        <v>-74.030416666666696</v>
      </c>
      <c r="AC1951">
        <v>2570</v>
      </c>
      <c r="AD1951">
        <v>10</v>
      </c>
      <c r="AE1951" t="s">
        <v>80</v>
      </c>
      <c r="AF1951" t="s">
        <v>107</v>
      </c>
      <c r="AG1951" t="s">
        <v>82</v>
      </c>
      <c r="AH1951" t="s">
        <v>83</v>
      </c>
      <c r="AI1951" t="s">
        <v>108</v>
      </c>
      <c r="AJ1951">
        <v>1.8760330043903499</v>
      </c>
      <c r="AK1951">
        <v>1.38036864842941</v>
      </c>
      <c r="AL1951">
        <v>1.0190986636373001</v>
      </c>
      <c r="AM1951">
        <v>0.22695395882727901</v>
      </c>
      <c r="AN1951">
        <v>5.2624302279548196</v>
      </c>
      <c r="AO1951">
        <v>0.22921142331691199</v>
      </c>
      <c r="AP1951">
        <v>0.22921142331691199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129</v>
      </c>
      <c r="AW1951">
        <v>0</v>
      </c>
      <c r="AX1951">
        <v>0</v>
      </c>
      <c r="AY1951">
        <v>15.5</v>
      </c>
      <c r="AZ1951">
        <v>2.4</v>
      </c>
      <c r="BA1951">
        <v>10.9</v>
      </c>
      <c r="BB1951">
        <v>564</v>
      </c>
      <c r="BC1951">
        <v>68</v>
      </c>
      <c r="BD1951">
        <v>1.5</v>
      </c>
      <c r="BE1951">
        <v>135</v>
      </c>
      <c r="BF1951">
        <v>0</v>
      </c>
      <c r="BG1951">
        <v>162</v>
      </c>
      <c r="BH1951">
        <v>9.1</v>
      </c>
      <c r="BI1951">
        <v>9.1999999999999993</v>
      </c>
      <c r="BJ1951">
        <v>18.3</v>
      </c>
      <c r="BK1951">
        <v>0.34</v>
      </c>
      <c r="BL1951">
        <v>7.3</v>
      </c>
      <c r="BM1951">
        <v>0.9</v>
      </c>
      <c r="BN1951">
        <v>7.5</v>
      </c>
      <c r="BO1951">
        <v>2.9</v>
      </c>
      <c r="BP1951">
        <f t="shared" si="60"/>
        <v>2.168850005028427</v>
      </c>
      <c r="BQ1951">
        <f t="shared" si="61"/>
        <v>10.377721836706167</v>
      </c>
    </row>
    <row r="1952" spans="1:69" hidden="1" x14ac:dyDescent="0.2">
      <c r="A1952" t="s">
        <v>3584</v>
      </c>
      <c r="B1952" t="s">
        <v>68</v>
      </c>
      <c r="C1952" t="s">
        <v>3294</v>
      </c>
      <c r="D1952" t="s">
        <v>70</v>
      </c>
      <c r="E1952" t="s">
        <v>102</v>
      </c>
      <c r="F1952">
        <v>5</v>
      </c>
      <c r="G1952">
        <v>23</v>
      </c>
      <c r="H1952">
        <v>1</v>
      </c>
      <c r="I1952">
        <v>1</v>
      </c>
      <c r="J1952">
        <v>0</v>
      </c>
      <c r="K1952" t="s">
        <v>110</v>
      </c>
      <c r="L1952" t="s">
        <v>124</v>
      </c>
      <c r="M1952" s="4">
        <v>250000000</v>
      </c>
      <c r="N1952">
        <v>0</v>
      </c>
      <c r="O1952">
        <v>4.7009600000000002</v>
      </c>
      <c r="P1952">
        <v>-74.032749999999993</v>
      </c>
      <c r="Q1952" t="s">
        <v>3585</v>
      </c>
      <c r="R1952">
        <v>10869565.220000001</v>
      </c>
      <c r="S1952">
        <v>0</v>
      </c>
      <c r="T1952" t="s">
        <v>104</v>
      </c>
      <c r="U1952" t="s">
        <v>105</v>
      </c>
      <c r="V1952" t="s">
        <v>77</v>
      </c>
      <c r="W1952" t="s">
        <v>104</v>
      </c>
      <c r="X1952" t="s">
        <v>106</v>
      </c>
      <c r="Y1952">
        <v>1.0768680863173601</v>
      </c>
      <c r="Z1952">
        <v>1076.8680863173599</v>
      </c>
      <c r="AA1952">
        <v>4.71035</v>
      </c>
      <c r="AB1952">
        <v>-74.030416666666696</v>
      </c>
      <c r="AC1952">
        <v>2570</v>
      </c>
      <c r="AD1952">
        <v>10</v>
      </c>
      <c r="AE1952" t="s">
        <v>80</v>
      </c>
      <c r="AF1952" t="s">
        <v>107</v>
      </c>
      <c r="AG1952" t="s">
        <v>82</v>
      </c>
      <c r="AH1952" t="s">
        <v>83</v>
      </c>
      <c r="AI1952" t="s">
        <v>108</v>
      </c>
      <c r="AJ1952">
        <v>2.4155719775950799</v>
      </c>
      <c r="AK1952">
        <v>0.78362397363755298</v>
      </c>
      <c r="AL1952">
        <v>5.2042382366397202E-2</v>
      </c>
      <c r="AM1952">
        <v>8.5710393616765301E-2</v>
      </c>
      <c r="AN1952">
        <v>4.5336209019902398</v>
      </c>
      <c r="AO1952">
        <v>0.45447065549889198</v>
      </c>
      <c r="AP1952">
        <v>0.45447065549889198</v>
      </c>
      <c r="AQ1952">
        <v>0</v>
      </c>
      <c r="AR1952">
        <v>0</v>
      </c>
      <c r="AS1952">
        <v>0</v>
      </c>
      <c r="AT1952">
        <v>17</v>
      </c>
      <c r="AU1952">
        <v>2</v>
      </c>
      <c r="AV1952">
        <v>137</v>
      </c>
      <c r="AW1952">
        <v>0</v>
      </c>
      <c r="AX1952">
        <v>0</v>
      </c>
      <c r="AY1952">
        <v>15.5</v>
      </c>
      <c r="AZ1952">
        <v>2.4</v>
      </c>
      <c r="BA1952">
        <v>10.9</v>
      </c>
      <c r="BB1952">
        <v>564</v>
      </c>
      <c r="BC1952">
        <v>68</v>
      </c>
      <c r="BD1952">
        <v>1.5</v>
      </c>
      <c r="BE1952">
        <v>135</v>
      </c>
      <c r="BF1952">
        <v>0</v>
      </c>
      <c r="BG1952">
        <v>162</v>
      </c>
      <c r="BH1952">
        <v>9.1</v>
      </c>
      <c r="BI1952">
        <v>9.1999999999999993</v>
      </c>
      <c r="BJ1952">
        <v>18.3</v>
      </c>
      <c r="BK1952">
        <v>0.34</v>
      </c>
      <c r="BL1952">
        <v>7.3</v>
      </c>
      <c r="BM1952">
        <v>0.9</v>
      </c>
      <c r="BN1952">
        <v>7.5</v>
      </c>
      <c r="BO1952">
        <v>2.9</v>
      </c>
      <c r="BP1952">
        <f t="shared" si="60"/>
        <v>2.2754179892872877</v>
      </c>
      <c r="BQ1952">
        <f t="shared" si="61"/>
        <v>10.62190050592627</v>
      </c>
    </row>
    <row r="1953" spans="1:69" hidden="1" x14ac:dyDescent="0.2">
      <c r="A1953" t="s">
        <v>3302</v>
      </c>
      <c r="B1953" t="s">
        <v>68</v>
      </c>
      <c r="C1953" t="s">
        <v>3294</v>
      </c>
      <c r="D1953" t="s">
        <v>70</v>
      </c>
      <c r="E1953" t="s">
        <v>560</v>
      </c>
      <c r="F1953">
        <v>5</v>
      </c>
      <c r="G1953">
        <v>22.88</v>
      </c>
      <c r="H1953">
        <v>1</v>
      </c>
      <c r="I1953">
        <v>1</v>
      </c>
      <c r="J1953">
        <v>0</v>
      </c>
      <c r="K1953" t="s">
        <v>110</v>
      </c>
      <c r="L1953" t="s">
        <v>111</v>
      </c>
      <c r="M1953" s="4">
        <v>263000000</v>
      </c>
      <c r="N1953">
        <v>0</v>
      </c>
      <c r="O1953">
        <v>4.7144012000000002</v>
      </c>
      <c r="P1953">
        <v>-74.037220000000005</v>
      </c>
      <c r="Q1953" t="s">
        <v>3303</v>
      </c>
      <c r="R1953">
        <v>11494755.24</v>
      </c>
      <c r="S1953">
        <v>0</v>
      </c>
      <c r="T1953" t="s">
        <v>104</v>
      </c>
      <c r="U1953" t="s">
        <v>105</v>
      </c>
      <c r="V1953" t="s">
        <v>77</v>
      </c>
      <c r="W1953" t="s">
        <v>104</v>
      </c>
      <c r="X1953" t="s">
        <v>106</v>
      </c>
      <c r="Y1953">
        <v>0.87924905325134906</v>
      </c>
      <c r="Z1953">
        <v>879.24905325134898</v>
      </c>
      <c r="AA1953">
        <v>4.71035</v>
      </c>
      <c r="AB1953">
        <v>-74.030416666666696</v>
      </c>
      <c r="AC1953">
        <v>2570</v>
      </c>
      <c r="AD1953">
        <v>10</v>
      </c>
      <c r="AE1953" t="s">
        <v>80</v>
      </c>
      <c r="AF1953" t="s">
        <v>107</v>
      </c>
      <c r="AG1953" t="s">
        <v>82</v>
      </c>
      <c r="AH1953" t="s">
        <v>83</v>
      </c>
      <c r="AI1953" t="s">
        <v>108</v>
      </c>
      <c r="AJ1953">
        <v>1.7007226033629199</v>
      </c>
      <c r="AK1953">
        <v>1.40400110687142</v>
      </c>
      <c r="AL1953">
        <v>0.637235464305142</v>
      </c>
      <c r="AM1953">
        <v>0.26332023894412099</v>
      </c>
      <c r="AN1953">
        <v>3.2164079806430901</v>
      </c>
      <c r="AO1953">
        <v>0.274994817165993</v>
      </c>
      <c r="AP1953">
        <v>0.274994817165993</v>
      </c>
      <c r="AQ1953">
        <v>0</v>
      </c>
      <c r="AR1953">
        <v>0</v>
      </c>
      <c r="AS1953">
        <v>0</v>
      </c>
      <c r="AT1953">
        <v>0</v>
      </c>
      <c r="AU1953">
        <v>1</v>
      </c>
      <c r="AV1953">
        <v>77</v>
      </c>
      <c r="AW1953">
        <v>0</v>
      </c>
      <c r="AX1953">
        <v>0</v>
      </c>
      <c r="AY1953">
        <v>15.5</v>
      </c>
      <c r="AZ1953">
        <v>2.4</v>
      </c>
      <c r="BA1953">
        <v>10.9</v>
      </c>
      <c r="BB1953">
        <v>564</v>
      </c>
      <c r="BC1953">
        <v>68</v>
      </c>
      <c r="BD1953">
        <v>1.5</v>
      </c>
      <c r="BE1953">
        <v>135</v>
      </c>
      <c r="BF1953">
        <v>0</v>
      </c>
      <c r="BG1953">
        <v>162</v>
      </c>
      <c r="BH1953">
        <v>9.1</v>
      </c>
      <c r="BI1953">
        <v>9.1999999999999993</v>
      </c>
      <c r="BJ1953">
        <v>18.3</v>
      </c>
      <c r="BK1953">
        <v>0.34</v>
      </c>
      <c r="BL1953">
        <v>7.3</v>
      </c>
      <c r="BM1953">
        <v>0.9</v>
      </c>
      <c r="BN1953">
        <v>7.5</v>
      </c>
      <c r="BO1953">
        <v>2.9</v>
      </c>
      <c r="BP1953">
        <f t="shared" si="60"/>
        <v>2.2977856750558452</v>
      </c>
      <c r="BQ1953">
        <f t="shared" si="61"/>
        <v>10.672398316181777</v>
      </c>
    </row>
    <row r="1954" spans="1:69" hidden="1" x14ac:dyDescent="0.2">
      <c r="A1954" t="s">
        <v>3996</v>
      </c>
      <c r="B1954" t="s">
        <v>68</v>
      </c>
      <c r="C1954" t="s">
        <v>3294</v>
      </c>
      <c r="D1954" t="s">
        <v>70</v>
      </c>
      <c r="E1954" t="s">
        <v>190</v>
      </c>
      <c r="F1954">
        <v>5</v>
      </c>
      <c r="G1954">
        <v>22.63</v>
      </c>
      <c r="H1954">
        <v>1</v>
      </c>
      <c r="I1954">
        <v>1</v>
      </c>
      <c r="J1954">
        <v>0</v>
      </c>
      <c r="K1954" t="s">
        <v>110</v>
      </c>
      <c r="L1954" t="s">
        <v>111</v>
      </c>
      <c r="M1954" s="4">
        <v>450000000</v>
      </c>
      <c r="N1954">
        <v>0</v>
      </c>
      <c r="O1954">
        <v>4.6856913569999996</v>
      </c>
      <c r="P1954">
        <v>-74.047485350000002</v>
      </c>
      <c r="Q1954" t="s">
        <v>3997</v>
      </c>
      <c r="R1954">
        <v>19885108.260000002</v>
      </c>
      <c r="S1954">
        <v>0</v>
      </c>
      <c r="T1954" t="s">
        <v>104</v>
      </c>
      <c r="U1954" t="s">
        <v>105</v>
      </c>
      <c r="V1954" t="s">
        <v>77</v>
      </c>
      <c r="W1954" t="s">
        <v>104</v>
      </c>
      <c r="X1954" t="s">
        <v>106</v>
      </c>
      <c r="Y1954">
        <v>3.33482099183998</v>
      </c>
      <c r="Z1954">
        <v>3334.8209918399798</v>
      </c>
      <c r="AA1954">
        <v>4.71035</v>
      </c>
      <c r="AB1954">
        <v>-74.030416666666696</v>
      </c>
      <c r="AC1954">
        <v>2570</v>
      </c>
      <c r="AD1954">
        <v>10</v>
      </c>
      <c r="AE1954" t="s">
        <v>80</v>
      </c>
      <c r="AF1954" t="s">
        <v>107</v>
      </c>
      <c r="AG1954" t="s">
        <v>82</v>
      </c>
      <c r="AH1954" t="s">
        <v>83</v>
      </c>
      <c r="AI1954" t="s">
        <v>108</v>
      </c>
      <c r="AJ1954">
        <v>1.1501876994918301</v>
      </c>
      <c r="AK1954">
        <v>1.4655323706104999</v>
      </c>
      <c r="AL1954">
        <v>0.40215353683917898</v>
      </c>
      <c r="AM1954">
        <v>0.11676769158313099</v>
      </c>
      <c r="AN1954">
        <v>4.0314452604604396</v>
      </c>
      <c r="AO1954">
        <v>0.55139805195748204</v>
      </c>
      <c r="AP1954">
        <v>0.55139805195748204</v>
      </c>
      <c r="AQ1954">
        <v>0</v>
      </c>
      <c r="AR1954">
        <v>0</v>
      </c>
      <c r="AS1954">
        <v>0</v>
      </c>
      <c r="AT1954">
        <v>0</v>
      </c>
      <c r="AU1954">
        <v>6</v>
      </c>
      <c r="AV1954">
        <v>132</v>
      </c>
      <c r="AW1954">
        <v>0</v>
      </c>
      <c r="AX1954">
        <v>0</v>
      </c>
      <c r="AY1954">
        <v>15.5</v>
      </c>
      <c r="AZ1954">
        <v>2.4</v>
      </c>
      <c r="BA1954">
        <v>10.9</v>
      </c>
      <c r="BB1954">
        <v>564</v>
      </c>
      <c r="BC1954">
        <v>68</v>
      </c>
      <c r="BD1954">
        <v>1.5</v>
      </c>
      <c r="BE1954">
        <v>135</v>
      </c>
      <c r="BF1954">
        <v>0</v>
      </c>
      <c r="BG1954">
        <v>162</v>
      </c>
      <c r="BH1954">
        <v>9.1</v>
      </c>
      <c r="BI1954">
        <v>9.1999999999999993</v>
      </c>
      <c r="BJ1954">
        <v>18.3</v>
      </c>
      <c r="BK1954">
        <v>0.34</v>
      </c>
      <c r="BL1954">
        <v>7.3</v>
      </c>
      <c r="BM1954">
        <v>0.9</v>
      </c>
      <c r="BN1954">
        <v>7.5</v>
      </c>
      <c r="BO1954">
        <v>2.9</v>
      </c>
      <c r="BP1954">
        <f t="shared" si="60"/>
        <v>2.0347950438260707</v>
      </c>
      <c r="BQ1954">
        <f t="shared" si="61"/>
        <v>10.061608931486358</v>
      </c>
    </row>
    <row r="1955" spans="1:69" hidden="1" x14ac:dyDescent="0.2">
      <c r="A1955" t="s">
        <v>4525</v>
      </c>
      <c r="B1955" t="s">
        <v>68</v>
      </c>
      <c r="C1955" t="s">
        <v>3294</v>
      </c>
      <c r="D1955" t="s">
        <v>70</v>
      </c>
      <c r="E1955" t="s">
        <v>772</v>
      </c>
      <c r="F1955">
        <v>4</v>
      </c>
      <c r="G1955">
        <v>22.31</v>
      </c>
      <c r="H1955">
        <v>1</v>
      </c>
      <c r="I1955">
        <v>1</v>
      </c>
      <c r="J1955">
        <v>1</v>
      </c>
      <c r="K1955" t="s">
        <v>110</v>
      </c>
      <c r="L1955" t="s">
        <v>162</v>
      </c>
      <c r="M1955" s="4">
        <v>330000000</v>
      </c>
      <c r="N1955">
        <v>0</v>
      </c>
      <c r="O1955">
        <v>4.7199799999999996</v>
      </c>
      <c r="P1955">
        <v>-74.032617000000002</v>
      </c>
      <c r="Q1955" t="s">
        <v>4526</v>
      </c>
      <c r="R1955">
        <v>14791573.289999999</v>
      </c>
      <c r="S1955">
        <v>0</v>
      </c>
      <c r="T1955" t="s">
        <v>104</v>
      </c>
      <c r="U1955" t="s">
        <v>105</v>
      </c>
      <c r="V1955" t="s">
        <v>77</v>
      </c>
      <c r="W1955" t="s">
        <v>104</v>
      </c>
      <c r="X1955" t="s">
        <v>106</v>
      </c>
      <c r="Y1955">
        <v>1.0994492032053</v>
      </c>
      <c r="Z1955">
        <v>1099.4492032052999</v>
      </c>
      <c r="AA1955">
        <v>4.71035</v>
      </c>
      <c r="AB1955">
        <v>-74.030416666666696</v>
      </c>
      <c r="AC1955">
        <v>2570</v>
      </c>
      <c r="AD1955">
        <v>10</v>
      </c>
      <c r="AE1955" t="s">
        <v>80</v>
      </c>
      <c r="AF1955" t="s">
        <v>107</v>
      </c>
      <c r="AG1955" t="s">
        <v>82</v>
      </c>
      <c r="AH1955" t="s">
        <v>83</v>
      </c>
      <c r="AI1955" t="s">
        <v>108</v>
      </c>
      <c r="AJ1955">
        <v>2.0931591785430901</v>
      </c>
      <c r="AK1955">
        <v>1.0052193408405401</v>
      </c>
      <c r="AL1955">
        <v>1.02109710723678</v>
      </c>
      <c r="AM1955">
        <v>0.232181135877885</v>
      </c>
      <c r="AN1955">
        <v>2.4700657736006999</v>
      </c>
      <c r="AO1955">
        <v>3.4992726349709399E-3</v>
      </c>
      <c r="AP1955">
        <v>3.4992726349709399E-3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65</v>
      </c>
      <c r="AW1955">
        <v>0</v>
      </c>
      <c r="AX1955">
        <v>0</v>
      </c>
      <c r="AY1955">
        <v>15.5</v>
      </c>
      <c r="AZ1955">
        <v>2.4</v>
      </c>
      <c r="BA1955">
        <v>10.9</v>
      </c>
      <c r="BB1955">
        <v>564</v>
      </c>
      <c r="BC1955">
        <v>68</v>
      </c>
      <c r="BD1955">
        <v>1.5</v>
      </c>
      <c r="BE1955">
        <v>135</v>
      </c>
      <c r="BF1955">
        <v>0</v>
      </c>
      <c r="BG1955">
        <v>162</v>
      </c>
      <c r="BH1955">
        <v>9.1</v>
      </c>
      <c r="BI1955">
        <v>9.1999999999999993</v>
      </c>
      <c r="BJ1955">
        <v>18.3</v>
      </c>
      <c r="BK1955">
        <v>0.34</v>
      </c>
      <c r="BL1955">
        <v>7.3</v>
      </c>
      <c r="BM1955">
        <v>0.9</v>
      </c>
      <c r="BN1955">
        <v>7.5</v>
      </c>
      <c r="BO1955">
        <v>2.9</v>
      </c>
      <c r="BP1955">
        <f t="shared" si="60"/>
        <v>2.2728760269711077</v>
      </c>
      <c r="BQ1955">
        <f t="shared" si="61"/>
        <v>10.616145560458767</v>
      </c>
    </row>
    <row r="1956" spans="1:69" hidden="1" x14ac:dyDescent="0.2">
      <c r="A1956" t="s">
        <v>3839</v>
      </c>
      <c r="B1956" t="s">
        <v>68</v>
      </c>
      <c r="C1956" t="s">
        <v>3294</v>
      </c>
      <c r="D1956" t="s">
        <v>70</v>
      </c>
      <c r="E1956" t="s">
        <v>429</v>
      </c>
      <c r="F1956">
        <v>4</v>
      </c>
      <c r="G1956">
        <v>22.1</v>
      </c>
      <c r="H1956">
        <v>1</v>
      </c>
      <c r="I1956">
        <v>1</v>
      </c>
      <c r="J1956">
        <v>0</v>
      </c>
      <c r="K1956" t="s">
        <v>110</v>
      </c>
      <c r="L1956" t="s">
        <v>111</v>
      </c>
      <c r="M1956" s="4">
        <v>260000000</v>
      </c>
      <c r="N1956">
        <v>0</v>
      </c>
      <c r="O1956">
        <v>4.7245160000000004</v>
      </c>
      <c r="P1956">
        <v>-74.047179999999997</v>
      </c>
      <c r="Q1956" t="s">
        <v>3840</v>
      </c>
      <c r="R1956">
        <v>11764705.880000001</v>
      </c>
      <c r="S1956">
        <v>0</v>
      </c>
      <c r="T1956" t="s">
        <v>104</v>
      </c>
      <c r="U1956" t="s">
        <v>105</v>
      </c>
      <c r="V1956" t="s">
        <v>77</v>
      </c>
      <c r="W1956" t="s">
        <v>104</v>
      </c>
      <c r="X1956" t="s">
        <v>106</v>
      </c>
      <c r="Y1956">
        <v>2.4383396329796398</v>
      </c>
      <c r="Z1956">
        <v>2438.3396329796401</v>
      </c>
      <c r="AA1956">
        <v>4.71035</v>
      </c>
      <c r="AB1956">
        <v>-74.030416666666696</v>
      </c>
      <c r="AC1956">
        <v>2570</v>
      </c>
      <c r="AD1956">
        <v>10</v>
      </c>
      <c r="AE1956" t="s">
        <v>80</v>
      </c>
      <c r="AF1956" t="s">
        <v>107</v>
      </c>
      <c r="AG1956" t="s">
        <v>82</v>
      </c>
      <c r="AH1956" t="s">
        <v>83</v>
      </c>
      <c r="AI1956" t="s">
        <v>108</v>
      </c>
      <c r="AJ1956">
        <v>0.44978317869573903</v>
      </c>
      <c r="AK1956">
        <v>2.6723695095793998</v>
      </c>
      <c r="AL1956">
        <v>1.2222098960446399</v>
      </c>
      <c r="AM1956">
        <v>9.3934210103837207E-2</v>
      </c>
      <c r="AN1956">
        <v>2.9458665410389502</v>
      </c>
      <c r="AO1956">
        <v>2.4022783728091301E-2</v>
      </c>
      <c r="AP1956">
        <v>2.4022783728091301E-2</v>
      </c>
      <c r="AQ1956">
        <v>1</v>
      </c>
      <c r="AR1956">
        <v>3</v>
      </c>
      <c r="AS1956">
        <v>0</v>
      </c>
      <c r="AT1956">
        <v>0</v>
      </c>
      <c r="AU1956">
        <v>0</v>
      </c>
      <c r="AV1956">
        <v>44</v>
      </c>
      <c r="AW1956">
        <v>0</v>
      </c>
      <c r="AX1956">
        <v>0</v>
      </c>
      <c r="AY1956">
        <v>15.5</v>
      </c>
      <c r="AZ1956">
        <v>2.4</v>
      </c>
      <c r="BA1956">
        <v>10.9</v>
      </c>
      <c r="BB1956">
        <v>564</v>
      </c>
      <c r="BC1956">
        <v>68</v>
      </c>
      <c r="BD1956">
        <v>1.5</v>
      </c>
      <c r="BE1956">
        <v>135</v>
      </c>
      <c r="BF1956">
        <v>0</v>
      </c>
      <c r="BG1956">
        <v>162</v>
      </c>
      <c r="BH1956">
        <v>9.1</v>
      </c>
      <c r="BI1956">
        <v>9.1999999999999993</v>
      </c>
      <c r="BJ1956">
        <v>18.3</v>
      </c>
      <c r="BK1956">
        <v>0.34</v>
      </c>
      <c r="BL1956">
        <v>7.3</v>
      </c>
      <c r="BM1956">
        <v>0.9</v>
      </c>
      <c r="BN1956">
        <v>7.5</v>
      </c>
      <c r="BO1956">
        <v>2.9</v>
      </c>
      <c r="BP1956">
        <f t="shared" si="60"/>
        <v>2.1271241976740076</v>
      </c>
      <c r="BQ1956">
        <f t="shared" si="61"/>
        <v>10.280435655241353</v>
      </c>
    </row>
    <row r="1957" spans="1:69" hidden="1" x14ac:dyDescent="0.2">
      <c r="A1957" t="s">
        <v>3422</v>
      </c>
      <c r="B1957" t="s">
        <v>68</v>
      </c>
      <c r="C1957" t="s">
        <v>3294</v>
      </c>
      <c r="D1957" t="s">
        <v>70</v>
      </c>
      <c r="E1957" t="s">
        <v>193</v>
      </c>
      <c r="F1957">
        <v>5</v>
      </c>
      <c r="G1957">
        <v>21.6</v>
      </c>
      <c r="H1957">
        <v>1</v>
      </c>
      <c r="I1957">
        <v>1</v>
      </c>
      <c r="J1957">
        <v>0</v>
      </c>
      <c r="K1957" t="s">
        <v>72</v>
      </c>
      <c r="L1957" t="s">
        <v>73</v>
      </c>
      <c r="M1957" s="4">
        <v>262900000</v>
      </c>
      <c r="N1957">
        <v>0</v>
      </c>
      <c r="O1957">
        <v>4.7005549999999996</v>
      </c>
      <c r="P1957">
        <v>-74.030410000000003</v>
      </c>
      <c r="Q1957" t="s">
        <v>3423</v>
      </c>
      <c r="R1957">
        <v>12171296.300000001</v>
      </c>
      <c r="S1957">
        <v>0</v>
      </c>
      <c r="T1957" t="s">
        <v>104</v>
      </c>
      <c r="U1957" t="s">
        <v>105</v>
      </c>
      <c r="V1957" t="s">
        <v>77</v>
      </c>
      <c r="W1957" t="s">
        <v>104</v>
      </c>
      <c r="X1957" t="s">
        <v>106</v>
      </c>
      <c r="Y1957">
        <v>1.0903746631746101</v>
      </c>
      <c r="Z1957">
        <v>1090.3746631746101</v>
      </c>
      <c r="AA1957">
        <v>4.71035</v>
      </c>
      <c r="AB1957">
        <v>-74.030416666666696</v>
      </c>
      <c r="AC1957">
        <v>2570</v>
      </c>
      <c r="AD1957">
        <v>10</v>
      </c>
      <c r="AE1957" t="s">
        <v>80</v>
      </c>
      <c r="AF1957" t="s">
        <v>107</v>
      </c>
      <c r="AG1957" t="s">
        <v>82</v>
      </c>
      <c r="AH1957" t="s">
        <v>83</v>
      </c>
      <c r="AI1957" t="s">
        <v>108</v>
      </c>
      <c r="AJ1957">
        <v>2.6788553816470402</v>
      </c>
      <c r="AK1957">
        <v>0.52051028747738204</v>
      </c>
      <c r="AL1957">
        <v>0.24347648255062401</v>
      </c>
      <c r="AM1957">
        <v>6.5109021914025705E-2</v>
      </c>
      <c r="AN1957">
        <v>4.5473291198455899</v>
      </c>
      <c r="AO1957">
        <v>0.41491239207020603</v>
      </c>
      <c r="AP1957">
        <v>0.41491239207020603</v>
      </c>
      <c r="AQ1957">
        <v>0</v>
      </c>
      <c r="AR1957">
        <v>0</v>
      </c>
      <c r="AS1957">
        <v>0</v>
      </c>
      <c r="AT1957">
        <v>25</v>
      </c>
      <c r="AU1957">
        <v>2</v>
      </c>
      <c r="AV1957">
        <v>122</v>
      </c>
      <c r="AW1957">
        <v>0</v>
      </c>
      <c r="AX1957">
        <v>0</v>
      </c>
      <c r="AY1957">
        <v>15.5</v>
      </c>
      <c r="AZ1957">
        <v>2.4</v>
      </c>
      <c r="BA1957">
        <v>10.9</v>
      </c>
      <c r="BB1957">
        <v>564</v>
      </c>
      <c r="BC1957">
        <v>68</v>
      </c>
      <c r="BD1957">
        <v>1.5</v>
      </c>
      <c r="BE1957">
        <v>135</v>
      </c>
      <c r="BF1957">
        <v>0</v>
      </c>
      <c r="BG1957">
        <v>162</v>
      </c>
      <c r="BH1957">
        <v>9.1</v>
      </c>
      <c r="BI1957">
        <v>9.1999999999999993</v>
      </c>
      <c r="BJ1957">
        <v>18.3</v>
      </c>
      <c r="BK1957">
        <v>0.34</v>
      </c>
      <c r="BL1957">
        <v>7.3</v>
      </c>
      <c r="BM1957">
        <v>0.9</v>
      </c>
      <c r="BN1957">
        <v>7.5</v>
      </c>
      <c r="BO1957">
        <v>2.9</v>
      </c>
      <c r="BP1957">
        <f t="shared" si="60"/>
        <v>2.2738972088784819</v>
      </c>
      <c r="BQ1957">
        <f t="shared" si="61"/>
        <v>10.618457891558361</v>
      </c>
    </row>
    <row r="1958" spans="1:69" hidden="1" x14ac:dyDescent="0.2">
      <c r="A1958" t="s">
        <v>3578</v>
      </c>
      <c r="B1958" t="s">
        <v>68</v>
      </c>
      <c r="C1958" t="s">
        <v>3294</v>
      </c>
      <c r="D1958" t="s">
        <v>70</v>
      </c>
      <c r="E1958" t="s">
        <v>229</v>
      </c>
      <c r="F1958">
        <v>6</v>
      </c>
      <c r="G1958">
        <v>21</v>
      </c>
      <c r="H1958">
        <v>1</v>
      </c>
      <c r="I1958">
        <v>1</v>
      </c>
      <c r="J1958">
        <v>0</v>
      </c>
      <c r="K1958" t="s">
        <v>110</v>
      </c>
      <c r="L1958" t="s">
        <v>111</v>
      </c>
      <c r="M1958" s="4">
        <v>320000000</v>
      </c>
      <c r="N1958">
        <v>0</v>
      </c>
      <c r="O1958">
        <v>4.6816199999999997</v>
      </c>
      <c r="P1958">
        <v>-74.047139999999999</v>
      </c>
      <c r="Q1958" t="s">
        <v>3579</v>
      </c>
      <c r="R1958">
        <v>15238095.24</v>
      </c>
      <c r="S1958">
        <v>0</v>
      </c>
      <c r="T1958" t="s">
        <v>104</v>
      </c>
      <c r="U1958" t="s">
        <v>105</v>
      </c>
      <c r="V1958" t="s">
        <v>77</v>
      </c>
      <c r="W1958" t="s">
        <v>104</v>
      </c>
      <c r="X1958" t="s">
        <v>106</v>
      </c>
      <c r="Y1958">
        <v>3.6974300751556402</v>
      </c>
      <c r="Z1958">
        <v>3697.4300751556402</v>
      </c>
      <c r="AA1958">
        <v>4.71035</v>
      </c>
      <c r="AB1958">
        <v>-74.030416666666696</v>
      </c>
      <c r="AC1958">
        <v>2570</v>
      </c>
      <c r="AD1958">
        <v>10</v>
      </c>
      <c r="AE1958" t="s">
        <v>80</v>
      </c>
      <c r="AF1958" t="s">
        <v>107</v>
      </c>
      <c r="AG1958" t="s">
        <v>82</v>
      </c>
      <c r="AH1958" t="s">
        <v>83</v>
      </c>
      <c r="AI1958" t="s">
        <v>130</v>
      </c>
      <c r="AJ1958">
        <v>1.20019307229707</v>
      </c>
      <c r="AK1958">
        <v>1.18883715800353</v>
      </c>
      <c r="AL1958">
        <v>0.65498137780241705</v>
      </c>
      <c r="AM1958">
        <v>9.2125053842393195E-2</v>
      </c>
      <c r="AN1958">
        <v>3.9455166185888699</v>
      </c>
      <c r="AO1958">
        <v>0.92328563608887004</v>
      </c>
      <c r="AP1958">
        <v>0.92328563608887004</v>
      </c>
      <c r="AQ1958">
        <v>0</v>
      </c>
      <c r="AR1958">
        <v>0</v>
      </c>
      <c r="AS1958">
        <v>0</v>
      </c>
      <c r="AT1958">
        <v>0</v>
      </c>
      <c r="AU1958">
        <v>5</v>
      </c>
      <c r="AV1958">
        <v>127</v>
      </c>
      <c r="AW1958">
        <v>0</v>
      </c>
      <c r="AX1958">
        <v>0</v>
      </c>
      <c r="AY1958">
        <v>15.5</v>
      </c>
      <c r="AZ1958">
        <v>2.4</v>
      </c>
      <c r="BA1958">
        <v>10.9</v>
      </c>
      <c r="BB1958">
        <v>564</v>
      </c>
      <c r="BC1958">
        <v>68</v>
      </c>
      <c r="BD1958">
        <v>1.5</v>
      </c>
      <c r="BE1958">
        <v>135</v>
      </c>
      <c r="BF1958">
        <v>0</v>
      </c>
      <c r="BG1958">
        <v>162</v>
      </c>
      <c r="BH1958">
        <v>9.1</v>
      </c>
      <c r="BI1958">
        <v>9.1999999999999993</v>
      </c>
      <c r="BJ1958">
        <v>18.3</v>
      </c>
      <c r="BK1958">
        <v>0.34</v>
      </c>
      <c r="BL1958">
        <v>7.3</v>
      </c>
      <c r="BM1958">
        <v>0.9</v>
      </c>
      <c r="BN1958">
        <v>7.5</v>
      </c>
      <c r="BO1958">
        <v>2.9</v>
      </c>
      <c r="BP1958">
        <f t="shared" si="60"/>
        <v>1.9985980277587974</v>
      </c>
      <c r="BQ1958">
        <f t="shared" si="61"/>
        <v>9.9744265004249044</v>
      </c>
    </row>
    <row r="1959" spans="1:69" hidden="1" x14ac:dyDescent="0.2">
      <c r="A1959" t="s">
        <v>3320</v>
      </c>
      <c r="B1959" t="s">
        <v>68</v>
      </c>
      <c r="C1959" t="s">
        <v>3294</v>
      </c>
      <c r="D1959" t="s">
        <v>70</v>
      </c>
      <c r="E1959" t="s">
        <v>442</v>
      </c>
      <c r="F1959">
        <v>5</v>
      </c>
      <c r="G1959">
        <v>20.53</v>
      </c>
      <c r="H1959">
        <v>1</v>
      </c>
      <c r="I1959">
        <v>1</v>
      </c>
      <c r="J1959">
        <v>1</v>
      </c>
      <c r="K1959" t="s">
        <v>110</v>
      </c>
      <c r="L1959" t="s">
        <v>111</v>
      </c>
      <c r="M1959" s="4">
        <v>260000000</v>
      </c>
      <c r="N1959">
        <v>0</v>
      </c>
      <c r="O1959">
        <v>4.7162274999999996</v>
      </c>
      <c r="P1959">
        <v>-74.042389999999997</v>
      </c>
      <c r="Q1959" t="s">
        <v>3321</v>
      </c>
      <c r="R1959">
        <v>12664393.57</v>
      </c>
      <c r="S1959">
        <v>0</v>
      </c>
      <c r="T1959" t="s">
        <v>104</v>
      </c>
      <c r="U1959" t="s">
        <v>105</v>
      </c>
      <c r="V1959" t="s">
        <v>77</v>
      </c>
      <c r="W1959" t="s">
        <v>104</v>
      </c>
      <c r="X1959" t="s">
        <v>106</v>
      </c>
      <c r="Y1959">
        <v>1.4807491154197401</v>
      </c>
      <c r="Z1959">
        <v>1480.7491154197401</v>
      </c>
      <c r="AA1959">
        <v>4.71035</v>
      </c>
      <c r="AB1959">
        <v>-74.030416666666696</v>
      </c>
      <c r="AC1959">
        <v>2570</v>
      </c>
      <c r="AD1959">
        <v>10</v>
      </c>
      <c r="AE1959" t="s">
        <v>80</v>
      </c>
      <c r="AF1959" t="s">
        <v>107</v>
      </c>
      <c r="AG1959" t="s">
        <v>82</v>
      </c>
      <c r="AH1959" t="s">
        <v>83</v>
      </c>
      <c r="AI1959" t="s">
        <v>108</v>
      </c>
      <c r="AJ1959">
        <v>1.14239854234889</v>
      </c>
      <c r="AK1959">
        <v>2.0034876564826898</v>
      </c>
      <c r="AL1959">
        <v>1.2260543388942</v>
      </c>
      <c r="AM1959">
        <v>9.2071029274162802E-2</v>
      </c>
      <c r="AN1959">
        <v>3.2919882977414798</v>
      </c>
      <c r="AO1959">
        <v>0.57127088071439003</v>
      </c>
      <c r="AP1959">
        <v>0.57127088071439003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38</v>
      </c>
      <c r="AW1959">
        <v>0</v>
      </c>
      <c r="AX1959">
        <v>0</v>
      </c>
      <c r="AY1959">
        <v>15.5</v>
      </c>
      <c r="AZ1959">
        <v>2.4</v>
      </c>
      <c r="BA1959">
        <v>10.9</v>
      </c>
      <c r="BB1959">
        <v>564</v>
      </c>
      <c r="BC1959">
        <v>68</v>
      </c>
      <c r="BD1959">
        <v>1.5</v>
      </c>
      <c r="BE1959">
        <v>135</v>
      </c>
      <c r="BF1959">
        <v>0</v>
      </c>
      <c r="BG1959">
        <v>162</v>
      </c>
      <c r="BH1959">
        <v>9.1</v>
      </c>
      <c r="BI1959">
        <v>9.1999999999999993</v>
      </c>
      <c r="BJ1959">
        <v>18.3</v>
      </c>
      <c r="BK1959">
        <v>0.34</v>
      </c>
      <c r="BL1959">
        <v>7.3</v>
      </c>
      <c r="BM1959">
        <v>0.9</v>
      </c>
      <c r="BN1959">
        <v>7.5</v>
      </c>
      <c r="BO1959">
        <v>2.9</v>
      </c>
      <c r="BP1959">
        <f t="shared" si="60"/>
        <v>2.2303792898430923</v>
      </c>
      <c r="BQ1959">
        <f t="shared" si="61"/>
        <v>10.519438280192611</v>
      </c>
    </row>
    <row r="1960" spans="1:69" hidden="1" x14ac:dyDescent="0.2">
      <c r="A1960" t="s">
        <v>3894</v>
      </c>
      <c r="B1960" t="s">
        <v>68</v>
      </c>
      <c r="C1960" t="s">
        <v>3294</v>
      </c>
      <c r="D1960" t="s">
        <v>70</v>
      </c>
      <c r="E1960" t="s">
        <v>3649</v>
      </c>
      <c r="F1960">
        <v>5</v>
      </c>
      <c r="G1960">
        <v>20.190000000000001</v>
      </c>
      <c r="H1960">
        <v>1</v>
      </c>
      <c r="I1960">
        <v>1</v>
      </c>
      <c r="J1960">
        <v>1</v>
      </c>
      <c r="K1960" t="s">
        <v>110</v>
      </c>
      <c r="L1960" t="s">
        <v>111</v>
      </c>
      <c r="M1960" s="4">
        <v>400000000</v>
      </c>
      <c r="N1960">
        <v>0</v>
      </c>
      <c r="O1960">
        <v>4.6856799999999996</v>
      </c>
      <c r="P1960">
        <v>-74.047389999999993</v>
      </c>
      <c r="Q1960" t="s">
        <v>3895</v>
      </c>
      <c r="R1960">
        <v>19811788.010000002</v>
      </c>
      <c r="S1960">
        <v>0</v>
      </c>
      <c r="T1960" t="s">
        <v>104</v>
      </c>
      <c r="U1960" t="s">
        <v>105</v>
      </c>
      <c r="V1960" t="s">
        <v>77</v>
      </c>
      <c r="W1960" t="s">
        <v>104</v>
      </c>
      <c r="X1960" t="s">
        <v>106</v>
      </c>
      <c r="Y1960">
        <v>3.3298678502180001</v>
      </c>
      <c r="Z1960">
        <v>3329.8678502180001</v>
      </c>
      <c r="AA1960">
        <v>4.71035</v>
      </c>
      <c r="AB1960">
        <v>-74.030416666666696</v>
      </c>
      <c r="AC1960">
        <v>2570</v>
      </c>
      <c r="AD1960">
        <v>10</v>
      </c>
      <c r="AE1960" t="s">
        <v>80</v>
      </c>
      <c r="AF1960" t="s">
        <v>107</v>
      </c>
      <c r="AG1960" t="s">
        <v>82</v>
      </c>
      <c r="AH1960" t="s">
        <v>83</v>
      </c>
      <c r="AI1960" t="s">
        <v>108</v>
      </c>
      <c r="AJ1960">
        <v>1.1604048101727999</v>
      </c>
      <c r="AK1960">
        <v>1.45610021632037</v>
      </c>
      <c r="AL1960">
        <v>0.41279617515038303</v>
      </c>
      <c r="AM1960">
        <v>0.11490821711721901</v>
      </c>
      <c r="AN1960">
        <v>4.0410354120108103</v>
      </c>
      <c r="AO1960">
        <v>0.54751802845529995</v>
      </c>
      <c r="AP1960">
        <v>0.54751802845529995</v>
      </c>
      <c r="AQ1960">
        <v>0</v>
      </c>
      <c r="AR1960">
        <v>0</v>
      </c>
      <c r="AS1960">
        <v>0</v>
      </c>
      <c r="AT1960">
        <v>0</v>
      </c>
      <c r="AU1960">
        <v>6</v>
      </c>
      <c r="AV1960">
        <v>132</v>
      </c>
      <c r="AW1960">
        <v>0</v>
      </c>
      <c r="AX1960">
        <v>0</v>
      </c>
      <c r="AY1960">
        <v>15.5</v>
      </c>
      <c r="AZ1960">
        <v>2.4</v>
      </c>
      <c r="BA1960">
        <v>10.9</v>
      </c>
      <c r="BB1960">
        <v>564</v>
      </c>
      <c r="BC1960">
        <v>68</v>
      </c>
      <c r="BD1960">
        <v>1.5</v>
      </c>
      <c r="BE1960">
        <v>135</v>
      </c>
      <c r="BF1960">
        <v>0</v>
      </c>
      <c r="BG1960">
        <v>162</v>
      </c>
      <c r="BH1960">
        <v>9.1</v>
      </c>
      <c r="BI1960">
        <v>9.1999999999999993</v>
      </c>
      <c r="BJ1960">
        <v>18.3</v>
      </c>
      <c r="BK1960">
        <v>0.34</v>
      </c>
      <c r="BL1960">
        <v>7.3</v>
      </c>
      <c r="BM1960">
        <v>0.9</v>
      </c>
      <c r="BN1960">
        <v>7.5</v>
      </c>
      <c r="BO1960">
        <v>2.9</v>
      </c>
      <c r="BP1960">
        <f t="shared" si="60"/>
        <v>2.0352939970775545</v>
      </c>
      <c r="BQ1960">
        <f t="shared" si="61"/>
        <v>10.06280508035687</v>
      </c>
    </row>
    <row r="1961" spans="1:69" hidden="1" x14ac:dyDescent="0.2">
      <c r="A1961" t="s">
        <v>3896</v>
      </c>
      <c r="B1961" t="s">
        <v>68</v>
      </c>
      <c r="C1961" t="s">
        <v>3294</v>
      </c>
      <c r="D1961" t="s">
        <v>70</v>
      </c>
      <c r="E1961" t="s">
        <v>3649</v>
      </c>
      <c r="F1961">
        <v>5</v>
      </c>
      <c r="G1961">
        <v>20.190000000000001</v>
      </c>
      <c r="H1961">
        <v>1</v>
      </c>
      <c r="I1961">
        <v>1</v>
      </c>
      <c r="J1961">
        <v>1</v>
      </c>
      <c r="K1961" t="s">
        <v>110</v>
      </c>
      <c r="L1961" t="s">
        <v>111</v>
      </c>
      <c r="M1961" s="4">
        <v>400000000</v>
      </c>
      <c r="N1961">
        <v>0</v>
      </c>
      <c r="O1961">
        <v>4.6856799999999996</v>
      </c>
      <c r="P1961">
        <v>-74.047389999999993</v>
      </c>
      <c r="Q1961" t="s">
        <v>3897</v>
      </c>
      <c r="R1961">
        <v>19811788.010000002</v>
      </c>
      <c r="S1961">
        <v>0</v>
      </c>
      <c r="T1961" t="s">
        <v>104</v>
      </c>
      <c r="U1961" t="s">
        <v>105</v>
      </c>
      <c r="V1961" t="s">
        <v>77</v>
      </c>
      <c r="W1961" t="s">
        <v>104</v>
      </c>
      <c r="X1961" t="s">
        <v>106</v>
      </c>
      <c r="Y1961">
        <v>3.3298678502180001</v>
      </c>
      <c r="Z1961">
        <v>3329.8678502180001</v>
      </c>
      <c r="AA1961">
        <v>4.71035</v>
      </c>
      <c r="AB1961">
        <v>-74.030416666666696</v>
      </c>
      <c r="AC1961">
        <v>2570</v>
      </c>
      <c r="AD1961">
        <v>10</v>
      </c>
      <c r="AE1961" t="s">
        <v>80</v>
      </c>
      <c r="AF1961" t="s">
        <v>107</v>
      </c>
      <c r="AG1961" t="s">
        <v>82</v>
      </c>
      <c r="AH1961" t="s">
        <v>83</v>
      </c>
      <c r="AI1961" t="s">
        <v>108</v>
      </c>
      <c r="AJ1961">
        <v>1.1604048101727999</v>
      </c>
      <c r="AK1961">
        <v>1.45610021632037</v>
      </c>
      <c r="AL1961">
        <v>0.41279617515038303</v>
      </c>
      <c r="AM1961">
        <v>0.11490821711721901</v>
      </c>
      <c r="AN1961">
        <v>4.0410354120108103</v>
      </c>
      <c r="AO1961">
        <v>0.54751802845529995</v>
      </c>
      <c r="AP1961">
        <v>0.54751802845529995</v>
      </c>
      <c r="AQ1961">
        <v>0</v>
      </c>
      <c r="AR1961">
        <v>0</v>
      </c>
      <c r="AS1961">
        <v>0</v>
      </c>
      <c r="AT1961">
        <v>0</v>
      </c>
      <c r="AU1961">
        <v>6</v>
      </c>
      <c r="AV1961">
        <v>132</v>
      </c>
      <c r="AW1961">
        <v>0</v>
      </c>
      <c r="AX1961">
        <v>0</v>
      </c>
      <c r="AY1961">
        <v>15.5</v>
      </c>
      <c r="AZ1961">
        <v>2.4</v>
      </c>
      <c r="BA1961">
        <v>10.9</v>
      </c>
      <c r="BB1961">
        <v>564</v>
      </c>
      <c r="BC1961">
        <v>68</v>
      </c>
      <c r="BD1961">
        <v>1.5</v>
      </c>
      <c r="BE1961">
        <v>135</v>
      </c>
      <c r="BF1961">
        <v>0</v>
      </c>
      <c r="BG1961">
        <v>162</v>
      </c>
      <c r="BH1961">
        <v>9.1</v>
      </c>
      <c r="BI1961">
        <v>9.1999999999999993</v>
      </c>
      <c r="BJ1961">
        <v>18.3</v>
      </c>
      <c r="BK1961">
        <v>0.34</v>
      </c>
      <c r="BL1961">
        <v>7.3</v>
      </c>
      <c r="BM1961">
        <v>0.9</v>
      </c>
      <c r="BN1961">
        <v>7.5</v>
      </c>
      <c r="BO1961">
        <v>2.9</v>
      </c>
      <c r="BP1961">
        <f t="shared" si="60"/>
        <v>2.0352939970775545</v>
      </c>
      <c r="BQ1961">
        <f t="shared" si="61"/>
        <v>10.06280508035687</v>
      </c>
    </row>
    <row r="1962" spans="1:69" hidden="1" x14ac:dyDescent="0.2">
      <c r="A1962" t="s">
        <v>4318</v>
      </c>
      <c r="B1962" t="s">
        <v>68</v>
      </c>
      <c r="C1962" t="s">
        <v>3294</v>
      </c>
      <c r="D1962" t="s">
        <v>70</v>
      </c>
      <c r="E1962" t="s">
        <v>1032</v>
      </c>
      <c r="F1962">
        <v>5</v>
      </c>
      <c r="G1962">
        <v>20</v>
      </c>
      <c r="H1962">
        <v>1</v>
      </c>
      <c r="I1962">
        <v>1</v>
      </c>
      <c r="J1962">
        <v>0</v>
      </c>
      <c r="K1962" t="s">
        <v>110</v>
      </c>
      <c r="L1962" t="s">
        <v>111</v>
      </c>
      <c r="M1962" s="4">
        <v>220000000</v>
      </c>
      <c r="N1962">
        <v>0</v>
      </c>
      <c r="O1962">
        <v>4.7167700000000004</v>
      </c>
      <c r="P1962">
        <v>-74.040959999999998</v>
      </c>
      <c r="Q1962" t="s">
        <v>4319</v>
      </c>
      <c r="R1962">
        <v>11000000</v>
      </c>
      <c r="S1962">
        <v>0</v>
      </c>
      <c r="T1962" t="s">
        <v>104</v>
      </c>
      <c r="U1962" t="s">
        <v>105</v>
      </c>
      <c r="V1962" t="s">
        <v>77</v>
      </c>
      <c r="W1962" t="s">
        <v>104</v>
      </c>
      <c r="X1962" t="s">
        <v>106</v>
      </c>
      <c r="Y1962">
        <v>1.37075678063315</v>
      </c>
      <c r="Z1962">
        <v>1370.7567806331499</v>
      </c>
      <c r="AA1962">
        <v>4.71035</v>
      </c>
      <c r="AB1962">
        <v>-74.030416666666696</v>
      </c>
      <c r="AC1962">
        <v>2570</v>
      </c>
      <c r="AD1962">
        <v>10</v>
      </c>
      <c r="AE1962" t="s">
        <v>80</v>
      </c>
      <c r="AF1962" t="s">
        <v>107</v>
      </c>
      <c r="AG1962" t="s">
        <v>82</v>
      </c>
      <c r="AH1962" t="s">
        <v>83</v>
      </c>
      <c r="AI1962" t="s">
        <v>108</v>
      </c>
      <c r="AJ1962">
        <v>1.2610611800549201</v>
      </c>
      <c r="AK1962">
        <v>1.86203591567024</v>
      </c>
      <c r="AL1962">
        <v>1.1254791616520201</v>
      </c>
      <c r="AM1962">
        <v>0.19946706912530801</v>
      </c>
      <c r="AN1962">
        <v>3.1591211597242301</v>
      </c>
      <c r="AO1962">
        <v>0.45500948352832499</v>
      </c>
      <c r="AP1962">
        <v>0.45500948352832499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47</v>
      </c>
      <c r="AW1962">
        <v>0</v>
      </c>
      <c r="AX1962">
        <v>0</v>
      </c>
      <c r="AY1962">
        <v>15.5</v>
      </c>
      <c r="AZ1962">
        <v>2.4</v>
      </c>
      <c r="BA1962">
        <v>10.9</v>
      </c>
      <c r="BB1962">
        <v>564</v>
      </c>
      <c r="BC1962">
        <v>68</v>
      </c>
      <c r="BD1962">
        <v>1.5</v>
      </c>
      <c r="BE1962">
        <v>135</v>
      </c>
      <c r="BF1962">
        <v>0</v>
      </c>
      <c r="BG1962">
        <v>162</v>
      </c>
      <c r="BH1962">
        <v>9.1</v>
      </c>
      <c r="BI1962">
        <v>9.1999999999999993</v>
      </c>
      <c r="BJ1962">
        <v>18.3</v>
      </c>
      <c r="BK1962">
        <v>0.34</v>
      </c>
      <c r="BL1962">
        <v>7.3</v>
      </c>
      <c r="BM1962">
        <v>0.9</v>
      </c>
      <c r="BN1962">
        <v>7.5</v>
      </c>
      <c r="BO1962">
        <v>2.9</v>
      </c>
      <c r="BP1962">
        <f t="shared" si="60"/>
        <v>2.2425559774493578</v>
      </c>
      <c r="BQ1962">
        <f t="shared" si="61"/>
        <v>10.547244347346032</v>
      </c>
    </row>
    <row r="1963" spans="1:69" hidden="1" x14ac:dyDescent="0.2">
      <c r="A1963" t="s">
        <v>4233</v>
      </c>
      <c r="B1963" t="s">
        <v>68</v>
      </c>
      <c r="C1963" t="s">
        <v>3294</v>
      </c>
      <c r="D1963" t="s">
        <v>70</v>
      </c>
      <c r="E1963" t="s">
        <v>4234</v>
      </c>
      <c r="F1963">
        <v>5</v>
      </c>
      <c r="G1963">
        <v>20</v>
      </c>
      <c r="H1963">
        <v>1</v>
      </c>
      <c r="I1963">
        <v>1</v>
      </c>
      <c r="J1963">
        <v>0</v>
      </c>
      <c r="K1963" t="s">
        <v>110</v>
      </c>
      <c r="L1963" t="s">
        <v>111</v>
      </c>
      <c r="M1963" s="4">
        <v>280000000</v>
      </c>
      <c r="N1963">
        <v>0</v>
      </c>
      <c r="O1963">
        <v>4.7150993320000003</v>
      </c>
      <c r="P1963">
        <v>-74.038968089999997</v>
      </c>
      <c r="Q1963" t="s">
        <v>4235</v>
      </c>
      <c r="R1963">
        <v>14000000</v>
      </c>
      <c r="S1963">
        <v>0</v>
      </c>
      <c r="T1963" t="s">
        <v>104</v>
      </c>
      <c r="U1963" t="s">
        <v>105</v>
      </c>
      <c r="V1963" t="s">
        <v>77</v>
      </c>
      <c r="W1963" t="s">
        <v>104</v>
      </c>
      <c r="X1963" t="s">
        <v>106</v>
      </c>
      <c r="Y1963">
        <v>1.0860890649844199</v>
      </c>
      <c r="Z1963">
        <v>1086.08906498442</v>
      </c>
      <c r="AA1963">
        <v>4.71035</v>
      </c>
      <c r="AB1963">
        <v>-74.030416666666696</v>
      </c>
      <c r="AC1963">
        <v>2570</v>
      </c>
      <c r="AD1963">
        <v>10</v>
      </c>
      <c r="AE1963" t="s">
        <v>80</v>
      </c>
      <c r="AF1963" t="s">
        <v>107</v>
      </c>
      <c r="AG1963" t="s">
        <v>82</v>
      </c>
      <c r="AH1963" t="s">
        <v>83</v>
      </c>
      <c r="AI1963" t="s">
        <v>108</v>
      </c>
      <c r="AJ1963">
        <v>1.5079991751333801</v>
      </c>
      <c r="AK1963">
        <v>1.6075092939282301</v>
      </c>
      <c r="AL1963">
        <v>0.83838287739610895</v>
      </c>
      <c r="AM1963">
        <v>0.44624397073088401</v>
      </c>
      <c r="AN1963">
        <v>3.2213065542900101</v>
      </c>
      <c r="AO1963">
        <v>0.48143919059846302</v>
      </c>
      <c r="AP1963">
        <v>0.48143919059846302</v>
      </c>
      <c r="AQ1963">
        <v>0</v>
      </c>
      <c r="AR1963">
        <v>0</v>
      </c>
      <c r="AS1963">
        <v>0</v>
      </c>
      <c r="AT1963">
        <v>0</v>
      </c>
      <c r="AU1963">
        <v>1</v>
      </c>
      <c r="AV1963">
        <v>65</v>
      </c>
      <c r="AW1963">
        <v>0</v>
      </c>
      <c r="AX1963">
        <v>0</v>
      </c>
      <c r="AY1963">
        <v>15.5</v>
      </c>
      <c r="AZ1963">
        <v>2.4</v>
      </c>
      <c r="BA1963">
        <v>10.9</v>
      </c>
      <c r="BB1963">
        <v>564</v>
      </c>
      <c r="BC1963">
        <v>68</v>
      </c>
      <c r="BD1963">
        <v>1.5</v>
      </c>
      <c r="BE1963">
        <v>135</v>
      </c>
      <c r="BF1963">
        <v>0</v>
      </c>
      <c r="BG1963">
        <v>162</v>
      </c>
      <c r="BH1963">
        <v>9.1</v>
      </c>
      <c r="BI1963">
        <v>9.1999999999999993</v>
      </c>
      <c r="BJ1963">
        <v>18.3</v>
      </c>
      <c r="BK1963">
        <v>0.34</v>
      </c>
      <c r="BL1963">
        <v>7.3</v>
      </c>
      <c r="BM1963">
        <v>0.9</v>
      </c>
      <c r="BN1963">
        <v>7.5</v>
      </c>
      <c r="BO1963">
        <v>2.9</v>
      </c>
      <c r="BP1963">
        <f t="shared" si="60"/>
        <v>2.2743796380305068</v>
      </c>
      <c r="BQ1963">
        <f t="shared" si="61"/>
        <v>10.619550102380861</v>
      </c>
    </row>
    <row r="1964" spans="1:69" hidden="1" x14ac:dyDescent="0.2">
      <c r="A1964" t="s">
        <v>3890</v>
      </c>
      <c r="B1964" t="s">
        <v>68</v>
      </c>
      <c r="C1964" t="s">
        <v>3294</v>
      </c>
      <c r="D1964" t="s">
        <v>70</v>
      </c>
      <c r="E1964" t="s">
        <v>3649</v>
      </c>
      <c r="F1964">
        <v>5</v>
      </c>
      <c r="G1964">
        <v>19.5</v>
      </c>
      <c r="H1964">
        <v>1</v>
      </c>
      <c r="I1964">
        <v>1</v>
      </c>
      <c r="J1964">
        <v>1</v>
      </c>
      <c r="K1964" t="s">
        <v>110</v>
      </c>
      <c r="L1964" t="s">
        <v>111</v>
      </c>
      <c r="M1964" s="4">
        <v>380000000</v>
      </c>
      <c r="N1964">
        <v>0</v>
      </c>
      <c r="O1964">
        <v>4.6856799999999996</v>
      </c>
      <c r="P1964">
        <v>-74.047389999999993</v>
      </c>
      <c r="Q1964" t="s">
        <v>3891</v>
      </c>
      <c r="R1964">
        <v>19487179.489999998</v>
      </c>
      <c r="S1964">
        <v>0</v>
      </c>
      <c r="T1964" t="s">
        <v>104</v>
      </c>
      <c r="U1964" t="s">
        <v>105</v>
      </c>
      <c r="V1964" t="s">
        <v>77</v>
      </c>
      <c r="W1964" t="s">
        <v>104</v>
      </c>
      <c r="X1964" t="s">
        <v>106</v>
      </c>
      <c r="Y1964">
        <v>3.3298678502180001</v>
      </c>
      <c r="Z1964">
        <v>3329.8678502180001</v>
      </c>
      <c r="AA1964">
        <v>4.71035</v>
      </c>
      <c r="AB1964">
        <v>-74.030416666666696</v>
      </c>
      <c r="AC1964">
        <v>2570</v>
      </c>
      <c r="AD1964">
        <v>10</v>
      </c>
      <c r="AE1964" t="s">
        <v>80</v>
      </c>
      <c r="AF1964" t="s">
        <v>107</v>
      </c>
      <c r="AG1964" t="s">
        <v>82</v>
      </c>
      <c r="AH1964" t="s">
        <v>83</v>
      </c>
      <c r="AI1964" t="s">
        <v>108</v>
      </c>
      <c r="AJ1964">
        <v>1.1604048101727999</v>
      </c>
      <c r="AK1964">
        <v>1.45610021632037</v>
      </c>
      <c r="AL1964">
        <v>0.41279617515038303</v>
      </c>
      <c r="AM1964">
        <v>0.11490821711721901</v>
      </c>
      <c r="AN1964">
        <v>4.0410354120108103</v>
      </c>
      <c r="AO1964">
        <v>0.54751802845529995</v>
      </c>
      <c r="AP1964">
        <v>0.54751802845529995</v>
      </c>
      <c r="AQ1964">
        <v>0</v>
      </c>
      <c r="AR1964">
        <v>0</v>
      </c>
      <c r="AS1964">
        <v>0</v>
      </c>
      <c r="AT1964">
        <v>0</v>
      </c>
      <c r="AU1964">
        <v>6</v>
      </c>
      <c r="AV1964">
        <v>132</v>
      </c>
      <c r="AW1964">
        <v>0</v>
      </c>
      <c r="AX1964">
        <v>0</v>
      </c>
      <c r="AY1964">
        <v>15.5</v>
      </c>
      <c r="AZ1964">
        <v>2.4</v>
      </c>
      <c r="BA1964">
        <v>10.9</v>
      </c>
      <c r="BB1964">
        <v>564</v>
      </c>
      <c r="BC1964">
        <v>68</v>
      </c>
      <c r="BD1964">
        <v>1.5</v>
      </c>
      <c r="BE1964">
        <v>135</v>
      </c>
      <c r="BF1964">
        <v>0</v>
      </c>
      <c r="BG1964">
        <v>162</v>
      </c>
      <c r="BH1964">
        <v>9.1</v>
      </c>
      <c r="BI1964">
        <v>9.1999999999999993</v>
      </c>
      <c r="BJ1964">
        <v>18.3</v>
      </c>
      <c r="BK1964">
        <v>0.34</v>
      </c>
      <c r="BL1964">
        <v>7.3</v>
      </c>
      <c r="BM1964">
        <v>0.9</v>
      </c>
      <c r="BN1964">
        <v>7.5</v>
      </c>
      <c r="BO1964">
        <v>2.9</v>
      </c>
      <c r="BP1964">
        <f t="shared" si="60"/>
        <v>2.0352939970775545</v>
      </c>
      <c r="BQ1964">
        <f t="shared" si="61"/>
        <v>10.06280508035687</v>
      </c>
    </row>
    <row r="1965" spans="1:69" hidden="1" x14ac:dyDescent="0.2">
      <c r="A1965" t="s">
        <v>3424</v>
      </c>
      <c r="B1965" t="s">
        <v>68</v>
      </c>
      <c r="C1965" t="s">
        <v>3294</v>
      </c>
      <c r="D1965" t="s">
        <v>70</v>
      </c>
      <c r="E1965" t="s">
        <v>193</v>
      </c>
      <c r="F1965">
        <v>5</v>
      </c>
      <c r="G1965">
        <v>19.100000000000001</v>
      </c>
      <c r="H1965">
        <v>1</v>
      </c>
      <c r="I1965">
        <v>1</v>
      </c>
      <c r="J1965">
        <v>0</v>
      </c>
      <c r="K1965" t="s">
        <v>72</v>
      </c>
      <c r="L1965" t="s">
        <v>73</v>
      </c>
      <c r="M1965" s="4">
        <v>249900000</v>
      </c>
      <c r="N1965">
        <v>0</v>
      </c>
      <c r="O1965">
        <v>4.7005549999999996</v>
      </c>
      <c r="P1965">
        <v>-74.030410000000003</v>
      </c>
      <c r="Q1965" t="s">
        <v>3425</v>
      </c>
      <c r="R1965">
        <v>13083769.630000001</v>
      </c>
      <c r="S1965">
        <v>0</v>
      </c>
      <c r="T1965" t="s">
        <v>104</v>
      </c>
      <c r="U1965" t="s">
        <v>105</v>
      </c>
      <c r="V1965" t="s">
        <v>77</v>
      </c>
      <c r="W1965" t="s">
        <v>104</v>
      </c>
      <c r="X1965" t="s">
        <v>106</v>
      </c>
      <c r="Y1965">
        <v>1.0903746631746101</v>
      </c>
      <c r="Z1965">
        <v>1090.3746631746101</v>
      </c>
      <c r="AA1965">
        <v>4.71035</v>
      </c>
      <c r="AB1965">
        <v>-74.030416666666696</v>
      </c>
      <c r="AC1965">
        <v>2570</v>
      </c>
      <c r="AD1965">
        <v>10</v>
      </c>
      <c r="AE1965" t="s">
        <v>80</v>
      </c>
      <c r="AF1965" t="s">
        <v>107</v>
      </c>
      <c r="AG1965" t="s">
        <v>82</v>
      </c>
      <c r="AH1965" t="s">
        <v>83</v>
      </c>
      <c r="AI1965" t="s">
        <v>108</v>
      </c>
      <c r="AJ1965">
        <v>2.6788553816470402</v>
      </c>
      <c r="AK1965">
        <v>0.52051028747738204</v>
      </c>
      <c r="AL1965">
        <v>0.24347648255062401</v>
      </c>
      <c r="AM1965">
        <v>6.5109021914025705E-2</v>
      </c>
      <c r="AN1965">
        <v>4.5473291198455899</v>
      </c>
      <c r="AO1965">
        <v>0.41491239207020603</v>
      </c>
      <c r="AP1965">
        <v>0.41491239207020603</v>
      </c>
      <c r="AQ1965">
        <v>0</v>
      </c>
      <c r="AR1965">
        <v>0</v>
      </c>
      <c r="AS1965">
        <v>0</v>
      </c>
      <c r="AT1965">
        <v>25</v>
      </c>
      <c r="AU1965">
        <v>2</v>
      </c>
      <c r="AV1965">
        <v>122</v>
      </c>
      <c r="AW1965">
        <v>0</v>
      </c>
      <c r="AX1965">
        <v>0</v>
      </c>
      <c r="AY1965">
        <v>15.5</v>
      </c>
      <c r="AZ1965">
        <v>2.4</v>
      </c>
      <c r="BA1965">
        <v>10.9</v>
      </c>
      <c r="BB1965">
        <v>564</v>
      </c>
      <c r="BC1965">
        <v>68</v>
      </c>
      <c r="BD1965">
        <v>1.5</v>
      </c>
      <c r="BE1965">
        <v>135</v>
      </c>
      <c r="BF1965">
        <v>0</v>
      </c>
      <c r="BG1965">
        <v>162</v>
      </c>
      <c r="BH1965">
        <v>9.1</v>
      </c>
      <c r="BI1965">
        <v>9.1999999999999993</v>
      </c>
      <c r="BJ1965">
        <v>18.3</v>
      </c>
      <c r="BK1965">
        <v>0.34</v>
      </c>
      <c r="BL1965">
        <v>7.3</v>
      </c>
      <c r="BM1965">
        <v>0.9</v>
      </c>
      <c r="BN1965">
        <v>7.5</v>
      </c>
      <c r="BO1965">
        <v>2.9</v>
      </c>
      <c r="BP1965">
        <f t="shared" si="60"/>
        <v>2.2738972088784819</v>
      </c>
      <c r="BQ1965">
        <f t="shared" si="61"/>
        <v>10.618457891558361</v>
      </c>
    </row>
    <row r="1966" spans="1:69" hidden="1" x14ac:dyDescent="0.2">
      <c r="A1966" t="s">
        <v>4291</v>
      </c>
      <c r="B1966" t="s">
        <v>68</v>
      </c>
      <c r="C1966" t="s">
        <v>3294</v>
      </c>
      <c r="D1966" t="s">
        <v>70</v>
      </c>
      <c r="E1966" t="s">
        <v>391</v>
      </c>
      <c r="F1966">
        <v>5</v>
      </c>
      <c r="G1966">
        <v>19</v>
      </c>
      <c r="H1966">
        <v>1</v>
      </c>
      <c r="I1966">
        <v>1</v>
      </c>
      <c r="J1966">
        <v>0</v>
      </c>
      <c r="K1966" t="s">
        <v>110</v>
      </c>
      <c r="L1966" t="s">
        <v>111</v>
      </c>
      <c r="M1966" s="4">
        <v>235000000</v>
      </c>
      <c r="N1966">
        <v>0</v>
      </c>
      <c r="O1966">
        <v>4.7200012210000004</v>
      </c>
      <c r="P1966">
        <v>-74.047691349999994</v>
      </c>
      <c r="Q1966" t="s">
        <v>4292</v>
      </c>
      <c r="R1966">
        <v>12368421.050000001</v>
      </c>
      <c r="S1966">
        <v>0</v>
      </c>
      <c r="T1966" t="s">
        <v>104</v>
      </c>
      <c r="U1966" t="s">
        <v>105</v>
      </c>
      <c r="V1966" t="s">
        <v>77</v>
      </c>
      <c r="W1966" t="s">
        <v>104</v>
      </c>
      <c r="X1966" t="s">
        <v>106</v>
      </c>
      <c r="Y1966">
        <v>2.1970990261273</v>
      </c>
      <c r="Z1966">
        <v>2197.0990261273</v>
      </c>
      <c r="AA1966">
        <v>4.71035</v>
      </c>
      <c r="AB1966">
        <v>-74.030416666666696</v>
      </c>
      <c r="AC1966">
        <v>2570</v>
      </c>
      <c r="AD1966">
        <v>10</v>
      </c>
      <c r="AE1966" t="s">
        <v>80</v>
      </c>
      <c r="AF1966" t="s">
        <v>107</v>
      </c>
      <c r="AG1966" t="s">
        <v>82</v>
      </c>
      <c r="AH1966" t="s">
        <v>83</v>
      </c>
      <c r="AI1966" t="s">
        <v>108</v>
      </c>
      <c r="AJ1966">
        <v>0.43688214660331098</v>
      </c>
      <c r="AK1966">
        <v>2.6760551766006202</v>
      </c>
      <c r="AL1966">
        <v>1.6611336692041401</v>
      </c>
      <c r="AM1966">
        <v>6.3183468796046596E-2</v>
      </c>
      <c r="AN1966">
        <v>3.3263235476911799</v>
      </c>
      <c r="AO1966">
        <v>0.47743469242734399</v>
      </c>
      <c r="AP1966">
        <v>0.47743469242734399</v>
      </c>
      <c r="AQ1966">
        <v>1</v>
      </c>
      <c r="AR1966">
        <v>3</v>
      </c>
      <c r="AS1966">
        <v>0</v>
      </c>
      <c r="AT1966">
        <v>0</v>
      </c>
      <c r="AU1966">
        <v>0</v>
      </c>
      <c r="AV1966">
        <v>36</v>
      </c>
      <c r="AW1966">
        <v>0</v>
      </c>
      <c r="AX1966">
        <v>0</v>
      </c>
      <c r="AY1966">
        <v>15.5</v>
      </c>
      <c r="AZ1966">
        <v>2.4</v>
      </c>
      <c r="BA1966">
        <v>10.9</v>
      </c>
      <c r="BB1966">
        <v>564</v>
      </c>
      <c r="BC1966">
        <v>68</v>
      </c>
      <c r="BD1966">
        <v>1.5</v>
      </c>
      <c r="BE1966">
        <v>135</v>
      </c>
      <c r="BF1966">
        <v>0</v>
      </c>
      <c r="BG1966">
        <v>162</v>
      </c>
      <c r="BH1966">
        <v>9.1</v>
      </c>
      <c r="BI1966">
        <v>9.1999999999999993</v>
      </c>
      <c r="BJ1966">
        <v>18.3</v>
      </c>
      <c r="BK1966">
        <v>0.34</v>
      </c>
      <c r="BL1966">
        <v>7.3</v>
      </c>
      <c r="BM1966">
        <v>0.9</v>
      </c>
      <c r="BN1966">
        <v>7.5</v>
      </c>
      <c r="BO1966">
        <v>2.9</v>
      </c>
      <c r="BP1966">
        <f t="shared" si="60"/>
        <v>2.1526773264672499</v>
      </c>
      <c r="BQ1966">
        <f t="shared" si="61"/>
        <v>10.340129700890488</v>
      </c>
    </row>
    <row r="1967" spans="1:69" hidden="1" x14ac:dyDescent="0.2">
      <c r="A1967" t="s">
        <v>3420</v>
      </c>
      <c r="B1967" t="s">
        <v>68</v>
      </c>
      <c r="C1967" t="s">
        <v>3294</v>
      </c>
      <c r="D1967" t="s">
        <v>70</v>
      </c>
      <c r="E1967" t="s">
        <v>193</v>
      </c>
      <c r="F1967">
        <v>5</v>
      </c>
      <c r="G1967">
        <v>18.600000000000001</v>
      </c>
      <c r="H1967">
        <v>1</v>
      </c>
      <c r="I1967">
        <v>1</v>
      </c>
      <c r="J1967">
        <v>0</v>
      </c>
      <c r="K1967" t="s">
        <v>72</v>
      </c>
      <c r="L1967" t="s">
        <v>73</v>
      </c>
      <c r="M1967" s="4">
        <v>249900000</v>
      </c>
      <c r="N1967">
        <v>0</v>
      </c>
      <c r="O1967">
        <v>4.7005549999999996</v>
      </c>
      <c r="P1967">
        <v>-74.030410000000003</v>
      </c>
      <c r="Q1967" t="s">
        <v>3421</v>
      </c>
      <c r="R1967">
        <v>13435483.869999999</v>
      </c>
      <c r="S1967">
        <v>0</v>
      </c>
      <c r="T1967" t="s">
        <v>104</v>
      </c>
      <c r="U1967" t="s">
        <v>105</v>
      </c>
      <c r="V1967" t="s">
        <v>77</v>
      </c>
      <c r="W1967" t="s">
        <v>104</v>
      </c>
      <c r="X1967" t="s">
        <v>106</v>
      </c>
      <c r="Y1967">
        <v>1.0903746631746101</v>
      </c>
      <c r="Z1967">
        <v>1090.3746631746101</v>
      </c>
      <c r="AA1967">
        <v>4.71035</v>
      </c>
      <c r="AB1967">
        <v>-74.030416666666696</v>
      </c>
      <c r="AC1967">
        <v>2570</v>
      </c>
      <c r="AD1967">
        <v>10</v>
      </c>
      <c r="AE1967" t="s">
        <v>80</v>
      </c>
      <c r="AF1967" t="s">
        <v>107</v>
      </c>
      <c r="AG1967" t="s">
        <v>82</v>
      </c>
      <c r="AH1967" t="s">
        <v>83</v>
      </c>
      <c r="AI1967" t="s">
        <v>108</v>
      </c>
      <c r="AJ1967">
        <v>2.6788553816470402</v>
      </c>
      <c r="AK1967">
        <v>0.52051028747738204</v>
      </c>
      <c r="AL1967">
        <v>0.24347648255062401</v>
      </c>
      <c r="AM1967">
        <v>6.5109021914025705E-2</v>
      </c>
      <c r="AN1967">
        <v>4.5473291198455899</v>
      </c>
      <c r="AO1967">
        <v>0.41491239207020603</v>
      </c>
      <c r="AP1967">
        <v>0.41491239207020603</v>
      </c>
      <c r="AQ1967">
        <v>0</v>
      </c>
      <c r="AR1967">
        <v>0</v>
      </c>
      <c r="AS1967">
        <v>0</v>
      </c>
      <c r="AT1967">
        <v>25</v>
      </c>
      <c r="AU1967">
        <v>2</v>
      </c>
      <c r="AV1967">
        <v>122</v>
      </c>
      <c r="AW1967">
        <v>0</v>
      </c>
      <c r="AX1967">
        <v>0</v>
      </c>
      <c r="AY1967">
        <v>15.5</v>
      </c>
      <c r="AZ1967">
        <v>2.4</v>
      </c>
      <c r="BA1967">
        <v>10.9</v>
      </c>
      <c r="BB1967">
        <v>564</v>
      </c>
      <c r="BC1967">
        <v>68</v>
      </c>
      <c r="BD1967">
        <v>1.5</v>
      </c>
      <c r="BE1967">
        <v>135</v>
      </c>
      <c r="BF1967">
        <v>0</v>
      </c>
      <c r="BG1967">
        <v>162</v>
      </c>
      <c r="BH1967">
        <v>9.1</v>
      </c>
      <c r="BI1967">
        <v>9.1999999999999993</v>
      </c>
      <c r="BJ1967">
        <v>18.3</v>
      </c>
      <c r="BK1967">
        <v>0.34</v>
      </c>
      <c r="BL1967">
        <v>7.3</v>
      </c>
      <c r="BM1967">
        <v>0.9</v>
      </c>
      <c r="BN1967">
        <v>7.5</v>
      </c>
      <c r="BO1967">
        <v>2.9</v>
      </c>
      <c r="BP1967">
        <f t="shared" si="60"/>
        <v>2.2738972088784819</v>
      </c>
      <c r="BQ1967">
        <f t="shared" si="61"/>
        <v>10.618457891558361</v>
      </c>
    </row>
    <row r="1968" spans="1:69" hidden="1" x14ac:dyDescent="0.2">
      <c r="A1968" t="s">
        <v>3293</v>
      </c>
      <c r="B1968" t="s">
        <v>68</v>
      </c>
      <c r="C1968" t="s">
        <v>3294</v>
      </c>
      <c r="D1968" t="s">
        <v>70</v>
      </c>
      <c r="E1968" t="s">
        <v>193</v>
      </c>
      <c r="F1968">
        <v>5</v>
      </c>
      <c r="G1968">
        <v>18.100000000000001</v>
      </c>
      <c r="H1968">
        <v>1</v>
      </c>
      <c r="I1968">
        <v>1</v>
      </c>
      <c r="J1968">
        <v>0</v>
      </c>
      <c r="K1968" t="s">
        <v>72</v>
      </c>
      <c r="L1968" t="s">
        <v>73</v>
      </c>
      <c r="M1968" s="4">
        <v>249900000</v>
      </c>
      <c r="N1968">
        <v>0</v>
      </c>
      <c r="O1968">
        <v>4.7005549999999996</v>
      </c>
      <c r="P1968">
        <v>-74.030410000000003</v>
      </c>
      <c r="Q1968" t="s">
        <v>3295</v>
      </c>
      <c r="R1968">
        <v>13806629.83</v>
      </c>
      <c r="S1968">
        <v>0</v>
      </c>
      <c r="T1968" t="s">
        <v>104</v>
      </c>
      <c r="U1968" t="s">
        <v>105</v>
      </c>
      <c r="V1968" t="s">
        <v>77</v>
      </c>
      <c r="W1968" t="s">
        <v>104</v>
      </c>
      <c r="X1968" t="s">
        <v>106</v>
      </c>
      <c r="Y1968">
        <v>1.0903746631746101</v>
      </c>
      <c r="Z1968">
        <v>1090.3746631746101</v>
      </c>
      <c r="AA1968">
        <v>4.71035</v>
      </c>
      <c r="AB1968">
        <v>-74.030416666666696</v>
      </c>
      <c r="AC1968">
        <v>2570</v>
      </c>
      <c r="AD1968">
        <v>10</v>
      </c>
      <c r="AE1968" t="s">
        <v>80</v>
      </c>
      <c r="AF1968" t="s">
        <v>107</v>
      </c>
      <c r="AG1968" t="s">
        <v>82</v>
      </c>
      <c r="AH1968" t="s">
        <v>83</v>
      </c>
      <c r="AI1968" t="s">
        <v>108</v>
      </c>
      <c r="AJ1968">
        <v>2.6788553816470402</v>
      </c>
      <c r="AK1968">
        <v>0.52051028747738204</v>
      </c>
      <c r="AL1968">
        <v>0.24347648255062401</v>
      </c>
      <c r="AM1968">
        <v>6.5109021914025705E-2</v>
      </c>
      <c r="AN1968">
        <v>4.5473291198455899</v>
      </c>
      <c r="AO1968">
        <v>0.41491239207020603</v>
      </c>
      <c r="AP1968">
        <v>0.41491239207020603</v>
      </c>
      <c r="AQ1968">
        <v>0</v>
      </c>
      <c r="AR1968">
        <v>0</v>
      </c>
      <c r="AS1968">
        <v>0</v>
      </c>
      <c r="AT1968">
        <v>25</v>
      </c>
      <c r="AU1968">
        <v>2</v>
      </c>
      <c r="AV1968">
        <v>122</v>
      </c>
      <c r="AW1968">
        <v>0</v>
      </c>
      <c r="AX1968">
        <v>0</v>
      </c>
      <c r="AY1968">
        <v>15.5</v>
      </c>
      <c r="AZ1968">
        <v>2.4</v>
      </c>
      <c r="BA1968">
        <v>10.9</v>
      </c>
      <c r="BB1968">
        <v>564</v>
      </c>
      <c r="BC1968">
        <v>68</v>
      </c>
      <c r="BD1968">
        <v>1.5</v>
      </c>
      <c r="BE1968">
        <v>135</v>
      </c>
      <c r="BF1968">
        <v>0</v>
      </c>
      <c r="BG1968">
        <v>162</v>
      </c>
      <c r="BH1968">
        <v>9.1</v>
      </c>
      <c r="BI1968">
        <v>9.1999999999999993</v>
      </c>
      <c r="BJ1968">
        <v>18.3</v>
      </c>
      <c r="BK1968">
        <v>0.34</v>
      </c>
      <c r="BL1968">
        <v>7.3</v>
      </c>
      <c r="BM1968">
        <v>0.9</v>
      </c>
      <c r="BN1968">
        <v>7.5</v>
      </c>
      <c r="BO1968">
        <v>2.9</v>
      </c>
      <c r="BP1968">
        <f t="shared" si="60"/>
        <v>2.2738972088784819</v>
      </c>
      <c r="BQ1968">
        <f t="shared" si="61"/>
        <v>10.618457891558361</v>
      </c>
    </row>
    <row r="1969" spans="1:69" hidden="1" x14ac:dyDescent="0.2">
      <c r="A1969" t="s">
        <v>4426</v>
      </c>
      <c r="B1969" t="s">
        <v>68</v>
      </c>
      <c r="C1969" t="s">
        <v>3294</v>
      </c>
      <c r="D1969" t="s">
        <v>70</v>
      </c>
      <c r="E1969" t="s">
        <v>132</v>
      </c>
      <c r="F1969">
        <v>6</v>
      </c>
      <c r="G1969">
        <v>17</v>
      </c>
      <c r="H1969">
        <v>1</v>
      </c>
      <c r="I1969">
        <v>1</v>
      </c>
      <c r="J1969">
        <v>0</v>
      </c>
      <c r="K1969" t="s">
        <v>110</v>
      </c>
      <c r="L1969" t="s">
        <v>111</v>
      </c>
      <c r="M1969" s="4">
        <v>245000000</v>
      </c>
      <c r="N1969">
        <v>0</v>
      </c>
      <c r="O1969">
        <v>4.6805973999999999</v>
      </c>
      <c r="P1969">
        <v>-74.044084400000003</v>
      </c>
      <c r="Q1969" t="s">
        <v>4427</v>
      </c>
      <c r="R1969">
        <v>14411764.710000001</v>
      </c>
      <c r="S1969">
        <v>0</v>
      </c>
      <c r="T1969" t="s">
        <v>104</v>
      </c>
      <c r="U1969" t="s">
        <v>105</v>
      </c>
      <c r="V1969" t="s">
        <v>77</v>
      </c>
      <c r="W1969" t="s">
        <v>104</v>
      </c>
      <c r="X1969" t="s">
        <v>106</v>
      </c>
      <c r="Y1969">
        <v>3.6426696138188701</v>
      </c>
      <c r="Z1969">
        <v>3642.6696138188699</v>
      </c>
      <c r="AA1969">
        <v>4.71035</v>
      </c>
      <c r="AB1969">
        <v>-74.030416666666696</v>
      </c>
      <c r="AC1969">
        <v>2570</v>
      </c>
      <c r="AD1969">
        <v>10</v>
      </c>
      <c r="AE1969" t="s">
        <v>80</v>
      </c>
      <c r="AF1969" t="s">
        <v>107</v>
      </c>
      <c r="AG1969" t="s">
        <v>82</v>
      </c>
      <c r="AH1969" t="s">
        <v>83</v>
      </c>
      <c r="AI1969" t="s">
        <v>130</v>
      </c>
      <c r="AJ1969">
        <v>1.5558104462173401</v>
      </c>
      <c r="AK1969">
        <v>0.85986534089295397</v>
      </c>
      <c r="AL1969">
        <v>0.572951802463883</v>
      </c>
      <c r="AM1969">
        <v>4.7049084019076197E-2</v>
      </c>
      <c r="AN1969">
        <v>4.2554062386622196</v>
      </c>
      <c r="AO1969">
        <v>0.86685376739257403</v>
      </c>
      <c r="AP1969">
        <v>0.86685376739257403</v>
      </c>
      <c r="AQ1969">
        <v>0</v>
      </c>
      <c r="AR1969">
        <v>0</v>
      </c>
      <c r="AS1969">
        <v>0</v>
      </c>
      <c r="AT1969">
        <v>1</v>
      </c>
      <c r="AU1969">
        <v>4</v>
      </c>
      <c r="AV1969">
        <v>92</v>
      </c>
      <c r="AW1969">
        <v>0</v>
      </c>
      <c r="AX1969">
        <v>0</v>
      </c>
      <c r="AY1969">
        <v>15.5</v>
      </c>
      <c r="AZ1969">
        <v>2.4</v>
      </c>
      <c r="BA1969">
        <v>10.9</v>
      </c>
      <c r="BB1969">
        <v>564</v>
      </c>
      <c r="BC1969">
        <v>68</v>
      </c>
      <c r="BD1969">
        <v>1.5</v>
      </c>
      <c r="BE1969">
        <v>135</v>
      </c>
      <c r="BF1969">
        <v>0</v>
      </c>
      <c r="BG1969">
        <v>162</v>
      </c>
      <c r="BH1969">
        <v>9.1</v>
      </c>
      <c r="BI1969">
        <v>9.1999999999999993</v>
      </c>
      <c r="BJ1969">
        <v>18.3</v>
      </c>
      <c r="BK1969">
        <v>0.34</v>
      </c>
      <c r="BL1969">
        <v>7.3</v>
      </c>
      <c r="BM1969">
        <v>0.9</v>
      </c>
      <c r="BN1969">
        <v>7.5</v>
      </c>
      <c r="BO1969">
        <v>2.9</v>
      </c>
      <c r="BP1969">
        <f t="shared" si="60"/>
        <v>2.0040228622578926</v>
      </c>
      <c r="BQ1969">
        <f t="shared" si="61"/>
        <v>9.9875440191148872</v>
      </c>
    </row>
    <row r="1970" spans="1:69" hidden="1" x14ac:dyDescent="0.2">
      <c r="A1970" t="s">
        <v>3446</v>
      </c>
      <c r="B1970" t="s">
        <v>68</v>
      </c>
      <c r="C1970" t="s">
        <v>3294</v>
      </c>
      <c r="D1970" t="s">
        <v>70</v>
      </c>
      <c r="E1970" t="s">
        <v>132</v>
      </c>
      <c r="F1970">
        <v>6</v>
      </c>
      <c r="G1970">
        <v>17</v>
      </c>
      <c r="H1970">
        <v>1</v>
      </c>
      <c r="I1970">
        <v>1</v>
      </c>
      <c r="J1970">
        <v>0</v>
      </c>
      <c r="K1970" t="s">
        <v>110</v>
      </c>
      <c r="L1970" t="s">
        <v>111</v>
      </c>
      <c r="M1970" s="4">
        <v>262500000</v>
      </c>
      <c r="N1970">
        <v>0</v>
      </c>
      <c r="O1970">
        <v>4.6806718250000001</v>
      </c>
      <c r="P1970">
        <v>-74.043995749999993</v>
      </c>
      <c r="Q1970" t="s">
        <v>3447</v>
      </c>
      <c r="R1970">
        <v>15441176.470000001</v>
      </c>
      <c r="S1970">
        <v>0</v>
      </c>
      <c r="T1970" t="s">
        <v>104</v>
      </c>
      <c r="U1970" t="s">
        <v>105</v>
      </c>
      <c r="V1970" t="s">
        <v>77</v>
      </c>
      <c r="W1970" t="s">
        <v>104</v>
      </c>
      <c r="X1970" t="s">
        <v>106</v>
      </c>
      <c r="Y1970">
        <v>3.6310464806684899</v>
      </c>
      <c r="Z1970">
        <v>3631.0464806684899</v>
      </c>
      <c r="AA1970">
        <v>4.71035</v>
      </c>
      <c r="AB1970">
        <v>-74.030416666666696</v>
      </c>
      <c r="AC1970">
        <v>2570</v>
      </c>
      <c r="AD1970">
        <v>10</v>
      </c>
      <c r="AE1970" t="s">
        <v>80</v>
      </c>
      <c r="AF1970" t="s">
        <v>107</v>
      </c>
      <c r="AG1970" t="s">
        <v>82</v>
      </c>
      <c r="AH1970" t="s">
        <v>83</v>
      </c>
      <c r="AI1970" t="s">
        <v>130</v>
      </c>
      <c r="AJ1970">
        <v>1.5634329729204901</v>
      </c>
      <c r="AK1970">
        <v>0.85520002500051295</v>
      </c>
      <c r="AL1970">
        <v>0.56088494920154797</v>
      </c>
      <c r="AM1970">
        <v>4.0593434695745903E-2</v>
      </c>
      <c r="AN1970">
        <v>4.2665358917023601</v>
      </c>
      <c r="AO1970">
        <v>0.85482249719254799</v>
      </c>
      <c r="AP1970">
        <v>0.85482249719254799</v>
      </c>
      <c r="AQ1970">
        <v>0</v>
      </c>
      <c r="AR1970">
        <v>0</v>
      </c>
      <c r="AS1970">
        <v>0</v>
      </c>
      <c r="AT1970">
        <v>1</v>
      </c>
      <c r="AU1970">
        <v>4</v>
      </c>
      <c r="AV1970">
        <v>93</v>
      </c>
      <c r="AW1970">
        <v>0</v>
      </c>
      <c r="AX1970">
        <v>0</v>
      </c>
      <c r="AY1970">
        <v>15.5</v>
      </c>
      <c r="AZ1970">
        <v>2.4</v>
      </c>
      <c r="BA1970">
        <v>10.9</v>
      </c>
      <c r="BB1970">
        <v>564</v>
      </c>
      <c r="BC1970">
        <v>68</v>
      </c>
      <c r="BD1970">
        <v>1.5</v>
      </c>
      <c r="BE1970">
        <v>135</v>
      </c>
      <c r="BF1970">
        <v>0</v>
      </c>
      <c r="BG1970">
        <v>162</v>
      </c>
      <c r="BH1970">
        <v>9.1</v>
      </c>
      <c r="BI1970">
        <v>9.1999999999999993</v>
      </c>
      <c r="BJ1970">
        <v>18.3</v>
      </c>
      <c r="BK1970">
        <v>0.34</v>
      </c>
      <c r="BL1970">
        <v>7.3</v>
      </c>
      <c r="BM1970">
        <v>0.9</v>
      </c>
      <c r="BN1970">
        <v>7.5</v>
      </c>
      <c r="BO1970">
        <v>2.9</v>
      </c>
      <c r="BP1970">
        <f t="shared" si="60"/>
        <v>2.0051761987252545</v>
      </c>
      <c r="BQ1970">
        <f t="shared" si="61"/>
        <v>9.9903304850419001</v>
      </c>
    </row>
    <row r="1971" spans="1:69" hidden="1" x14ac:dyDescent="0.2">
      <c r="A1971" t="s">
        <v>579</v>
      </c>
      <c r="B1971" t="s">
        <v>68</v>
      </c>
      <c r="C1971" t="s">
        <v>69</v>
      </c>
      <c r="D1971" t="s">
        <v>70</v>
      </c>
      <c r="E1971" t="s">
        <v>580</v>
      </c>
      <c r="F1971">
        <v>3</v>
      </c>
      <c r="G1971">
        <v>15</v>
      </c>
      <c r="H1971">
        <v>1</v>
      </c>
      <c r="I1971">
        <v>1</v>
      </c>
      <c r="J1971">
        <v>1</v>
      </c>
      <c r="K1971" t="s">
        <v>110</v>
      </c>
      <c r="L1971" t="s">
        <v>111</v>
      </c>
      <c r="M1971" s="4">
        <v>235000000</v>
      </c>
      <c r="N1971">
        <v>0</v>
      </c>
      <c r="O1971">
        <v>4.7375999999999996</v>
      </c>
      <c r="P1971">
        <v>-74.021609999999995</v>
      </c>
      <c r="Q1971" t="s">
        <v>581</v>
      </c>
      <c r="R1971">
        <v>15666666.67</v>
      </c>
      <c r="S1971">
        <v>0</v>
      </c>
      <c r="T1971" t="s">
        <v>104</v>
      </c>
      <c r="U1971" t="s">
        <v>105</v>
      </c>
      <c r="V1971" t="s">
        <v>77</v>
      </c>
      <c r="W1971" t="s">
        <v>104</v>
      </c>
      <c r="X1971" t="s">
        <v>106</v>
      </c>
      <c r="Y1971">
        <v>3.1869155563540601</v>
      </c>
      <c r="Z1971">
        <v>3186.9155563540598</v>
      </c>
      <c r="AA1971">
        <v>4.71035</v>
      </c>
      <c r="AB1971">
        <v>-74.030416666666696</v>
      </c>
      <c r="AC1971">
        <v>2570</v>
      </c>
      <c r="AD1971">
        <v>10</v>
      </c>
      <c r="AE1971" t="s">
        <v>80</v>
      </c>
      <c r="AF1971" t="s">
        <v>107</v>
      </c>
      <c r="AG1971" t="s">
        <v>82</v>
      </c>
      <c r="AH1971" t="s">
        <v>83</v>
      </c>
      <c r="AI1971" t="s">
        <v>108</v>
      </c>
      <c r="AJ1971">
        <v>2.9645247748294201</v>
      </c>
      <c r="AK1971">
        <v>0.32620520362295602</v>
      </c>
      <c r="AL1971">
        <v>1.2359814144922301</v>
      </c>
      <c r="AM1971">
        <v>5.5358539600655801E-2</v>
      </c>
      <c r="AN1971">
        <v>0.71541629541760099</v>
      </c>
      <c r="AO1971">
        <v>0.18041827205701599</v>
      </c>
      <c r="AP1971">
        <v>0.18041827205701599</v>
      </c>
      <c r="AQ1971">
        <v>0</v>
      </c>
      <c r="AR1971">
        <v>0</v>
      </c>
      <c r="AS1971">
        <v>8</v>
      </c>
      <c r="AT1971">
        <v>63</v>
      </c>
      <c r="AU1971">
        <v>0</v>
      </c>
      <c r="AV1971">
        <v>9</v>
      </c>
      <c r="AW1971">
        <v>1</v>
      </c>
      <c r="AX1971">
        <v>0</v>
      </c>
      <c r="AY1971">
        <v>15.5</v>
      </c>
      <c r="AZ1971">
        <v>2.4</v>
      </c>
      <c r="BA1971">
        <v>10.9</v>
      </c>
      <c r="BB1971">
        <v>564</v>
      </c>
      <c r="BC1971">
        <v>68</v>
      </c>
      <c r="BD1971">
        <v>1.5</v>
      </c>
      <c r="BE1971">
        <v>135</v>
      </c>
      <c r="BF1971">
        <v>0</v>
      </c>
      <c r="BG1971">
        <v>162</v>
      </c>
      <c r="BH1971">
        <v>9.1</v>
      </c>
      <c r="BI1971">
        <v>9.1999999999999993</v>
      </c>
      <c r="BJ1971">
        <v>18.3</v>
      </c>
      <c r="BK1971">
        <v>0.34</v>
      </c>
      <c r="BL1971">
        <v>7.3</v>
      </c>
      <c r="BM1971">
        <v>0.9</v>
      </c>
      <c r="BN1971">
        <v>7.5</v>
      </c>
      <c r="BO1971">
        <v>2.9</v>
      </c>
      <c r="BP1971">
        <f t="shared" si="60"/>
        <v>2.0497470951378123</v>
      </c>
      <c r="BQ1971">
        <f t="shared" si="61"/>
        <v>10.097388397262597</v>
      </c>
    </row>
    <row r="1972" spans="1:69" hidden="1" x14ac:dyDescent="0.2">
      <c r="A1972" t="s">
        <v>4573</v>
      </c>
      <c r="B1972" t="s">
        <v>68</v>
      </c>
      <c r="C1972" t="s">
        <v>3294</v>
      </c>
      <c r="D1972" t="s">
        <v>70</v>
      </c>
      <c r="E1972" t="s">
        <v>262</v>
      </c>
      <c r="F1972">
        <v>5</v>
      </c>
      <c r="G1972">
        <v>10</v>
      </c>
      <c r="H1972">
        <v>1</v>
      </c>
      <c r="I1972">
        <v>2</v>
      </c>
      <c r="J1972">
        <v>1</v>
      </c>
      <c r="K1972" t="s">
        <v>110</v>
      </c>
      <c r="L1972" t="s">
        <v>133</v>
      </c>
      <c r="M1972" s="4">
        <v>455000000</v>
      </c>
      <c r="N1972">
        <v>0</v>
      </c>
      <c r="O1972">
        <v>4.7073149680000004</v>
      </c>
      <c r="P1972">
        <v>-74.032142640000004</v>
      </c>
      <c r="Q1972" t="s">
        <v>4574</v>
      </c>
      <c r="R1972">
        <v>45500000</v>
      </c>
      <c r="S1972">
        <v>0</v>
      </c>
      <c r="T1972" t="s">
        <v>104</v>
      </c>
      <c r="U1972" t="s">
        <v>105</v>
      </c>
      <c r="V1972" t="s">
        <v>77</v>
      </c>
      <c r="W1972" t="s">
        <v>104</v>
      </c>
      <c r="X1972" t="s">
        <v>106</v>
      </c>
      <c r="Y1972">
        <v>0.38834913563830697</v>
      </c>
      <c r="Z1972">
        <v>388.34913563830702</v>
      </c>
      <c r="AA1972">
        <v>4.71035</v>
      </c>
      <c r="AB1972">
        <v>-74.030416666666696</v>
      </c>
      <c r="AC1972">
        <v>2570</v>
      </c>
      <c r="AD1972">
        <v>10</v>
      </c>
      <c r="AE1972" t="s">
        <v>80</v>
      </c>
      <c r="AF1972" t="s">
        <v>107</v>
      </c>
      <c r="AG1972" t="s">
        <v>82</v>
      </c>
      <c r="AH1972" t="s">
        <v>83</v>
      </c>
      <c r="AI1972" t="s">
        <v>108</v>
      </c>
      <c r="AJ1972">
        <v>2.4009674648544901</v>
      </c>
      <c r="AK1972">
        <v>0.81166831789236304</v>
      </c>
      <c r="AL1972">
        <v>0.38519425229802401</v>
      </c>
      <c r="AM1972">
        <v>0.20424337977620899</v>
      </c>
      <c r="AN1972">
        <v>3.8292386888458299</v>
      </c>
      <c r="AO1972">
        <v>9.3518602702829898E-2</v>
      </c>
      <c r="AP1972">
        <v>9.3518602702829898E-2</v>
      </c>
      <c r="AQ1972">
        <v>0</v>
      </c>
      <c r="AR1972">
        <v>0</v>
      </c>
      <c r="AS1972">
        <v>0</v>
      </c>
      <c r="AT1972">
        <v>15</v>
      </c>
      <c r="AU1972">
        <v>2</v>
      </c>
      <c r="AV1972">
        <v>108</v>
      </c>
      <c r="AW1972">
        <v>0</v>
      </c>
      <c r="AX1972">
        <v>0</v>
      </c>
      <c r="AY1972">
        <v>15.5</v>
      </c>
      <c r="AZ1972">
        <v>2.4</v>
      </c>
      <c r="BA1972">
        <v>10.9</v>
      </c>
      <c r="BB1972">
        <v>564</v>
      </c>
      <c r="BC1972">
        <v>68</v>
      </c>
      <c r="BD1972">
        <v>1.5</v>
      </c>
      <c r="BE1972">
        <v>135</v>
      </c>
      <c r="BF1972">
        <v>0</v>
      </c>
      <c r="BG1972">
        <v>162</v>
      </c>
      <c r="BH1972">
        <v>9.1</v>
      </c>
      <c r="BI1972">
        <v>9.1999999999999993</v>
      </c>
      <c r="BJ1972">
        <v>18.3</v>
      </c>
      <c r="BK1972">
        <v>0.34</v>
      </c>
      <c r="BL1972">
        <v>7.3</v>
      </c>
      <c r="BM1972">
        <v>0.9</v>
      </c>
      <c r="BN1972">
        <v>7.5</v>
      </c>
      <c r="BO1972">
        <v>2.9</v>
      </c>
      <c r="BP1972">
        <f t="shared" si="60"/>
        <v>2.3543047363173151</v>
      </c>
      <c r="BQ1972">
        <f t="shared" si="61"/>
        <v>10.798879837270698</v>
      </c>
    </row>
    <row r="1973" spans="1:69" hidden="1" x14ac:dyDescent="0.2">
      <c r="A1973" t="s">
        <v>617</v>
      </c>
      <c r="B1973" t="s">
        <v>68</v>
      </c>
      <c r="C1973" t="s">
        <v>69</v>
      </c>
      <c r="D1973" t="s">
        <v>70</v>
      </c>
      <c r="E1973" t="s">
        <v>210</v>
      </c>
      <c r="F1973">
        <v>6</v>
      </c>
      <c r="G1973">
        <v>7</v>
      </c>
      <c r="H1973">
        <v>3</v>
      </c>
      <c r="I1973">
        <v>4</v>
      </c>
      <c r="J1973">
        <v>3</v>
      </c>
      <c r="K1973" t="s">
        <v>110</v>
      </c>
      <c r="L1973" t="s">
        <v>111</v>
      </c>
      <c r="M1973" s="4">
        <v>1940000000</v>
      </c>
      <c r="N1973">
        <v>0</v>
      </c>
      <c r="O1973">
        <v>4.6962375639999996</v>
      </c>
      <c r="P1973">
        <v>-74.047035219999998</v>
      </c>
      <c r="Q1973" t="s">
        <v>618</v>
      </c>
      <c r="R1973">
        <v>277142857.10000002</v>
      </c>
      <c r="S1973">
        <v>0</v>
      </c>
      <c r="T1973" t="s">
        <v>104</v>
      </c>
      <c r="U1973" t="s">
        <v>105</v>
      </c>
      <c r="V1973" t="s">
        <v>77</v>
      </c>
      <c r="W1973" t="s">
        <v>104</v>
      </c>
      <c r="X1973" t="s">
        <v>106</v>
      </c>
      <c r="Y1973">
        <v>2.4222679799778399</v>
      </c>
      <c r="Z1973">
        <v>2422.2679799778398</v>
      </c>
      <c r="AA1973">
        <v>4.71035</v>
      </c>
      <c r="AB1973">
        <v>-74.030416666666696</v>
      </c>
      <c r="AC1973">
        <v>2570</v>
      </c>
      <c r="AD1973">
        <v>10</v>
      </c>
      <c r="AE1973" t="s">
        <v>80</v>
      </c>
      <c r="AF1973" t="s">
        <v>107</v>
      </c>
      <c r="AG1973" t="s">
        <v>82</v>
      </c>
      <c r="AH1973" t="s">
        <v>83</v>
      </c>
      <c r="AI1973" t="s">
        <v>108</v>
      </c>
      <c r="AJ1973">
        <v>0.940818909887573</v>
      </c>
      <c r="AK1973">
        <v>2.28140787440968</v>
      </c>
      <c r="AL1973">
        <v>0.45090051458856201</v>
      </c>
      <c r="AM1973">
        <v>0.142572799518799</v>
      </c>
      <c r="AN1973">
        <v>4.5884418661378401</v>
      </c>
      <c r="AO1973">
        <v>0.26704505388022098</v>
      </c>
      <c r="AP1973">
        <v>0.26704505388022098</v>
      </c>
      <c r="AQ1973">
        <v>0</v>
      </c>
      <c r="AR1973">
        <v>1</v>
      </c>
      <c r="AS1973">
        <v>0</v>
      </c>
      <c r="AT1973">
        <v>0</v>
      </c>
      <c r="AU1973">
        <v>3</v>
      </c>
      <c r="AV1973">
        <v>126</v>
      </c>
      <c r="AW1973">
        <v>0</v>
      </c>
      <c r="AX1973">
        <v>0</v>
      </c>
      <c r="AY1973">
        <v>15.5</v>
      </c>
      <c r="AZ1973">
        <v>2.4</v>
      </c>
      <c r="BA1973">
        <v>10.9</v>
      </c>
      <c r="BB1973">
        <v>564</v>
      </c>
      <c r="BC1973">
        <v>68</v>
      </c>
      <c r="BD1973">
        <v>1.5</v>
      </c>
      <c r="BE1973">
        <v>135</v>
      </c>
      <c r="BF1973">
        <v>0</v>
      </c>
      <c r="BG1973">
        <v>162</v>
      </c>
      <c r="BH1973">
        <v>9.1</v>
      </c>
      <c r="BI1973">
        <v>9.1999999999999993</v>
      </c>
      <c r="BJ1973">
        <v>18.3</v>
      </c>
      <c r="BK1973">
        <v>0.34</v>
      </c>
      <c r="BL1973">
        <v>7.3</v>
      </c>
      <c r="BM1973">
        <v>0.9</v>
      </c>
      <c r="BN1973">
        <v>7.5</v>
      </c>
      <c r="BO1973">
        <v>2.9</v>
      </c>
      <c r="BP1973">
        <f t="shared" si="60"/>
        <v>2.1288170978742498</v>
      </c>
      <c r="BQ1973">
        <f t="shared" si="61"/>
        <v>10.284401786368978</v>
      </c>
    </row>
  </sheetData>
  <autoFilter ref="A1:BQ1973" xr:uid="{14B329BF-2F32-B14D-98D4-576379FB1069}">
    <filterColumn colId="51">
      <filters>
        <filter val="17,1"/>
      </filters>
    </filterColumn>
    <sortState xmlns:xlrd2="http://schemas.microsoft.com/office/spreadsheetml/2017/richdata2" ref="A2:BQ1973">
      <sortCondition descending="1" ref="BA1:BA197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Familia Alape</dc:creator>
  <cp:lastModifiedBy>Jorge Viafara</cp:lastModifiedBy>
  <dcterms:created xsi:type="dcterms:W3CDTF">2026-05-18T18:12:48Z</dcterms:created>
  <dcterms:modified xsi:type="dcterms:W3CDTF">2026-05-19T02:06:06Z</dcterms:modified>
</cp:coreProperties>
</file>